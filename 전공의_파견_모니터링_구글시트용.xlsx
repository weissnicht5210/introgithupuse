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본자료" sheetId="2" state="visible" r:id="rId2"/>
    <sheet name="인턴근무계획" sheetId="3" state="visible" r:id="rId3"/>
    <sheet name="파견수련계획" sheetId="4" state="visible" r:id="rId4"/>
    <sheet name="전공의명단" sheetId="5" state="visible" r:id="rId5"/>
    <sheet name="요약" sheetId="6" state="visible" r:id="rId6"/>
    <sheet name="인턴현황" sheetId="7" state="visible" r:id="rId7"/>
    <sheet name="코드표" sheetId="8" state="visible" r:id="rId8"/>
  </sheets>
  <definedNames>
    <definedName name="_xlnm._FilterDatabase" localSheetId="1" hidden="1">'기본자료'!$A$1:$L$1001</definedName>
    <definedName name="_xlnm._FilterDatabase" localSheetId="6" hidden="1">'인턴현황'!$A$5:$Q$65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4"/>
    </font>
    <font>
      <name val="맑은 고딕"/>
      <color rgb="007F7F7F"/>
      <sz val="9"/>
    </font>
    <font>
      <name val="맑은 고딕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3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3" fillId="4" borderId="1" pivotButton="0" quotePrefix="0" xfId="0"/>
    <xf numFmtId="164" fontId="3" fillId="0" borderId="0" pivotButton="0" quotePrefix="0" xfId="0"/>
    <xf numFmtId="0" fontId="2" fillId="5" borderId="0" pivotButton="0" quotePrefix="0" xfId="0"/>
    <xf numFmtId="164" fontId="2" fillId="5" borderId="0" pivotButton="0" quotePrefix="0" xfId="0"/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전공의" displayName="전공의" ref="A1:AL401" headerRowCount="1">
  <autoFilter ref="A1:AL401"/>
  <tableColumns count="38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입사장소"/>
    <tableColumn id="14" name="현재 근무병원"/>
    <tableColumn id="15" name="현재 진료과"/>
    <tableColumn id="16" name="파견근거"/>
    <tableColumn id="17" name="파견병원"/>
    <tableColumn id="18" name="파견진료과"/>
    <tableColumn id="19" name="파견시작일"/>
    <tableColumn id="20" name="파견종료일"/>
    <tableColumn id="21" name="파견상태"/>
    <tableColumn id="22" name="파견기간(일)"/>
    <tableColumn id="23" name="종료까지(일)"/>
    <tableColumn id="24" name="급여기준월 파견일수"/>
    <tableColumn id="25" name="급여지급병원(기준월)"/>
    <tableColumn id="26" name="점검"/>
    <tableColumn id="27" name="비고"/>
    <tableColumn id="28" name="기본자료행"/>
    <tableColumn id="29" name="인턴계획행"/>
    <tableColumn id="30" name="인턴 이번달"/>
    <tableColumn id="31" name="소속병원"/>
    <tableColumn id="32" name="파견기록행"/>
    <tableColumn id="33" name="기준월 근무병원"/>
    <tableColumn id="34" name="서울 근무일(기준월)"/>
    <tableColumn id="35" name="구리 근무일(기준월)"/>
    <tableColumn id="36" name="기준월 대표파견행"/>
    <tableColumn id="37" name="다기관 기록행"/>
    <tableColumn id="38" name="다기관(비고 기재 기간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</t>
        </is>
      </c>
    </row>
    <row r="2">
      <c r="A2" s="2" t="inlineStr"/>
    </row>
    <row r="3">
      <c r="A3" s="3" t="inlineStr">
        <is>
          <t>[전체 흐름]</t>
        </is>
      </c>
    </row>
    <row r="4">
      <c r="A4" s="2" t="inlineStr">
        <is>
          <t>1) 기본자료  2) 인턴근무계획  3) 파견수련계획 — 세 시트에 각 양식 그대로 붙여넣기  4) 전공의명단에 사번·입사장소만 입력  5) 요약·인턴현황에서 확인</t>
        </is>
      </c>
    </row>
    <row r="5">
      <c r="A5" s="2" t="inlineStr"/>
    </row>
    <row r="6">
      <c r="A6" s="3" t="inlineStr">
        <is>
          <t>[기본자료 업로드]</t>
        </is>
      </c>
    </row>
    <row r="7">
      <c r="A7" s="2" t="inlineStr">
        <is>
          <t>• 기본자료 시트 A1:L1 머리글 순서(현재근무 여부·사번·이름·수련과목·연차·근무지·수련개시일·전공의등록번호·의사면허번호·성별·생년월일·비고)로 A2부터 붙여넣으세요. 최대 1000명. 열 순서는 유지해야 합니다.</t>
        </is>
      </c>
    </row>
    <row r="8">
      <c r="A8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9">
      <c r="A9" s="2" t="inlineStr">
        <is>
          <t>• 기본자료 2~9행은 가상 예시입니다. 삭제하고 실제 자료를 붙여넣으세요. 인턴도 올리고 수련과목을 '인턴'으로 적으면 현재 진료과가 수련교육부(인턴)로 표시됩니다.</t>
        </is>
      </c>
    </row>
    <row r="10">
      <c r="A10" s="2" t="inlineStr"/>
    </row>
    <row r="11">
      <c r="A11" s="3" t="inlineStr">
        <is>
          <t>[인턴근무계획 업로드]</t>
        </is>
      </c>
    </row>
    <row r="12">
      <c r="A12" s="2" t="inlineStr">
        <is>
          <t>• 인턴근무계획 시트의 업로드 양식(B1 제목, B2:K2 머리글, 3행부터 자료) 그대로 붙여넣으세요. 최대 60명. 오른쪽 초록 열(M~T)은 자동 정규화 결과이므로 지우지 마세요.</t>
        </is>
      </c>
    </row>
    <row r="13">
      <c r="A13" s="2" t="inlineStr">
        <is>
          <t>• 월 칸은 '지역 진료과'(예: 서울 내과, 서울 산부, 제주 에스중앙 내과)로 읽습니다. 첫 단어=지역(병원 표기표로 정식 병원 변환), 마지막 단어=진료과(약칭표로 정식 명칭 변환). 사이 단어는 무시합니다.</t>
        </is>
      </c>
    </row>
    <row r="14">
      <c r="A14" s="2" t="inlineStr">
        <is>
          <t>• 통합(과 미지정)과 핵방/핵/방(핵의학과+방사선종양학과)은 인턴 전용 구분으로 인정됩니다.</t>
        </is>
      </c>
    </row>
    <row r="15">
      <c r="A15" s="2" t="inlineStr">
        <is>
          <t>• 인턴근무계획에만 있는 내용은 해당 월 1일~말일 근무로 간주합니다(기본값). 비고의 2026.03은 2026년 3월 1일 입사로 해석해 인턴현황 '입사일'에 표시합니다.</t>
        </is>
      </c>
    </row>
    <row r="16">
      <c r="A16" s="2" t="inlineStr"/>
    </row>
    <row r="17">
      <c r="A17" s="3" t="inlineStr">
        <is>
          <t>[파견수련계획 업로드]</t>
        </is>
      </c>
    </row>
    <row r="18">
      <c r="A18" s="2" t="inlineStr">
        <is>
          <t>• 파견수련계획 시트의 양식(1~3행 병합 머리글, 4행부터 자료: 연번·모병원명·수련종별·수련과목·연차·성명·전공의등록번호·파견시작일·파견종료일·파견일수·파견병원·파견과목·파견근거·비고)대로 붙여넣으세요. 최대 80건.</t>
        </is>
      </c>
    </row>
    <row r="19">
      <c r="A19" s="2" t="inlineStr">
        <is>
          <t>• 한 사람이 여러 번 파견되면 행을 여러 개 입력합니다. 전공의명단과는 '전공의등록번호'로 연결됩니다(기본자료의 등록번호와 같아야 함).</t>
        </is>
      </c>
    </row>
    <row r="20">
      <c r="A20" s="2" t="inlineStr">
        <is>
          <t>• 모병원명·파견병원은 코드표의 '병원 표기' 표로 정식 병원(서울병원 등)에 연결됩니다. 표에 없는 기관명(인천·창원·오산 등)은 코드표 J·K열에 추가하세요.</t>
        </is>
      </c>
    </row>
    <row r="21">
      <c r="A21" s="2" t="inlineStr">
        <is>
          <t>• 파견근거는 모자 / 통합수련 / 다기관 입니다. 비고(N열, 또는 O열)에 '다기관'이 들어 있으면 다기관 파견으로 인식합니다. 비고가 '2026.09.01-2026.09.30 다기관 파견'처럼 기간으로 시작하면 그 기간을, 아니면 해당 행의 파견 기간을 다기관 기간으로 봅니다.</t>
        </is>
      </c>
    </row>
    <row r="22">
      <c r="A22" s="2" t="inlineStr">
        <is>
          <t>• 다기관 기간에는 전공의명단 '파견근거'에 다기관으로 표시되고, 오른쪽 끝 '다기관(비고 기재 기간)' 열에 기간이 보입니다. 급여 기준월에 다기관 기간이 걸리면 급여는 소속병원이 지급하는 것으로 계산합니다(가정).</t>
        </is>
      </c>
    </row>
    <row r="23">
      <c r="A23" s="2" t="inlineStr">
        <is>
          <t>• 코드표에 없는 병원·진료과·파견근거를 직접 입력하면 오류 팝업이 뜹니다. 붙여넣기는 엑셀 특성상 팝업이 뜨지 않으므로, 대신 해당 행이 빨갛게 표시되고 오른쪽 '입력 오류' 열과 요약에 집계됩니다.</t>
        </is>
      </c>
    </row>
    <row r="24">
      <c r="A24" s="2" t="inlineStr"/>
    </row>
    <row r="25">
      <c r="A25" s="3" t="inlineStr">
        <is>
          <t>[전공의명단]</t>
        </is>
      </c>
    </row>
    <row r="26">
      <c r="A26" s="2" t="inlineStr">
        <is>
          <t>• 입력은 사번, 입사장소, 비고뿐입니다. 인적사항은 기본자료에서, 파견 정보(파견근거·병원·과·기간·상태)는 파견수련계획에서 자동 연결됩니다(파견중 &gt; 파견예정 &gt; 파견종료 순으로 대표 1건 표시).</t>
        </is>
      </c>
    </row>
    <row r="27">
      <c r="A27" s="2" t="inlineStr">
        <is>
          <t>• 입사장소 = 채용된 병원(구리병원에서 채용해 근무하면 구리병원). 비워 두면 파견수련계획의 모병원명, 그것도 없으면 기본자료 근무지를 사용합니다.</t>
        </is>
      </c>
    </row>
    <row r="28">
      <c r="A28" s="2" t="inlineStr">
        <is>
          <t>• 현재 근무병원/진료과: ①파견중이면 파견병원/파견과목 ②인턴이면 이번 달 근무계획 ③그 외는 기본자료의 근무지/수련과목.</t>
        </is>
      </c>
    </row>
    <row r="29">
      <c r="A29" s="2" t="inlineStr"/>
    </row>
    <row r="30">
      <c r="A30" s="3" t="inlineStr">
        <is>
          <t>[급여지급병원(기준월) 규칙 — 전공의명단 Y열]</t>
        </is>
      </c>
    </row>
    <row r="31">
      <c r="A31" s="2" t="inlineStr">
        <is>
          <t>• 서울병원·구리병원 사이: 소속과 무관하게 급여 기준월에 15일 이상 근무한 병원이 그 달 전체를 한꺼번에 지급합니다. (예: 구리 10일·서울 20일이면 구리 10일치까지 서울병원에서 지급)</t>
        </is>
      </c>
    </row>
    <row r="32">
      <c r="A32" s="2" t="inlineStr">
        <is>
          <t>• 근무일 계산: 파견 기간은 파견병원, 나머지 날은 소속병원(인턴은 해당 월 근무계획 병원)에서 근무한 것으로 봅니다. 양쪽 모두 15일 이상이거나 모두 미만이면 판정할 수 없으므로 급여지급병원 칸에 빨간 ⚠ 오류가 표시되고, 점검 열과 요약에 집계됩니다.</t>
        </is>
      </c>
    </row>
    <row r="33">
      <c r="A33" s="2" t="inlineStr">
        <is>
          <t>• 서울·구리 외 병원이 섞인 경우(가정): 통합수련=파견병원이 지급, 모자·다기관=소속병원이 지급. 이 부분은 확정 규칙이 아니므로 실제 규정에 맞는지 확인하세요.</t>
        </is>
      </c>
    </row>
    <row r="34">
      <c r="A34" s="2" t="inlineStr">
        <is>
          <t>• 파견이 없는 달은 그 달 근무병원(소속 또는 인턴 근무계획 병원)이 지급합니다.</t>
        </is>
      </c>
    </row>
    <row r="35">
      <c r="A35" s="2" t="inlineStr">
        <is>
          <t>• 급여 기준월은 요약 시트 B3(기본값=이번 달 1일)입니다. 다른 달 급여는 그 달 1일 날짜로 바꾸세요. 15일 기준은 요약 E3에서 바꿀 수 있습니다. 급여지급병원 칸이 노란색이면 소속과 다른 병원에서 지급되는 경우입니다.</t>
        </is>
      </c>
    </row>
    <row r="36">
      <c r="A36" s="2" t="inlineStr"/>
    </row>
    <row r="37">
      <c r="A37" s="3" t="inlineStr">
        <is>
          <t>[점검 열]</t>
        </is>
      </c>
    </row>
    <row r="38">
      <c r="A38" s="2" t="inlineStr">
        <is>
          <t>• 전공의명단 '점검' 열이 '정상'이 아니면 빨간색으로 표시됩니다 (기본자료에 없는 사번, 중복, 소속 누락, 파견수련계획/인턴계획 입력오류, 인턴 타지역 근무인데 파견 입력 없음 등).</t>
        </is>
      </c>
    </row>
    <row r="39">
      <c r="A39" s="2" t="inlineStr"/>
    </row>
    <row r="40">
      <c r="A40" s="3" t="inlineStr">
        <is>
          <t>[정렬·필터]</t>
        </is>
      </c>
    </row>
    <row r="41">
      <c r="A41" s="2" t="inlineStr">
        <is>
          <t>• 전공의명단·인턴현황 머리글의 ▼ 버튼으로 정렬/필터합니다 (예: 파견상태=파견중, 종료까지(일) 오름차순 → 종료 임박순).</t>
        </is>
      </c>
    </row>
    <row r="42">
      <c r="A42" s="2" t="inlineStr">
        <is>
          <t>• 주황색 행: 파견중이면서 종료까지 요약 시트의 기준일수(기본 30일) 이내.  회색: 파견종료.</t>
        </is>
      </c>
    </row>
    <row r="43">
      <c r="A43" s="2" t="inlineStr"/>
    </row>
    <row r="44">
      <c r="A44" s="3" t="inlineStr">
        <is>
          <t>[행 늘리기]</t>
        </is>
      </c>
    </row>
    <row r="45">
      <c r="A45" s="2" t="inlineStr">
        <is>
          <t>• 전공의명단은 400행까지 수식이 채워져 있습니다. 더 필요하면 표의 마지막 행 '위'에 행을 삽입하고 바로 위 행을 복사해 붙여넣으세요. 마지막 행 아래에 붙이면 요약 등이 참조하는 범위에 포함되지 않습니다. (인턴근무계획·파견수련계획·인턴현황도 같은 방법)</t>
        </is>
      </c>
    </row>
    <row r="46">
      <c r="A46" s="2" t="inlineStr"/>
    </row>
    <row r="47">
      <c r="A47" s="3" t="inlineStr">
        <is>
          <t>[참고]</t>
        </is>
      </c>
    </row>
    <row r="48">
      <c r="A48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내과</t>
        </is>
      </c>
      <c r="E4" s="5" t="inlineStr">
        <is>
          <t>레지던트3</t>
        </is>
      </c>
      <c r="F4" s="5" t="inlineStr">
        <is>
          <t>서울</t>
        </is>
      </c>
      <c r="G4" s="5" t="n">
        <v>20240301</v>
      </c>
      <c r="H4" s="6" t="inlineStr">
        <is>
          <t>21-1111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구리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inlineStr">
        <is>
          <t>재직</t>
        </is>
      </c>
      <c r="B7" s="6" t="inlineStr">
        <is>
          <t>222222</t>
        </is>
      </c>
      <c r="C7" s="5" t="inlineStr">
        <is>
          <t>김ㅇㅇ</t>
        </is>
      </c>
      <c r="D7" s="5" t="inlineStr">
        <is>
          <t>인턴</t>
        </is>
      </c>
      <c r="E7" s="5" t="inlineStr">
        <is>
          <t>인턴</t>
        </is>
      </c>
      <c r="F7" s="5" t="inlineStr">
        <is>
          <t>서울</t>
        </is>
      </c>
      <c r="G7" s="5" t="n">
        <v>20260301</v>
      </c>
      <c r="H7" s="6" t="inlineStr">
        <is>
          <t>22-2222</t>
        </is>
      </c>
      <c r="I7" s="5" t="n">
        <v>222222</v>
      </c>
      <c r="J7" s="5" t="inlineStr">
        <is>
          <t>여</t>
        </is>
      </c>
      <c r="K7" s="5" t="n">
        <v>19990101</v>
      </c>
      <c r="L7" s="5" t="n"/>
    </row>
    <row r="8">
      <c r="A8" s="5" t="inlineStr">
        <is>
          <t>재직</t>
        </is>
      </c>
      <c r="B8" s="6" t="inlineStr">
        <is>
          <t>222223</t>
        </is>
      </c>
      <c r="C8" s="5" t="inlineStr">
        <is>
          <t>이ㅇㅇ</t>
        </is>
      </c>
      <c r="D8" s="5" t="inlineStr">
        <is>
          <t>인턴</t>
        </is>
      </c>
      <c r="E8" s="5" t="inlineStr">
        <is>
          <t>인턴</t>
        </is>
      </c>
      <c r="F8" s="5" t="inlineStr">
        <is>
          <t>서울</t>
        </is>
      </c>
      <c r="G8" s="5" t="n">
        <v>20260301</v>
      </c>
      <c r="H8" s="6" t="inlineStr">
        <is>
          <t>22-2223</t>
        </is>
      </c>
      <c r="I8" s="5" t="n">
        <v>222223</v>
      </c>
      <c r="J8" s="5" t="inlineStr">
        <is>
          <t>남</t>
        </is>
      </c>
      <c r="K8" s="5" t="n">
        <v>19990202</v>
      </c>
      <c r="L8" s="5" t="n"/>
    </row>
    <row r="9">
      <c r="A9" s="5" t="inlineStr">
        <is>
          <t>재직</t>
        </is>
      </c>
      <c r="B9" s="6" t="inlineStr">
        <is>
          <t>222224</t>
        </is>
      </c>
      <c r="C9" s="5" t="inlineStr">
        <is>
          <t>박ㅇㅇ</t>
        </is>
      </c>
      <c r="D9" s="5" t="inlineStr">
        <is>
          <t>인턴</t>
        </is>
      </c>
      <c r="E9" s="5" t="inlineStr">
        <is>
          <t>인턴</t>
        </is>
      </c>
      <c r="F9" s="5" t="inlineStr">
        <is>
          <t>구리</t>
        </is>
      </c>
      <c r="G9" s="5" t="n">
        <v>20260301</v>
      </c>
      <c r="H9" s="6" t="inlineStr">
        <is>
          <t>22-2224</t>
        </is>
      </c>
      <c r="I9" s="5" t="n">
        <v>222224</v>
      </c>
      <c r="J9" s="5" t="inlineStr">
        <is>
          <t>남</t>
        </is>
      </c>
      <c r="K9" s="5" t="n">
        <v>19990303</v>
      </c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  <row r="302">
      <c r="A302" s="5" t="n"/>
      <c r="B302" s="6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</row>
    <row r="303">
      <c r="A303" s="5" t="n"/>
      <c r="B303" s="6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</row>
    <row r="304">
      <c r="A304" s="5" t="n"/>
      <c r="B304" s="6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</row>
    <row r="305">
      <c r="A305" s="5" t="n"/>
      <c r="B305" s="6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</row>
    <row r="306">
      <c r="A306" s="5" t="n"/>
      <c r="B306" s="6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</row>
    <row r="307">
      <c r="A307" s="5" t="n"/>
      <c r="B307" s="6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</row>
    <row r="308">
      <c r="A308" s="5" t="n"/>
      <c r="B308" s="6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</row>
    <row r="309">
      <c r="A309" s="5" t="n"/>
      <c r="B309" s="6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</row>
    <row r="310">
      <c r="A310" s="5" t="n"/>
      <c r="B310" s="6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</row>
    <row r="311">
      <c r="A311" s="5" t="n"/>
      <c r="B311" s="6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</row>
    <row r="312">
      <c r="A312" s="5" t="n"/>
      <c r="B312" s="6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</row>
    <row r="313">
      <c r="A313" s="5" t="n"/>
      <c r="B313" s="6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</row>
    <row r="314">
      <c r="A314" s="5" t="n"/>
      <c r="B314" s="6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</row>
    <row r="315">
      <c r="A315" s="5" t="n"/>
      <c r="B315" s="6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</row>
    <row r="316">
      <c r="A316" s="5" t="n"/>
      <c r="B316" s="6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</row>
    <row r="317">
      <c r="A317" s="5" t="n"/>
      <c r="B317" s="6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</row>
    <row r="318">
      <c r="A318" s="5" t="n"/>
      <c r="B318" s="6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</row>
    <row r="319">
      <c r="A319" s="5" t="n"/>
      <c r="B319" s="6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</row>
    <row r="320">
      <c r="A320" s="5" t="n"/>
      <c r="B320" s="6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</row>
    <row r="321">
      <c r="A321" s="5" t="n"/>
      <c r="B321" s="6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</row>
    <row r="322">
      <c r="A322" s="5" t="n"/>
      <c r="B322" s="6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</row>
    <row r="323">
      <c r="A323" s="5" t="n"/>
      <c r="B323" s="6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</row>
    <row r="324">
      <c r="A324" s="5" t="n"/>
      <c r="B324" s="6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</row>
    <row r="325">
      <c r="A325" s="5" t="n"/>
      <c r="B325" s="6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</row>
    <row r="326">
      <c r="A326" s="5" t="n"/>
      <c r="B326" s="6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</row>
    <row r="327">
      <c r="A327" s="5" t="n"/>
      <c r="B327" s="6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</row>
    <row r="328">
      <c r="A328" s="5" t="n"/>
      <c r="B328" s="6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</row>
    <row r="329">
      <c r="A329" s="5" t="n"/>
      <c r="B329" s="6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</row>
    <row r="330">
      <c r="A330" s="5" t="n"/>
      <c r="B330" s="6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</row>
    <row r="331">
      <c r="A331" s="5" t="n"/>
      <c r="B331" s="6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</row>
    <row r="332">
      <c r="A332" s="5" t="n"/>
      <c r="B332" s="6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</row>
    <row r="333">
      <c r="A333" s="5" t="n"/>
      <c r="B333" s="6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</row>
    <row r="334">
      <c r="A334" s="5" t="n"/>
      <c r="B334" s="6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</row>
    <row r="335">
      <c r="A335" s="5" t="n"/>
      <c r="B335" s="6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</row>
    <row r="336">
      <c r="A336" s="5" t="n"/>
      <c r="B336" s="6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</row>
    <row r="337">
      <c r="A337" s="5" t="n"/>
      <c r="B337" s="6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</row>
    <row r="338">
      <c r="A338" s="5" t="n"/>
      <c r="B338" s="6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</row>
    <row r="339">
      <c r="A339" s="5" t="n"/>
      <c r="B339" s="6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</row>
    <row r="340">
      <c r="A340" s="5" t="n"/>
      <c r="B340" s="6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</row>
    <row r="341">
      <c r="A341" s="5" t="n"/>
      <c r="B341" s="6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</row>
    <row r="342">
      <c r="A342" s="5" t="n"/>
      <c r="B342" s="6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</row>
    <row r="343">
      <c r="A343" s="5" t="n"/>
      <c r="B343" s="6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</row>
    <row r="344">
      <c r="A344" s="5" t="n"/>
      <c r="B344" s="6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</row>
    <row r="345">
      <c r="A345" s="5" t="n"/>
      <c r="B345" s="6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</row>
    <row r="346">
      <c r="A346" s="5" t="n"/>
      <c r="B346" s="6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</row>
    <row r="347">
      <c r="A347" s="5" t="n"/>
      <c r="B347" s="6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</row>
    <row r="348">
      <c r="A348" s="5" t="n"/>
      <c r="B348" s="6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</row>
    <row r="349">
      <c r="A349" s="5" t="n"/>
      <c r="B349" s="6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</row>
    <row r="350">
      <c r="A350" s="5" t="n"/>
      <c r="B350" s="6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</row>
    <row r="351">
      <c r="A351" s="5" t="n"/>
      <c r="B351" s="6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</row>
    <row r="352">
      <c r="A352" s="5" t="n"/>
      <c r="B352" s="6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</row>
    <row r="353">
      <c r="A353" s="5" t="n"/>
      <c r="B353" s="6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</row>
    <row r="354">
      <c r="A354" s="5" t="n"/>
      <c r="B354" s="6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</row>
    <row r="355">
      <c r="A355" s="5" t="n"/>
      <c r="B355" s="6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</row>
    <row r="356">
      <c r="A356" s="5" t="n"/>
      <c r="B356" s="6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</row>
    <row r="357">
      <c r="A357" s="5" t="n"/>
      <c r="B357" s="6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</row>
    <row r="358">
      <c r="A358" s="5" t="n"/>
      <c r="B358" s="6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</row>
    <row r="359">
      <c r="A359" s="5" t="n"/>
      <c r="B359" s="6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</row>
    <row r="360">
      <c r="A360" s="5" t="n"/>
      <c r="B360" s="6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</row>
    <row r="361">
      <c r="A361" s="5" t="n"/>
      <c r="B361" s="6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</row>
    <row r="362">
      <c r="A362" s="5" t="n"/>
      <c r="B362" s="6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</row>
    <row r="363">
      <c r="A363" s="5" t="n"/>
      <c r="B363" s="6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</row>
    <row r="364">
      <c r="A364" s="5" t="n"/>
      <c r="B364" s="6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</row>
    <row r="365">
      <c r="A365" s="5" t="n"/>
      <c r="B365" s="6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</row>
    <row r="366">
      <c r="A366" s="5" t="n"/>
      <c r="B366" s="6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</row>
    <row r="367">
      <c r="A367" s="5" t="n"/>
      <c r="B367" s="6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</row>
    <row r="368">
      <c r="A368" s="5" t="n"/>
      <c r="B368" s="6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</row>
    <row r="369">
      <c r="A369" s="5" t="n"/>
      <c r="B369" s="6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</row>
    <row r="370">
      <c r="A370" s="5" t="n"/>
      <c r="B370" s="6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</row>
    <row r="371">
      <c r="A371" s="5" t="n"/>
      <c r="B371" s="6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</row>
    <row r="372">
      <c r="A372" s="5" t="n"/>
      <c r="B372" s="6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</row>
    <row r="373">
      <c r="A373" s="5" t="n"/>
      <c r="B373" s="6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</row>
    <row r="374">
      <c r="A374" s="5" t="n"/>
      <c r="B374" s="6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</row>
    <row r="375">
      <c r="A375" s="5" t="n"/>
      <c r="B375" s="6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</row>
    <row r="376">
      <c r="A376" s="5" t="n"/>
      <c r="B376" s="6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</row>
    <row r="377">
      <c r="A377" s="5" t="n"/>
      <c r="B377" s="6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</row>
    <row r="378">
      <c r="A378" s="5" t="n"/>
      <c r="B378" s="6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</row>
    <row r="379">
      <c r="A379" s="5" t="n"/>
      <c r="B379" s="6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</row>
    <row r="380">
      <c r="A380" s="5" t="n"/>
      <c r="B380" s="6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</row>
    <row r="381">
      <c r="A381" s="5" t="n"/>
      <c r="B381" s="6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</row>
    <row r="382">
      <c r="A382" s="5" t="n"/>
      <c r="B382" s="6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</row>
    <row r="383">
      <c r="A383" s="5" t="n"/>
      <c r="B383" s="6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</row>
    <row r="384">
      <c r="A384" s="5" t="n"/>
      <c r="B384" s="6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</row>
    <row r="385">
      <c r="A385" s="5" t="n"/>
      <c r="B385" s="6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</row>
    <row r="386">
      <c r="A386" s="5" t="n"/>
      <c r="B386" s="6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</row>
    <row r="387">
      <c r="A387" s="5" t="n"/>
      <c r="B387" s="6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</row>
    <row r="388">
      <c r="A388" s="5" t="n"/>
      <c r="B388" s="6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</row>
    <row r="389">
      <c r="A389" s="5" t="n"/>
      <c r="B389" s="6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</row>
    <row r="390">
      <c r="A390" s="5" t="n"/>
      <c r="B390" s="6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</row>
    <row r="391">
      <c r="A391" s="5" t="n"/>
      <c r="B391" s="6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</row>
    <row r="392">
      <c r="A392" s="5" t="n"/>
      <c r="B392" s="6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</row>
    <row r="393">
      <c r="A393" s="5" t="n"/>
      <c r="B393" s="6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</row>
    <row r="394">
      <c r="A394" s="5" t="n"/>
      <c r="B394" s="6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</row>
    <row r="395">
      <c r="A395" s="5" t="n"/>
      <c r="B395" s="6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</row>
    <row r="396">
      <c r="A396" s="5" t="n"/>
      <c r="B396" s="6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</row>
    <row r="397">
      <c r="A397" s="5" t="n"/>
      <c r="B397" s="6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</row>
    <row r="398">
      <c r="A398" s="5" t="n"/>
      <c r="B398" s="6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</row>
    <row r="399">
      <c r="A399" s="5" t="n"/>
      <c r="B399" s="6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</row>
    <row r="400">
      <c r="A400" s="5" t="n"/>
      <c r="B400" s="6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</row>
    <row r="401">
      <c r="A401" s="5" t="n"/>
      <c r="B401" s="6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</row>
    <row r="402">
      <c r="A402" s="5" t="n"/>
      <c r="B402" s="6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</row>
    <row r="403">
      <c r="A403" s="5" t="n"/>
      <c r="B403" s="6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</row>
    <row r="404">
      <c r="A404" s="5" t="n"/>
      <c r="B404" s="6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</row>
    <row r="405">
      <c r="A405" s="5" t="n"/>
      <c r="B405" s="6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</row>
    <row r="406">
      <c r="A406" s="5" t="n"/>
      <c r="B406" s="6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</row>
    <row r="407">
      <c r="A407" s="5" t="n"/>
      <c r="B407" s="6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</row>
    <row r="408">
      <c r="A408" s="5" t="n"/>
      <c r="B408" s="6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</row>
    <row r="409">
      <c r="A409" s="5" t="n"/>
      <c r="B409" s="6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</row>
    <row r="410">
      <c r="A410" s="5" t="n"/>
      <c r="B410" s="6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</row>
    <row r="411">
      <c r="A411" s="5" t="n"/>
      <c r="B411" s="6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</row>
    <row r="412">
      <c r="A412" s="5" t="n"/>
      <c r="B412" s="6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</row>
    <row r="413">
      <c r="A413" s="5" t="n"/>
      <c r="B413" s="6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</row>
    <row r="414">
      <c r="A414" s="5" t="n"/>
      <c r="B414" s="6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</row>
    <row r="415">
      <c r="A415" s="5" t="n"/>
      <c r="B415" s="6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</row>
    <row r="416">
      <c r="A416" s="5" t="n"/>
      <c r="B416" s="6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</row>
    <row r="417">
      <c r="A417" s="5" t="n"/>
      <c r="B417" s="6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</row>
    <row r="418">
      <c r="A418" s="5" t="n"/>
      <c r="B418" s="6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</row>
    <row r="419">
      <c r="A419" s="5" t="n"/>
      <c r="B419" s="6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</row>
    <row r="420">
      <c r="A420" s="5" t="n"/>
      <c r="B420" s="6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</row>
    <row r="421">
      <c r="A421" s="5" t="n"/>
      <c r="B421" s="6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</row>
    <row r="422">
      <c r="A422" s="5" t="n"/>
      <c r="B422" s="6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</row>
    <row r="423">
      <c r="A423" s="5" t="n"/>
      <c r="B423" s="6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</row>
    <row r="424">
      <c r="A424" s="5" t="n"/>
      <c r="B424" s="6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</row>
    <row r="425">
      <c r="A425" s="5" t="n"/>
      <c r="B425" s="6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</row>
    <row r="426">
      <c r="A426" s="5" t="n"/>
      <c r="B426" s="6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</row>
    <row r="427">
      <c r="A427" s="5" t="n"/>
      <c r="B427" s="6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</row>
    <row r="428">
      <c r="A428" s="5" t="n"/>
      <c r="B428" s="6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</row>
    <row r="429">
      <c r="A429" s="5" t="n"/>
      <c r="B429" s="6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</row>
    <row r="430">
      <c r="A430" s="5" t="n"/>
      <c r="B430" s="6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</row>
    <row r="431">
      <c r="A431" s="5" t="n"/>
      <c r="B431" s="6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</row>
    <row r="432">
      <c r="A432" s="5" t="n"/>
      <c r="B432" s="6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</row>
    <row r="433">
      <c r="A433" s="5" t="n"/>
      <c r="B433" s="6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</row>
    <row r="434">
      <c r="A434" s="5" t="n"/>
      <c r="B434" s="6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</row>
    <row r="435">
      <c r="A435" s="5" t="n"/>
      <c r="B435" s="6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</row>
    <row r="436">
      <c r="A436" s="5" t="n"/>
      <c r="B436" s="6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</row>
    <row r="437">
      <c r="A437" s="5" t="n"/>
      <c r="B437" s="6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</row>
    <row r="438">
      <c r="A438" s="5" t="n"/>
      <c r="B438" s="6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</row>
    <row r="439">
      <c r="A439" s="5" t="n"/>
      <c r="B439" s="6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</row>
    <row r="440">
      <c r="A440" s="5" t="n"/>
      <c r="B440" s="6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</row>
    <row r="441">
      <c r="A441" s="5" t="n"/>
      <c r="B441" s="6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</row>
    <row r="442">
      <c r="A442" s="5" t="n"/>
      <c r="B442" s="6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</row>
    <row r="443">
      <c r="A443" s="5" t="n"/>
      <c r="B443" s="6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</row>
    <row r="444">
      <c r="A444" s="5" t="n"/>
      <c r="B444" s="6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</row>
    <row r="445">
      <c r="A445" s="5" t="n"/>
      <c r="B445" s="6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</row>
    <row r="446">
      <c r="A446" s="5" t="n"/>
      <c r="B446" s="6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</row>
    <row r="447">
      <c r="A447" s="5" t="n"/>
      <c r="B447" s="6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</row>
    <row r="448">
      <c r="A448" s="5" t="n"/>
      <c r="B448" s="6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</row>
    <row r="449">
      <c r="A449" s="5" t="n"/>
      <c r="B449" s="6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</row>
    <row r="450">
      <c r="A450" s="5" t="n"/>
      <c r="B450" s="6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</row>
    <row r="451">
      <c r="A451" s="5" t="n"/>
      <c r="B451" s="6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</row>
    <row r="452">
      <c r="A452" s="5" t="n"/>
      <c r="B452" s="6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</row>
    <row r="453">
      <c r="A453" s="5" t="n"/>
      <c r="B453" s="6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</row>
    <row r="454">
      <c r="A454" s="5" t="n"/>
      <c r="B454" s="6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</row>
    <row r="455">
      <c r="A455" s="5" t="n"/>
      <c r="B455" s="6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</row>
    <row r="456">
      <c r="A456" s="5" t="n"/>
      <c r="B456" s="6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</row>
    <row r="457">
      <c r="A457" s="5" t="n"/>
      <c r="B457" s="6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</row>
    <row r="458">
      <c r="A458" s="5" t="n"/>
      <c r="B458" s="6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</row>
    <row r="459">
      <c r="A459" s="5" t="n"/>
      <c r="B459" s="6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</row>
    <row r="460">
      <c r="A460" s="5" t="n"/>
      <c r="B460" s="6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</row>
    <row r="461">
      <c r="A461" s="5" t="n"/>
      <c r="B461" s="6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</row>
    <row r="462">
      <c r="A462" s="5" t="n"/>
      <c r="B462" s="6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</row>
    <row r="463">
      <c r="A463" s="5" t="n"/>
      <c r="B463" s="6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</row>
    <row r="464">
      <c r="A464" s="5" t="n"/>
      <c r="B464" s="6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</row>
    <row r="465">
      <c r="A465" s="5" t="n"/>
      <c r="B465" s="6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</row>
    <row r="466">
      <c r="A466" s="5" t="n"/>
      <c r="B466" s="6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</row>
    <row r="467">
      <c r="A467" s="5" t="n"/>
      <c r="B467" s="6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</row>
    <row r="468">
      <c r="A468" s="5" t="n"/>
      <c r="B468" s="6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</row>
    <row r="469">
      <c r="A469" s="5" t="n"/>
      <c r="B469" s="6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</row>
    <row r="470">
      <c r="A470" s="5" t="n"/>
      <c r="B470" s="6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</row>
    <row r="471">
      <c r="A471" s="5" t="n"/>
      <c r="B471" s="6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</row>
    <row r="472">
      <c r="A472" s="5" t="n"/>
      <c r="B472" s="6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</row>
    <row r="473">
      <c r="A473" s="5" t="n"/>
      <c r="B473" s="6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</row>
    <row r="474">
      <c r="A474" s="5" t="n"/>
      <c r="B474" s="6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</row>
    <row r="475">
      <c r="A475" s="5" t="n"/>
      <c r="B475" s="6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</row>
    <row r="476">
      <c r="A476" s="5" t="n"/>
      <c r="B476" s="6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</row>
    <row r="477">
      <c r="A477" s="5" t="n"/>
      <c r="B477" s="6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</row>
    <row r="478">
      <c r="A478" s="5" t="n"/>
      <c r="B478" s="6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</row>
    <row r="479">
      <c r="A479" s="5" t="n"/>
      <c r="B479" s="6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</row>
    <row r="480">
      <c r="A480" s="5" t="n"/>
      <c r="B480" s="6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</row>
    <row r="481">
      <c r="A481" s="5" t="n"/>
      <c r="B481" s="6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</row>
    <row r="482">
      <c r="A482" s="5" t="n"/>
      <c r="B482" s="6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</row>
    <row r="483">
      <c r="A483" s="5" t="n"/>
      <c r="B483" s="6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</row>
    <row r="484">
      <c r="A484" s="5" t="n"/>
      <c r="B484" s="6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</row>
    <row r="485">
      <c r="A485" s="5" t="n"/>
      <c r="B485" s="6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</row>
    <row r="486">
      <c r="A486" s="5" t="n"/>
      <c r="B486" s="6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</row>
    <row r="487">
      <c r="A487" s="5" t="n"/>
      <c r="B487" s="6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</row>
    <row r="488">
      <c r="A488" s="5" t="n"/>
      <c r="B488" s="6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</row>
    <row r="489">
      <c r="A489" s="5" t="n"/>
      <c r="B489" s="6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</row>
    <row r="490">
      <c r="A490" s="5" t="n"/>
      <c r="B490" s="6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</row>
    <row r="491">
      <c r="A491" s="5" t="n"/>
      <c r="B491" s="6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</row>
    <row r="492">
      <c r="A492" s="5" t="n"/>
      <c r="B492" s="6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</row>
    <row r="493">
      <c r="A493" s="5" t="n"/>
      <c r="B493" s="6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</row>
    <row r="494">
      <c r="A494" s="5" t="n"/>
      <c r="B494" s="6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</row>
    <row r="495">
      <c r="A495" s="5" t="n"/>
      <c r="B495" s="6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</row>
    <row r="496">
      <c r="A496" s="5" t="n"/>
      <c r="B496" s="6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</row>
    <row r="497">
      <c r="A497" s="5" t="n"/>
      <c r="B497" s="6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</row>
    <row r="498">
      <c r="A498" s="5" t="n"/>
      <c r="B498" s="6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</row>
    <row r="499">
      <c r="A499" s="5" t="n"/>
      <c r="B499" s="6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</row>
    <row r="500">
      <c r="A500" s="5" t="n"/>
      <c r="B500" s="6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</row>
    <row r="501">
      <c r="A501" s="5" t="n"/>
      <c r="B501" s="6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</row>
    <row r="502">
      <c r="A502" s="5" t="n"/>
      <c r="B502" s="6" t="n"/>
      <c r="C502" s="5" t="n"/>
      <c r="D502" s="5" t="n"/>
      <c r="E502" s="5" t="n"/>
      <c r="F502" s="5" t="n"/>
      <c r="G502" s="5" t="n"/>
      <c r="H502" s="6" t="n"/>
      <c r="I502" s="5" t="n"/>
      <c r="J502" s="5" t="n"/>
      <c r="K502" s="5" t="n"/>
      <c r="L502" s="5" t="n"/>
    </row>
    <row r="503">
      <c r="A503" s="5" t="n"/>
      <c r="B503" s="6" t="n"/>
      <c r="C503" s="5" t="n"/>
      <c r="D503" s="5" t="n"/>
      <c r="E503" s="5" t="n"/>
      <c r="F503" s="5" t="n"/>
      <c r="G503" s="5" t="n"/>
      <c r="H503" s="6" t="n"/>
      <c r="I503" s="5" t="n"/>
      <c r="J503" s="5" t="n"/>
      <c r="K503" s="5" t="n"/>
      <c r="L503" s="5" t="n"/>
    </row>
    <row r="504">
      <c r="A504" s="5" t="n"/>
      <c r="B504" s="6" t="n"/>
      <c r="C504" s="5" t="n"/>
      <c r="D504" s="5" t="n"/>
      <c r="E504" s="5" t="n"/>
      <c r="F504" s="5" t="n"/>
      <c r="G504" s="5" t="n"/>
      <c r="H504" s="6" t="n"/>
      <c r="I504" s="5" t="n"/>
      <c r="J504" s="5" t="n"/>
      <c r="K504" s="5" t="n"/>
      <c r="L504" s="5" t="n"/>
    </row>
    <row r="505">
      <c r="A505" s="5" t="n"/>
      <c r="B505" s="6" t="n"/>
      <c r="C505" s="5" t="n"/>
      <c r="D505" s="5" t="n"/>
      <c r="E505" s="5" t="n"/>
      <c r="F505" s="5" t="n"/>
      <c r="G505" s="5" t="n"/>
      <c r="H505" s="6" t="n"/>
      <c r="I505" s="5" t="n"/>
      <c r="J505" s="5" t="n"/>
      <c r="K505" s="5" t="n"/>
      <c r="L505" s="5" t="n"/>
    </row>
    <row r="506">
      <c r="A506" s="5" t="n"/>
      <c r="B506" s="6" t="n"/>
      <c r="C506" s="5" t="n"/>
      <c r="D506" s="5" t="n"/>
      <c r="E506" s="5" t="n"/>
      <c r="F506" s="5" t="n"/>
      <c r="G506" s="5" t="n"/>
      <c r="H506" s="6" t="n"/>
      <c r="I506" s="5" t="n"/>
      <c r="J506" s="5" t="n"/>
      <c r="K506" s="5" t="n"/>
      <c r="L506" s="5" t="n"/>
    </row>
    <row r="507">
      <c r="A507" s="5" t="n"/>
      <c r="B507" s="6" t="n"/>
      <c r="C507" s="5" t="n"/>
      <c r="D507" s="5" t="n"/>
      <c r="E507" s="5" t="n"/>
      <c r="F507" s="5" t="n"/>
      <c r="G507" s="5" t="n"/>
      <c r="H507" s="6" t="n"/>
      <c r="I507" s="5" t="n"/>
      <c r="J507" s="5" t="n"/>
      <c r="K507" s="5" t="n"/>
      <c r="L507" s="5" t="n"/>
    </row>
    <row r="508">
      <c r="A508" s="5" t="n"/>
      <c r="B508" s="6" t="n"/>
      <c r="C508" s="5" t="n"/>
      <c r="D508" s="5" t="n"/>
      <c r="E508" s="5" t="n"/>
      <c r="F508" s="5" t="n"/>
      <c r="G508" s="5" t="n"/>
      <c r="H508" s="6" t="n"/>
      <c r="I508" s="5" t="n"/>
      <c r="J508" s="5" t="n"/>
      <c r="K508" s="5" t="n"/>
      <c r="L508" s="5" t="n"/>
    </row>
    <row r="509">
      <c r="A509" s="5" t="n"/>
      <c r="B509" s="6" t="n"/>
      <c r="C509" s="5" t="n"/>
      <c r="D509" s="5" t="n"/>
      <c r="E509" s="5" t="n"/>
      <c r="F509" s="5" t="n"/>
      <c r="G509" s="5" t="n"/>
      <c r="H509" s="6" t="n"/>
      <c r="I509" s="5" t="n"/>
      <c r="J509" s="5" t="n"/>
      <c r="K509" s="5" t="n"/>
      <c r="L509" s="5" t="n"/>
    </row>
    <row r="510">
      <c r="A510" s="5" t="n"/>
      <c r="B510" s="6" t="n"/>
      <c r="C510" s="5" t="n"/>
      <c r="D510" s="5" t="n"/>
      <c r="E510" s="5" t="n"/>
      <c r="F510" s="5" t="n"/>
      <c r="G510" s="5" t="n"/>
      <c r="H510" s="6" t="n"/>
      <c r="I510" s="5" t="n"/>
      <c r="J510" s="5" t="n"/>
      <c r="K510" s="5" t="n"/>
      <c r="L510" s="5" t="n"/>
    </row>
    <row r="511">
      <c r="A511" s="5" t="n"/>
      <c r="B511" s="6" t="n"/>
      <c r="C511" s="5" t="n"/>
      <c r="D511" s="5" t="n"/>
      <c r="E511" s="5" t="n"/>
      <c r="F511" s="5" t="n"/>
      <c r="G511" s="5" t="n"/>
      <c r="H511" s="6" t="n"/>
      <c r="I511" s="5" t="n"/>
      <c r="J511" s="5" t="n"/>
      <c r="K511" s="5" t="n"/>
      <c r="L511" s="5" t="n"/>
    </row>
    <row r="512">
      <c r="A512" s="5" t="n"/>
      <c r="B512" s="6" t="n"/>
      <c r="C512" s="5" t="n"/>
      <c r="D512" s="5" t="n"/>
      <c r="E512" s="5" t="n"/>
      <c r="F512" s="5" t="n"/>
      <c r="G512" s="5" t="n"/>
      <c r="H512" s="6" t="n"/>
      <c r="I512" s="5" t="n"/>
      <c r="J512" s="5" t="n"/>
      <c r="K512" s="5" t="n"/>
      <c r="L512" s="5" t="n"/>
    </row>
    <row r="513">
      <c r="A513" s="5" t="n"/>
      <c r="B513" s="6" t="n"/>
      <c r="C513" s="5" t="n"/>
      <c r="D513" s="5" t="n"/>
      <c r="E513" s="5" t="n"/>
      <c r="F513" s="5" t="n"/>
      <c r="G513" s="5" t="n"/>
      <c r="H513" s="6" t="n"/>
      <c r="I513" s="5" t="n"/>
      <c r="J513" s="5" t="n"/>
      <c r="K513" s="5" t="n"/>
      <c r="L513" s="5" t="n"/>
    </row>
    <row r="514">
      <c r="A514" s="5" t="n"/>
      <c r="B514" s="6" t="n"/>
      <c r="C514" s="5" t="n"/>
      <c r="D514" s="5" t="n"/>
      <c r="E514" s="5" t="n"/>
      <c r="F514" s="5" t="n"/>
      <c r="G514" s="5" t="n"/>
      <c r="H514" s="6" t="n"/>
      <c r="I514" s="5" t="n"/>
      <c r="J514" s="5" t="n"/>
      <c r="K514" s="5" t="n"/>
      <c r="L514" s="5" t="n"/>
    </row>
    <row r="515">
      <c r="A515" s="5" t="n"/>
      <c r="B515" s="6" t="n"/>
      <c r="C515" s="5" t="n"/>
      <c r="D515" s="5" t="n"/>
      <c r="E515" s="5" t="n"/>
      <c r="F515" s="5" t="n"/>
      <c r="G515" s="5" t="n"/>
      <c r="H515" s="6" t="n"/>
      <c r="I515" s="5" t="n"/>
      <c r="J515" s="5" t="n"/>
      <c r="K515" s="5" t="n"/>
      <c r="L515" s="5" t="n"/>
    </row>
    <row r="516">
      <c r="A516" s="5" t="n"/>
      <c r="B516" s="6" t="n"/>
      <c r="C516" s="5" t="n"/>
      <c r="D516" s="5" t="n"/>
      <c r="E516" s="5" t="n"/>
      <c r="F516" s="5" t="n"/>
      <c r="G516" s="5" t="n"/>
      <c r="H516" s="6" t="n"/>
      <c r="I516" s="5" t="n"/>
      <c r="J516" s="5" t="n"/>
      <c r="K516" s="5" t="n"/>
      <c r="L516" s="5" t="n"/>
    </row>
    <row r="517">
      <c r="A517" s="5" t="n"/>
      <c r="B517" s="6" t="n"/>
      <c r="C517" s="5" t="n"/>
      <c r="D517" s="5" t="n"/>
      <c r="E517" s="5" t="n"/>
      <c r="F517" s="5" t="n"/>
      <c r="G517" s="5" t="n"/>
      <c r="H517" s="6" t="n"/>
      <c r="I517" s="5" t="n"/>
      <c r="J517" s="5" t="n"/>
      <c r="K517" s="5" t="n"/>
      <c r="L517" s="5" t="n"/>
    </row>
    <row r="518">
      <c r="A518" s="5" t="n"/>
      <c r="B518" s="6" t="n"/>
      <c r="C518" s="5" t="n"/>
      <c r="D518" s="5" t="n"/>
      <c r="E518" s="5" t="n"/>
      <c r="F518" s="5" t="n"/>
      <c r="G518" s="5" t="n"/>
      <c r="H518" s="6" t="n"/>
      <c r="I518" s="5" t="n"/>
      <c r="J518" s="5" t="n"/>
      <c r="K518" s="5" t="n"/>
      <c r="L518" s="5" t="n"/>
    </row>
    <row r="519">
      <c r="A519" s="5" t="n"/>
      <c r="B519" s="6" t="n"/>
      <c r="C519" s="5" t="n"/>
      <c r="D519" s="5" t="n"/>
      <c r="E519" s="5" t="n"/>
      <c r="F519" s="5" t="n"/>
      <c r="G519" s="5" t="n"/>
      <c r="H519" s="6" t="n"/>
      <c r="I519" s="5" t="n"/>
      <c r="J519" s="5" t="n"/>
      <c r="K519" s="5" t="n"/>
      <c r="L519" s="5" t="n"/>
    </row>
    <row r="520">
      <c r="A520" s="5" t="n"/>
      <c r="B520" s="6" t="n"/>
      <c r="C520" s="5" t="n"/>
      <c r="D520" s="5" t="n"/>
      <c r="E520" s="5" t="n"/>
      <c r="F520" s="5" t="n"/>
      <c r="G520" s="5" t="n"/>
      <c r="H520" s="6" t="n"/>
      <c r="I520" s="5" t="n"/>
      <c r="J520" s="5" t="n"/>
      <c r="K520" s="5" t="n"/>
      <c r="L520" s="5" t="n"/>
    </row>
    <row r="521">
      <c r="A521" s="5" t="n"/>
      <c r="B521" s="6" t="n"/>
      <c r="C521" s="5" t="n"/>
      <c r="D521" s="5" t="n"/>
      <c r="E521" s="5" t="n"/>
      <c r="F521" s="5" t="n"/>
      <c r="G521" s="5" t="n"/>
      <c r="H521" s="6" t="n"/>
      <c r="I521" s="5" t="n"/>
      <c r="J521" s="5" t="n"/>
      <c r="K521" s="5" t="n"/>
      <c r="L521" s="5" t="n"/>
    </row>
    <row r="522">
      <c r="A522" s="5" t="n"/>
      <c r="B522" s="6" t="n"/>
      <c r="C522" s="5" t="n"/>
      <c r="D522" s="5" t="n"/>
      <c r="E522" s="5" t="n"/>
      <c r="F522" s="5" t="n"/>
      <c r="G522" s="5" t="n"/>
      <c r="H522" s="6" t="n"/>
      <c r="I522" s="5" t="n"/>
      <c r="J522" s="5" t="n"/>
      <c r="K522" s="5" t="n"/>
      <c r="L522" s="5" t="n"/>
    </row>
    <row r="523">
      <c r="A523" s="5" t="n"/>
      <c r="B523" s="6" t="n"/>
      <c r="C523" s="5" t="n"/>
      <c r="D523" s="5" t="n"/>
      <c r="E523" s="5" t="n"/>
      <c r="F523" s="5" t="n"/>
      <c r="G523" s="5" t="n"/>
      <c r="H523" s="6" t="n"/>
      <c r="I523" s="5" t="n"/>
      <c r="J523" s="5" t="n"/>
      <c r="K523" s="5" t="n"/>
      <c r="L523" s="5" t="n"/>
    </row>
    <row r="524">
      <c r="A524" s="5" t="n"/>
      <c r="B524" s="6" t="n"/>
      <c r="C524" s="5" t="n"/>
      <c r="D524" s="5" t="n"/>
      <c r="E524" s="5" t="n"/>
      <c r="F524" s="5" t="n"/>
      <c r="G524" s="5" t="n"/>
      <c r="H524" s="6" t="n"/>
      <c r="I524" s="5" t="n"/>
      <c r="J524" s="5" t="n"/>
      <c r="K524" s="5" t="n"/>
      <c r="L524" s="5" t="n"/>
    </row>
    <row r="525">
      <c r="A525" s="5" t="n"/>
      <c r="B525" s="6" t="n"/>
      <c r="C525" s="5" t="n"/>
      <c r="D525" s="5" t="n"/>
      <c r="E525" s="5" t="n"/>
      <c r="F525" s="5" t="n"/>
      <c r="G525" s="5" t="n"/>
      <c r="H525" s="6" t="n"/>
      <c r="I525" s="5" t="n"/>
      <c r="J525" s="5" t="n"/>
      <c r="K525" s="5" t="n"/>
      <c r="L525" s="5" t="n"/>
    </row>
    <row r="526">
      <c r="A526" s="5" t="n"/>
      <c r="B526" s="6" t="n"/>
      <c r="C526" s="5" t="n"/>
      <c r="D526" s="5" t="n"/>
      <c r="E526" s="5" t="n"/>
      <c r="F526" s="5" t="n"/>
      <c r="G526" s="5" t="n"/>
      <c r="H526" s="6" t="n"/>
      <c r="I526" s="5" t="n"/>
      <c r="J526" s="5" t="n"/>
      <c r="K526" s="5" t="n"/>
      <c r="L526" s="5" t="n"/>
    </row>
    <row r="527">
      <c r="A527" s="5" t="n"/>
      <c r="B527" s="6" t="n"/>
      <c r="C527" s="5" t="n"/>
      <c r="D527" s="5" t="n"/>
      <c r="E527" s="5" t="n"/>
      <c r="F527" s="5" t="n"/>
      <c r="G527" s="5" t="n"/>
      <c r="H527" s="6" t="n"/>
      <c r="I527" s="5" t="n"/>
      <c r="J527" s="5" t="n"/>
      <c r="K527" s="5" t="n"/>
      <c r="L527" s="5" t="n"/>
    </row>
    <row r="528">
      <c r="A528" s="5" t="n"/>
      <c r="B528" s="6" t="n"/>
      <c r="C528" s="5" t="n"/>
      <c r="D528" s="5" t="n"/>
      <c r="E528" s="5" t="n"/>
      <c r="F528" s="5" t="n"/>
      <c r="G528" s="5" t="n"/>
      <c r="H528" s="6" t="n"/>
      <c r="I528" s="5" t="n"/>
      <c r="J528" s="5" t="n"/>
      <c r="K528" s="5" t="n"/>
      <c r="L528" s="5" t="n"/>
    </row>
    <row r="529">
      <c r="A529" s="5" t="n"/>
      <c r="B529" s="6" t="n"/>
      <c r="C529" s="5" t="n"/>
      <c r="D529" s="5" t="n"/>
      <c r="E529" s="5" t="n"/>
      <c r="F529" s="5" t="n"/>
      <c r="G529" s="5" t="n"/>
      <c r="H529" s="6" t="n"/>
      <c r="I529" s="5" t="n"/>
      <c r="J529" s="5" t="n"/>
      <c r="K529" s="5" t="n"/>
      <c r="L529" s="5" t="n"/>
    </row>
    <row r="530">
      <c r="A530" s="5" t="n"/>
      <c r="B530" s="6" t="n"/>
      <c r="C530" s="5" t="n"/>
      <c r="D530" s="5" t="n"/>
      <c r="E530" s="5" t="n"/>
      <c r="F530" s="5" t="n"/>
      <c r="G530" s="5" t="n"/>
      <c r="H530" s="6" t="n"/>
      <c r="I530" s="5" t="n"/>
      <c r="J530" s="5" t="n"/>
      <c r="K530" s="5" t="n"/>
      <c r="L530" s="5" t="n"/>
    </row>
    <row r="531">
      <c r="A531" s="5" t="n"/>
      <c r="B531" s="6" t="n"/>
      <c r="C531" s="5" t="n"/>
      <c r="D531" s="5" t="n"/>
      <c r="E531" s="5" t="n"/>
      <c r="F531" s="5" t="n"/>
      <c r="G531" s="5" t="n"/>
      <c r="H531" s="6" t="n"/>
      <c r="I531" s="5" t="n"/>
      <c r="J531" s="5" t="n"/>
      <c r="K531" s="5" t="n"/>
      <c r="L531" s="5" t="n"/>
    </row>
    <row r="532">
      <c r="A532" s="5" t="n"/>
      <c r="B532" s="6" t="n"/>
      <c r="C532" s="5" t="n"/>
      <c r="D532" s="5" t="n"/>
      <c r="E532" s="5" t="n"/>
      <c r="F532" s="5" t="n"/>
      <c r="G532" s="5" t="n"/>
      <c r="H532" s="6" t="n"/>
      <c r="I532" s="5" t="n"/>
      <c r="J532" s="5" t="n"/>
      <c r="K532" s="5" t="n"/>
      <c r="L532" s="5" t="n"/>
    </row>
    <row r="533">
      <c r="A533" s="5" t="n"/>
      <c r="B533" s="6" t="n"/>
      <c r="C533" s="5" t="n"/>
      <c r="D533" s="5" t="n"/>
      <c r="E533" s="5" t="n"/>
      <c r="F533" s="5" t="n"/>
      <c r="G533" s="5" t="n"/>
      <c r="H533" s="6" t="n"/>
      <c r="I533" s="5" t="n"/>
      <c r="J533" s="5" t="n"/>
      <c r="K533" s="5" t="n"/>
      <c r="L533" s="5" t="n"/>
    </row>
    <row r="534">
      <c r="A534" s="5" t="n"/>
      <c r="B534" s="6" t="n"/>
      <c r="C534" s="5" t="n"/>
      <c r="D534" s="5" t="n"/>
      <c r="E534" s="5" t="n"/>
      <c r="F534" s="5" t="n"/>
      <c r="G534" s="5" t="n"/>
      <c r="H534" s="6" t="n"/>
      <c r="I534" s="5" t="n"/>
      <c r="J534" s="5" t="n"/>
      <c r="K534" s="5" t="n"/>
      <c r="L534" s="5" t="n"/>
    </row>
    <row r="535">
      <c r="A535" s="5" t="n"/>
      <c r="B535" s="6" t="n"/>
      <c r="C535" s="5" t="n"/>
      <c r="D535" s="5" t="n"/>
      <c r="E535" s="5" t="n"/>
      <c r="F535" s="5" t="n"/>
      <c r="G535" s="5" t="n"/>
      <c r="H535" s="6" t="n"/>
      <c r="I535" s="5" t="n"/>
      <c r="J535" s="5" t="n"/>
      <c r="K535" s="5" t="n"/>
      <c r="L535" s="5" t="n"/>
    </row>
    <row r="536">
      <c r="A536" s="5" t="n"/>
      <c r="B536" s="6" t="n"/>
      <c r="C536" s="5" t="n"/>
      <c r="D536" s="5" t="n"/>
      <c r="E536" s="5" t="n"/>
      <c r="F536" s="5" t="n"/>
      <c r="G536" s="5" t="n"/>
      <c r="H536" s="6" t="n"/>
      <c r="I536" s="5" t="n"/>
      <c r="J536" s="5" t="n"/>
      <c r="K536" s="5" t="n"/>
      <c r="L536" s="5" t="n"/>
    </row>
    <row r="537">
      <c r="A537" s="5" t="n"/>
      <c r="B537" s="6" t="n"/>
      <c r="C537" s="5" t="n"/>
      <c r="D537" s="5" t="n"/>
      <c r="E537" s="5" t="n"/>
      <c r="F537" s="5" t="n"/>
      <c r="G537" s="5" t="n"/>
      <c r="H537" s="6" t="n"/>
      <c r="I537" s="5" t="n"/>
      <c r="J537" s="5" t="n"/>
      <c r="K537" s="5" t="n"/>
      <c r="L537" s="5" t="n"/>
    </row>
    <row r="538">
      <c r="A538" s="5" t="n"/>
      <c r="B538" s="6" t="n"/>
      <c r="C538" s="5" t="n"/>
      <c r="D538" s="5" t="n"/>
      <c r="E538" s="5" t="n"/>
      <c r="F538" s="5" t="n"/>
      <c r="G538" s="5" t="n"/>
      <c r="H538" s="6" t="n"/>
      <c r="I538" s="5" t="n"/>
      <c r="J538" s="5" t="n"/>
      <c r="K538" s="5" t="n"/>
      <c r="L538" s="5" t="n"/>
    </row>
    <row r="539">
      <c r="A539" s="5" t="n"/>
      <c r="B539" s="6" t="n"/>
      <c r="C539" s="5" t="n"/>
      <c r="D539" s="5" t="n"/>
      <c r="E539" s="5" t="n"/>
      <c r="F539" s="5" t="n"/>
      <c r="G539" s="5" t="n"/>
      <c r="H539" s="6" t="n"/>
      <c r="I539" s="5" t="n"/>
      <c r="J539" s="5" t="n"/>
      <c r="K539" s="5" t="n"/>
      <c r="L539" s="5" t="n"/>
    </row>
    <row r="540">
      <c r="A540" s="5" t="n"/>
      <c r="B540" s="6" t="n"/>
      <c r="C540" s="5" t="n"/>
      <c r="D540" s="5" t="n"/>
      <c r="E540" s="5" t="n"/>
      <c r="F540" s="5" t="n"/>
      <c r="G540" s="5" t="n"/>
      <c r="H540" s="6" t="n"/>
      <c r="I540" s="5" t="n"/>
      <c r="J540" s="5" t="n"/>
      <c r="K540" s="5" t="n"/>
      <c r="L540" s="5" t="n"/>
    </row>
    <row r="541">
      <c r="A541" s="5" t="n"/>
      <c r="B541" s="6" t="n"/>
      <c r="C541" s="5" t="n"/>
      <c r="D541" s="5" t="n"/>
      <c r="E541" s="5" t="n"/>
      <c r="F541" s="5" t="n"/>
      <c r="G541" s="5" t="n"/>
      <c r="H541" s="6" t="n"/>
      <c r="I541" s="5" t="n"/>
      <c r="J541" s="5" t="n"/>
      <c r="K541" s="5" t="n"/>
      <c r="L541" s="5" t="n"/>
    </row>
    <row r="542">
      <c r="A542" s="5" t="n"/>
      <c r="B542" s="6" t="n"/>
      <c r="C542" s="5" t="n"/>
      <c r="D542" s="5" t="n"/>
      <c r="E542" s="5" t="n"/>
      <c r="F542" s="5" t="n"/>
      <c r="G542" s="5" t="n"/>
      <c r="H542" s="6" t="n"/>
      <c r="I542" s="5" t="n"/>
      <c r="J542" s="5" t="n"/>
      <c r="K542" s="5" t="n"/>
      <c r="L542" s="5" t="n"/>
    </row>
    <row r="543">
      <c r="A543" s="5" t="n"/>
      <c r="B543" s="6" t="n"/>
      <c r="C543" s="5" t="n"/>
      <c r="D543" s="5" t="n"/>
      <c r="E543" s="5" t="n"/>
      <c r="F543" s="5" t="n"/>
      <c r="G543" s="5" t="n"/>
      <c r="H543" s="6" t="n"/>
      <c r="I543" s="5" t="n"/>
      <c r="J543" s="5" t="n"/>
      <c r="K543" s="5" t="n"/>
      <c r="L543" s="5" t="n"/>
    </row>
    <row r="544">
      <c r="A544" s="5" t="n"/>
      <c r="B544" s="6" t="n"/>
      <c r="C544" s="5" t="n"/>
      <c r="D544" s="5" t="n"/>
      <c r="E544" s="5" t="n"/>
      <c r="F544" s="5" t="n"/>
      <c r="G544" s="5" t="n"/>
      <c r="H544" s="6" t="n"/>
      <c r="I544" s="5" t="n"/>
      <c r="J544" s="5" t="n"/>
      <c r="K544" s="5" t="n"/>
      <c r="L544" s="5" t="n"/>
    </row>
    <row r="545">
      <c r="A545" s="5" t="n"/>
      <c r="B545" s="6" t="n"/>
      <c r="C545" s="5" t="n"/>
      <c r="D545" s="5" t="n"/>
      <c r="E545" s="5" t="n"/>
      <c r="F545" s="5" t="n"/>
      <c r="G545" s="5" t="n"/>
      <c r="H545" s="6" t="n"/>
      <c r="I545" s="5" t="n"/>
      <c r="J545" s="5" t="n"/>
      <c r="K545" s="5" t="n"/>
      <c r="L545" s="5" t="n"/>
    </row>
    <row r="546">
      <c r="A546" s="5" t="n"/>
      <c r="B546" s="6" t="n"/>
      <c r="C546" s="5" t="n"/>
      <c r="D546" s="5" t="n"/>
      <c r="E546" s="5" t="n"/>
      <c r="F546" s="5" t="n"/>
      <c r="G546" s="5" t="n"/>
      <c r="H546" s="6" t="n"/>
      <c r="I546" s="5" t="n"/>
      <c r="J546" s="5" t="n"/>
      <c r="K546" s="5" t="n"/>
      <c r="L546" s="5" t="n"/>
    </row>
    <row r="547">
      <c r="A547" s="5" t="n"/>
      <c r="B547" s="6" t="n"/>
      <c r="C547" s="5" t="n"/>
      <c r="D547" s="5" t="n"/>
      <c r="E547" s="5" t="n"/>
      <c r="F547" s="5" t="n"/>
      <c r="G547" s="5" t="n"/>
      <c r="H547" s="6" t="n"/>
      <c r="I547" s="5" t="n"/>
      <c r="J547" s="5" t="n"/>
      <c r="K547" s="5" t="n"/>
      <c r="L547" s="5" t="n"/>
    </row>
    <row r="548">
      <c r="A548" s="5" t="n"/>
      <c r="B548" s="6" t="n"/>
      <c r="C548" s="5" t="n"/>
      <c r="D548" s="5" t="n"/>
      <c r="E548" s="5" t="n"/>
      <c r="F548" s="5" t="n"/>
      <c r="G548" s="5" t="n"/>
      <c r="H548" s="6" t="n"/>
      <c r="I548" s="5" t="n"/>
      <c r="J548" s="5" t="n"/>
      <c r="K548" s="5" t="n"/>
      <c r="L548" s="5" t="n"/>
    </row>
    <row r="549">
      <c r="A549" s="5" t="n"/>
      <c r="B549" s="6" t="n"/>
      <c r="C549" s="5" t="n"/>
      <c r="D549" s="5" t="n"/>
      <c r="E549" s="5" t="n"/>
      <c r="F549" s="5" t="n"/>
      <c r="G549" s="5" t="n"/>
      <c r="H549" s="6" t="n"/>
      <c r="I549" s="5" t="n"/>
      <c r="J549" s="5" t="n"/>
      <c r="K549" s="5" t="n"/>
      <c r="L549" s="5" t="n"/>
    </row>
    <row r="550">
      <c r="A550" s="5" t="n"/>
      <c r="B550" s="6" t="n"/>
      <c r="C550" s="5" t="n"/>
      <c r="D550" s="5" t="n"/>
      <c r="E550" s="5" t="n"/>
      <c r="F550" s="5" t="n"/>
      <c r="G550" s="5" t="n"/>
      <c r="H550" s="6" t="n"/>
      <c r="I550" s="5" t="n"/>
      <c r="J550" s="5" t="n"/>
      <c r="K550" s="5" t="n"/>
      <c r="L550" s="5" t="n"/>
    </row>
    <row r="551">
      <c r="A551" s="5" t="n"/>
      <c r="B551" s="6" t="n"/>
      <c r="C551" s="5" t="n"/>
      <c r="D551" s="5" t="n"/>
      <c r="E551" s="5" t="n"/>
      <c r="F551" s="5" t="n"/>
      <c r="G551" s="5" t="n"/>
      <c r="H551" s="6" t="n"/>
      <c r="I551" s="5" t="n"/>
      <c r="J551" s="5" t="n"/>
      <c r="K551" s="5" t="n"/>
      <c r="L551" s="5" t="n"/>
    </row>
    <row r="552">
      <c r="A552" s="5" t="n"/>
      <c r="B552" s="6" t="n"/>
      <c r="C552" s="5" t="n"/>
      <c r="D552" s="5" t="n"/>
      <c r="E552" s="5" t="n"/>
      <c r="F552" s="5" t="n"/>
      <c r="G552" s="5" t="n"/>
      <c r="H552" s="6" t="n"/>
      <c r="I552" s="5" t="n"/>
      <c r="J552" s="5" t="n"/>
      <c r="K552" s="5" t="n"/>
      <c r="L552" s="5" t="n"/>
    </row>
    <row r="553">
      <c r="A553" s="5" t="n"/>
      <c r="B553" s="6" t="n"/>
      <c r="C553" s="5" t="n"/>
      <c r="D553" s="5" t="n"/>
      <c r="E553" s="5" t="n"/>
      <c r="F553" s="5" t="n"/>
      <c r="G553" s="5" t="n"/>
      <c r="H553" s="6" t="n"/>
      <c r="I553" s="5" t="n"/>
      <c r="J553" s="5" t="n"/>
      <c r="K553" s="5" t="n"/>
      <c r="L553" s="5" t="n"/>
    </row>
    <row r="554">
      <c r="A554" s="5" t="n"/>
      <c r="B554" s="6" t="n"/>
      <c r="C554" s="5" t="n"/>
      <c r="D554" s="5" t="n"/>
      <c r="E554" s="5" t="n"/>
      <c r="F554" s="5" t="n"/>
      <c r="G554" s="5" t="n"/>
      <c r="H554" s="6" t="n"/>
      <c r="I554" s="5" t="n"/>
      <c r="J554" s="5" t="n"/>
      <c r="K554" s="5" t="n"/>
      <c r="L554" s="5" t="n"/>
    </row>
    <row r="555">
      <c r="A555" s="5" t="n"/>
      <c r="B555" s="6" t="n"/>
      <c r="C555" s="5" t="n"/>
      <c r="D555" s="5" t="n"/>
      <c r="E555" s="5" t="n"/>
      <c r="F555" s="5" t="n"/>
      <c r="G555" s="5" t="n"/>
      <c r="H555" s="6" t="n"/>
      <c r="I555" s="5" t="n"/>
      <c r="J555" s="5" t="n"/>
      <c r="K555" s="5" t="n"/>
      <c r="L555" s="5" t="n"/>
    </row>
    <row r="556">
      <c r="A556" s="5" t="n"/>
      <c r="B556" s="6" t="n"/>
      <c r="C556" s="5" t="n"/>
      <c r="D556" s="5" t="n"/>
      <c r="E556" s="5" t="n"/>
      <c r="F556" s="5" t="n"/>
      <c r="G556" s="5" t="n"/>
      <c r="H556" s="6" t="n"/>
      <c r="I556" s="5" t="n"/>
      <c r="J556" s="5" t="n"/>
      <c r="K556" s="5" t="n"/>
      <c r="L556" s="5" t="n"/>
    </row>
    <row r="557">
      <c r="A557" s="5" t="n"/>
      <c r="B557" s="6" t="n"/>
      <c r="C557" s="5" t="n"/>
      <c r="D557" s="5" t="n"/>
      <c r="E557" s="5" t="n"/>
      <c r="F557" s="5" t="n"/>
      <c r="G557" s="5" t="n"/>
      <c r="H557" s="6" t="n"/>
      <c r="I557" s="5" t="n"/>
      <c r="J557" s="5" t="n"/>
      <c r="K557" s="5" t="n"/>
      <c r="L557" s="5" t="n"/>
    </row>
    <row r="558">
      <c r="A558" s="5" t="n"/>
      <c r="B558" s="6" t="n"/>
      <c r="C558" s="5" t="n"/>
      <c r="D558" s="5" t="n"/>
      <c r="E558" s="5" t="n"/>
      <c r="F558" s="5" t="n"/>
      <c r="G558" s="5" t="n"/>
      <c r="H558" s="6" t="n"/>
      <c r="I558" s="5" t="n"/>
      <c r="J558" s="5" t="n"/>
      <c r="K558" s="5" t="n"/>
      <c r="L558" s="5" t="n"/>
    </row>
    <row r="559">
      <c r="A559" s="5" t="n"/>
      <c r="B559" s="6" t="n"/>
      <c r="C559" s="5" t="n"/>
      <c r="D559" s="5" t="n"/>
      <c r="E559" s="5" t="n"/>
      <c r="F559" s="5" t="n"/>
      <c r="G559" s="5" t="n"/>
      <c r="H559" s="6" t="n"/>
      <c r="I559" s="5" t="n"/>
      <c r="J559" s="5" t="n"/>
      <c r="K559" s="5" t="n"/>
      <c r="L559" s="5" t="n"/>
    </row>
    <row r="560">
      <c r="A560" s="5" t="n"/>
      <c r="B560" s="6" t="n"/>
      <c r="C560" s="5" t="n"/>
      <c r="D560" s="5" t="n"/>
      <c r="E560" s="5" t="n"/>
      <c r="F560" s="5" t="n"/>
      <c r="G560" s="5" t="n"/>
      <c r="H560" s="6" t="n"/>
      <c r="I560" s="5" t="n"/>
      <c r="J560" s="5" t="n"/>
      <c r="K560" s="5" t="n"/>
      <c r="L560" s="5" t="n"/>
    </row>
    <row r="561">
      <c r="A561" s="5" t="n"/>
      <c r="B561" s="6" t="n"/>
      <c r="C561" s="5" t="n"/>
      <c r="D561" s="5" t="n"/>
      <c r="E561" s="5" t="n"/>
      <c r="F561" s="5" t="n"/>
      <c r="G561" s="5" t="n"/>
      <c r="H561" s="6" t="n"/>
      <c r="I561" s="5" t="n"/>
      <c r="J561" s="5" t="n"/>
      <c r="K561" s="5" t="n"/>
      <c r="L561" s="5" t="n"/>
    </row>
    <row r="562">
      <c r="A562" s="5" t="n"/>
      <c r="B562" s="6" t="n"/>
      <c r="C562" s="5" t="n"/>
      <c r="D562" s="5" t="n"/>
      <c r="E562" s="5" t="n"/>
      <c r="F562" s="5" t="n"/>
      <c r="G562" s="5" t="n"/>
      <c r="H562" s="6" t="n"/>
      <c r="I562" s="5" t="n"/>
      <c r="J562" s="5" t="n"/>
      <c r="K562" s="5" t="n"/>
      <c r="L562" s="5" t="n"/>
    </row>
    <row r="563">
      <c r="A563" s="5" t="n"/>
      <c r="B563" s="6" t="n"/>
      <c r="C563" s="5" t="n"/>
      <c r="D563" s="5" t="n"/>
      <c r="E563" s="5" t="n"/>
      <c r="F563" s="5" t="n"/>
      <c r="G563" s="5" t="n"/>
      <c r="H563" s="6" t="n"/>
      <c r="I563" s="5" t="n"/>
      <c r="J563" s="5" t="n"/>
      <c r="K563" s="5" t="n"/>
      <c r="L563" s="5" t="n"/>
    </row>
    <row r="564">
      <c r="A564" s="5" t="n"/>
      <c r="B564" s="6" t="n"/>
      <c r="C564" s="5" t="n"/>
      <c r="D564" s="5" t="n"/>
      <c r="E564" s="5" t="n"/>
      <c r="F564" s="5" t="n"/>
      <c r="G564" s="5" t="n"/>
      <c r="H564" s="6" t="n"/>
      <c r="I564" s="5" t="n"/>
      <c r="J564" s="5" t="n"/>
      <c r="K564" s="5" t="n"/>
      <c r="L564" s="5" t="n"/>
    </row>
    <row r="565">
      <c r="A565" s="5" t="n"/>
      <c r="B565" s="6" t="n"/>
      <c r="C565" s="5" t="n"/>
      <c r="D565" s="5" t="n"/>
      <c r="E565" s="5" t="n"/>
      <c r="F565" s="5" t="n"/>
      <c r="G565" s="5" t="n"/>
      <c r="H565" s="6" t="n"/>
      <c r="I565" s="5" t="n"/>
      <c r="J565" s="5" t="n"/>
      <c r="K565" s="5" t="n"/>
      <c r="L565" s="5" t="n"/>
    </row>
    <row r="566">
      <c r="A566" s="5" t="n"/>
      <c r="B566" s="6" t="n"/>
      <c r="C566" s="5" t="n"/>
      <c r="D566" s="5" t="n"/>
      <c r="E566" s="5" t="n"/>
      <c r="F566" s="5" t="n"/>
      <c r="G566" s="5" t="n"/>
      <c r="H566" s="6" t="n"/>
      <c r="I566" s="5" t="n"/>
      <c r="J566" s="5" t="n"/>
      <c r="K566" s="5" t="n"/>
      <c r="L566" s="5" t="n"/>
    </row>
    <row r="567">
      <c r="A567" s="5" t="n"/>
      <c r="B567" s="6" t="n"/>
      <c r="C567" s="5" t="n"/>
      <c r="D567" s="5" t="n"/>
      <c r="E567" s="5" t="n"/>
      <c r="F567" s="5" t="n"/>
      <c r="G567" s="5" t="n"/>
      <c r="H567" s="6" t="n"/>
      <c r="I567" s="5" t="n"/>
      <c r="J567" s="5" t="n"/>
      <c r="K567" s="5" t="n"/>
      <c r="L567" s="5" t="n"/>
    </row>
    <row r="568">
      <c r="A568" s="5" t="n"/>
      <c r="B568" s="6" t="n"/>
      <c r="C568" s="5" t="n"/>
      <c r="D568" s="5" t="n"/>
      <c r="E568" s="5" t="n"/>
      <c r="F568" s="5" t="n"/>
      <c r="G568" s="5" t="n"/>
      <c r="H568" s="6" t="n"/>
      <c r="I568" s="5" t="n"/>
      <c r="J568" s="5" t="n"/>
      <c r="K568" s="5" t="n"/>
      <c r="L568" s="5" t="n"/>
    </row>
    <row r="569">
      <c r="A569" s="5" t="n"/>
      <c r="B569" s="6" t="n"/>
      <c r="C569" s="5" t="n"/>
      <c r="D569" s="5" t="n"/>
      <c r="E569" s="5" t="n"/>
      <c r="F569" s="5" t="n"/>
      <c r="G569" s="5" t="n"/>
      <c r="H569" s="6" t="n"/>
      <c r="I569" s="5" t="n"/>
      <c r="J569" s="5" t="n"/>
      <c r="K569" s="5" t="n"/>
      <c r="L569" s="5" t="n"/>
    </row>
    <row r="570">
      <c r="A570" s="5" t="n"/>
      <c r="B570" s="6" t="n"/>
      <c r="C570" s="5" t="n"/>
      <c r="D570" s="5" t="n"/>
      <c r="E570" s="5" t="n"/>
      <c r="F570" s="5" t="n"/>
      <c r="G570" s="5" t="n"/>
      <c r="H570" s="6" t="n"/>
      <c r="I570" s="5" t="n"/>
      <c r="J570" s="5" t="n"/>
      <c r="K570" s="5" t="n"/>
      <c r="L570" s="5" t="n"/>
    </row>
    <row r="571">
      <c r="A571" s="5" t="n"/>
      <c r="B571" s="6" t="n"/>
      <c r="C571" s="5" t="n"/>
      <c r="D571" s="5" t="n"/>
      <c r="E571" s="5" t="n"/>
      <c r="F571" s="5" t="n"/>
      <c r="G571" s="5" t="n"/>
      <c r="H571" s="6" t="n"/>
      <c r="I571" s="5" t="n"/>
      <c r="J571" s="5" t="n"/>
      <c r="K571" s="5" t="n"/>
      <c r="L571" s="5" t="n"/>
    </row>
    <row r="572">
      <c r="A572" s="5" t="n"/>
      <c r="B572" s="6" t="n"/>
      <c r="C572" s="5" t="n"/>
      <c r="D572" s="5" t="n"/>
      <c r="E572" s="5" t="n"/>
      <c r="F572" s="5" t="n"/>
      <c r="G572" s="5" t="n"/>
      <c r="H572" s="6" t="n"/>
      <c r="I572" s="5" t="n"/>
      <c r="J572" s="5" t="n"/>
      <c r="K572" s="5" t="n"/>
      <c r="L572" s="5" t="n"/>
    </row>
    <row r="573">
      <c r="A573" s="5" t="n"/>
      <c r="B573" s="6" t="n"/>
      <c r="C573" s="5" t="n"/>
      <c r="D573" s="5" t="n"/>
      <c r="E573" s="5" t="n"/>
      <c r="F573" s="5" t="n"/>
      <c r="G573" s="5" t="n"/>
      <c r="H573" s="6" t="n"/>
      <c r="I573" s="5" t="n"/>
      <c r="J573" s="5" t="n"/>
      <c r="K573" s="5" t="n"/>
      <c r="L573" s="5" t="n"/>
    </row>
    <row r="574">
      <c r="A574" s="5" t="n"/>
      <c r="B574" s="6" t="n"/>
      <c r="C574" s="5" t="n"/>
      <c r="D574" s="5" t="n"/>
      <c r="E574" s="5" t="n"/>
      <c r="F574" s="5" t="n"/>
      <c r="G574" s="5" t="n"/>
      <c r="H574" s="6" t="n"/>
      <c r="I574" s="5" t="n"/>
      <c r="J574" s="5" t="n"/>
      <c r="K574" s="5" t="n"/>
      <c r="L574" s="5" t="n"/>
    </row>
    <row r="575">
      <c r="A575" s="5" t="n"/>
      <c r="B575" s="6" t="n"/>
      <c r="C575" s="5" t="n"/>
      <c r="D575" s="5" t="n"/>
      <c r="E575" s="5" t="n"/>
      <c r="F575" s="5" t="n"/>
      <c r="G575" s="5" t="n"/>
      <c r="H575" s="6" t="n"/>
      <c r="I575" s="5" t="n"/>
      <c r="J575" s="5" t="n"/>
      <c r="K575" s="5" t="n"/>
      <c r="L575" s="5" t="n"/>
    </row>
    <row r="576">
      <c r="A576" s="5" t="n"/>
      <c r="B576" s="6" t="n"/>
      <c r="C576" s="5" t="n"/>
      <c r="D576" s="5" t="n"/>
      <c r="E576" s="5" t="n"/>
      <c r="F576" s="5" t="n"/>
      <c r="G576" s="5" t="n"/>
      <c r="H576" s="6" t="n"/>
      <c r="I576" s="5" t="n"/>
      <c r="J576" s="5" t="n"/>
      <c r="K576" s="5" t="n"/>
      <c r="L576" s="5" t="n"/>
    </row>
    <row r="577">
      <c r="A577" s="5" t="n"/>
      <c r="B577" s="6" t="n"/>
      <c r="C577" s="5" t="n"/>
      <c r="D577" s="5" t="n"/>
      <c r="E577" s="5" t="n"/>
      <c r="F577" s="5" t="n"/>
      <c r="G577" s="5" t="n"/>
      <c r="H577" s="6" t="n"/>
      <c r="I577" s="5" t="n"/>
      <c r="J577" s="5" t="n"/>
      <c r="K577" s="5" t="n"/>
      <c r="L577" s="5" t="n"/>
    </row>
    <row r="578">
      <c r="A578" s="5" t="n"/>
      <c r="B578" s="6" t="n"/>
      <c r="C578" s="5" t="n"/>
      <c r="D578" s="5" t="n"/>
      <c r="E578" s="5" t="n"/>
      <c r="F578" s="5" t="n"/>
      <c r="G578" s="5" t="n"/>
      <c r="H578" s="6" t="n"/>
      <c r="I578" s="5" t="n"/>
      <c r="J578" s="5" t="n"/>
      <c r="K578" s="5" t="n"/>
      <c r="L578" s="5" t="n"/>
    </row>
    <row r="579">
      <c r="A579" s="5" t="n"/>
      <c r="B579" s="6" t="n"/>
      <c r="C579" s="5" t="n"/>
      <c r="D579" s="5" t="n"/>
      <c r="E579" s="5" t="n"/>
      <c r="F579" s="5" t="n"/>
      <c r="G579" s="5" t="n"/>
      <c r="H579" s="6" t="n"/>
      <c r="I579" s="5" t="n"/>
      <c r="J579" s="5" t="n"/>
      <c r="K579" s="5" t="n"/>
      <c r="L579" s="5" t="n"/>
    </row>
    <row r="580">
      <c r="A580" s="5" t="n"/>
      <c r="B580" s="6" t="n"/>
      <c r="C580" s="5" t="n"/>
      <c r="D580" s="5" t="n"/>
      <c r="E580" s="5" t="n"/>
      <c r="F580" s="5" t="n"/>
      <c r="G580" s="5" t="n"/>
      <c r="H580" s="6" t="n"/>
      <c r="I580" s="5" t="n"/>
      <c r="J580" s="5" t="n"/>
      <c r="K580" s="5" t="n"/>
      <c r="L580" s="5" t="n"/>
    </row>
    <row r="581">
      <c r="A581" s="5" t="n"/>
      <c r="B581" s="6" t="n"/>
      <c r="C581" s="5" t="n"/>
      <c r="D581" s="5" t="n"/>
      <c r="E581" s="5" t="n"/>
      <c r="F581" s="5" t="n"/>
      <c r="G581" s="5" t="n"/>
      <c r="H581" s="6" t="n"/>
      <c r="I581" s="5" t="n"/>
      <c r="J581" s="5" t="n"/>
      <c r="K581" s="5" t="n"/>
      <c r="L581" s="5" t="n"/>
    </row>
    <row r="582">
      <c r="A582" s="5" t="n"/>
      <c r="B582" s="6" t="n"/>
      <c r="C582" s="5" t="n"/>
      <c r="D582" s="5" t="n"/>
      <c r="E582" s="5" t="n"/>
      <c r="F582" s="5" t="n"/>
      <c r="G582" s="5" t="n"/>
      <c r="H582" s="6" t="n"/>
      <c r="I582" s="5" t="n"/>
      <c r="J582" s="5" t="n"/>
      <c r="K582" s="5" t="n"/>
      <c r="L582" s="5" t="n"/>
    </row>
    <row r="583">
      <c r="A583" s="5" t="n"/>
      <c r="B583" s="6" t="n"/>
      <c r="C583" s="5" t="n"/>
      <c r="D583" s="5" t="n"/>
      <c r="E583" s="5" t="n"/>
      <c r="F583" s="5" t="n"/>
      <c r="G583" s="5" t="n"/>
      <c r="H583" s="6" t="n"/>
      <c r="I583" s="5" t="n"/>
      <c r="J583" s="5" t="n"/>
      <c r="K583" s="5" t="n"/>
      <c r="L583" s="5" t="n"/>
    </row>
    <row r="584">
      <c r="A584" s="5" t="n"/>
      <c r="B584" s="6" t="n"/>
      <c r="C584" s="5" t="n"/>
      <c r="D584" s="5" t="n"/>
      <c r="E584" s="5" t="n"/>
      <c r="F584" s="5" t="n"/>
      <c r="G584" s="5" t="n"/>
      <c r="H584" s="6" t="n"/>
      <c r="I584" s="5" t="n"/>
      <c r="J584" s="5" t="n"/>
      <c r="K584" s="5" t="n"/>
      <c r="L584" s="5" t="n"/>
    </row>
    <row r="585">
      <c r="A585" s="5" t="n"/>
      <c r="B585" s="6" t="n"/>
      <c r="C585" s="5" t="n"/>
      <c r="D585" s="5" t="n"/>
      <c r="E585" s="5" t="n"/>
      <c r="F585" s="5" t="n"/>
      <c r="G585" s="5" t="n"/>
      <c r="H585" s="6" t="n"/>
      <c r="I585" s="5" t="n"/>
      <c r="J585" s="5" t="n"/>
      <c r="K585" s="5" t="n"/>
      <c r="L585" s="5" t="n"/>
    </row>
    <row r="586">
      <c r="A586" s="5" t="n"/>
      <c r="B586" s="6" t="n"/>
      <c r="C586" s="5" t="n"/>
      <c r="D586" s="5" t="n"/>
      <c r="E586" s="5" t="n"/>
      <c r="F586" s="5" t="n"/>
      <c r="G586" s="5" t="n"/>
      <c r="H586" s="6" t="n"/>
      <c r="I586" s="5" t="n"/>
      <c r="J586" s="5" t="n"/>
      <c r="K586" s="5" t="n"/>
      <c r="L586" s="5" t="n"/>
    </row>
    <row r="587">
      <c r="A587" s="5" t="n"/>
      <c r="B587" s="6" t="n"/>
      <c r="C587" s="5" t="n"/>
      <c r="D587" s="5" t="n"/>
      <c r="E587" s="5" t="n"/>
      <c r="F587" s="5" t="n"/>
      <c r="G587" s="5" t="n"/>
      <c r="H587" s="6" t="n"/>
      <c r="I587" s="5" t="n"/>
      <c r="J587" s="5" t="n"/>
      <c r="K587" s="5" t="n"/>
      <c r="L587" s="5" t="n"/>
    </row>
    <row r="588">
      <c r="A588" s="5" t="n"/>
      <c r="B588" s="6" t="n"/>
      <c r="C588" s="5" t="n"/>
      <c r="D588" s="5" t="n"/>
      <c r="E588" s="5" t="n"/>
      <c r="F588" s="5" t="n"/>
      <c r="G588" s="5" t="n"/>
      <c r="H588" s="6" t="n"/>
      <c r="I588" s="5" t="n"/>
      <c r="J588" s="5" t="n"/>
      <c r="K588" s="5" t="n"/>
      <c r="L588" s="5" t="n"/>
    </row>
    <row r="589">
      <c r="A589" s="5" t="n"/>
      <c r="B589" s="6" t="n"/>
      <c r="C589" s="5" t="n"/>
      <c r="D589" s="5" t="n"/>
      <c r="E589" s="5" t="n"/>
      <c r="F589" s="5" t="n"/>
      <c r="G589" s="5" t="n"/>
      <c r="H589" s="6" t="n"/>
      <c r="I589" s="5" t="n"/>
      <c r="J589" s="5" t="n"/>
      <c r="K589" s="5" t="n"/>
      <c r="L589" s="5" t="n"/>
    </row>
    <row r="590">
      <c r="A590" s="5" t="n"/>
      <c r="B590" s="6" t="n"/>
      <c r="C590" s="5" t="n"/>
      <c r="D590" s="5" t="n"/>
      <c r="E590" s="5" t="n"/>
      <c r="F590" s="5" t="n"/>
      <c r="G590" s="5" t="n"/>
      <c r="H590" s="6" t="n"/>
      <c r="I590" s="5" t="n"/>
      <c r="J590" s="5" t="n"/>
      <c r="K590" s="5" t="n"/>
      <c r="L590" s="5" t="n"/>
    </row>
    <row r="591">
      <c r="A591" s="5" t="n"/>
      <c r="B591" s="6" t="n"/>
      <c r="C591" s="5" t="n"/>
      <c r="D591" s="5" t="n"/>
      <c r="E591" s="5" t="n"/>
      <c r="F591" s="5" t="n"/>
      <c r="G591" s="5" t="n"/>
      <c r="H591" s="6" t="n"/>
      <c r="I591" s="5" t="n"/>
      <c r="J591" s="5" t="n"/>
      <c r="K591" s="5" t="n"/>
      <c r="L591" s="5" t="n"/>
    </row>
    <row r="592">
      <c r="A592" s="5" t="n"/>
      <c r="B592" s="6" t="n"/>
      <c r="C592" s="5" t="n"/>
      <c r="D592" s="5" t="n"/>
      <c r="E592" s="5" t="n"/>
      <c r="F592" s="5" t="n"/>
      <c r="G592" s="5" t="n"/>
      <c r="H592" s="6" t="n"/>
      <c r="I592" s="5" t="n"/>
      <c r="J592" s="5" t="n"/>
      <c r="K592" s="5" t="n"/>
      <c r="L592" s="5" t="n"/>
    </row>
    <row r="593">
      <c r="A593" s="5" t="n"/>
      <c r="B593" s="6" t="n"/>
      <c r="C593" s="5" t="n"/>
      <c r="D593" s="5" t="n"/>
      <c r="E593" s="5" t="n"/>
      <c r="F593" s="5" t="n"/>
      <c r="G593" s="5" t="n"/>
      <c r="H593" s="6" t="n"/>
      <c r="I593" s="5" t="n"/>
      <c r="J593" s="5" t="n"/>
      <c r="K593" s="5" t="n"/>
      <c r="L593" s="5" t="n"/>
    </row>
    <row r="594">
      <c r="A594" s="5" t="n"/>
      <c r="B594" s="6" t="n"/>
      <c r="C594" s="5" t="n"/>
      <c r="D594" s="5" t="n"/>
      <c r="E594" s="5" t="n"/>
      <c r="F594" s="5" t="n"/>
      <c r="G594" s="5" t="n"/>
      <c r="H594" s="6" t="n"/>
      <c r="I594" s="5" t="n"/>
      <c r="J594" s="5" t="n"/>
      <c r="K594" s="5" t="n"/>
      <c r="L594" s="5" t="n"/>
    </row>
    <row r="595">
      <c r="A595" s="5" t="n"/>
      <c r="B595" s="6" t="n"/>
      <c r="C595" s="5" t="n"/>
      <c r="D595" s="5" t="n"/>
      <c r="E595" s="5" t="n"/>
      <c r="F595" s="5" t="n"/>
      <c r="G595" s="5" t="n"/>
      <c r="H595" s="6" t="n"/>
      <c r="I595" s="5" t="n"/>
      <c r="J595" s="5" t="n"/>
      <c r="K595" s="5" t="n"/>
      <c r="L595" s="5" t="n"/>
    </row>
    <row r="596">
      <c r="A596" s="5" t="n"/>
      <c r="B596" s="6" t="n"/>
      <c r="C596" s="5" t="n"/>
      <c r="D596" s="5" t="n"/>
      <c r="E596" s="5" t="n"/>
      <c r="F596" s="5" t="n"/>
      <c r="G596" s="5" t="n"/>
      <c r="H596" s="6" t="n"/>
      <c r="I596" s="5" t="n"/>
      <c r="J596" s="5" t="n"/>
      <c r="K596" s="5" t="n"/>
      <c r="L596" s="5" t="n"/>
    </row>
    <row r="597">
      <c r="A597" s="5" t="n"/>
      <c r="B597" s="6" t="n"/>
      <c r="C597" s="5" t="n"/>
      <c r="D597" s="5" t="n"/>
      <c r="E597" s="5" t="n"/>
      <c r="F597" s="5" t="n"/>
      <c r="G597" s="5" t="n"/>
      <c r="H597" s="6" t="n"/>
      <c r="I597" s="5" t="n"/>
      <c r="J597" s="5" t="n"/>
      <c r="K597" s="5" t="n"/>
      <c r="L597" s="5" t="n"/>
    </row>
    <row r="598">
      <c r="A598" s="5" t="n"/>
      <c r="B598" s="6" t="n"/>
      <c r="C598" s="5" t="n"/>
      <c r="D598" s="5" t="n"/>
      <c r="E598" s="5" t="n"/>
      <c r="F598" s="5" t="n"/>
      <c r="G598" s="5" t="n"/>
      <c r="H598" s="6" t="n"/>
      <c r="I598" s="5" t="n"/>
      <c r="J598" s="5" t="n"/>
      <c r="K598" s="5" t="n"/>
      <c r="L598" s="5" t="n"/>
    </row>
    <row r="599">
      <c r="A599" s="5" t="n"/>
      <c r="B599" s="6" t="n"/>
      <c r="C599" s="5" t="n"/>
      <c r="D599" s="5" t="n"/>
      <c r="E599" s="5" t="n"/>
      <c r="F599" s="5" t="n"/>
      <c r="G599" s="5" t="n"/>
      <c r="H599" s="6" t="n"/>
      <c r="I599" s="5" t="n"/>
      <c r="J599" s="5" t="n"/>
      <c r="K599" s="5" t="n"/>
      <c r="L599" s="5" t="n"/>
    </row>
    <row r="600">
      <c r="A600" s="5" t="n"/>
      <c r="B600" s="6" t="n"/>
      <c r="C600" s="5" t="n"/>
      <c r="D600" s="5" t="n"/>
      <c r="E600" s="5" t="n"/>
      <c r="F600" s="5" t="n"/>
      <c r="G600" s="5" t="n"/>
      <c r="H600" s="6" t="n"/>
      <c r="I600" s="5" t="n"/>
      <c r="J600" s="5" t="n"/>
      <c r="K600" s="5" t="n"/>
      <c r="L600" s="5" t="n"/>
    </row>
    <row r="601">
      <c r="A601" s="5" t="n"/>
      <c r="B601" s="6" t="n"/>
      <c r="C601" s="5" t="n"/>
      <c r="D601" s="5" t="n"/>
      <c r="E601" s="5" t="n"/>
      <c r="F601" s="5" t="n"/>
      <c r="G601" s="5" t="n"/>
      <c r="H601" s="6" t="n"/>
      <c r="I601" s="5" t="n"/>
      <c r="J601" s="5" t="n"/>
      <c r="K601" s="5" t="n"/>
      <c r="L601" s="5" t="n"/>
    </row>
    <row r="602">
      <c r="A602" s="5" t="n"/>
      <c r="B602" s="6" t="n"/>
      <c r="C602" s="5" t="n"/>
      <c r="D602" s="5" t="n"/>
      <c r="E602" s="5" t="n"/>
      <c r="F602" s="5" t="n"/>
      <c r="G602" s="5" t="n"/>
      <c r="H602" s="6" t="n"/>
      <c r="I602" s="5" t="n"/>
      <c r="J602" s="5" t="n"/>
      <c r="K602" s="5" t="n"/>
      <c r="L602" s="5" t="n"/>
    </row>
    <row r="603">
      <c r="A603" s="5" t="n"/>
      <c r="B603" s="6" t="n"/>
      <c r="C603" s="5" t="n"/>
      <c r="D603" s="5" t="n"/>
      <c r="E603" s="5" t="n"/>
      <c r="F603" s="5" t="n"/>
      <c r="G603" s="5" t="n"/>
      <c r="H603" s="6" t="n"/>
      <c r="I603" s="5" t="n"/>
      <c r="J603" s="5" t="n"/>
      <c r="K603" s="5" t="n"/>
      <c r="L603" s="5" t="n"/>
    </row>
    <row r="604">
      <c r="A604" s="5" t="n"/>
      <c r="B604" s="6" t="n"/>
      <c r="C604" s="5" t="n"/>
      <c r="D604" s="5" t="n"/>
      <c r="E604" s="5" t="n"/>
      <c r="F604" s="5" t="n"/>
      <c r="G604" s="5" t="n"/>
      <c r="H604" s="6" t="n"/>
      <c r="I604" s="5" t="n"/>
      <c r="J604" s="5" t="n"/>
      <c r="K604" s="5" t="n"/>
      <c r="L604" s="5" t="n"/>
    </row>
    <row r="605">
      <c r="A605" s="5" t="n"/>
      <c r="B605" s="6" t="n"/>
      <c r="C605" s="5" t="n"/>
      <c r="D605" s="5" t="n"/>
      <c r="E605" s="5" t="n"/>
      <c r="F605" s="5" t="n"/>
      <c r="G605" s="5" t="n"/>
      <c r="H605" s="6" t="n"/>
      <c r="I605" s="5" t="n"/>
      <c r="J605" s="5" t="n"/>
      <c r="K605" s="5" t="n"/>
      <c r="L605" s="5" t="n"/>
    </row>
    <row r="606">
      <c r="A606" s="5" t="n"/>
      <c r="B606" s="6" t="n"/>
      <c r="C606" s="5" t="n"/>
      <c r="D606" s="5" t="n"/>
      <c r="E606" s="5" t="n"/>
      <c r="F606" s="5" t="n"/>
      <c r="G606" s="5" t="n"/>
      <c r="H606" s="6" t="n"/>
      <c r="I606" s="5" t="n"/>
      <c r="J606" s="5" t="n"/>
      <c r="K606" s="5" t="n"/>
      <c r="L606" s="5" t="n"/>
    </row>
    <row r="607">
      <c r="A607" s="5" t="n"/>
      <c r="B607" s="6" t="n"/>
      <c r="C607" s="5" t="n"/>
      <c r="D607" s="5" t="n"/>
      <c r="E607" s="5" t="n"/>
      <c r="F607" s="5" t="n"/>
      <c r="G607" s="5" t="n"/>
      <c r="H607" s="6" t="n"/>
      <c r="I607" s="5" t="n"/>
      <c r="J607" s="5" t="n"/>
      <c r="K607" s="5" t="n"/>
      <c r="L607" s="5" t="n"/>
    </row>
    <row r="608">
      <c r="A608" s="5" t="n"/>
      <c r="B608" s="6" t="n"/>
      <c r="C608" s="5" t="n"/>
      <c r="D608" s="5" t="n"/>
      <c r="E608" s="5" t="n"/>
      <c r="F608" s="5" t="n"/>
      <c r="G608" s="5" t="n"/>
      <c r="H608" s="6" t="n"/>
      <c r="I608" s="5" t="n"/>
      <c r="J608" s="5" t="n"/>
      <c r="K608" s="5" t="n"/>
      <c r="L608" s="5" t="n"/>
    </row>
    <row r="609">
      <c r="A609" s="5" t="n"/>
      <c r="B609" s="6" t="n"/>
      <c r="C609" s="5" t="n"/>
      <c r="D609" s="5" t="n"/>
      <c r="E609" s="5" t="n"/>
      <c r="F609" s="5" t="n"/>
      <c r="G609" s="5" t="n"/>
      <c r="H609" s="6" t="n"/>
      <c r="I609" s="5" t="n"/>
      <c r="J609" s="5" t="n"/>
      <c r="K609" s="5" t="n"/>
      <c r="L609" s="5" t="n"/>
    </row>
    <row r="610">
      <c r="A610" s="5" t="n"/>
      <c r="B610" s="6" t="n"/>
      <c r="C610" s="5" t="n"/>
      <c r="D610" s="5" t="n"/>
      <c r="E610" s="5" t="n"/>
      <c r="F610" s="5" t="n"/>
      <c r="G610" s="5" t="n"/>
      <c r="H610" s="6" t="n"/>
      <c r="I610" s="5" t="n"/>
      <c r="J610" s="5" t="n"/>
      <c r="K610" s="5" t="n"/>
      <c r="L610" s="5" t="n"/>
    </row>
    <row r="611">
      <c r="A611" s="5" t="n"/>
      <c r="B611" s="6" t="n"/>
      <c r="C611" s="5" t="n"/>
      <c r="D611" s="5" t="n"/>
      <c r="E611" s="5" t="n"/>
      <c r="F611" s="5" t="n"/>
      <c r="G611" s="5" t="n"/>
      <c r="H611" s="6" t="n"/>
      <c r="I611" s="5" t="n"/>
      <c r="J611" s="5" t="n"/>
      <c r="K611" s="5" t="n"/>
      <c r="L611" s="5" t="n"/>
    </row>
    <row r="612">
      <c r="A612" s="5" t="n"/>
      <c r="B612" s="6" t="n"/>
      <c r="C612" s="5" t="n"/>
      <c r="D612" s="5" t="n"/>
      <c r="E612" s="5" t="n"/>
      <c r="F612" s="5" t="n"/>
      <c r="G612" s="5" t="n"/>
      <c r="H612" s="6" t="n"/>
      <c r="I612" s="5" t="n"/>
      <c r="J612" s="5" t="n"/>
      <c r="K612" s="5" t="n"/>
      <c r="L612" s="5" t="n"/>
    </row>
    <row r="613">
      <c r="A613" s="5" t="n"/>
      <c r="B613" s="6" t="n"/>
      <c r="C613" s="5" t="n"/>
      <c r="D613" s="5" t="n"/>
      <c r="E613" s="5" t="n"/>
      <c r="F613" s="5" t="n"/>
      <c r="G613" s="5" t="n"/>
      <c r="H613" s="6" t="n"/>
      <c r="I613" s="5" t="n"/>
      <c r="J613" s="5" t="n"/>
      <c r="K613" s="5" t="n"/>
      <c r="L613" s="5" t="n"/>
    </row>
    <row r="614">
      <c r="A614" s="5" t="n"/>
      <c r="B614" s="6" t="n"/>
      <c r="C614" s="5" t="n"/>
      <c r="D614" s="5" t="n"/>
      <c r="E614" s="5" t="n"/>
      <c r="F614" s="5" t="n"/>
      <c r="G614" s="5" t="n"/>
      <c r="H614" s="6" t="n"/>
      <c r="I614" s="5" t="n"/>
      <c r="J614" s="5" t="n"/>
      <c r="K614" s="5" t="n"/>
      <c r="L614" s="5" t="n"/>
    </row>
    <row r="615">
      <c r="A615" s="5" t="n"/>
      <c r="B615" s="6" t="n"/>
      <c r="C615" s="5" t="n"/>
      <c r="D615" s="5" t="n"/>
      <c r="E615" s="5" t="n"/>
      <c r="F615" s="5" t="n"/>
      <c r="G615" s="5" t="n"/>
      <c r="H615" s="6" t="n"/>
      <c r="I615" s="5" t="n"/>
      <c r="J615" s="5" t="n"/>
      <c r="K615" s="5" t="n"/>
      <c r="L615" s="5" t="n"/>
    </row>
    <row r="616">
      <c r="A616" s="5" t="n"/>
      <c r="B616" s="6" t="n"/>
      <c r="C616" s="5" t="n"/>
      <c r="D616" s="5" t="n"/>
      <c r="E616" s="5" t="n"/>
      <c r="F616" s="5" t="n"/>
      <c r="G616" s="5" t="n"/>
      <c r="H616" s="6" t="n"/>
      <c r="I616" s="5" t="n"/>
      <c r="J616" s="5" t="n"/>
      <c r="K616" s="5" t="n"/>
      <c r="L616" s="5" t="n"/>
    </row>
    <row r="617">
      <c r="A617" s="5" t="n"/>
      <c r="B617" s="6" t="n"/>
      <c r="C617" s="5" t="n"/>
      <c r="D617" s="5" t="n"/>
      <c r="E617" s="5" t="n"/>
      <c r="F617" s="5" t="n"/>
      <c r="G617" s="5" t="n"/>
      <c r="H617" s="6" t="n"/>
      <c r="I617" s="5" t="n"/>
      <c r="J617" s="5" t="n"/>
      <c r="K617" s="5" t="n"/>
      <c r="L617" s="5" t="n"/>
    </row>
    <row r="618">
      <c r="A618" s="5" t="n"/>
      <c r="B618" s="6" t="n"/>
      <c r="C618" s="5" t="n"/>
      <c r="D618" s="5" t="n"/>
      <c r="E618" s="5" t="n"/>
      <c r="F618" s="5" t="n"/>
      <c r="G618" s="5" t="n"/>
      <c r="H618" s="6" t="n"/>
      <c r="I618" s="5" t="n"/>
      <c r="J618" s="5" t="n"/>
      <c r="K618" s="5" t="n"/>
      <c r="L618" s="5" t="n"/>
    </row>
    <row r="619">
      <c r="A619" s="5" t="n"/>
      <c r="B619" s="6" t="n"/>
      <c r="C619" s="5" t="n"/>
      <c r="D619" s="5" t="n"/>
      <c r="E619" s="5" t="n"/>
      <c r="F619" s="5" t="n"/>
      <c r="G619" s="5" t="n"/>
      <c r="H619" s="6" t="n"/>
      <c r="I619" s="5" t="n"/>
      <c r="J619" s="5" t="n"/>
      <c r="K619" s="5" t="n"/>
      <c r="L619" s="5" t="n"/>
    </row>
    <row r="620">
      <c r="A620" s="5" t="n"/>
      <c r="B620" s="6" t="n"/>
      <c r="C620" s="5" t="n"/>
      <c r="D620" s="5" t="n"/>
      <c r="E620" s="5" t="n"/>
      <c r="F620" s="5" t="n"/>
      <c r="G620" s="5" t="n"/>
      <c r="H620" s="6" t="n"/>
      <c r="I620" s="5" t="n"/>
      <c r="J620" s="5" t="n"/>
      <c r="K620" s="5" t="n"/>
      <c r="L620" s="5" t="n"/>
    </row>
    <row r="621">
      <c r="A621" s="5" t="n"/>
      <c r="B621" s="6" t="n"/>
      <c r="C621" s="5" t="n"/>
      <c r="D621" s="5" t="n"/>
      <c r="E621" s="5" t="n"/>
      <c r="F621" s="5" t="n"/>
      <c r="G621" s="5" t="n"/>
      <c r="H621" s="6" t="n"/>
      <c r="I621" s="5" t="n"/>
      <c r="J621" s="5" t="n"/>
      <c r="K621" s="5" t="n"/>
      <c r="L621" s="5" t="n"/>
    </row>
    <row r="622">
      <c r="A622" s="5" t="n"/>
      <c r="B622" s="6" t="n"/>
      <c r="C622" s="5" t="n"/>
      <c r="D622" s="5" t="n"/>
      <c r="E622" s="5" t="n"/>
      <c r="F622" s="5" t="n"/>
      <c r="G622" s="5" t="n"/>
      <c r="H622" s="6" t="n"/>
      <c r="I622" s="5" t="n"/>
      <c r="J622" s="5" t="n"/>
      <c r="K622" s="5" t="n"/>
      <c r="L622" s="5" t="n"/>
    </row>
    <row r="623">
      <c r="A623" s="5" t="n"/>
      <c r="B623" s="6" t="n"/>
      <c r="C623" s="5" t="n"/>
      <c r="D623" s="5" t="n"/>
      <c r="E623" s="5" t="n"/>
      <c r="F623" s="5" t="n"/>
      <c r="G623" s="5" t="n"/>
      <c r="H623" s="6" t="n"/>
      <c r="I623" s="5" t="n"/>
      <c r="J623" s="5" t="n"/>
      <c r="K623" s="5" t="n"/>
      <c r="L623" s="5" t="n"/>
    </row>
    <row r="624">
      <c r="A624" s="5" t="n"/>
      <c r="B624" s="6" t="n"/>
      <c r="C624" s="5" t="n"/>
      <c r="D624" s="5" t="n"/>
      <c r="E624" s="5" t="n"/>
      <c r="F624" s="5" t="n"/>
      <c r="G624" s="5" t="n"/>
      <c r="H624" s="6" t="n"/>
      <c r="I624" s="5" t="n"/>
      <c r="J624" s="5" t="n"/>
      <c r="K624" s="5" t="n"/>
      <c r="L624" s="5" t="n"/>
    </row>
    <row r="625">
      <c r="A625" s="5" t="n"/>
      <c r="B625" s="6" t="n"/>
      <c r="C625" s="5" t="n"/>
      <c r="D625" s="5" t="n"/>
      <c r="E625" s="5" t="n"/>
      <c r="F625" s="5" t="n"/>
      <c r="G625" s="5" t="n"/>
      <c r="H625" s="6" t="n"/>
      <c r="I625" s="5" t="n"/>
      <c r="J625" s="5" t="n"/>
      <c r="K625" s="5" t="n"/>
      <c r="L625" s="5" t="n"/>
    </row>
    <row r="626">
      <c r="A626" s="5" t="n"/>
      <c r="B626" s="6" t="n"/>
      <c r="C626" s="5" t="n"/>
      <c r="D626" s="5" t="n"/>
      <c r="E626" s="5" t="n"/>
      <c r="F626" s="5" t="n"/>
      <c r="G626" s="5" t="n"/>
      <c r="H626" s="6" t="n"/>
      <c r="I626" s="5" t="n"/>
      <c r="J626" s="5" t="n"/>
      <c r="K626" s="5" t="n"/>
      <c r="L626" s="5" t="n"/>
    </row>
    <row r="627">
      <c r="A627" s="5" t="n"/>
      <c r="B627" s="6" t="n"/>
      <c r="C627" s="5" t="n"/>
      <c r="D627" s="5" t="n"/>
      <c r="E627" s="5" t="n"/>
      <c r="F627" s="5" t="n"/>
      <c r="G627" s="5" t="n"/>
      <c r="H627" s="6" t="n"/>
      <c r="I627" s="5" t="n"/>
      <c r="J627" s="5" t="n"/>
      <c r="K627" s="5" t="n"/>
      <c r="L627" s="5" t="n"/>
    </row>
    <row r="628">
      <c r="A628" s="5" t="n"/>
      <c r="B628" s="6" t="n"/>
      <c r="C628" s="5" t="n"/>
      <c r="D628" s="5" t="n"/>
      <c r="E628" s="5" t="n"/>
      <c r="F628" s="5" t="n"/>
      <c r="G628" s="5" t="n"/>
      <c r="H628" s="6" t="n"/>
      <c r="I628" s="5" t="n"/>
      <c r="J628" s="5" t="n"/>
      <c r="K628" s="5" t="n"/>
      <c r="L628" s="5" t="n"/>
    </row>
    <row r="629">
      <c r="A629" s="5" t="n"/>
      <c r="B629" s="6" t="n"/>
      <c r="C629" s="5" t="n"/>
      <c r="D629" s="5" t="n"/>
      <c r="E629" s="5" t="n"/>
      <c r="F629" s="5" t="n"/>
      <c r="G629" s="5" t="n"/>
      <c r="H629" s="6" t="n"/>
      <c r="I629" s="5" t="n"/>
      <c r="J629" s="5" t="n"/>
      <c r="K629" s="5" t="n"/>
      <c r="L629" s="5" t="n"/>
    </row>
    <row r="630">
      <c r="A630" s="5" t="n"/>
      <c r="B630" s="6" t="n"/>
      <c r="C630" s="5" t="n"/>
      <c r="D630" s="5" t="n"/>
      <c r="E630" s="5" t="n"/>
      <c r="F630" s="5" t="n"/>
      <c r="G630" s="5" t="n"/>
      <c r="H630" s="6" t="n"/>
      <c r="I630" s="5" t="n"/>
      <c r="J630" s="5" t="n"/>
      <c r="K630" s="5" t="n"/>
      <c r="L630" s="5" t="n"/>
    </row>
    <row r="631">
      <c r="A631" s="5" t="n"/>
      <c r="B631" s="6" t="n"/>
      <c r="C631" s="5" t="n"/>
      <c r="D631" s="5" t="n"/>
      <c r="E631" s="5" t="n"/>
      <c r="F631" s="5" t="n"/>
      <c r="G631" s="5" t="n"/>
      <c r="H631" s="6" t="n"/>
      <c r="I631" s="5" t="n"/>
      <c r="J631" s="5" t="n"/>
      <c r="K631" s="5" t="n"/>
      <c r="L631" s="5" t="n"/>
    </row>
    <row r="632">
      <c r="A632" s="5" t="n"/>
      <c r="B632" s="6" t="n"/>
      <c r="C632" s="5" t="n"/>
      <c r="D632" s="5" t="n"/>
      <c r="E632" s="5" t="n"/>
      <c r="F632" s="5" t="n"/>
      <c r="G632" s="5" t="n"/>
      <c r="H632" s="6" t="n"/>
      <c r="I632" s="5" t="n"/>
      <c r="J632" s="5" t="n"/>
      <c r="K632" s="5" t="n"/>
      <c r="L632" s="5" t="n"/>
    </row>
    <row r="633">
      <c r="A633" s="5" t="n"/>
      <c r="B633" s="6" t="n"/>
      <c r="C633" s="5" t="n"/>
      <c r="D633" s="5" t="n"/>
      <c r="E633" s="5" t="n"/>
      <c r="F633" s="5" t="n"/>
      <c r="G633" s="5" t="n"/>
      <c r="H633" s="6" t="n"/>
      <c r="I633" s="5" t="n"/>
      <c r="J633" s="5" t="n"/>
      <c r="K633" s="5" t="n"/>
      <c r="L633" s="5" t="n"/>
    </row>
    <row r="634">
      <c r="A634" s="5" t="n"/>
      <c r="B634" s="6" t="n"/>
      <c r="C634" s="5" t="n"/>
      <c r="D634" s="5" t="n"/>
      <c r="E634" s="5" t="n"/>
      <c r="F634" s="5" t="n"/>
      <c r="G634" s="5" t="n"/>
      <c r="H634" s="6" t="n"/>
      <c r="I634" s="5" t="n"/>
      <c r="J634" s="5" t="n"/>
      <c r="K634" s="5" t="n"/>
      <c r="L634" s="5" t="n"/>
    </row>
    <row r="635">
      <c r="A635" s="5" t="n"/>
      <c r="B635" s="6" t="n"/>
      <c r="C635" s="5" t="n"/>
      <c r="D635" s="5" t="n"/>
      <c r="E635" s="5" t="n"/>
      <c r="F635" s="5" t="n"/>
      <c r="G635" s="5" t="n"/>
      <c r="H635" s="6" t="n"/>
      <c r="I635" s="5" t="n"/>
      <c r="J635" s="5" t="n"/>
      <c r="K635" s="5" t="n"/>
      <c r="L635" s="5" t="n"/>
    </row>
    <row r="636">
      <c r="A636" s="5" t="n"/>
      <c r="B636" s="6" t="n"/>
      <c r="C636" s="5" t="n"/>
      <c r="D636" s="5" t="n"/>
      <c r="E636" s="5" t="n"/>
      <c r="F636" s="5" t="n"/>
      <c r="G636" s="5" t="n"/>
      <c r="H636" s="6" t="n"/>
      <c r="I636" s="5" t="n"/>
      <c r="J636" s="5" t="n"/>
      <c r="K636" s="5" t="n"/>
      <c r="L636" s="5" t="n"/>
    </row>
    <row r="637">
      <c r="A637" s="5" t="n"/>
      <c r="B637" s="6" t="n"/>
      <c r="C637" s="5" t="n"/>
      <c r="D637" s="5" t="n"/>
      <c r="E637" s="5" t="n"/>
      <c r="F637" s="5" t="n"/>
      <c r="G637" s="5" t="n"/>
      <c r="H637" s="6" t="n"/>
      <c r="I637" s="5" t="n"/>
      <c r="J637" s="5" t="n"/>
      <c r="K637" s="5" t="n"/>
      <c r="L637" s="5" t="n"/>
    </row>
    <row r="638">
      <c r="A638" s="5" t="n"/>
      <c r="B638" s="6" t="n"/>
      <c r="C638" s="5" t="n"/>
      <c r="D638" s="5" t="n"/>
      <c r="E638" s="5" t="n"/>
      <c r="F638" s="5" t="n"/>
      <c r="G638" s="5" t="n"/>
      <c r="H638" s="6" t="n"/>
      <c r="I638" s="5" t="n"/>
      <c r="J638" s="5" t="n"/>
      <c r="K638" s="5" t="n"/>
      <c r="L638" s="5" t="n"/>
    </row>
    <row r="639">
      <c r="A639" s="5" t="n"/>
      <c r="B639" s="6" t="n"/>
      <c r="C639" s="5" t="n"/>
      <c r="D639" s="5" t="n"/>
      <c r="E639" s="5" t="n"/>
      <c r="F639" s="5" t="n"/>
      <c r="G639" s="5" t="n"/>
      <c r="H639" s="6" t="n"/>
      <c r="I639" s="5" t="n"/>
      <c r="J639" s="5" t="n"/>
      <c r="K639" s="5" t="n"/>
      <c r="L639" s="5" t="n"/>
    </row>
    <row r="640">
      <c r="A640" s="5" t="n"/>
      <c r="B640" s="6" t="n"/>
      <c r="C640" s="5" t="n"/>
      <c r="D640" s="5" t="n"/>
      <c r="E640" s="5" t="n"/>
      <c r="F640" s="5" t="n"/>
      <c r="G640" s="5" t="n"/>
      <c r="H640" s="6" t="n"/>
      <c r="I640" s="5" t="n"/>
      <c r="J640" s="5" t="n"/>
      <c r="K640" s="5" t="n"/>
      <c r="L640" s="5" t="n"/>
    </row>
    <row r="641">
      <c r="A641" s="5" t="n"/>
      <c r="B641" s="6" t="n"/>
      <c r="C641" s="5" t="n"/>
      <c r="D641" s="5" t="n"/>
      <c r="E641" s="5" t="n"/>
      <c r="F641" s="5" t="n"/>
      <c r="G641" s="5" t="n"/>
      <c r="H641" s="6" t="n"/>
      <c r="I641" s="5" t="n"/>
      <c r="J641" s="5" t="n"/>
      <c r="K641" s="5" t="n"/>
      <c r="L641" s="5" t="n"/>
    </row>
    <row r="642">
      <c r="A642" s="5" t="n"/>
      <c r="B642" s="6" t="n"/>
      <c r="C642" s="5" t="n"/>
      <c r="D642" s="5" t="n"/>
      <c r="E642" s="5" t="n"/>
      <c r="F642" s="5" t="n"/>
      <c r="G642" s="5" t="n"/>
      <c r="H642" s="6" t="n"/>
      <c r="I642" s="5" t="n"/>
      <c r="J642" s="5" t="n"/>
      <c r="K642" s="5" t="n"/>
      <c r="L642" s="5" t="n"/>
    </row>
    <row r="643">
      <c r="A643" s="5" t="n"/>
      <c r="B643" s="6" t="n"/>
      <c r="C643" s="5" t="n"/>
      <c r="D643" s="5" t="n"/>
      <c r="E643" s="5" t="n"/>
      <c r="F643" s="5" t="n"/>
      <c r="G643" s="5" t="n"/>
      <c r="H643" s="6" t="n"/>
      <c r="I643" s="5" t="n"/>
      <c r="J643" s="5" t="n"/>
      <c r="K643" s="5" t="n"/>
      <c r="L643" s="5" t="n"/>
    </row>
    <row r="644">
      <c r="A644" s="5" t="n"/>
      <c r="B644" s="6" t="n"/>
      <c r="C644" s="5" t="n"/>
      <c r="D644" s="5" t="n"/>
      <c r="E644" s="5" t="n"/>
      <c r="F644" s="5" t="n"/>
      <c r="G644" s="5" t="n"/>
      <c r="H644" s="6" t="n"/>
      <c r="I644" s="5" t="n"/>
      <c r="J644" s="5" t="n"/>
      <c r="K644" s="5" t="n"/>
      <c r="L644" s="5" t="n"/>
    </row>
    <row r="645">
      <c r="A645" s="5" t="n"/>
      <c r="B645" s="6" t="n"/>
      <c r="C645" s="5" t="n"/>
      <c r="D645" s="5" t="n"/>
      <c r="E645" s="5" t="n"/>
      <c r="F645" s="5" t="n"/>
      <c r="G645" s="5" t="n"/>
      <c r="H645" s="6" t="n"/>
      <c r="I645" s="5" t="n"/>
      <c r="J645" s="5" t="n"/>
      <c r="K645" s="5" t="n"/>
      <c r="L645" s="5" t="n"/>
    </row>
    <row r="646">
      <c r="A646" s="5" t="n"/>
      <c r="B646" s="6" t="n"/>
      <c r="C646" s="5" t="n"/>
      <c r="D646" s="5" t="n"/>
      <c r="E646" s="5" t="n"/>
      <c r="F646" s="5" t="n"/>
      <c r="G646" s="5" t="n"/>
      <c r="H646" s="6" t="n"/>
      <c r="I646" s="5" t="n"/>
      <c r="J646" s="5" t="n"/>
      <c r="K646" s="5" t="n"/>
      <c r="L646" s="5" t="n"/>
    </row>
    <row r="647">
      <c r="A647" s="5" t="n"/>
      <c r="B647" s="6" t="n"/>
      <c r="C647" s="5" t="n"/>
      <c r="D647" s="5" t="n"/>
      <c r="E647" s="5" t="n"/>
      <c r="F647" s="5" t="n"/>
      <c r="G647" s="5" t="n"/>
      <c r="H647" s="6" t="n"/>
      <c r="I647" s="5" t="n"/>
      <c r="J647" s="5" t="n"/>
      <c r="K647" s="5" t="n"/>
      <c r="L647" s="5" t="n"/>
    </row>
    <row r="648">
      <c r="A648" s="5" t="n"/>
      <c r="B648" s="6" t="n"/>
      <c r="C648" s="5" t="n"/>
      <c r="D648" s="5" t="n"/>
      <c r="E648" s="5" t="n"/>
      <c r="F648" s="5" t="n"/>
      <c r="G648" s="5" t="n"/>
      <c r="H648" s="6" t="n"/>
      <c r="I648" s="5" t="n"/>
      <c r="J648" s="5" t="n"/>
      <c r="K648" s="5" t="n"/>
      <c r="L648" s="5" t="n"/>
    </row>
    <row r="649">
      <c r="A649" s="5" t="n"/>
      <c r="B649" s="6" t="n"/>
      <c r="C649" s="5" t="n"/>
      <c r="D649" s="5" t="n"/>
      <c r="E649" s="5" t="n"/>
      <c r="F649" s="5" t="n"/>
      <c r="G649" s="5" t="n"/>
      <c r="H649" s="6" t="n"/>
      <c r="I649" s="5" t="n"/>
      <c r="J649" s="5" t="n"/>
      <c r="K649" s="5" t="n"/>
      <c r="L649" s="5" t="n"/>
    </row>
    <row r="650">
      <c r="A650" s="5" t="n"/>
      <c r="B650" s="6" t="n"/>
      <c r="C650" s="5" t="n"/>
      <c r="D650" s="5" t="n"/>
      <c r="E650" s="5" t="n"/>
      <c r="F650" s="5" t="n"/>
      <c r="G650" s="5" t="n"/>
      <c r="H650" s="6" t="n"/>
      <c r="I650" s="5" t="n"/>
      <c r="J650" s="5" t="n"/>
      <c r="K650" s="5" t="n"/>
      <c r="L650" s="5" t="n"/>
    </row>
    <row r="651">
      <c r="A651" s="5" t="n"/>
      <c r="B651" s="6" t="n"/>
      <c r="C651" s="5" t="n"/>
      <c r="D651" s="5" t="n"/>
      <c r="E651" s="5" t="n"/>
      <c r="F651" s="5" t="n"/>
      <c r="G651" s="5" t="n"/>
      <c r="H651" s="6" t="n"/>
      <c r="I651" s="5" t="n"/>
      <c r="J651" s="5" t="n"/>
      <c r="K651" s="5" t="n"/>
      <c r="L651" s="5" t="n"/>
    </row>
    <row r="652">
      <c r="A652" s="5" t="n"/>
      <c r="B652" s="6" t="n"/>
      <c r="C652" s="5" t="n"/>
      <c r="D652" s="5" t="n"/>
      <c r="E652" s="5" t="n"/>
      <c r="F652" s="5" t="n"/>
      <c r="G652" s="5" t="n"/>
      <c r="H652" s="6" t="n"/>
      <c r="I652" s="5" t="n"/>
      <c r="J652" s="5" t="n"/>
      <c r="K652" s="5" t="n"/>
      <c r="L652" s="5" t="n"/>
    </row>
    <row r="653">
      <c r="A653" s="5" t="n"/>
      <c r="B653" s="6" t="n"/>
      <c r="C653" s="5" t="n"/>
      <c r="D653" s="5" t="n"/>
      <c r="E653" s="5" t="n"/>
      <c r="F653" s="5" t="n"/>
      <c r="G653" s="5" t="n"/>
      <c r="H653" s="6" t="n"/>
      <c r="I653" s="5" t="n"/>
      <c r="J653" s="5" t="n"/>
      <c r="K653" s="5" t="n"/>
      <c r="L653" s="5" t="n"/>
    </row>
    <row r="654">
      <c r="A654" s="5" t="n"/>
      <c r="B654" s="6" t="n"/>
      <c r="C654" s="5" t="n"/>
      <c r="D654" s="5" t="n"/>
      <c r="E654" s="5" t="n"/>
      <c r="F654" s="5" t="n"/>
      <c r="G654" s="5" t="n"/>
      <c r="H654" s="6" t="n"/>
      <c r="I654" s="5" t="n"/>
      <c r="J654" s="5" t="n"/>
      <c r="K654" s="5" t="n"/>
      <c r="L654" s="5" t="n"/>
    </row>
    <row r="655">
      <c r="A655" s="5" t="n"/>
      <c r="B655" s="6" t="n"/>
      <c r="C655" s="5" t="n"/>
      <c r="D655" s="5" t="n"/>
      <c r="E655" s="5" t="n"/>
      <c r="F655" s="5" t="n"/>
      <c r="G655" s="5" t="n"/>
      <c r="H655" s="6" t="n"/>
      <c r="I655" s="5" t="n"/>
      <c r="J655" s="5" t="n"/>
      <c r="K655" s="5" t="n"/>
      <c r="L655" s="5" t="n"/>
    </row>
    <row r="656">
      <c r="A656" s="5" t="n"/>
      <c r="B656" s="6" t="n"/>
      <c r="C656" s="5" t="n"/>
      <c r="D656" s="5" t="n"/>
      <c r="E656" s="5" t="n"/>
      <c r="F656" s="5" t="n"/>
      <c r="G656" s="5" t="n"/>
      <c r="H656" s="6" t="n"/>
      <c r="I656" s="5" t="n"/>
      <c r="J656" s="5" t="n"/>
      <c r="K656" s="5" t="n"/>
      <c r="L656" s="5" t="n"/>
    </row>
    <row r="657">
      <c r="A657" s="5" t="n"/>
      <c r="B657" s="6" t="n"/>
      <c r="C657" s="5" t="n"/>
      <c r="D657" s="5" t="n"/>
      <c r="E657" s="5" t="n"/>
      <c r="F657" s="5" t="n"/>
      <c r="G657" s="5" t="n"/>
      <c r="H657" s="6" t="n"/>
      <c r="I657" s="5" t="n"/>
      <c r="J657" s="5" t="n"/>
      <c r="K657" s="5" t="n"/>
      <c r="L657" s="5" t="n"/>
    </row>
    <row r="658">
      <c r="A658" s="5" t="n"/>
      <c r="B658" s="6" t="n"/>
      <c r="C658" s="5" t="n"/>
      <c r="D658" s="5" t="n"/>
      <c r="E658" s="5" t="n"/>
      <c r="F658" s="5" t="n"/>
      <c r="G658" s="5" t="n"/>
      <c r="H658" s="6" t="n"/>
      <c r="I658" s="5" t="n"/>
      <c r="J658" s="5" t="n"/>
      <c r="K658" s="5" t="n"/>
      <c r="L658" s="5" t="n"/>
    </row>
    <row r="659">
      <c r="A659" s="5" t="n"/>
      <c r="B659" s="6" t="n"/>
      <c r="C659" s="5" t="n"/>
      <c r="D659" s="5" t="n"/>
      <c r="E659" s="5" t="n"/>
      <c r="F659" s="5" t="n"/>
      <c r="G659" s="5" t="n"/>
      <c r="H659" s="6" t="n"/>
      <c r="I659" s="5" t="n"/>
      <c r="J659" s="5" t="n"/>
      <c r="K659" s="5" t="n"/>
      <c r="L659" s="5" t="n"/>
    </row>
    <row r="660">
      <c r="A660" s="5" t="n"/>
      <c r="B660" s="6" t="n"/>
      <c r="C660" s="5" t="n"/>
      <c r="D660" s="5" t="n"/>
      <c r="E660" s="5" t="n"/>
      <c r="F660" s="5" t="n"/>
      <c r="G660" s="5" t="n"/>
      <c r="H660" s="6" t="n"/>
      <c r="I660" s="5" t="n"/>
      <c r="J660" s="5" t="n"/>
      <c r="K660" s="5" t="n"/>
      <c r="L660" s="5" t="n"/>
    </row>
    <row r="661">
      <c r="A661" s="5" t="n"/>
      <c r="B661" s="6" t="n"/>
      <c r="C661" s="5" t="n"/>
      <c r="D661" s="5" t="n"/>
      <c r="E661" s="5" t="n"/>
      <c r="F661" s="5" t="n"/>
      <c r="G661" s="5" t="n"/>
      <c r="H661" s="6" t="n"/>
      <c r="I661" s="5" t="n"/>
      <c r="J661" s="5" t="n"/>
      <c r="K661" s="5" t="n"/>
      <c r="L661" s="5" t="n"/>
    </row>
    <row r="662">
      <c r="A662" s="5" t="n"/>
      <c r="B662" s="6" t="n"/>
      <c r="C662" s="5" t="n"/>
      <c r="D662" s="5" t="n"/>
      <c r="E662" s="5" t="n"/>
      <c r="F662" s="5" t="n"/>
      <c r="G662" s="5" t="n"/>
      <c r="H662" s="6" t="n"/>
      <c r="I662" s="5" t="n"/>
      <c r="J662" s="5" t="n"/>
      <c r="K662" s="5" t="n"/>
      <c r="L662" s="5" t="n"/>
    </row>
    <row r="663">
      <c r="A663" s="5" t="n"/>
      <c r="B663" s="6" t="n"/>
      <c r="C663" s="5" t="n"/>
      <c r="D663" s="5" t="n"/>
      <c r="E663" s="5" t="n"/>
      <c r="F663" s="5" t="n"/>
      <c r="G663" s="5" t="n"/>
      <c r="H663" s="6" t="n"/>
      <c r="I663" s="5" t="n"/>
      <c r="J663" s="5" t="n"/>
      <c r="K663" s="5" t="n"/>
      <c r="L663" s="5" t="n"/>
    </row>
    <row r="664">
      <c r="A664" s="5" t="n"/>
      <c r="B664" s="6" t="n"/>
      <c r="C664" s="5" t="n"/>
      <c r="D664" s="5" t="n"/>
      <c r="E664" s="5" t="n"/>
      <c r="F664" s="5" t="n"/>
      <c r="G664" s="5" t="n"/>
      <c r="H664" s="6" t="n"/>
      <c r="I664" s="5" t="n"/>
      <c r="J664" s="5" t="n"/>
      <c r="K664" s="5" t="n"/>
      <c r="L664" s="5" t="n"/>
    </row>
    <row r="665">
      <c r="A665" s="5" t="n"/>
      <c r="B665" s="6" t="n"/>
      <c r="C665" s="5" t="n"/>
      <c r="D665" s="5" t="n"/>
      <c r="E665" s="5" t="n"/>
      <c r="F665" s="5" t="n"/>
      <c r="G665" s="5" t="n"/>
      <c r="H665" s="6" t="n"/>
      <c r="I665" s="5" t="n"/>
      <c r="J665" s="5" t="n"/>
      <c r="K665" s="5" t="n"/>
      <c r="L665" s="5" t="n"/>
    </row>
    <row r="666">
      <c r="A666" s="5" t="n"/>
      <c r="B666" s="6" t="n"/>
      <c r="C666" s="5" t="n"/>
      <c r="D666" s="5" t="n"/>
      <c r="E666" s="5" t="n"/>
      <c r="F666" s="5" t="n"/>
      <c r="G666" s="5" t="n"/>
      <c r="H666" s="6" t="n"/>
      <c r="I666" s="5" t="n"/>
      <c r="J666" s="5" t="n"/>
      <c r="K666" s="5" t="n"/>
      <c r="L666" s="5" t="n"/>
    </row>
    <row r="667">
      <c r="A667" s="5" t="n"/>
      <c r="B667" s="6" t="n"/>
      <c r="C667" s="5" t="n"/>
      <c r="D667" s="5" t="n"/>
      <c r="E667" s="5" t="n"/>
      <c r="F667" s="5" t="n"/>
      <c r="G667" s="5" t="n"/>
      <c r="H667" s="6" t="n"/>
      <c r="I667" s="5" t="n"/>
      <c r="J667" s="5" t="n"/>
      <c r="K667" s="5" t="n"/>
      <c r="L667" s="5" t="n"/>
    </row>
    <row r="668">
      <c r="A668" s="5" t="n"/>
      <c r="B668" s="6" t="n"/>
      <c r="C668" s="5" t="n"/>
      <c r="D668" s="5" t="n"/>
      <c r="E668" s="5" t="n"/>
      <c r="F668" s="5" t="n"/>
      <c r="G668" s="5" t="n"/>
      <c r="H668" s="6" t="n"/>
      <c r="I668" s="5" t="n"/>
      <c r="J668" s="5" t="n"/>
      <c r="K668" s="5" t="n"/>
      <c r="L668" s="5" t="n"/>
    </row>
    <row r="669">
      <c r="A669" s="5" t="n"/>
      <c r="B669" s="6" t="n"/>
      <c r="C669" s="5" t="n"/>
      <c r="D669" s="5" t="n"/>
      <c r="E669" s="5" t="n"/>
      <c r="F669" s="5" t="n"/>
      <c r="G669" s="5" t="n"/>
      <c r="H669" s="6" t="n"/>
      <c r="I669" s="5" t="n"/>
      <c r="J669" s="5" t="n"/>
      <c r="K669" s="5" t="n"/>
      <c r="L669" s="5" t="n"/>
    </row>
    <row r="670">
      <c r="A670" s="5" t="n"/>
      <c r="B670" s="6" t="n"/>
      <c r="C670" s="5" t="n"/>
      <c r="D670" s="5" t="n"/>
      <c r="E670" s="5" t="n"/>
      <c r="F670" s="5" t="n"/>
      <c r="G670" s="5" t="n"/>
      <c r="H670" s="6" t="n"/>
      <c r="I670" s="5" t="n"/>
      <c r="J670" s="5" t="n"/>
      <c r="K670" s="5" t="n"/>
      <c r="L670" s="5" t="n"/>
    </row>
    <row r="671">
      <c r="A671" s="5" t="n"/>
      <c r="B671" s="6" t="n"/>
      <c r="C671" s="5" t="n"/>
      <c r="D671" s="5" t="n"/>
      <c r="E671" s="5" t="n"/>
      <c r="F671" s="5" t="n"/>
      <c r="G671" s="5" t="n"/>
      <c r="H671" s="6" t="n"/>
      <c r="I671" s="5" t="n"/>
      <c r="J671" s="5" t="n"/>
      <c r="K671" s="5" t="n"/>
      <c r="L671" s="5" t="n"/>
    </row>
    <row r="672">
      <c r="A672" s="5" t="n"/>
      <c r="B672" s="6" t="n"/>
      <c r="C672" s="5" t="n"/>
      <c r="D672" s="5" t="n"/>
      <c r="E672" s="5" t="n"/>
      <c r="F672" s="5" t="n"/>
      <c r="G672" s="5" t="n"/>
      <c r="H672" s="6" t="n"/>
      <c r="I672" s="5" t="n"/>
      <c r="J672" s="5" t="n"/>
      <c r="K672" s="5" t="n"/>
      <c r="L672" s="5" t="n"/>
    </row>
    <row r="673">
      <c r="A673" s="5" t="n"/>
      <c r="B673" s="6" t="n"/>
      <c r="C673" s="5" t="n"/>
      <c r="D673" s="5" t="n"/>
      <c r="E673" s="5" t="n"/>
      <c r="F673" s="5" t="n"/>
      <c r="G673" s="5" t="n"/>
      <c r="H673" s="6" t="n"/>
      <c r="I673" s="5" t="n"/>
      <c r="J673" s="5" t="n"/>
      <c r="K673" s="5" t="n"/>
      <c r="L673" s="5" t="n"/>
    </row>
    <row r="674">
      <c r="A674" s="5" t="n"/>
      <c r="B674" s="6" t="n"/>
      <c r="C674" s="5" t="n"/>
      <c r="D674" s="5" t="n"/>
      <c r="E674" s="5" t="n"/>
      <c r="F674" s="5" t="n"/>
      <c r="G674" s="5" t="n"/>
      <c r="H674" s="6" t="n"/>
      <c r="I674" s="5" t="n"/>
      <c r="J674" s="5" t="n"/>
      <c r="K674" s="5" t="n"/>
      <c r="L674" s="5" t="n"/>
    </row>
    <row r="675">
      <c r="A675" s="5" t="n"/>
      <c r="B675" s="6" t="n"/>
      <c r="C675" s="5" t="n"/>
      <c r="D675" s="5" t="n"/>
      <c r="E675" s="5" t="n"/>
      <c r="F675" s="5" t="n"/>
      <c r="G675" s="5" t="n"/>
      <c r="H675" s="6" t="n"/>
      <c r="I675" s="5" t="n"/>
      <c r="J675" s="5" t="n"/>
      <c r="K675" s="5" t="n"/>
      <c r="L675" s="5" t="n"/>
    </row>
    <row r="676">
      <c r="A676" s="5" t="n"/>
      <c r="B676" s="6" t="n"/>
      <c r="C676" s="5" t="n"/>
      <c r="D676" s="5" t="n"/>
      <c r="E676" s="5" t="n"/>
      <c r="F676" s="5" t="n"/>
      <c r="G676" s="5" t="n"/>
      <c r="H676" s="6" t="n"/>
      <c r="I676" s="5" t="n"/>
      <c r="J676" s="5" t="n"/>
      <c r="K676" s="5" t="n"/>
      <c r="L676" s="5" t="n"/>
    </row>
    <row r="677">
      <c r="A677" s="5" t="n"/>
      <c r="B677" s="6" t="n"/>
      <c r="C677" s="5" t="n"/>
      <c r="D677" s="5" t="n"/>
      <c r="E677" s="5" t="n"/>
      <c r="F677" s="5" t="n"/>
      <c r="G677" s="5" t="n"/>
      <c r="H677" s="6" t="n"/>
      <c r="I677" s="5" t="n"/>
      <c r="J677" s="5" t="n"/>
      <c r="K677" s="5" t="n"/>
      <c r="L677" s="5" t="n"/>
    </row>
    <row r="678">
      <c r="A678" s="5" t="n"/>
      <c r="B678" s="6" t="n"/>
      <c r="C678" s="5" t="n"/>
      <c r="D678" s="5" t="n"/>
      <c r="E678" s="5" t="n"/>
      <c r="F678" s="5" t="n"/>
      <c r="G678" s="5" t="n"/>
      <c r="H678" s="6" t="n"/>
      <c r="I678" s="5" t="n"/>
      <c r="J678" s="5" t="n"/>
      <c r="K678" s="5" t="n"/>
      <c r="L678" s="5" t="n"/>
    </row>
    <row r="679">
      <c r="A679" s="5" t="n"/>
      <c r="B679" s="6" t="n"/>
      <c r="C679" s="5" t="n"/>
      <c r="D679" s="5" t="n"/>
      <c r="E679" s="5" t="n"/>
      <c r="F679" s="5" t="n"/>
      <c r="G679" s="5" t="n"/>
      <c r="H679" s="6" t="n"/>
      <c r="I679" s="5" t="n"/>
      <c r="J679" s="5" t="n"/>
      <c r="K679" s="5" t="n"/>
      <c r="L679" s="5" t="n"/>
    </row>
    <row r="680">
      <c r="A680" s="5" t="n"/>
      <c r="B680" s="6" t="n"/>
      <c r="C680" s="5" t="n"/>
      <c r="D680" s="5" t="n"/>
      <c r="E680" s="5" t="n"/>
      <c r="F680" s="5" t="n"/>
      <c r="G680" s="5" t="n"/>
      <c r="H680" s="6" t="n"/>
      <c r="I680" s="5" t="n"/>
      <c r="J680" s="5" t="n"/>
      <c r="K680" s="5" t="n"/>
      <c r="L680" s="5" t="n"/>
    </row>
    <row r="681">
      <c r="A681" s="5" t="n"/>
      <c r="B681" s="6" t="n"/>
      <c r="C681" s="5" t="n"/>
      <c r="D681" s="5" t="n"/>
      <c r="E681" s="5" t="n"/>
      <c r="F681" s="5" t="n"/>
      <c r="G681" s="5" t="n"/>
      <c r="H681" s="6" t="n"/>
      <c r="I681" s="5" t="n"/>
      <c r="J681" s="5" t="n"/>
      <c r="K681" s="5" t="n"/>
      <c r="L681" s="5" t="n"/>
    </row>
    <row r="682">
      <c r="A682" s="5" t="n"/>
      <c r="B682" s="6" t="n"/>
      <c r="C682" s="5" t="n"/>
      <c r="D682" s="5" t="n"/>
      <c r="E682" s="5" t="n"/>
      <c r="F682" s="5" t="n"/>
      <c r="G682" s="5" t="n"/>
      <c r="H682" s="6" t="n"/>
      <c r="I682" s="5" t="n"/>
      <c r="J682" s="5" t="n"/>
      <c r="K682" s="5" t="n"/>
      <c r="L682" s="5" t="n"/>
    </row>
    <row r="683">
      <c r="A683" s="5" t="n"/>
      <c r="B683" s="6" t="n"/>
      <c r="C683" s="5" t="n"/>
      <c r="D683" s="5" t="n"/>
      <c r="E683" s="5" t="n"/>
      <c r="F683" s="5" t="n"/>
      <c r="G683" s="5" t="n"/>
      <c r="H683" s="6" t="n"/>
      <c r="I683" s="5" t="n"/>
      <c r="J683" s="5" t="n"/>
      <c r="K683" s="5" t="n"/>
      <c r="L683" s="5" t="n"/>
    </row>
    <row r="684">
      <c r="A684" s="5" t="n"/>
      <c r="B684" s="6" t="n"/>
      <c r="C684" s="5" t="n"/>
      <c r="D684" s="5" t="n"/>
      <c r="E684" s="5" t="n"/>
      <c r="F684" s="5" t="n"/>
      <c r="G684" s="5" t="n"/>
      <c r="H684" s="6" t="n"/>
      <c r="I684" s="5" t="n"/>
      <c r="J684" s="5" t="n"/>
      <c r="K684" s="5" t="n"/>
      <c r="L684" s="5" t="n"/>
    </row>
    <row r="685">
      <c r="A685" s="5" t="n"/>
      <c r="B685" s="6" t="n"/>
      <c r="C685" s="5" t="n"/>
      <c r="D685" s="5" t="n"/>
      <c r="E685" s="5" t="n"/>
      <c r="F685" s="5" t="n"/>
      <c r="G685" s="5" t="n"/>
      <c r="H685" s="6" t="n"/>
      <c r="I685" s="5" t="n"/>
      <c r="J685" s="5" t="n"/>
      <c r="K685" s="5" t="n"/>
      <c r="L685" s="5" t="n"/>
    </row>
    <row r="686">
      <c r="A686" s="5" t="n"/>
      <c r="B686" s="6" t="n"/>
      <c r="C686" s="5" t="n"/>
      <c r="D686" s="5" t="n"/>
      <c r="E686" s="5" t="n"/>
      <c r="F686" s="5" t="n"/>
      <c r="G686" s="5" t="n"/>
      <c r="H686" s="6" t="n"/>
      <c r="I686" s="5" t="n"/>
      <c r="J686" s="5" t="n"/>
      <c r="K686" s="5" t="n"/>
      <c r="L686" s="5" t="n"/>
    </row>
    <row r="687">
      <c r="A687" s="5" t="n"/>
      <c r="B687" s="6" t="n"/>
      <c r="C687" s="5" t="n"/>
      <c r="D687" s="5" t="n"/>
      <c r="E687" s="5" t="n"/>
      <c r="F687" s="5" t="n"/>
      <c r="G687" s="5" t="n"/>
      <c r="H687" s="6" t="n"/>
      <c r="I687" s="5" t="n"/>
      <c r="J687" s="5" t="n"/>
      <c r="K687" s="5" t="n"/>
      <c r="L687" s="5" t="n"/>
    </row>
    <row r="688">
      <c r="A688" s="5" t="n"/>
      <c r="B688" s="6" t="n"/>
      <c r="C688" s="5" t="n"/>
      <c r="D688" s="5" t="n"/>
      <c r="E688" s="5" t="n"/>
      <c r="F688" s="5" t="n"/>
      <c r="G688" s="5" t="n"/>
      <c r="H688" s="6" t="n"/>
      <c r="I688" s="5" t="n"/>
      <c r="J688" s="5" t="n"/>
      <c r="K688" s="5" t="n"/>
      <c r="L688" s="5" t="n"/>
    </row>
    <row r="689">
      <c r="A689" s="5" t="n"/>
      <c r="B689" s="6" t="n"/>
      <c r="C689" s="5" t="n"/>
      <c r="D689" s="5" t="n"/>
      <c r="E689" s="5" t="n"/>
      <c r="F689" s="5" t="n"/>
      <c r="G689" s="5" t="n"/>
      <c r="H689" s="6" t="n"/>
      <c r="I689" s="5" t="n"/>
      <c r="J689" s="5" t="n"/>
      <c r="K689" s="5" t="n"/>
      <c r="L689" s="5" t="n"/>
    </row>
    <row r="690">
      <c r="A690" s="5" t="n"/>
      <c r="B690" s="6" t="n"/>
      <c r="C690" s="5" t="n"/>
      <c r="D690" s="5" t="n"/>
      <c r="E690" s="5" t="n"/>
      <c r="F690" s="5" t="n"/>
      <c r="G690" s="5" t="n"/>
      <c r="H690" s="6" t="n"/>
      <c r="I690" s="5" t="n"/>
      <c r="J690" s="5" t="n"/>
      <c r="K690" s="5" t="n"/>
      <c r="L690" s="5" t="n"/>
    </row>
    <row r="691">
      <c r="A691" s="5" t="n"/>
      <c r="B691" s="6" t="n"/>
      <c r="C691" s="5" t="n"/>
      <c r="D691" s="5" t="n"/>
      <c r="E691" s="5" t="n"/>
      <c r="F691" s="5" t="n"/>
      <c r="G691" s="5" t="n"/>
      <c r="H691" s="6" t="n"/>
      <c r="I691" s="5" t="n"/>
      <c r="J691" s="5" t="n"/>
      <c r="K691" s="5" t="n"/>
      <c r="L691" s="5" t="n"/>
    </row>
    <row r="692">
      <c r="A692" s="5" t="n"/>
      <c r="B692" s="6" t="n"/>
      <c r="C692" s="5" t="n"/>
      <c r="D692" s="5" t="n"/>
      <c r="E692" s="5" t="n"/>
      <c r="F692" s="5" t="n"/>
      <c r="G692" s="5" t="n"/>
      <c r="H692" s="6" t="n"/>
      <c r="I692" s="5" t="n"/>
      <c r="J692" s="5" t="n"/>
      <c r="K692" s="5" t="n"/>
      <c r="L692" s="5" t="n"/>
    </row>
    <row r="693">
      <c r="A693" s="5" t="n"/>
      <c r="B693" s="6" t="n"/>
      <c r="C693" s="5" t="n"/>
      <c r="D693" s="5" t="n"/>
      <c r="E693" s="5" t="n"/>
      <c r="F693" s="5" t="n"/>
      <c r="G693" s="5" t="n"/>
      <c r="H693" s="6" t="n"/>
      <c r="I693" s="5" t="n"/>
      <c r="J693" s="5" t="n"/>
      <c r="K693" s="5" t="n"/>
      <c r="L693" s="5" t="n"/>
    </row>
    <row r="694">
      <c r="A694" s="5" t="n"/>
      <c r="B694" s="6" t="n"/>
      <c r="C694" s="5" t="n"/>
      <c r="D694" s="5" t="n"/>
      <c r="E694" s="5" t="n"/>
      <c r="F694" s="5" t="n"/>
      <c r="G694" s="5" t="n"/>
      <c r="H694" s="6" t="n"/>
      <c r="I694" s="5" t="n"/>
      <c r="J694" s="5" t="n"/>
      <c r="K694" s="5" t="n"/>
      <c r="L694" s="5" t="n"/>
    </row>
    <row r="695">
      <c r="A695" s="5" t="n"/>
      <c r="B695" s="6" t="n"/>
      <c r="C695" s="5" t="n"/>
      <c r="D695" s="5" t="n"/>
      <c r="E695" s="5" t="n"/>
      <c r="F695" s="5" t="n"/>
      <c r="G695" s="5" t="n"/>
      <c r="H695" s="6" t="n"/>
      <c r="I695" s="5" t="n"/>
      <c r="J695" s="5" t="n"/>
      <c r="K695" s="5" t="n"/>
      <c r="L695" s="5" t="n"/>
    </row>
    <row r="696">
      <c r="A696" s="5" t="n"/>
      <c r="B696" s="6" t="n"/>
      <c r="C696" s="5" t="n"/>
      <c r="D696" s="5" t="n"/>
      <c r="E696" s="5" t="n"/>
      <c r="F696" s="5" t="n"/>
      <c r="G696" s="5" t="n"/>
      <c r="H696" s="6" t="n"/>
      <c r="I696" s="5" t="n"/>
      <c r="J696" s="5" t="n"/>
      <c r="K696" s="5" t="n"/>
      <c r="L696" s="5" t="n"/>
    </row>
    <row r="697">
      <c r="A697" s="5" t="n"/>
      <c r="B697" s="6" t="n"/>
      <c r="C697" s="5" t="n"/>
      <c r="D697" s="5" t="n"/>
      <c r="E697" s="5" t="n"/>
      <c r="F697" s="5" t="n"/>
      <c r="G697" s="5" t="n"/>
      <c r="H697" s="6" t="n"/>
      <c r="I697" s="5" t="n"/>
      <c r="J697" s="5" t="n"/>
      <c r="K697" s="5" t="n"/>
      <c r="L697" s="5" t="n"/>
    </row>
    <row r="698">
      <c r="A698" s="5" t="n"/>
      <c r="B698" s="6" t="n"/>
      <c r="C698" s="5" t="n"/>
      <c r="D698" s="5" t="n"/>
      <c r="E698" s="5" t="n"/>
      <c r="F698" s="5" t="n"/>
      <c r="G698" s="5" t="n"/>
      <c r="H698" s="6" t="n"/>
      <c r="I698" s="5" t="n"/>
      <c r="J698" s="5" t="n"/>
      <c r="K698" s="5" t="n"/>
      <c r="L698" s="5" t="n"/>
    </row>
    <row r="699">
      <c r="A699" s="5" t="n"/>
      <c r="B699" s="6" t="n"/>
      <c r="C699" s="5" t="n"/>
      <c r="D699" s="5" t="n"/>
      <c r="E699" s="5" t="n"/>
      <c r="F699" s="5" t="n"/>
      <c r="G699" s="5" t="n"/>
      <c r="H699" s="6" t="n"/>
      <c r="I699" s="5" t="n"/>
      <c r="J699" s="5" t="n"/>
      <c r="K699" s="5" t="n"/>
      <c r="L699" s="5" t="n"/>
    </row>
    <row r="700">
      <c r="A700" s="5" t="n"/>
      <c r="B700" s="6" t="n"/>
      <c r="C700" s="5" t="n"/>
      <c r="D700" s="5" t="n"/>
      <c r="E700" s="5" t="n"/>
      <c r="F700" s="5" t="n"/>
      <c r="G700" s="5" t="n"/>
      <c r="H700" s="6" t="n"/>
      <c r="I700" s="5" t="n"/>
      <c r="J700" s="5" t="n"/>
      <c r="K700" s="5" t="n"/>
      <c r="L700" s="5" t="n"/>
    </row>
    <row r="701">
      <c r="A701" s="5" t="n"/>
      <c r="B701" s="6" t="n"/>
      <c r="C701" s="5" t="n"/>
      <c r="D701" s="5" t="n"/>
      <c r="E701" s="5" t="n"/>
      <c r="F701" s="5" t="n"/>
      <c r="G701" s="5" t="n"/>
      <c r="H701" s="6" t="n"/>
      <c r="I701" s="5" t="n"/>
      <c r="J701" s="5" t="n"/>
      <c r="K701" s="5" t="n"/>
      <c r="L701" s="5" t="n"/>
    </row>
    <row r="702">
      <c r="A702" s="5" t="n"/>
      <c r="B702" s="6" t="n"/>
      <c r="C702" s="5" t="n"/>
      <c r="D702" s="5" t="n"/>
      <c r="E702" s="5" t="n"/>
      <c r="F702" s="5" t="n"/>
      <c r="G702" s="5" t="n"/>
      <c r="H702" s="6" t="n"/>
      <c r="I702" s="5" t="n"/>
      <c r="J702" s="5" t="n"/>
      <c r="K702" s="5" t="n"/>
      <c r="L702" s="5" t="n"/>
    </row>
    <row r="703">
      <c r="A703" s="5" t="n"/>
      <c r="B703" s="6" t="n"/>
      <c r="C703" s="5" t="n"/>
      <c r="D703" s="5" t="n"/>
      <c r="E703" s="5" t="n"/>
      <c r="F703" s="5" t="n"/>
      <c r="G703" s="5" t="n"/>
      <c r="H703" s="6" t="n"/>
      <c r="I703" s="5" t="n"/>
      <c r="J703" s="5" t="n"/>
      <c r="K703" s="5" t="n"/>
      <c r="L703" s="5" t="n"/>
    </row>
    <row r="704">
      <c r="A704" s="5" t="n"/>
      <c r="B704" s="6" t="n"/>
      <c r="C704" s="5" t="n"/>
      <c r="D704" s="5" t="n"/>
      <c r="E704" s="5" t="n"/>
      <c r="F704" s="5" t="n"/>
      <c r="G704" s="5" t="n"/>
      <c r="H704" s="6" t="n"/>
      <c r="I704" s="5" t="n"/>
      <c r="J704" s="5" t="n"/>
      <c r="K704" s="5" t="n"/>
      <c r="L704" s="5" t="n"/>
    </row>
    <row r="705">
      <c r="A705" s="5" t="n"/>
      <c r="B705" s="6" t="n"/>
      <c r="C705" s="5" t="n"/>
      <c r="D705" s="5" t="n"/>
      <c r="E705" s="5" t="n"/>
      <c r="F705" s="5" t="n"/>
      <c r="G705" s="5" t="n"/>
      <c r="H705" s="6" t="n"/>
      <c r="I705" s="5" t="n"/>
      <c r="J705" s="5" t="n"/>
      <c r="K705" s="5" t="n"/>
      <c r="L705" s="5" t="n"/>
    </row>
    <row r="706">
      <c r="A706" s="5" t="n"/>
      <c r="B706" s="6" t="n"/>
      <c r="C706" s="5" t="n"/>
      <c r="D706" s="5" t="n"/>
      <c r="E706" s="5" t="n"/>
      <c r="F706" s="5" t="n"/>
      <c r="G706" s="5" t="n"/>
      <c r="H706" s="6" t="n"/>
      <c r="I706" s="5" t="n"/>
      <c r="J706" s="5" t="n"/>
      <c r="K706" s="5" t="n"/>
      <c r="L706" s="5" t="n"/>
    </row>
    <row r="707">
      <c r="A707" s="5" t="n"/>
      <c r="B707" s="6" t="n"/>
      <c r="C707" s="5" t="n"/>
      <c r="D707" s="5" t="n"/>
      <c r="E707" s="5" t="n"/>
      <c r="F707" s="5" t="n"/>
      <c r="G707" s="5" t="n"/>
      <c r="H707" s="6" t="n"/>
      <c r="I707" s="5" t="n"/>
      <c r="J707" s="5" t="n"/>
      <c r="K707" s="5" t="n"/>
      <c r="L707" s="5" t="n"/>
    </row>
    <row r="708">
      <c r="A708" s="5" t="n"/>
      <c r="B708" s="6" t="n"/>
      <c r="C708" s="5" t="n"/>
      <c r="D708" s="5" t="n"/>
      <c r="E708" s="5" t="n"/>
      <c r="F708" s="5" t="n"/>
      <c r="G708" s="5" t="n"/>
      <c r="H708" s="6" t="n"/>
      <c r="I708" s="5" t="n"/>
      <c r="J708" s="5" t="n"/>
      <c r="K708" s="5" t="n"/>
      <c r="L708" s="5" t="n"/>
    </row>
    <row r="709">
      <c r="A709" s="5" t="n"/>
      <c r="B709" s="6" t="n"/>
      <c r="C709" s="5" t="n"/>
      <c r="D709" s="5" t="n"/>
      <c r="E709" s="5" t="n"/>
      <c r="F709" s="5" t="n"/>
      <c r="G709" s="5" t="n"/>
      <c r="H709" s="6" t="n"/>
      <c r="I709" s="5" t="n"/>
      <c r="J709" s="5" t="n"/>
      <c r="K709" s="5" t="n"/>
      <c r="L709" s="5" t="n"/>
    </row>
    <row r="710">
      <c r="A710" s="5" t="n"/>
      <c r="B710" s="6" t="n"/>
      <c r="C710" s="5" t="n"/>
      <c r="D710" s="5" t="n"/>
      <c r="E710" s="5" t="n"/>
      <c r="F710" s="5" t="n"/>
      <c r="G710" s="5" t="n"/>
      <c r="H710" s="6" t="n"/>
      <c r="I710" s="5" t="n"/>
      <c r="J710" s="5" t="n"/>
      <c r="K710" s="5" t="n"/>
      <c r="L710" s="5" t="n"/>
    </row>
    <row r="711">
      <c r="A711" s="5" t="n"/>
      <c r="B711" s="6" t="n"/>
      <c r="C711" s="5" t="n"/>
      <c r="D711" s="5" t="n"/>
      <c r="E711" s="5" t="n"/>
      <c r="F711" s="5" t="n"/>
      <c r="G711" s="5" t="n"/>
      <c r="H711" s="6" t="n"/>
      <c r="I711" s="5" t="n"/>
      <c r="J711" s="5" t="n"/>
      <c r="K711" s="5" t="n"/>
      <c r="L711" s="5" t="n"/>
    </row>
    <row r="712">
      <c r="A712" s="5" t="n"/>
      <c r="B712" s="6" t="n"/>
      <c r="C712" s="5" t="n"/>
      <c r="D712" s="5" t="n"/>
      <c r="E712" s="5" t="n"/>
      <c r="F712" s="5" t="n"/>
      <c r="G712" s="5" t="n"/>
      <c r="H712" s="6" t="n"/>
      <c r="I712" s="5" t="n"/>
      <c r="J712" s="5" t="n"/>
      <c r="K712" s="5" t="n"/>
      <c r="L712" s="5" t="n"/>
    </row>
    <row r="713">
      <c r="A713" s="5" t="n"/>
      <c r="B713" s="6" t="n"/>
      <c r="C713" s="5" t="n"/>
      <c r="D713" s="5" t="n"/>
      <c r="E713" s="5" t="n"/>
      <c r="F713" s="5" t="n"/>
      <c r="G713" s="5" t="n"/>
      <c r="H713" s="6" t="n"/>
      <c r="I713" s="5" t="n"/>
      <c r="J713" s="5" t="n"/>
      <c r="K713" s="5" t="n"/>
      <c r="L713" s="5" t="n"/>
    </row>
    <row r="714">
      <c r="A714" s="5" t="n"/>
      <c r="B714" s="6" t="n"/>
      <c r="C714" s="5" t="n"/>
      <c r="D714" s="5" t="n"/>
      <c r="E714" s="5" t="n"/>
      <c r="F714" s="5" t="n"/>
      <c r="G714" s="5" t="n"/>
      <c r="H714" s="6" t="n"/>
      <c r="I714" s="5" t="n"/>
      <c r="J714" s="5" t="n"/>
      <c r="K714" s="5" t="n"/>
      <c r="L714" s="5" t="n"/>
    </row>
    <row r="715">
      <c r="A715" s="5" t="n"/>
      <c r="B715" s="6" t="n"/>
      <c r="C715" s="5" t="n"/>
      <c r="D715" s="5" t="n"/>
      <c r="E715" s="5" t="n"/>
      <c r="F715" s="5" t="n"/>
      <c r="G715" s="5" t="n"/>
      <c r="H715" s="6" t="n"/>
      <c r="I715" s="5" t="n"/>
      <c r="J715" s="5" t="n"/>
      <c r="K715" s="5" t="n"/>
      <c r="L715" s="5" t="n"/>
    </row>
    <row r="716">
      <c r="A716" s="5" t="n"/>
      <c r="B716" s="6" t="n"/>
      <c r="C716" s="5" t="n"/>
      <c r="D716" s="5" t="n"/>
      <c r="E716" s="5" t="n"/>
      <c r="F716" s="5" t="n"/>
      <c r="G716" s="5" t="n"/>
      <c r="H716" s="6" t="n"/>
      <c r="I716" s="5" t="n"/>
      <c r="J716" s="5" t="n"/>
      <c r="K716" s="5" t="n"/>
      <c r="L716" s="5" t="n"/>
    </row>
    <row r="717">
      <c r="A717" s="5" t="n"/>
      <c r="B717" s="6" t="n"/>
      <c r="C717" s="5" t="n"/>
      <c r="D717" s="5" t="n"/>
      <c r="E717" s="5" t="n"/>
      <c r="F717" s="5" t="n"/>
      <c r="G717" s="5" t="n"/>
      <c r="H717" s="6" t="n"/>
      <c r="I717" s="5" t="n"/>
      <c r="J717" s="5" t="n"/>
      <c r="K717" s="5" t="n"/>
      <c r="L717" s="5" t="n"/>
    </row>
    <row r="718">
      <c r="A718" s="5" t="n"/>
      <c r="B718" s="6" t="n"/>
      <c r="C718" s="5" t="n"/>
      <c r="D718" s="5" t="n"/>
      <c r="E718" s="5" t="n"/>
      <c r="F718" s="5" t="n"/>
      <c r="G718" s="5" t="n"/>
      <c r="H718" s="6" t="n"/>
      <c r="I718" s="5" t="n"/>
      <c r="J718" s="5" t="n"/>
      <c r="K718" s="5" t="n"/>
      <c r="L718" s="5" t="n"/>
    </row>
    <row r="719">
      <c r="A719" s="5" t="n"/>
      <c r="B719" s="6" t="n"/>
      <c r="C719" s="5" t="n"/>
      <c r="D719" s="5" t="n"/>
      <c r="E719" s="5" t="n"/>
      <c r="F719" s="5" t="n"/>
      <c r="G719" s="5" t="n"/>
      <c r="H719" s="6" t="n"/>
      <c r="I719" s="5" t="n"/>
      <c r="J719" s="5" t="n"/>
      <c r="K719" s="5" t="n"/>
      <c r="L719" s="5" t="n"/>
    </row>
    <row r="720">
      <c r="A720" s="5" t="n"/>
      <c r="B720" s="6" t="n"/>
      <c r="C720" s="5" t="n"/>
      <c r="D720" s="5" t="n"/>
      <c r="E720" s="5" t="n"/>
      <c r="F720" s="5" t="n"/>
      <c r="G720" s="5" t="n"/>
      <c r="H720" s="6" t="n"/>
      <c r="I720" s="5" t="n"/>
      <c r="J720" s="5" t="n"/>
      <c r="K720" s="5" t="n"/>
      <c r="L720" s="5" t="n"/>
    </row>
    <row r="721">
      <c r="A721" s="5" t="n"/>
      <c r="B721" s="6" t="n"/>
      <c r="C721" s="5" t="n"/>
      <c r="D721" s="5" t="n"/>
      <c r="E721" s="5" t="n"/>
      <c r="F721" s="5" t="n"/>
      <c r="G721" s="5" t="n"/>
      <c r="H721" s="6" t="n"/>
      <c r="I721" s="5" t="n"/>
      <c r="J721" s="5" t="n"/>
      <c r="K721" s="5" t="n"/>
      <c r="L721" s="5" t="n"/>
    </row>
    <row r="722">
      <c r="A722" s="5" t="n"/>
      <c r="B722" s="6" t="n"/>
      <c r="C722" s="5" t="n"/>
      <c r="D722" s="5" t="n"/>
      <c r="E722" s="5" t="n"/>
      <c r="F722" s="5" t="n"/>
      <c r="G722" s="5" t="n"/>
      <c r="H722" s="6" t="n"/>
      <c r="I722" s="5" t="n"/>
      <c r="J722" s="5" t="n"/>
      <c r="K722" s="5" t="n"/>
      <c r="L722" s="5" t="n"/>
    </row>
    <row r="723">
      <c r="A723" s="5" t="n"/>
      <c r="B723" s="6" t="n"/>
      <c r="C723" s="5" t="n"/>
      <c r="D723" s="5" t="n"/>
      <c r="E723" s="5" t="n"/>
      <c r="F723" s="5" t="n"/>
      <c r="G723" s="5" t="n"/>
      <c r="H723" s="6" t="n"/>
      <c r="I723" s="5" t="n"/>
      <c r="J723" s="5" t="n"/>
      <c r="K723" s="5" t="n"/>
      <c r="L723" s="5" t="n"/>
    </row>
    <row r="724">
      <c r="A724" s="5" t="n"/>
      <c r="B724" s="6" t="n"/>
      <c r="C724" s="5" t="n"/>
      <c r="D724" s="5" t="n"/>
      <c r="E724" s="5" t="n"/>
      <c r="F724" s="5" t="n"/>
      <c r="G724" s="5" t="n"/>
      <c r="H724" s="6" t="n"/>
      <c r="I724" s="5" t="n"/>
      <c r="J724" s="5" t="n"/>
      <c r="K724" s="5" t="n"/>
      <c r="L724" s="5" t="n"/>
    </row>
    <row r="725">
      <c r="A725" s="5" t="n"/>
      <c r="B725" s="6" t="n"/>
      <c r="C725" s="5" t="n"/>
      <c r="D725" s="5" t="n"/>
      <c r="E725" s="5" t="n"/>
      <c r="F725" s="5" t="n"/>
      <c r="G725" s="5" t="n"/>
      <c r="H725" s="6" t="n"/>
      <c r="I725" s="5" t="n"/>
      <c r="J725" s="5" t="n"/>
      <c r="K725" s="5" t="n"/>
      <c r="L725" s="5" t="n"/>
    </row>
    <row r="726">
      <c r="A726" s="5" t="n"/>
      <c r="B726" s="6" t="n"/>
      <c r="C726" s="5" t="n"/>
      <c r="D726" s="5" t="n"/>
      <c r="E726" s="5" t="n"/>
      <c r="F726" s="5" t="n"/>
      <c r="G726" s="5" t="n"/>
      <c r="H726" s="6" t="n"/>
      <c r="I726" s="5" t="n"/>
      <c r="J726" s="5" t="n"/>
      <c r="K726" s="5" t="n"/>
      <c r="L726" s="5" t="n"/>
    </row>
    <row r="727">
      <c r="A727" s="5" t="n"/>
      <c r="B727" s="6" t="n"/>
      <c r="C727" s="5" t="n"/>
      <c r="D727" s="5" t="n"/>
      <c r="E727" s="5" t="n"/>
      <c r="F727" s="5" t="n"/>
      <c r="G727" s="5" t="n"/>
      <c r="H727" s="6" t="n"/>
      <c r="I727" s="5" t="n"/>
      <c r="J727" s="5" t="n"/>
      <c r="K727" s="5" t="n"/>
      <c r="L727" s="5" t="n"/>
    </row>
    <row r="728">
      <c r="A728" s="5" t="n"/>
      <c r="B728" s="6" t="n"/>
      <c r="C728" s="5" t="n"/>
      <c r="D728" s="5" t="n"/>
      <c r="E728" s="5" t="n"/>
      <c r="F728" s="5" t="n"/>
      <c r="G728" s="5" t="n"/>
      <c r="H728" s="6" t="n"/>
      <c r="I728" s="5" t="n"/>
      <c r="J728" s="5" t="n"/>
      <c r="K728" s="5" t="n"/>
      <c r="L728" s="5" t="n"/>
    </row>
    <row r="729">
      <c r="A729" s="5" t="n"/>
      <c r="B729" s="6" t="n"/>
      <c r="C729" s="5" t="n"/>
      <c r="D729" s="5" t="n"/>
      <c r="E729" s="5" t="n"/>
      <c r="F729" s="5" t="n"/>
      <c r="G729" s="5" t="n"/>
      <c r="H729" s="6" t="n"/>
      <c r="I729" s="5" t="n"/>
      <c r="J729" s="5" t="n"/>
      <c r="K729" s="5" t="n"/>
      <c r="L729" s="5" t="n"/>
    </row>
    <row r="730">
      <c r="A730" s="5" t="n"/>
      <c r="B730" s="6" t="n"/>
      <c r="C730" s="5" t="n"/>
      <c r="D730" s="5" t="n"/>
      <c r="E730" s="5" t="n"/>
      <c r="F730" s="5" t="n"/>
      <c r="G730" s="5" t="n"/>
      <c r="H730" s="6" t="n"/>
      <c r="I730" s="5" t="n"/>
      <c r="J730" s="5" t="n"/>
      <c r="K730" s="5" t="n"/>
      <c r="L730" s="5" t="n"/>
    </row>
    <row r="731">
      <c r="A731" s="5" t="n"/>
      <c r="B731" s="6" t="n"/>
      <c r="C731" s="5" t="n"/>
      <c r="D731" s="5" t="n"/>
      <c r="E731" s="5" t="n"/>
      <c r="F731" s="5" t="n"/>
      <c r="G731" s="5" t="n"/>
      <c r="H731" s="6" t="n"/>
      <c r="I731" s="5" t="n"/>
      <c r="J731" s="5" t="n"/>
      <c r="K731" s="5" t="n"/>
      <c r="L731" s="5" t="n"/>
    </row>
    <row r="732">
      <c r="A732" s="5" t="n"/>
      <c r="B732" s="6" t="n"/>
      <c r="C732" s="5" t="n"/>
      <c r="D732" s="5" t="n"/>
      <c r="E732" s="5" t="n"/>
      <c r="F732" s="5" t="n"/>
      <c r="G732" s="5" t="n"/>
      <c r="H732" s="6" t="n"/>
      <c r="I732" s="5" t="n"/>
      <c r="J732" s="5" t="n"/>
      <c r="K732" s="5" t="n"/>
      <c r="L732" s="5" t="n"/>
    </row>
    <row r="733">
      <c r="A733" s="5" t="n"/>
      <c r="B733" s="6" t="n"/>
      <c r="C733" s="5" t="n"/>
      <c r="D733" s="5" t="n"/>
      <c r="E733" s="5" t="n"/>
      <c r="F733" s="5" t="n"/>
      <c r="G733" s="5" t="n"/>
      <c r="H733" s="6" t="n"/>
      <c r="I733" s="5" t="n"/>
      <c r="J733" s="5" t="n"/>
      <c r="K733" s="5" t="n"/>
      <c r="L733" s="5" t="n"/>
    </row>
    <row r="734">
      <c r="A734" s="5" t="n"/>
      <c r="B734" s="6" t="n"/>
      <c r="C734" s="5" t="n"/>
      <c r="D734" s="5" t="n"/>
      <c r="E734" s="5" t="n"/>
      <c r="F734" s="5" t="n"/>
      <c r="G734" s="5" t="n"/>
      <c r="H734" s="6" t="n"/>
      <c r="I734" s="5" t="n"/>
      <c r="J734" s="5" t="n"/>
      <c r="K734" s="5" t="n"/>
      <c r="L734" s="5" t="n"/>
    </row>
    <row r="735">
      <c r="A735" s="5" t="n"/>
      <c r="B735" s="6" t="n"/>
      <c r="C735" s="5" t="n"/>
      <c r="D735" s="5" t="n"/>
      <c r="E735" s="5" t="n"/>
      <c r="F735" s="5" t="n"/>
      <c r="G735" s="5" t="n"/>
      <c r="H735" s="6" t="n"/>
      <c r="I735" s="5" t="n"/>
      <c r="J735" s="5" t="n"/>
      <c r="K735" s="5" t="n"/>
      <c r="L735" s="5" t="n"/>
    </row>
    <row r="736">
      <c r="A736" s="5" t="n"/>
      <c r="B736" s="6" t="n"/>
      <c r="C736" s="5" t="n"/>
      <c r="D736" s="5" t="n"/>
      <c r="E736" s="5" t="n"/>
      <c r="F736" s="5" t="n"/>
      <c r="G736" s="5" t="n"/>
      <c r="H736" s="6" t="n"/>
      <c r="I736" s="5" t="n"/>
      <c r="J736" s="5" t="n"/>
      <c r="K736" s="5" t="n"/>
      <c r="L736" s="5" t="n"/>
    </row>
    <row r="737">
      <c r="A737" s="5" t="n"/>
      <c r="B737" s="6" t="n"/>
      <c r="C737" s="5" t="n"/>
      <c r="D737" s="5" t="n"/>
      <c r="E737" s="5" t="n"/>
      <c r="F737" s="5" t="n"/>
      <c r="G737" s="5" t="n"/>
      <c r="H737" s="6" t="n"/>
      <c r="I737" s="5" t="n"/>
      <c r="J737" s="5" t="n"/>
      <c r="K737" s="5" t="n"/>
      <c r="L737" s="5" t="n"/>
    </row>
    <row r="738">
      <c r="A738" s="5" t="n"/>
      <c r="B738" s="6" t="n"/>
      <c r="C738" s="5" t="n"/>
      <c r="D738" s="5" t="n"/>
      <c r="E738" s="5" t="n"/>
      <c r="F738" s="5" t="n"/>
      <c r="G738" s="5" t="n"/>
      <c r="H738" s="6" t="n"/>
      <c r="I738" s="5" t="n"/>
      <c r="J738" s="5" t="n"/>
      <c r="K738" s="5" t="n"/>
      <c r="L738" s="5" t="n"/>
    </row>
    <row r="739">
      <c r="A739" s="5" t="n"/>
      <c r="B739" s="6" t="n"/>
      <c r="C739" s="5" t="n"/>
      <c r="D739" s="5" t="n"/>
      <c r="E739" s="5" t="n"/>
      <c r="F739" s="5" t="n"/>
      <c r="G739" s="5" t="n"/>
      <c r="H739" s="6" t="n"/>
      <c r="I739" s="5" t="n"/>
      <c r="J739" s="5" t="n"/>
      <c r="K739" s="5" t="n"/>
      <c r="L739" s="5" t="n"/>
    </row>
    <row r="740">
      <c r="A740" s="5" t="n"/>
      <c r="B740" s="6" t="n"/>
      <c r="C740" s="5" t="n"/>
      <c r="D740" s="5" t="n"/>
      <c r="E740" s="5" t="n"/>
      <c r="F740" s="5" t="n"/>
      <c r="G740" s="5" t="n"/>
      <c r="H740" s="6" t="n"/>
      <c r="I740" s="5" t="n"/>
      <c r="J740" s="5" t="n"/>
      <c r="K740" s="5" t="n"/>
      <c r="L740" s="5" t="n"/>
    </row>
    <row r="741">
      <c r="A741" s="5" t="n"/>
      <c r="B741" s="6" t="n"/>
      <c r="C741" s="5" t="n"/>
      <c r="D741" s="5" t="n"/>
      <c r="E741" s="5" t="n"/>
      <c r="F741" s="5" t="n"/>
      <c r="G741" s="5" t="n"/>
      <c r="H741" s="6" t="n"/>
      <c r="I741" s="5" t="n"/>
      <c r="J741" s="5" t="n"/>
      <c r="K741" s="5" t="n"/>
      <c r="L741" s="5" t="n"/>
    </row>
    <row r="742">
      <c r="A742" s="5" t="n"/>
      <c r="B742" s="6" t="n"/>
      <c r="C742" s="5" t="n"/>
      <c r="D742" s="5" t="n"/>
      <c r="E742" s="5" t="n"/>
      <c r="F742" s="5" t="n"/>
      <c r="G742" s="5" t="n"/>
      <c r="H742" s="6" t="n"/>
      <c r="I742" s="5" t="n"/>
      <c r="J742" s="5" t="n"/>
      <c r="K742" s="5" t="n"/>
      <c r="L742" s="5" t="n"/>
    </row>
    <row r="743">
      <c r="A743" s="5" t="n"/>
      <c r="B743" s="6" t="n"/>
      <c r="C743" s="5" t="n"/>
      <c r="D743" s="5" t="n"/>
      <c r="E743" s="5" t="n"/>
      <c r="F743" s="5" t="n"/>
      <c r="G743" s="5" t="n"/>
      <c r="H743" s="6" t="n"/>
      <c r="I743" s="5" t="n"/>
      <c r="J743" s="5" t="n"/>
      <c r="K743" s="5" t="n"/>
      <c r="L743" s="5" t="n"/>
    </row>
    <row r="744">
      <c r="A744" s="5" t="n"/>
      <c r="B744" s="6" t="n"/>
      <c r="C744" s="5" t="n"/>
      <c r="D744" s="5" t="n"/>
      <c r="E744" s="5" t="n"/>
      <c r="F744" s="5" t="n"/>
      <c r="G744" s="5" t="n"/>
      <c r="H744" s="6" t="n"/>
      <c r="I744" s="5" t="n"/>
      <c r="J744" s="5" t="n"/>
      <c r="K744" s="5" t="n"/>
      <c r="L744" s="5" t="n"/>
    </row>
    <row r="745">
      <c r="A745" s="5" t="n"/>
      <c r="B745" s="6" t="n"/>
      <c r="C745" s="5" t="n"/>
      <c r="D745" s="5" t="n"/>
      <c r="E745" s="5" t="n"/>
      <c r="F745" s="5" t="n"/>
      <c r="G745" s="5" t="n"/>
      <c r="H745" s="6" t="n"/>
      <c r="I745" s="5" t="n"/>
      <c r="J745" s="5" t="n"/>
      <c r="K745" s="5" t="n"/>
      <c r="L745" s="5" t="n"/>
    </row>
    <row r="746">
      <c r="A746" s="5" t="n"/>
      <c r="B746" s="6" t="n"/>
      <c r="C746" s="5" t="n"/>
      <c r="D746" s="5" t="n"/>
      <c r="E746" s="5" t="n"/>
      <c r="F746" s="5" t="n"/>
      <c r="G746" s="5" t="n"/>
      <c r="H746" s="6" t="n"/>
      <c r="I746" s="5" t="n"/>
      <c r="J746" s="5" t="n"/>
      <c r="K746" s="5" t="n"/>
      <c r="L746" s="5" t="n"/>
    </row>
    <row r="747">
      <c r="A747" s="5" t="n"/>
      <c r="B747" s="6" t="n"/>
      <c r="C747" s="5" t="n"/>
      <c r="D747" s="5" t="n"/>
      <c r="E747" s="5" t="n"/>
      <c r="F747" s="5" t="n"/>
      <c r="G747" s="5" t="n"/>
      <c r="H747" s="6" t="n"/>
      <c r="I747" s="5" t="n"/>
      <c r="J747" s="5" t="n"/>
      <c r="K747" s="5" t="n"/>
      <c r="L747" s="5" t="n"/>
    </row>
    <row r="748">
      <c r="A748" s="5" t="n"/>
      <c r="B748" s="6" t="n"/>
      <c r="C748" s="5" t="n"/>
      <c r="D748" s="5" t="n"/>
      <c r="E748" s="5" t="n"/>
      <c r="F748" s="5" t="n"/>
      <c r="G748" s="5" t="n"/>
      <c r="H748" s="6" t="n"/>
      <c r="I748" s="5" t="n"/>
      <c r="J748" s="5" t="n"/>
      <c r="K748" s="5" t="n"/>
      <c r="L748" s="5" t="n"/>
    </row>
    <row r="749">
      <c r="A749" s="5" t="n"/>
      <c r="B749" s="6" t="n"/>
      <c r="C749" s="5" t="n"/>
      <c r="D749" s="5" t="n"/>
      <c r="E749" s="5" t="n"/>
      <c r="F749" s="5" t="n"/>
      <c r="G749" s="5" t="n"/>
      <c r="H749" s="6" t="n"/>
      <c r="I749" s="5" t="n"/>
      <c r="J749" s="5" t="n"/>
      <c r="K749" s="5" t="n"/>
      <c r="L749" s="5" t="n"/>
    </row>
    <row r="750">
      <c r="A750" s="5" t="n"/>
      <c r="B750" s="6" t="n"/>
      <c r="C750" s="5" t="n"/>
      <c r="D750" s="5" t="n"/>
      <c r="E750" s="5" t="n"/>
      <c r="F750" s="5" t="n"/>
      <c r="G750" s="5" t="n"/>
      <c r="H750" s="6" t="n"/>
      <c r="I750" s="5" t="n"/>
      <c r="J750" s="5" t="n"/>
      <c r="K750" s="5" t="n"/>
      <c r="L750" s="5" t="n"/>
    </row>
    <row r="751">
      <c r="A751" s="5" t="n"/>
      <c r="B751" s="6" t="n"/>
      <c r="C751" s="5" t="n"/>
      <c r="D751" s="5" t="n"/>
      <c r="E751" s="5" t="n"/>
      <c r="F751" s="5" t="n"/>
      <c r="G751" s="5" t="n"/>
      <c r="H751" s="6" t="n"/>
      <c r="I751" s="5" t="n"/>
      <c r="J751" s="5" t="n"/>
      <c r="K751" s="5" t="n"/>
      <c r="L751" s="5" t="n"/>
    </row>
    <row r="752">
      <c r="A752" s="5" t="n"/>
      <c r="B752" s="6" t="n"/>
      <c r="C752" s="5" t="n"/>
      <c r="D752" s="5" t="n"/>
      <c r="E752" s="5" t="n"/>
      <c r="F752" s="5" t="n"/>
      <c r="G752" s="5" t="n"/>
      <c r="H752" s="6" t="n"/>
      <c r="I752" s="5" t="n"/>
      <c r="J752" s="5" t="n"/>
      <c r="K752" s="5" t="n"/>
      <c r="L752" s="5" t="n"/>
    </row>
    <row r="753">
      <c r="A753" s="5" t="n"/>
      <c r="B753" s="6" t="n"/>
      <c r="C753" s="5" t="n"/>
      <c r="D753" s="5" t="n"/>
      <c r="E753" s="5" t="n"/>
      <c r="F753" s="5" t="n"/>
      <c r="G753" s="5" t="n"/>
      <c r="H753" s="6" t="n"/>
      <c r="I753" s="5" t="n"/>
      <c r="J753" s="5" t="n"/>
      <c r="K753" s="5" t="n"/>
      <c r="L753" s="5" t="n"/>
    </row>
    <row r="754">
      <c r="A754" s="5" t="n"/>
      <c r="B754" s="6" t="n"/>
      <c r="C754" s="5" t="n"/>
      <c r="D754" s="5" t="n"/>
      <c r="E754" s="5" t="n"/>
      <c r="F754" s="5" t="n"/>
      <c r="G754" s="5" t="n"/>
      <c r="H754" s="6" t="n"/>
      <c r="I754" s="5" t="n"/>
      <c r="J754" s="5" t="n"/>
      <c r="K754" s="5" t="n"/>
      <c r="L754" s="5" t="n"/>
    </row>
    <row r="755">
      <c r="A755" s="5" t="n"/>
      <c r="B755" s="6" t="n"/>
      <c r="C755" s="5" t="n"/>
      <c r="D755" s="5" t="n"/>
      <c r="E755" s="5" t="n"/>
      <c r="F755" s="5" t="n"/>
      <c r="G755" s="5" t="n"/>
      <c r="H755" s="6" t="n"/>
      <c r="I755" s="5" t="n"/>
      <c r="J755" s="5" t="n"/>
      <c r="K755" s="5" t="n"/>
      <c r="L755" s="5" t="n"/>
    </row>
    <row r="756">
      <c r="A756" s="5" t="n"/>
      <c r="B756" s="6" t="n"/>
      <c r="C756" s="5" t="n"/>
      <c r="D756" s="5" t="n"/>
      <c r="E756" s="5" t="n"/>
      <c r="F756" s="5" t="n"/>
      <c r="G756" s="5" t="n"/>
      <c r="H756" s="6" t="n"/>
      <c r="I756" s="5" t="n"/>
      <c r="J756" s="5" t="n"/>
      <c r="K756" s="5" t="n"/>
      <c r="L756" s="5" t="n"/>
    </row>
    <row r="757">
      <c r="A757" s="5" t="n"/>
      <c r="B757" s="6" t="n"/>
      <c r="C757" s="5" t="n"/>
      <c r="D757" s="5" t="n"/>
      <c r="E757" s="5" t="n"/>
      <c r="F757" s="5" t="n"/>
      <c r="G757" s="5" t="n"/>
      <c r="H757" s="6" t="n"/>
      <c r="I757" s="5" t="n"/>
      <c r="J757" s="5" t="n"/>
      <c r="K757" s="5" t="n"/>
      <c r="L757" s="5" t="n"/>
    </row>
    <row r="758">
      <c r="A758" s="5" t="n"/>
      <c r="B758" s="6" t="n"/>
      <c r="C758" s="5" t="n"/>
      <c r="D758" s="5" t="n"/>
      <c r="E758" s="5" t="n"/>
      <c r="F758" s="5" t="n"/>
      <c r="G758" s="5" t="n"/>
      <c r="H758" s="6" t="n"/>
      <c r="I758" s="5" t="n"/>
      <c r="J758" s="5" t="n"/>
      <c r="K758" s="5" t="n"/>
      <c r="L758" s="5" t="n"/>
    </row>
    <row r="759">
      <c r="A759" s="5" t="n"/>
      <c r="B759" s="6" t="n"/>
      <c r="C759" s="5" t="n"/>
      <c r="D759" s="5" t="n"/>
      <c r="E759" s="5" t="n"/>
      <c r="F759" s="5" t="n"/>
      <c r="G759" s="5" t="n"/>
      <c r="H759" s="6" t="n"/>
      <c r="I759" s="5" t="n"/>
      <c r="J759" s="5" t="n"/>
      <c r="K759" s="5" t="n"/>
      <c r="L759" s="5" t="n"/>
    </row>
    <row r="760">
      <c r="A760" s="5" t="n"/>
      <c r="B760" s="6" t="n"/>
      <c r="C760" s="5" t="n"/>
      <c r="D760" s="5" t="n"/>
      <c r="E760" s="5" t="n"/>
      <c r="F760" s="5" t="n"/>
      <c r="G760" s="5" t="n"/>
      <c r="H760" s="6" t="n"/>
      <c r="I760" s="5" t="n"/>
      <c r="J760" s="5" t="n"/>
      <c r="K760" s="5" t="n"/>
      <c r="L760" s="5" t="n"/>
    </row>
    <row r="761">
      <c r="A761" s="5" t="n"/>
      <c r="B761" s="6" t="n"/>
      <c r="C761" s="5" t="n"/>
      <c r="D761" s="5" t="n"/>
      <c r="E761" s="5" t="n"/>
      <c r="F761" s="5" t="n"/>
      <c r="G761" s="5" t="n"/>
      <c r="H761" s="6" t="n"/>
      <c r="I761" s="5" t="n"/>
      <c r="J761" s="5" t="n"/>
      <c r="K761" s="5" t="n"/>
      <c r="L761" s="5" t="n"/>
    </row>
    <row r="762">
      <c r="A762" s="5" t="n"/>
      <c r="B762" s="6" t="n"/>
      <c r="C762" s="5" t="n"/>
      <c r="D762" s="5" t="n"/>
      <c r="E762" s="5" t="n"/>
      <c r="F762" s="5" t="n"/>
      <c r="G762" s="5" t="n"/>
      <c r="H762" s="6" t="n"/>
      <c r="I762" s="5" t="n"/>
      <c r="J762" s="5" t="n"/>
      <c r="K762" s="5" t="n"/>
      <c r="L762" s="5" t="n"/>
    </row>
    <row r="763">
      <c r="A763" s="5" t="n"/>
      <c r="B763" s="6" t="n"/>
      <c r="C763" s="5" t="n"/>
      <c r="D763" s="5" t="n"/>
      <c r="E763" s="5" t="n"/>
      <c r="F763" s="5" t="n"/>
      <c r="G763" s="5" t="n"/>
      <c r="H763" s="6" t="n"/>
      <c r="I763" s="5" t="n"/>
      <c r="J763" s="5" t="n"/>
      <c r="K763" s="5" t="n"/>
      <c r="L763" s="5" t="n"/>
    </row>
    <row r="764">
      <c r="A764" s="5" t="n"/>
      <c r="B764" s="6" t="n"/>
      <c r="C764" s="5" t="n"/>
      <c r="D764" s="5" t="n"/>
      <c r="E764" s="5" t="n"/>
      <c r="F764" s="5" t="n"/>
      <c r="G764" s="5" t="n"/>
      <c r="H764" s="6" t="n"/>
      <c r="I764" s="5" t="n"/>
      <c r="J764" s="5" t="n"/>
      <c r="K764" s="5" t="n"/>
      <c r="L764" s="5" t="n"/>
    </row>
    <row r="765">
      <c r="A765" s="5" t="n"/>
      <c r="B765" s="6" t="n"/>
      <c r="C765" s="5" t="n"/>
      <c r="D765" s="5" t="n"/>
      <c r="E765" s="5" t="n"/>
      <c r="F765" s="5" t="n"/>
      <c r="G765" s="5" t="n"/>
      <c r="H765" s="6" t="n"/>
      <c r="I765" s="5" t="n"/>
      <c r="J765" s="5" t="n"/>
      <c r="K765" s="5" t="n"/>
      <c r="L765" s="5" t="n"/>
    </row>
    <row r="766">
      <c r="A766" s="5" t="n"/>
      <c r="B766" s="6" t="n"/>
      <c r="C766" s="5" t="n"/>
      <c r="D766" s="5" t="n"/>
      <c r="E766" s="5" t="n"/>
      <c r="F766" s="5" t="n"/>
      <c r="G766" s="5" t="n"/>
      <c r="H766" s="6" t="n"/>
      <c r="I766" s="5" t="n"/>
      <c r="J766" s="5" t="n"/>
      <c r="K766" s="5" t="n"/>
      <c r="L766" s="5" t="n"/>
    </row>
    <row r="767">
      <c r="A767" s="5" t="n"/>
      <c r="B767" s="6" t="n"/>
      <c r="C767" s="5" t="n"/>
      <c r="D767" s="5" t="n"/>
      <c r="E767" s="5" t="n"/>
      <c r="F767" s="5" t="n"/>
      <c r="G767" s="5" t="n"/>
      <c r="H767" s="6" t="n"/>
      <c r="I767" s="5" t="n"/>
      <c r="J767" s="5" t="n"/>
      <c r="K767" s="5" t="n"/>
      <c r="L767" s="5" t="n"/>
    </row>
    <row r="768">
      <c r="A768" s="5" t="n"/>
      <c r="B768" s="6" t="n"/>
      <c r="C768" s="5" t="n"/>
      <c r="D768" s="5" t="n"/>
      <c r="E768" s="5" t="n"/>
      <c r="F768" s="5" t="n"/>
      <c r="G768" s="5" t="n"/>
      <c r="H768" s="6" t="n"/>
      <c r="I768" s="5" t="n"/>
      <c r="J768" s="5" t="n"/>
      <c r="K768" s="5" t="n"/>
      <c r="L768" s="5" t="n"/>
    </row>
    <row r="769">
      <c r="A769" s="5" t="n"/>
      <c r="B769" s="6" t="n"/>
      <c r="C769" s="5" t="n"/>
      <c r="D769" s="5" t="n"/>
      <c r="E769" s="5" t="n"/>
      <c r="F769" s="5" t="n"/>
      <c r="G769" s="5" t="n"/>
      <c r="H769" s="6" t="n"/>
      <c r="I769" s="5" t="n"/>
      <c r="J769" s="5" t="n"/>
      <c r="K769" s="5" t="n"/>
      <c r="L769" s="5" t="n"/>
    </row>
    <row r="770">
      <c r="A770" s="5" t="n"/>
      <c r="B770" s="6" t="n"/>
      <c r="C770" s="5" t="n"/>
      <c r="D770" s="5" t="n"/>
      <c r="E770" s="5" t="n"/>
      <c r="F770" s="5" t="n"/>
      <c r="G770" s="5" t="n"/>
      <c r="H770" s="6" t="n"/>
      <c r="I770" s="5" t="n"/>
      <c r="J770" s="5" t="n"/>
      <c r="K770" s="5" t="n"/>
      <c r="L770" s="5" t="n"/>
    </row>
    <row r="771">
      <c r="A771" s="5" t="n"/>
      <c r="B771" s="6" t="n"/>
      <c r="C771" s="5" t="n"/>
      <c r="D771" s="5" t="n"/>
      <c r="E771" s="5" t="n"/>
      <c r="F771" s="5" t="n"/>
      <c r="G771" s="5" t="n"/>
      <c r="H771" s="6" t="n"/>
      <c r="I771" s="5" t="n"/>
      <c r="J771" s="5" t="n"/>
      <c r="K771" s="5" t="n"/>
      <c r="L771" s="5" t="n"/>
    </row>
    <row r="772">
      <c r="A772" s="5" t="n"/>
      <c r="B772" s="6" t="n"/>
      <c r="C772" s="5" t="n"/>
      <c r="D772" s="5" t="n"/>
      <c r="E772" s="5" t="n"/>
      <c r="F772" s="5" t="n"/>
      <c r="G772" s="5" t="n"/>
      <c r="H772" s="6" t="n"/>
      <c r="I772" s="5" t="n"/>
      <c r="J772" s="5" t="n"/>
      <c r="K772" s="5" t="n"/>
      <c r="L772" s="5" t="n"/>
    </row>
    <row r="773">
      <c r="A773" s="5" t="n"/>
      <c r="B773" s="6" t="n"/>
      <c r="C773" s="5" t="n"/>
      <c r="D773" s="5" t="n"/>
      <c r="E773" s="5" t="n"/>
      <c r="F773" s="5" t="n"/>
      <c r="G773" s="5" t="n"/>
      <c r="H773" s="6" t="n"/>
      <c r="I773" s="5" t="n"/>
      <c r="J773" s="5" t="n"/>
      <c r="K773" s="5" t="n"/>
      <c r="L773" s="5" t="n"/>
    </row>
    <row r="774">
      <c r="A774" s="5" t="n"/>
      <c r="B774" s="6" t="n"/>
      <c r="C774" s="5" t="n"/>
      <c r="D774" s="5" t="n"/>
      <c r="E774" s="5" t="n"/>
      <c r="F774" s="5" t="n"/>
      <c r="G774" s="5" t="n"/>
      <c r="H774" s="6" t="n"/>
      <c r="I774" s="5" t="n"/>
      <c r="J774" s="5" t="n"/>
      <c r="K774" s="5" t="n"/>
      <c r="L774" s="5" t="n"/>
    </row>
    <row r="775">
      <c r="A775" s="5" t="n"/>
      <c r="B775" s="6" t="n"/>
      <c r="C775" s="5" t="n"/>
      <c r="D775" s="5" t="n"/>
      <c r="E775" s="5" t="n"/>
      <c r="F775" s="5" t="n"/>
      <c r="G775" s="5" t="n"/>
      <c r="H775" s="6" t="n"/>
      <c r="I775" s="5" t="n"/>
      <c r="J775" s="5" t="n"/>
      <c r="K775" s="5" t="n"/>
      <c r="L775" s="5" t="n"/>
    </row>
    <row r="776">
      <c r="A776" s="5" t="n"/>
      <c r="B776" s="6" t="n"/>
      <c r="C776" s="5" t="n"/>
      <c r="D776" s="5" t="n"/>
      <c r="E776" s="5" t="n"/>
      <c r="F776" s="5" t="n"/>
      <c r="G776" s="5" t="n"/>
      <c r="H776" s="6" t="n"/>
      <c r="I776" s="5" t="n"/>
      <c r="J776" s="5" t="n"/>
      <c r="K776" s="5" t="n"/>
      <c r="L776" s="5" t="n"/>
    </row>
    <row r="777">
      <c r="A777" s="5" t="n"/>
      <c r="B777" s="6" t="n"/>
      <c r="C777" s="5" t="n"/>
      <c r="D777" s="5" t="n"/>
      <c r="E777" s="5" t="n"/>
      <c r="F777" s="5" t="n"/>
      <c r="G777" s="5" t="n"/>
      <c r="H777" s="6" t="n"/>
      <c r="I777" s="5" t="n"/>
      <c r="J777" s="5" t="n"/>
      <c r="K777" s="5" t="n"/>
      <c r="L777" s="5" t="n"/>
    </row>
    <row r="778">
      <c r="A778" s="5" t="n"/>
      <c r="B778" s="6" t="n"/>
      <c r="C778" s="5" t="n"/>
      <c r="D778" s="5" t="n"/>
      <c r="E778" s="5" t="n"/>
      <c r="F778" s="5" t="n"/>
      <c r="G778" s="5" t="n"/>
      <c r="H778" s="6" t="n"/>
      <c r="I778" s="5" t="n"/>
      <c r="J778" s="5" t="n"/>
      <c r="K778" s="5" t="n"/>
      <c r="L778" s="5" t="n"/>
    </row>
    <row r="779">
      <c r="A779" s="5" t="n"/>
      <c r="B779" s="6" t="n"/>
      <c r="C779" s="5" t="n"/>
      <c r="D779" s="5" t="n"/>
      <c r="E779" s="5" t="n"/>
      <c r="F779" s="5" t="n"/>
      <c r="G779" s="5" t="n"/>
      <c r="H779" s="6" t="n"/>
      <c r="I779" s="5" t="n"/>
      <c r="J779" s="5" t="n"/>
      <c r="K779" s="5" t="n"/>
      <c r="L779" s="5" t="n"/>
    </row>
    <row r="780">
      <c r="A780" s="5" t="n"/>
      <c r="B780" s="6" t="n"/>
      <c r="C780" s="5" t="n"/>
      <c r="D780" s="5" t="n"/>
      <c r="E780" s="5" t="n"/>
      <c r="F780" s="5" t="n"/>
      <c r="G780" s="5" t="n"/>
      <c r="H780" s="6" t="n"/>
      <c r="I780" s="5" t="n"/>
      <c r="J780" s="5" t="n"/>
      <c r="K780" s="5" t="n"/>
      <c r="L780" s="5" t="n"/>
    </row>
    <row r="781">
      <c r="A781" s="5" t="n"/>
      <c r="B781" s="6" t="n"/>
      <c r="C781" s="5" t="n"/>
      <c r="D781" s="5" t="n"/>
      <c r="E781" s="5" t="n"/>
      <c r="F781" s="5" t="n"/>
      <c r="G781" s="5" t="n"/>
      <c r="H781" s="6" t="n"/>
      <c r="I781" s="5" t="n"/>
      <c r="J781" s="5" t="n"/>
      <c r="K781" s="5" t="n"/>
      <c r="L781" s="5" t="n"/>
    </row>
    <row r="782">
      <c r="A782" s="5" t="n"/>
      <c r="B782" s="6" t="n"/>
      <c r="C782" s="5" t="n"/>
      <c r="D782" s="5" t="n"/>
      <c r="E782" s="5" t="n"/>
      <c r="F782" s="5" t="n"/>
      <c r="G782" s="5" t="n"/>
      <c r="H782" s="6" t="n"/>
      <c r="I782" s="5" t="n"/>
      <c r="J782" s="5" t="n"/>
      <c r="K782" s="5" t="n"/>
      <c r="L782" s="5" t="n"/>
    </row>
    <row r="783">
      <c r="A783" s="5" t="n"/>
      <c r="B783" s="6" t="n"/>
      <c r="C783" s="5" t="n"/>
      <c r="D783" s="5" t="n"/>
      <c r="E783" s="5" t="n"/>
      <c r="F783" s="5" t="n"/>
      <c r="G783" s="5" t="n"/>
      <c r="H783" s="6" t="n"/>
      <c r="I783" s="5" t="n"/>
      <c r="J783" s="5" t="n"/>
      <c r="K783" s="5" t="n"/>
      <c r="L783" s="5" t="n"/>
    </row>
    <row r="784">
      <c r="A784" s="5" t="n"/>
      <c r="B784" s="6" t="n"/>
      <c r="C784" s="5" t="n"/>
      <c r="D784" s="5" t="n"/>
      <c r="E784" s="5" t="n"/>
      <c r="F784" s="5" t="n"/>
      <c r="G784" s="5" t="n"/>
      <c r="H784" s="6" t="n"/>
      <c r="I784" s="5" t="n"/>
      <c r="J784" s="5" t="n"/>
      <c r="K784" s="5" t="n"/>
      <c r="L784" s="5" t="n"/>
    </row>
    <row r="785">
      <c r="A785" s="5" t="n"/>
      <c r="B785" s="6" t="n"/>
      <c r="C785" s="5" t="n"/>
      <c r="D785" s="5" t="n"/>
      <c r="E785" s="5" t="n"/>
      <c r="F785" s="5" t="n"/>
      <c r="G785" s="5" t="n"/>
      <c r="H785" s="6" t="n"/>
      <c r="I785" s="5" t="n"/>
      <c r="J785" s="5" t="n"/>
      <c r="K785" s="5" t="n"/>
      <c r="L785" s="5" t="n"/>
    </row>
    <row r="786">
      <c r="A786" s="5" t="n"/>
      <c r="B786" s="6" t="n"/>
      <c r="C786" s="5" t="n"/>
      <c r="D786" s="5" t="n"/>
      <c r="E786" s="5" t="n"/>
      <c r="F786" s="5" t="n"/>
      <c r="G786" s="5" t="n"/>
      <c r="H786" s="6" t="n"/>
      <c r="I786" s="5" t="n"/>
      <c r="J786" s="5" t="n"/>
      <c r="K786" s="5" t="n"/>
      <c r="L786" s="5" t="n"/>
    </row>
    <row r="787">
      <c r="A787" s="5" t="n"/>
      <c r="B787" s="6" t="n"/>
      <c r="C787" s="5" t="n"/>
      <c r="D787" s="5" t="n"/>
      <c r="E787" s="5" t="n"/>
      <c r="F787" s="5" t="n"/>
      <c r="G787" s="5" t="n"/>
      <c r="H787" s="6" t="n"/>
      <c r="I787" s="5" t="n"/>
      <c r="J787" s="5" t="n"/>
      <c r="K787" s="5" t="n"/>
      <c r="L787" s="5" t="n"/>
    </row>
    <row r="788">
      <c r="A788" s="5" t="n"/>
      <c r="B788" s="6" t="n"/>
      <c r="C788" s="5" t="n"/>
      <c r="D788" s="5" t="n"/>
      <c r="E788" s="5" t="n"/>
      <c r="F788" s="5" t="n"/>
      <c r="G788" s="5" t="n"/>
      <c r="H788" s="6" t="n"/>
      <c r="I788" s="5" t="n"/>
      <c r="J788" s="5" t="n"/>
      <c r="K788" s="5" t="n"/>
      <c r="L788" s="5" t="n"/>
    </row>
    <row r="789">
      <c r="A789" s="5" t="n"/>
      <c r="B789" s="6" t="n"/>
      <c r="C789" s="5" t="n"/>
      <c r="D789" s="5" t="n"/>
      <c r="E789" s="5" t="n"/>
      <c r="F789" s="5" t="n"/>
      <c r="G789" s="5" t="n"/>
      <c r="H789" s="6" t="n"/>
      <c r="I789" s="5" t="n"/>
      <c r="J789" s="5" t="n"/>
      <c r="K789" s="5" t="n"/>
      <c r="L789" s="5" t="n"/>
    </row>
    <row r="790">
      <c r="A790" s="5" t="n"/>
      <c r="B790" s="6" t="n"/>
      <c r="C790" s="5" t="n"/>
      <c r="D790" s="5" t="n"/>
      <c r="E790" s="5" t="n"/>
      <c r="F790" s="5" t="n"/>
      <c r="G790" s="5" t="n"/>
      <c r="H790" s="6" t="n"/>
      <c r="I790" s="5" t="n"/>
      <c r="J790" s="5" t="n"/>
      <c r="K790" s="5" t="n"/>
      <c r="L790" s="5" t="n"/>
    </row>
    <row r="791">
      <c r="A791" s="5" t="n"/>
      <c r="B791" s="6" t="n"/>
      <c r="C791" s="5" t="n"/>
      <c r="D791" s="5" t="n"/>
      <c r="E791" s="5" t="n"/>
      <c r="F791" s="5" t="n"/>
      <c r="G791" s="5" t="n"/>
      <c r="H791" s="6" t="n"/>
      <c r="I791" s="5" t="n"/>
      <c r="J791" s="5" t="n"/>
      <c r="K791" s="5" t="n"/>
      <c r="L791" s="5" t="n"/>
    </row>
    <row r="792">
      <c r="A792" s="5" t="n"/>
      <c r="B792" s="6" t="n"/>
      <c r="C792" s="5" t="n"/>
      <c r="D792" s="5" t="n"/>
      <c r="E792" s="5" t="n"/>
      <c r="F792" s="5" t="n"/>
      <c r="G792" s="5" t="n"/>
      <c r="H792" s="6" t="n"/>
      <c r="I792" s="5" t="n"/>
      <c r="J792" s="5" t="n"/>
      <c r="K792" s="5" t="n"/>
      <c r="L792" s="5" t="n"/>
    </row>
    <row r="793">
      <c r="A793" s="5" t="n"/>
      <c r="B793" s="6" t="n"/>
      <c r="C793" s="5" t="n"/>
      <c r="D793" s="5" t="n"/>
      <c r="E793" s="5" t="n"/>
      <c r="F793" s="5" t="n"/>
      <c r="G793" s="5" t="n"/>
      <c r="H793" s="6" t="n"/>
      <c r="I793" s="5" t="n"/>
      <c r="J793" s="5" t="n"/>
      <c r="K793" s="5" t="n"/>
      <c r="L793" s="5" t="n"/>
    </row>
    <row r="794">
      <c r="A794" s="5" t="n"/>
      <c r="B794" s="6" t="n"/>
      <c r="C794" s="5" t="n"/>
      <c r="D794" s="5" t="n"/>
      <c r="E794" s="5" t="n"/>
      <c r="F794" s="5" t="n"/>
      <c r="G794" s="5" t="n"/>
      <c r="H794" s="6" t="n"/>
      <c r="I794" s="5" t="n"/>
      <c r="J794" s="5" t="n"/>
      <c r="K794" s="5" t="n"/>
      <c r="L794" s="5" t="n"/>
    </row>
    <row r="795">
      <c r="A795" s="5" t="n"/>
      <c r="B795" s="6" t="n"/>
      <c r="C795" s="5" t="n"/>
      <c r="D795" s="5" t="n"/>
      <c r="E795" s="5" t="n"/>
      <c r="F795" s="5" t="n"/>
      <c r="G795" s="5" t="n"/>
      <c r="H795" s="6" t="n"/>
      <c r="I795" s="5" t="n"/>
      <c r="J795" s="5" t="n"/>
      <c r="K795" s="5" t="n"/>
      <c r="L795" s="5" t="n"/>
    </row>
    <row r="796">
      <c r="A796" s="5" t="n"/>
      <c r="B796" s="6" t="n"/>
      <c r="C796" s="5" t="n"/>
      <c r="D796" s="5" t="n"/>
      <c r="E796" s="5" t="n"/>
      <c r="F796" s="5" t="n"/>
      <c r="G796" s="5" t="n"/>
      <c r="H796" s="6" t="n"/>
      <c r="I796" s="5" t="n"/>
      <c r="J796" s="5" t="n"/>
      <c r="K796" s="5" t="n"/>
      <c r="L796" s="5" t="n"/>
    </row>
    <row r="797">
      <c r="A797" s="5" t="n"/>
      <c r="B797" s="6" t="n"/>
      <c r="C797" s="5" t="n"/>
      <c r="D797" s="5" t="n"/>
      <c r="E797" s="5" t="n"/>
      <c r="F797" s="5" t="n"/>
      <c r="G797" s="5" t="n"/>
      <c r="H797" s="6" t="n"/>
      <c r="I797" s="5" t="n"/>
      <c r="J797" s="5" t="n"/>
      <c r="K797" s="5" t="n"/>
      <c r="L797" s="5" t="n"/>
    </row>
    <row r="798">
      <c r="A798" s="5" t="n"/>
      <c r="B798" s="6" t="n"/>
      <c r="C798" s="5" t="n"/>
      <c r="D798" s="5" t="n"/>
      <c r="E798" s="5" t="n"/>
      <c r="F798" s="5" t="n"/>
      <c r="G798" s="5" t="n"/>
      <c r="H798" s="6" t="n"/>
      <c r="I798" s="5" t="n"/>
      <c r="J798" s="5" t="n"/>
      <c r="K798" s="5" t="n"/>
      <c r="L798" s="5" t="n"/>
    </row>
    <row r="799">
      <c r="A799" s="5" t="n"/>
      <c r="B799" s="6" t="n"/>
      <c r="C799" s="5" t="n"/>
      <c r="D799" s="5" t="n"/>
      <c r="E799" s="5" t="n"/>
      <c r="F799" s="5" t="n"/>
      <c r="G799" s="5" t="n"/>
      <c r="H799" s="6" t="n"/>
      <c r="I799" s="5" t="n"/>
      <c r="J799" s="5" t="n"/>
      <c r="K799" s="5" t="n"/>
      <c r="L799" s="5" t="n"/>
    </row>
    <row r="800">
      <c r="A800" s="5" t="n"/>
      <c r="B800" s="6" t="n"/>
      <c r="C800" s="5" t="n"/>
      <c r="D800" s="5" t="n"/>
      <c r="E800" s="5" t="n"/>
      <c r="F800" s="5" t="n"/>
      <c r="G800" s="5" t="n"/>
      <c r="H800" s="6" t="n"/>
      <c r="I800" s="5" t="n"/>
      <c r="J800" s="5" t="n"/>
      <c r="K800" s="5" t="n"/>
      <c r="L800" s="5" t="n"/>
    </row>
    <row r="801">
      <c r="A801" s="5" t="n"/>
      <c r="B801" s="6" t="n"/>
      <c r="C801" s="5" t="n"/>
      <c r="D801" s="5" t="n"/>
      <c r="E801" s="5" t="n"/>
      <c r="F801" s="5" t="n"/>
      <c r="G801" s="5" t="n"/>
      <c r="H801" s="6" t="n"/>
      <c r="I801" s="5" t="n"/>
      <c r="J801" s="5" t="n"/>
      <c r="K801" s="5" t="n"/>
      <c r="L801" s="5" t="n"/>
    </row>
    <row r="802">
      <c r="A802" s="5" t="n"/>
      <c r="B802" s="6" t="n"/>
      <c r="C802" s="5" t="n"/>
      <c r="D802" s="5" t="n"/>
      <c r="E802" s="5" t="n"/>
      <c r="F802" s="5" t="n"/>
      <c r="G802" s="5" t="n"/>
      <c r="H802" s="6" t="n"/>
      <c r="I802" s="5" t="n"/>
      <c r="J802" s="5" t="n"/>
      <c r="K802" s="5" t="n"/>
      <c r="L802" s="5" t="n"/>
    </row>
    <row r="803">
      <c r="A803" s="5" t="n"/>
      <c r="B803" s="6" t="n"/>
      <c r="C803" s="5" t="n"/>
      <c r="D803" s="5" t="n"/>
      <c r="E803" s="5" t="n"/>
      <c r="F803" s="5" t="n"/>
      <c r="G803" s="5" t="n"/>
      <c r="H803" s="6" t="n"/>
      <c r="I803" s="5" t="n"/>
      <c r="J803" s="5" t="n"/>
      <c r="K803" s="5" t="n"/>
      <c r="L803" s="5" t="n"/>
    </row>
    <row r="804">
      <c r="A804" s="5" t="n"/>
      <c r="B804" s="6" t="n"/>
      <c r="C804" s="5" t="n"/>
      <c r="D804" s="5" t="n"/>
      <c r="E804" s="5" t="n"/>
      <c r="F804" s="5" t="n"/>
      <c r="G804" s="5" t="n"/>
      <c r="H804" s="6" t="n"/>
      <c r="I804" s="5" t="n"/>
      <c r="J804" s="5" t="n"/>
      <c r="K804" s="5" t="n"/>
      <c r="L804" s="5" t="n"/>
    </row>
    <row r="805">
      <c r="A805" s="5" t="n"/>
      <c r="B805" s="6" t="n"/>
      <c r="C805" s="5" t="n"/>
      <c r="D805" s="5" t="n"/>
      <c r="E805" s="5" t="n"/>
      <c r="F805" s="5" t="n"/>
      <c r="G805" s="5" t="n"/>
      <c r="H805" s="6" t="n"/>
      <c r="I805" s="5" t="n"/>
      <c r="J805" s="5" t="n"/>
      <c r="K805" s="5" t="n"/>
      <c r="L805" s="5" t="n"/>
    </row>
    <row r="806">
      <c r="A806" s="5" t="n"/>
      <c r="B806" s="6" t="n"/>
      <c r="C806" s="5" t="n"/>
      <c r="D806" s="5" t="n"/>
      <c r="E806" s="5" t="n"/>
      <c r="F806" s="5" t="n"/>
      <c r="G806" s="5" t="n"/>
      <c r="H806" s="6" t="n"/>
      <c r="I806" s="5" t="n"/>
      <c r="J806" s="5" t="n"/>
      <c r="K806" s="5" t="n"/>
      <c r="L806" s="5" t="n"/>
    </row>
    <row r="807">
      <c r="A807" s="5" t="n"/>
      <c r="B807" s="6" t="n"/>
      <c r="C807" s="5" t="n"/>
      <c r="D807" s="5" t="n"/>
      <c r="E807" s="5" t="n"/>
      <c r="F807" s="5" t="n"/>
      <c r="G807" s="5" t="n"/>
      <c r="H807" s="6" t="n"/>
      <c r="I807" s="5" t="n"/>
      <c r="J807" s="5" t="n"/>
      <c r="K807" s="5" t="n"/>
      <c r="L807" s="5" t="n"/>
    </row>
    <row r="808">
      <c r="A808" s="5" t="n"/>
      <c r="B808" s="6" t="n"/>
      <c r="C808" s="5" t="n"/>
      <c r="D808" s="5" t="n"/>
      <c r="E808" s="5" t="n"/>
      <c r="F808" s="5" t="n"/>
      <c r="G808" s="5" t="n"/>
      <c r="H808" s="6" t="n"/>
      <c r="I808" s="5" t="n"/>
      <c r="J808" s="5" t="n"/>
      <c r="K808" s="5" t="n"/>
      <c r="L808" s="5" t="n"/>
    </row>
    <row r="809">
      <c r="A809" s="5" t="n"/>
      <c r="B809" s="6" t="n"/>
      <c r="C809" s="5" t="n"/>
      <c r="D809" s="5" t="n"/>
      <c r="E809" s="5" t="n"/>
      <c r="F809" s="5" t="n"/>
      <c r="G809" s="5" t="n"/>
      <c r="H809" s="6" t="n"/>
      <c r="I809" s="5" t="n"/>
      <c r="J809" s="5" t="n"/>
      <c r="K809" s="5" t="n"/>
      <c r="L809" s="5" t="n"/>
    </row>
    <row r="810">
      <c r="A810" s="5" t="n"/>
      <c r="B810" s="6" t="n"/>
      <c r="C810" s="5" t="n"/>
      <c r="D810" s="5" t="n"/>
      <c r="E810" s="5" t="n"/>
      <c r="F810" s="5" t="n"/>
      <c r="G810" s="5" t="n"/>
      <c r="H810" s="6" t="n"/>
      <c r="I810" s="5" t="n"/>
      <c r="J810" s="5" t="n"/>
      <c r="K810" s="5" t="n"/>
      <c r="L810" s="5" t="n"/>
    </row>
    <row r="811">
      <c r="A811" s="5" t="n"/>
      <c r="B811" s="6" t="n"/>
      <c r="C811" s="5" t="n"/>
      <c r="D811" s="5" t="n"/>
      <c r="E811" s="5" t="n"/>
      <c r="F811" s="5" t="n"/>
      <c r="G811" s="5" t="n"/>
      <c r="H811" s="6" t="n"/>
      <c r="I811" s="5" t="n"/>
      <c r="J811" s="5" t="n"/>
      <c r="K811" s="5" t="n"/>
      <c r="L811" s="5" t="n"/>
    </row>
    <row r="812">
      <c r="A812" s="5" t="n"/>
      <c r="B812" s="6" t="n"/>
      <c r="C812" s="5" t="n"/>
      <c r="D812" s="5" t="n"/>
      <c r="E812" s="5" t="n"/>
      <c r="F812" s="5" t="n"/>
      <c r="G812" s="5" t="n"/>
      <c r="H812" s="6" t="n"/>
      <c r="I812" s="5" t="n"/>
      <c r="J812" s="5" t="n"/>
      <c r="K812" s="5" t="n"/>
      <c r="L812" s="5" t="n"/>
    </row>
    <row r="813">
      <c r="A813" s="5" t="n"/>
      <c r="B813" s="6" t="n"/>
      <c r="C813" s="5" t="n"/>
      <c r="D813" s="5" t="n"/>
      <c r="E813" s="5" t="n"/>
      <c r="F813" s="5" t="n"/>
      <c r="G813" s="5" t="n"/>
      <c r="H813" s="6" t="n"/>
      <c r="I813" s="5" t="n"/>
      <c r="J813" s="5" t="n"/>
      <c r="K813" s="5" t="n"/>
      <c r="L813" s="5" t="n"/>
    </row>
    <row r="814">
      <c r="A814" s="5" t="n"/>
      <c r="B814" s="6" t="n"/>
      <c r="C814" s="5" t="n"/>
      <c r="D814" s="5" t="n"/>
      <c r="E814" s="5" t="n"/>
      <c r="F814" s="5" t="n"/>
      <c r="G814" s="5" t="n"/>
      <c r="H814" s="6" t="n"/>
      <c r="I814" s="5" t="n"/>
      <c r="J814" s="5" t="n"/>
      <c r="K814" s="5" t="n"/>
      <c r="L814" s="5" t="n"/>
    </row>
    <row r="815">
      <c r="A815" s="5" t="n"/>
      <c r="B815" s="6" t="n"/>
      <c r="C815" s="5" t="n"/>
      <c r="D815" s="5" t="n"/>
      <c r="E815" s="5" t="n"/>
      <c r="F815" s="5" t="n"/>
      <c r="G815" s="5" t="n"/>
      <c r="H815" s="6" t="n"/>
      <c r="I815" s="5" t="n"/>
      <c r="J815" s="5" t="n"/>
      <c r="K815" s="5" t="n"/>
      <c r="L815" s="5" t="n"/>
    </row>
    <row r="816">
      <c r="A816" s="5" t="n"/>
      <c r="B816" s="6" t="n"/>
      <c r="C816" s="5" t="n"/>
      <c r="D816" s="5" t="n"/>
      <c r="E816" s="5" t="n"/>
      <c r="F816" s="5" t="n"/>
      <c r="G816" s="5" t="n"/>
      <c r="H816" s="6" t="n"/>
      <c r="I816" s="5" t="n"/>
      <c r="J816" s="5" t="n"/>
      <c r="K816" s="5" t="n"/>
      <c r="L816" s="5" t="n"/>
    </row>
    <row r="817">
      <c r="A817" s="5" t="n"/>
      <c r="B817" s="6" t="n"/>
      <c r="C817" s="5" t="n"/>
      <c r="D817" s="5" t="n"/>
      <c r="E817" s="5" t="n"/>
      <c r="F817" s="5" t="n"/>
      <c r="G817" s="5" t="n"/>
      <c r="H817" s="6" t="n"/>
      <c r="I817" s="5" t="n"/>
      <c r="J817" s="5" t="n"/>
      <c r="K817" s="5" t="n"/>
      <c r="L817" s="5" t="n"/>
    </row>
    <row r="818">
      <c r="A818" s="5" t="n"/>
      <c r="B818" s="6" t="n"/>
      <c r="C818" s="5" t="n"/>
      <c r="D818" s="5" t="n"/>
      <c r="E818" s="5" t="n"/>
      <c r="F818" s="5" t="n"/>
      <c r="G818" s="5" t="n"/>
      <c r="H818" s="6" t="n"/>
      <c r="I818" s="5" t="n"/>
      <c r="J818" s="5" t="n"/>
      <c r="K818" s="5" t="n"/>
      <c r="L818" s="5" t="n"/>
    </row>
    <row r="819">
      <c r="A819" s="5" t="n"/>
      <c r="B819" s="6" t="n"/>
      <c r="C819" s="5" t="n"/>
      <c r="D819" s="5" t="n"/>
      <c r="E819" s="5" t="n"/>
      <c r="F819" s="5" t="n"/>
      <c r="G819" s="5" t="n"/>
      <c r="H819" s="6" t="n"/>
      <c r="I819" s="5" t="n"/>
      <c r="J819" s="5" t="n"/>
      <c r="K819" s="5" t="n"/>
      <c r="L819" s="5" t="n"/>
    </row>
    <row r="820">
      <c r="A820" s="5" t="n"/>
      <c r="B820" s="6" t="n"/>
      <c r="C820" s="5" t="n"/>
      <c r="D820" s="5" t="n"/>
      <c r="E820" s="5" t="n"/>
      <c r="F820" s="5" t="n"/>
      <c r="G820" s="5" t="n"/>
      <c r="H820" s="6" t="n"/>
      <c r="I820" s="5" t="n"/>
      <c r="J820" s="5" t="n"/>
      <c r="K820" s="5" t="n"/>
      <c r="L820" s="5" t="n"/>
    </row>
    <row r="821">
      <c r="A821" s="5" t="n"/>
      <c r="B821" s="6" t="n"/>
      <c r="C821" s="5" t="n"/>
      <c r="D821" s="5" t="n"/>
      <c r="E821" s="5" t="n"/>
      <c r="F821" s="5" t="n"/>
      <c r="G821" s="5" t="n"/>
      <c r="H821" s="6" t="n"/>
      <c r="I821" s="5" t="n"/>
      <c r="J821" s="5" t="n"/>
      <c r="K821" s="5" t="n"/>
      <c r="L821" s="5" t="n"/>
    </row>
    <row r="822">
      <c r="A822" s="5" t="n"/>
      <c r="B822" s="6" t="n"/>
      <c r="C822" s="5" t="n"/>
      <c r="D822" s="5" t="n"/>
      <c r="E822" s="5" t="n"/>
      <c r="F822" s="5" t="n"/>
      <c r="G822" s="5" t="n"/>
      <c r="H822" s="6" t="n"/>
      <c r="I822" s="5" t="n"/>
      <c r="J822" s="5" t="n"/>
      <c r="K822" s="5" t="n"/>
      <c r="L822" s="5" t="n"/>
    </row>
    <row r="823">
      <c r="A823" s="5" t="n"/>
      <c r="B823" s="6" t="n"/>
      <c r="C823" s="5" t="n"/>
      <c r="D823" s="5" t="n"/>
      <c r="E823" s="5" t="n"/>
      <c r="F823" s="5" t="n"/>
      <c r="G823" s="5" t="n"/>
      <c r="H823" s="6" t="n"/>
      <c r="I823" s="5" t="n"/>
      <c r="J823" s="5" t="n"/>
      <c r="K823" s="5" t="n"/>
      <c r="L823" s="5" t="n"/>
    </row>
    <row r="824">
      <c r="A824" s="5" t="n"/>
      <c r="B824" s="6" t="n"/>
      <c r="C824" s="5" t="n"/>
      <c r="D824" s="5" t="n"/>
      <c r="E824" s="5" t="n"/>
      <c r="F824" s="5" t="n"/>
      <c r="G824" s="5" t="n"/>
      <c r="H824" s="6" t="n"/>
      <c r="I824" s="5" t="n"/>
      <c r="J824" s="5" t="n"/>
      <c r="K824" s="5" t="n"/>
      <c r="L824" s="5" t="n"/>
    </row>
    <row r="825">
      <c r="A825" s="5" t="n"/>
      <c r="B825" s="6" t="n"/>
      <c r="C825" s="5" t="n"/>
      <c r="D825" s="5" t="n"/>
      <c r="E825" s="5" t="n"/>
      <c r="F825" s="5" t="n"/>
      <c r="G825" s="5" t="n"/>
      <c r="H825" s="6" t="n"/>
      <c r="I825" s="5" t="n"/>
      <c r="J825" s="5" t="n"/>
      <c r="K825" s="5" t="n"/>
      <c r="L825" s="5" t="n"/>
    </row>
    <row r="826">
      <c r="A826" s="5" t="n"/>
      <c r="B826" s="6" t="n"/>
      <c r="C826" s="5" t="n"/>
      <c r="D826" s="5" t="n"/>
      <c r="E826" s="5" t="n"/>
      <c r="F826" s="5" t="n"/>
      <c r="G826" s="5" t="n"/>
      <c r="H826" s="6" t="n"/>
      <c r="I826" s="5" t="n"/>
      <c r="J826" s="5" t="n"/>
      <c r="K826" s="5" t="n"/>
      <c r="L826" s="5" t="n"/>
    </row>
    <row r="827">
      <c r="A827" s="5" t="n"/>
      <c r="B827" s="6" t="n"/>
      <c r="C827" s="5" t="n"/>
      <c r="D827" s="5" t="n"/>
      <c r="E827" s="5" t="n"/>
      <c r="F827" s="5" t="n"/>
      <c r="G827" s="5" t="n"/>
      <c r="H827" s="6" t="n"/>
      <c r="I827" s="5" t="n"/>
      <c r="J827" s="5" t="n"/>
      <c r="K827" s="5" t="n"/>
      <c r="L827" s="5" t="n"/>
    </row>
    <row r="828">
      <c r="A828" s="5" t="n"/>
      <c r="B828" s="6" t="n"/>
      <c r="C828" s="5" t="n"/>
      <c r="D828" s="5" t="n"/>
      <c r="E828" s="5" t="n"/>
      <c r="F828" s="5" t="n"/>
      <c r="G828" s="5" t="n"/>
      <c r="H828" s="6" t="n"/>
      <c r="I828" s="5" t="n"/>
      <c r="J828" s="5" t="n"/>
      <c r="K828" s="5" t="n"/>
      <c r="L828" s="5" t="n"/>
    </row>
    <row r="829">
      <c r="A829" s="5" t="n"/>
      <c r="B829" s="6" t="n"/>
      <c r="C829" s="5" t="n"/>
      <c r="D829" s="5" t="n"/>
      <c r="E829" s="5" t="n"/>
      <c r="F829" s="5" t="n"/>
      <c r="G829" s="5" t="n"/>
      <c r="H829" s="6" t="n"/>
      <c r="I829" s="5" t="n"/>
      <c r="J829" s="5" t="n"/>
      <c r="K829" s="5" t="n"/>
      <c r="L829" s="5" t="n"/>
    </row>
    <row r="830">
      <c r="A830" s="5" t="n"/>
      <c r="B830" s="6" t="n"/>
      <c r="C830" s="5" t="n"/>
      <c r="D830" s="5" t="n"/>
      <c r="E830" s="5" t="n"/>
      <c r="F830" s="5" t="n"/>
      <c r="G830" s="5" t="n"/>
      <c r="H830" s="6" t="n"/>
      <c r="I830" s="5" t="n"/>
      <c r="J830" s="5" t="n"/>
      <c r="K830" s="5" t="n"/>
      <c r="L830" s="5" t="n"/>
    </row>
    <row r="831">
      <c r="A831" s="5" t="n"/>
      <c r="B831" s="6" t="n"/>
      <c r="C831" s="5" t="n"/>
      <c r="D831" s="5" t="n"/>
      <c r="E831" s="5" t="n"/>
      <c r="F831" s="5" t="n"/>
      <c r="G831" s="5" t="n"/>
      <c r="H831" s="6" t="n"/>
      <c r="I831" s="5" t="n"/>
      <c r="J831" s="5" t="n"/>
      <c r="K831" s="5" t="n"/>
      <c r="L831" s="5" t="n"/>
    </row>
    <row r="832">
      <c r="A832" s="5" t="n"/>
      <c r="B832" s="6" t="n"/>
      <c r="C832" s="5" t="n"/>
      <c r="D832" s="5" t="n"/>
      <c r="E832" s="5" t="n"/>
      <c r="F832" s="5" t="n"/>
      <c r="G832" s="5" t="n"/>
      <c r="H832" s="6" t="n"/>
      <c r="I832" s="5" t="n"/>
      <c r="J832" s="5" t="n"/>
      <c r="K832" s="5" t="n"/>
      <c r="L832" s="5" t="n"/>
    </row>
    <row r="833">
      <c r="A833" s="5" t="n"/>
      <c r="B833" s="6" t="n"/>
      <c r="C833" s="5" t="n"/>
      <c r="D833" s="5" t="n"/>
      <c r="E833" s="5" t="n"/>
      <c r="F833" s="5" t="n"/>
      <c r="G833" s="5" t="n"/>
      <c r="H833" s="6" t="n"/>
      <c r="I833" s="5" t="n"/>
      <c r="J833" s="5" t="n"/>
      <c r="K833" s="5" t="n"/>
      <c r="L833" s="5" t="n"/>
    </row>
    <row r="834">
      <c r="A834" s="5" t="n"/>
      <c r="B834" s="6" t="n"/>
      <c r="C834" s="5" t="n"/>
      <c r="D834" s="5" t="n"/>
      <c r="E834" s="5" t="n"/>
      <c r="F834" s="5" t="n"/>
      <c r="G834" s="5" t="n"/>
      <c r="H834" s="6" t="n"/>
      <c r="I834" s="5" t="n"/>
      <c r="J834" s="5" t="n"/>
      <c r="K834" s="5" t="n"/>
      <c r="L834" s="5" t="n"/>
    </row>
    <row r="835">
      <c r="A835" s="5" t="n"/>
      <c r="B835" s="6" t="n"/>
      <c r="C835" s="5" t="n"/>
      <c r="D835" s="5" t="n"/>
      <c r="E835" s="5" t="n"/>
      <c r="F835" s="5" t="n"/>
      <c r="G835" s="5" t="n"/>
      <c r="H835" s="6" t="n"/>
      <c r="I835" s="5" t="n"/>
      <c r="J835" s="5" t="n"/>
      <c r="K835" s="5" t="n"/>
      <c r="L835" s="5" t="n"/>
    </row>
    <row r="836">
      <c r="A836" s="5" t="n"/>
      <c r="B836" s="6" t="n"/>
      <c r="C836" s="5" t="n"/>
      <c r="D836" s="5" t="n"/>
      <c r="E836" s="5" t="n"/>
      <c r="F836" s="5" t="n"/>
      <c r="G836" s="5" t="n"/>
      <c r="H836" s="6" t="n"/>
      <c r="I836" s="5" t="n"/>
      <c r="J836" s="5" t="n"/>
      <c r="K836" s="5" t="n"/>
      <c r="L836" s="5" t="n"/>
    </row>
    <row r="837">
      <c r="A837" s="5" t="n"/>
      <c r="B837" s="6" t="n"/>
      <c r="C837" s="5" t="n"/>
      <c r="D837" s="5" t="n"/>
      <c r="E837" s="5" t="n"/>
      <c r="F837" s="5" t="n"/>
      <c r="G837" s="5" t="n"/>
      <c r="H837" s="6" t="n"/>
      <c r="I837" s="5" t="n"/>
      <c r="J837" s="5" t="n"/>
      <c r="K837" s="5" t="n"/>
      <c r="L837" s="5" t="n"/>
    </row>
    <row r="838">
      <c r="A838" s="5" t="n"/>
      <c r="B838" s="6" t="n"/>
      <c r="C838" s="5" t="n"/>
      <c r="D838" s="5" t="n"/>
      <c r="E838" s="5" t="n"/>
      <c r="F838" s="5" t="n"/>
      <c r="G838" s="5" t="n"/>
      <c r="H838" s="6" t="n"/>
      <c r="I838" s="5" t="n"/>
      <c r="J838" s="5" t="n"/>
      <c r="K838" s="5" t="n"/>
      <c r="L838" s="5" t="n"/>
    </row>
    <row r="839">
      <c r="A839" s="5" t="n"/>
      <c r="B839" s="6" t="n"/>
      <c r="C839" s="5" t="n"/>
      <c r="D839" s="5" t="n"/>
      <c r="E839" s="5" t="n"/>
      <c r="F839" s="5" t="n"/>
      <c r="G839" s="5" t="n"/>
      <c r="H839" s="6" t="n"/>
      <c r="I839" s="5" t="n"/>
      <c r="J839" s="5" t="n"/>
      <c r="K839" s="5" t="n"/>
      <c r="L839" s="5" t="n"/>
    </row>
    <row r="840">
      <c r="A840" s="5" t="n"/>
      <c r="B840" s="6" t="n"/>
      <c r="C840" s="5" t="n"/>
      <c r="D840" s="5" t="n"/>
      <c r="E840" s="5" t="n"/>
      <c r="F840" s="5" t="n"/>
      <c r="G840" s="5" t="n"/>
      <c r="H840" s="6" t="n"/>
      <c r="I840" s="5" t="n"/>
      <c r="J840" s="5" t="n"/>
      <c r="K840" s="5" t="n"/>
      <c r="L840" s="5" t="n"/>
    </row>
    <row r="841">
      <c r="A841" s="5" t="n"/>
      <c r="B841" s="6" t="n"/>
      <c r="C841" s="5" t="n"/>
      <c r="D841" s="5" t="n"/>
      <c r="E841" s="5" t="n"/>
      <c r="F841" s="5" t="n"/>
      <c r="G841" s="5" t="n"/>
      <c r="H841" s="6" t="n"/>
      <c r="I841" s="5" t="n"/>
      <c r="J841" s="5" t="n"/>
      <c r="K841" s="5" t="n"/>
      <c r="L841" s="5" t="n"/>
    </row>
    <row r="842">
      <c r="A842" s="5" t="n"/>
      <c r="B842" s="6" t="n"/>
      <c r="C842" s="5" t="n"/>
      <c r="D842" s="5" t="n"/>
      <c r="E842" s="5" t="n"/>
      <c r="F842" s="5" t="n"/>
      <c r="G842" s="5" t="n"/>
      <c r="H842" s="6" t="n"/>
      <c r="I842" s="5" t="n"/>
      <c r="J842" s="5" t="n"/>
      <c r="K842" s="5" t="n"/>
      <c r="L842" s="5" t="n"/>
    </row>
    <row r="843">
      <c r="A843" s="5" t="n"/>
      <c r="B843" s="6" t="n"/>
      <c r="C843" s="5" t="n"/>
      <c r="D843" s="5" t="n"/>
      <c r="E843" s="5" t="n"/>
      <c r="F843" s="5" t="n"/>
      <c r="G843" s="5" t="n"/>
      <c r="H843" s="6" t="n"/>
      <c r="I843" s="5" t="n"/>
      <c r="J843" s="5" t="n"/>
      <c r="K843" s="5" t="n"/>
      <c r="L843" s="5" t="n"/>
    </row>
    <row r="844">
      <c r="A844" s="5" t="n"/>
      <c r="B844" s="6" t="n"/>
      <c r="C844" s="5" t="n"/>
      <c r="D844" s="5" t="n"/>
      <c r="E844" s="5" t="n"/>
      <c r="F844" s="5" t="n"/>
      <c r="G844" s="5" t="n"/>
      <c r="H844" s="6" t="n"/>
      <c r="I844" s="5" t="n"/>
      <c r="J844" s="5" t="n"/>
      <c r="K844" s="5" t="n"/>
      <c r="L844" s="5" t="n"/>
    </row>
    <row r="845">
      <c r="A845" s="5" t="n"/>
      <c r="B845" s="6" t="n"/>
      <c r="C845" s="5" t="n"/>
      <c r="D845" s="5" t="n"/>
      <c r="E845" s="5" t="n"/>
      <c r="F845" s="5" t="n"/>
      <c r="G845" s="5" t="n"/>
      <c r="H845" s="6" t="n"/>
      <c r="I845" s="5" t="n"/>
      <c r="J845" s="5" t="n"/>
      <c r="K845" s="5" t="n"/>
      <c r="L845" s="5" t="n"/>
    </row>
    <row r="846">
      <c r="A846" s="5" t="n"/>
      <c r="B846" s="6" t="n"/>
      <c r="C846" s="5" t="n"/>
      <c r="D846" s="5" t="n"/>
      <c r="E846" s="5" t="n"/>
      <c r="F846" s="5" t="n"/>
      <c r="G846" s="5" t="n"/>
      <c r="H846" s="6" t="n"/>
      <c r="I846" s="5" t="n"/>
      <c r="J846" s="5" t="n"/>
      <c r="K846" s="5" t="n"/>
      <c r="L846" s="5" t="n"/>
    </row>
    <row r="847">
      <c r="A847" s="5" t="n"/>
      <c r="B847" s="6" t="n"/>
      <c r="C847" s="5" t="n"/>
      <c r="D847" s="5" t="n"/>
      <c r="E847" s="5" t="n"/>
      <c r="F847" s="5" t="n"/>
      <c r="G847" s="5" t="n"/>
      <c r="H847" s="6" t="n"/>
      <c r="I847" s="5" t="n"/>
      <c r="J847" s="5" t="n"/>
      <c r="K847" s="5" t="n"/>
      <c r="L847" s="5" t="n"/>
    </row>
    <row r="848">
      <c r="A848" s="5" t="n"/>
      <c r="B848" s="6" t="n"/>
      <c r="C848" s="5" t="n"/>
      <c r="D848" s="5" t="n"/>
      <c r="E848" s="5" t="n"/>
      <c r="F848" s="5" t="n"/>
      <c r="G848" s="5" t="n"/>
      <c r="H848" s="6" t="n"/>
      <c r="I848" s="5" t="n"/>
      <c r="J848" s="5" t="n"/>
      <c r="K848" s="5" t="n"/>
      <c r="L848" s="5" t="n"/>
    </row>
    <row r="849">
      <c r="A849" s="5" t="n"/>
      <c r="B849" s="6" t="n"/>
      <c r="C849" s="5" t="n"/>
      <c r="D849" s="5" t="n"/>
      <c r="E849" s="5" t="n"/>
      <c r="F849" s="5" t="n"/>
      <c r="G849" s="5" t="n"/>
      <c r="H849" s="6" t="n"/>
      <c r="I849" s="5" t="n"/>
      <c r="J849" s="5" t="n"/>
      <c r="K849" s="5" t="n"/>
      <c r="L849" s="5" t="n"/>
    </row>
    <row r="850">
      <c r="A850" s="5" t="n"/>
      <c r="B850" s="6" t="n"/>
      <c r="C850" s="5" t="n"/>
      <c r="D850" s="5" t="n"/>
      <c r="E850" s="5" t="n"/>
      <c r="F850" s="5" t="n"/>
      <c r="G850" s="5" t="n"/>
      <c r="H850" s="6" t="n"/>
      <c r="I850" s="5" t="n"/>
      <c r="J850" s="5" t="n"/>
      <c r="K850" s="5" t="n"/>
      <c r="L850" s="5" t="n"/>
    </row>
    <row r="851">
      <c r="A851" s="5" t="n"/>
      <c r="B851" s="6" t="n"/>
      <c r="C851" s="5" t="n"/>
      <c r="D851" s="5" t="n"/>
      <c r="E851" s="5" t="n"/>
      <c r="F851" s="5" t="n"/>
      <c r="G851" s="5" t="n"/>
      <c r="H851" s="6" t="n"/>
      <c r="I851" s="5" t="n"/>
      <c r="J851" s="5" t="n"/>
      <c r="K851" s="5" t="n"/>
      <c r="L851" s="5" t="n"/>
    </row>
    <row r="852">
      <c r="A852" s="5" t="n"/>
      <c r="B852" s="6" t="n"/>
      <c r="C852" s="5" t="n"/>
      <c r="D852" s="5" t="n"/>
      <c r="E852" s="5" t="n"/>
      <c r="F852" s="5" t="n"/>
      <c r="G852" s="5" t="n"/>
      <c r="H852" s="6" t="n"/>
      <c r="I852" s="5" t="n"/>
      <c r="J852" s="5" t="n"/>
      <c r="K852" s="5" t="n"/>
      <c r="L852" s="5" t="n"/>
    </row>
    <row r="853">
      <c r="A853" s="5" t="n"/>
      <c r="B853" s="6" t="n"/>
      <c r="C853" s="5" t="n"/>
      <c r="D853" s="5" t="n"/>
      <c r="E853" s="5" t="n"/>
      <c r="F853" s="5" t="n"/>
      <c r="G853" s="5" t="n"/>
      <c r="H853" s="6" t="n"/>
      <c r="I853" s="5" t="n"/>
      <c r="J853" s="5" t="n"/>
      <c r="K853" s="5" t="n"/>
      <c r="L853" s="5" t="n"/>
    </row>
    <row r="854">
      <c r="A854" s="5" t="n"/>
      <c r="B854" s="6" t="n"/>
      <c r="C854" s="5" t="n"/>
      <c r="D854" s="5" t="n"/>
      <c r="E854" s="5" t="n"/>
      <c r="F854" s="5" t="n"/>
      <c r="G854" s="5" t="n"/>
      <c r="H854" s="6" t="n"/>
      <c r="I854" s="5" t="n"/>
      <c r="J854" s="5" t="n"/>
      <c r="K854" s="5" t="n"/>
      <c r="L854" s="5" t="n"/>
    </row>
    <row r="855">
      <c r="A855" s="5" t="n"/>
      <c r="B855" s="6" t="n"/>
      <c r="C855" s="5" t="n"/>
      <c r="D855" s="5" t="n"/>
      <c r="E855" s="5" t="n"/>
      <c r="F855" s="5" t="n"/>
      <c r="G855" s="5" t="n"/>
      <c r="H855" s="6" t="n"/>
      <c r="I855" s="5" t="n"/>
      <c r="J855" s="5" t="n"/>
      <c r="K855" s="5" t="n"/>
      <c r="L855" s="5" t="n"/>
    </row>
    <row r="856">
      <c r="A856" s="5" t="n"/>
      <c r="B856" s="6" t="n"/>
      <c r="C856" s="5" t="n"/>
      <c r="D856" s="5" t="n"/>
      <c r="E856" s="5" t="n"/>
      <c r="F856" s="5" t="n"/>
      <c r="G856" s="5" t="n"/>
      <c r="H856" s="6" t="n"/>
      <c r="I856" s="5" t="n"/>
      <c r="J856" s="5" t="n"/>
      <c r="K856" s="5" t="n"/>
      <c r="L856" s="5" t="n"/>
    </row>
    <row r="857">
      <c r="A857" s="5" t="n"/>
      <c r="B857" s="6" t="n"/>
      <c r="C857" s="5" t="n"/>
      <c r="D857" s="5" t="n"/>
      <c r="E857" s="5" t="n"/>
      <c r="F857" s="5" t="n"/>
      <c r="G857" s="5" t="n"/>
      <c r="H857" s="6" t="n"/>
      <c r="I857" s="5" t="n"/>
      <c r="J857" s="5" t="n"/>
      <c r="K857" s="5" t="n"/>
      <c r="L857" s="5" t="n"/>
    </row>
    <row r="858">
      <c r="A858" s="5" t="n"/>
      <c r="B858" s="6" t="n"/>
      <c r="C858" s="5" t="n"/>
      <c r="D858" s="5" t="n"/>
      <c r="E858" s="5" t="n"/>
      <c r="F858" s="5" t="n"/>
      <c r="G858" s="5" t="n"/>
      <c r="H858" s="6" t="n"/>
      <c r="I858" s="5" t="n"/>
      <c r="J858" s="5" t="n"/>
      <c r="K858" s="5" t="n"/>
      <c r="L858" s="5" t="n"/>
    </row>
    <row r="859">
      <c r="A859" s="5" t="n"/>
      <c r="B859" s="6" t="n"/>
      <c r="C859" s="5" t="n"/>
      <c r="D859" s="5" t="n"/>
      <c r="E859" s="5" t="n"/>
      <c r="F859" s="5" t="n"/>
      <c r="G859" s="5" t="n"/>
      <c r="H859" s="6" t="n"/>
      <c r="I859" s="5" t="n"/>
      <c r="J859" s="5" t="n"/>
      <c r="K859" s="5" t="n"/>
      <c r="L859" s="5" t="n"/>
    </row>
    <row r="860">
      <c r="A860" s="5" t="n"/>
      <c r="B860" s="6" t="n"/>
      <c r="C860" s="5" t="n"/>
      <c r="D860" s="5" t="n"/>
      <c r="E860" s="5" t="n"/>
      <c r="F860" s="5" t="n"/>
      <c r="G860" s="5" t="n"/>
      <c r="H860" s="6" t="n"/>
      <c r="I860" s="5" t="n"/>
      <c r="J860" s="5" t="n"/>
      <c r="K860" s="5" t="n"/>
      <c r="L860" s="5" t="n"/>
    </row>
    <row r="861">
      <c r="A861" s="5" t="n"/>
      <c r="B861" s="6" t="n"/>
      <c r="C861" s="5" t="n"/>
      <c r="D861" s="5" t="n"/>
      <c r="E861" s="5" t="n"/>
      <c r="F861" s="5" t="n"/>
      <c r="G861" s="5" t="n"/>
      <c r="H861" s="6" t="n"/>
      <c r="I861" s="5" t="n"/>
      <c r="J861" s="5" t="n"/>
      <c r="K861" s="5" t="n"/>
      <c r="L861" s="5" t="n"/>
    </row>
    <row r="862">
      <c r="A862" s="5" t="n"/>
      <c r="B862" s="6" t="n"/>
      <c r="C862" s="5" t="n"/>
      <c r="D862" s="5" t="n"/>
      <c r="E862" s="5" t="n"/>
      <c r="F862" s="5" t="n"/>
      <c r="G862" s="5" t="n"/>
      <c r="H862" s="6" t="n"/>
      <c r="I862" s="5" t="n"/>
      <c r="J862" s="5" t="n"/>
      <c r="K862" s="5" t="n"/>
      <c r="L862" s="5" t="n"/>
    </row>
    <row r="863">
      <c r="A863" s="5" t="n"/>
      <c r="B863" s="6" t="n"/>
      <c r="C863" s="5" t="n"/>
      <c r="D863" s="5" t="n"/>
      <c r="E863" s="5" t="n"/>
      <c r="F863" s="5" t="n"/>
      <c r="G863" s="5" t="n"/>
      <c r="H863" s="6" t="n"/>
      <c r="I863" s="5" t="n"/>
      <c r="J863" s="5" t="n"/>
      <c r="K863" s="5" t="n"/>
      <c r="L863" s="5" t="n"/>
    </row>
    <row r="864">
      <c r="A864" s="5" t="n"/>
      <c r="B864" s="6" t="n"/>
      <c r="C864" s="5" t="n"/>
      <c r="D864" s="5" t="n"/>
      <c r="E864" s="5" t="n"/>
      <c r="F864" s="5" t="n"/>
      <c r="G864" s="5" t="n"/>
      <c r="H864" s="6" t="n"/>
      <c r="I864" s="5" t="n"/>
      <c r="J864" s="5" t="n"/>
      <c r="K864" s="5" t="n"/>
      <c r="L864" s="5" t="n"/>
    </row>
    <row r="865">
      <c r="A865" s="5" t="n"/>
      <c r="B865" s="6" t="n"/>
      <c r="C865" s="5" t="n"/>
      <c r="D865" s="5" t="n"/>
      <c r="E865" s="5" t="n"/>
      <c r="F865" s="5" t="n"/>
      <c r="G865" s="5" t="n"/>
      <c r="H865" s="6" t="n"/>
      <c r="I865" s="5" t="n"/>
      <c r="J865" s="5" t="n"/>
      <c r="K865" s="5" t="n"/>
      <c r="L865" s="5" t="n"/>
    </row>
    <row r="866">
      <c r="A866" s="5" t="n"/>
      <c r="B866" s="6" t="n"/>
      <c r="C866" s="5" t="n"/>
      <c r="D866" s="5" t="n"/>
      <c r="E866" s="5" t="n"/>
      <c r="F866" s="5" t="n"/>
      <c r="G866" s="5" t="n"/>
      <c r="H866" s="6" t="n"/>
      <c r="I866" s="5" t="n"/>
      <c r="J866" s="5" t="n"/>
      <c r="K866" s="5" t="n"/>
      <c r="L866" s="5" t="n"/>
    </row>
    <row r="867">
      <c r="A867" s="5" t="n"/>
      <c r="B867" s="6" t="n"/>
      <c r="C867" s="5" t="n"/>
      <c r="D867" s="5" t="n"/>
      <c r="E867" s="5" t="n"/>
      <c r="F867" s="5" t="n"/>
      <c r="G867" s="5" t="n"/>
      <c r="H867" s="6" t="n"/>
      <c r="I867" s="5" t="n"/>
      <c r="J867" s="5" t="n"/>
      <c r="K867" s="5" t="n"/>
      <c r="L867" s="5" t="n"/>
    </row>
    <row r="868">
      <c r="A868" s="5" t="n"/>
      <c r="B868" s="6" t="n"/>
      <c r="C868" s="5" t="n"/>
      <c r="D868" s="5" t="n"/>
      <c r="E868" s="5" t="n"/>
      <c r="F868" s="5" t="n"/>
      <c r="G868" s="5" t="n"/>
      <c r="H868" s="6" t="n"/>
      <c r="I868" s="5" t="n"/>
      <c r="J868" s="5" t="n"/>
      <c r="K868" s="5" t="n"/>
      <c r="L868" s="5" t="n"/>
    </row>
    <row r="869">
      <c r="A869" s="5" t="n"/>
      <c r="B869" s="6" t="n"/>
      <c r="C869" s="5" t="n"/>
      <c r="D869" s="5" t="n"/>
      <c r="E869" s="5" t="n"/>
      <c r="F869" s="5" t="n"/>
      <c r="G869" s="5" t="n"/>
      <c r="H869" s="6" t="n"/>
      <c r="I869" s="5" t="n"/>
      <c r="J869" s="5" t="n"/>
      <c r="K869" s="5" t="n"/>
      <c r="L869" s="5" t="n"/>
    </row>
    <row r="870">
      <c r="A870" s="5" t="n"/>
      <c r="B870" s="6" t="n"/>
      <c r="C870" s="5" t="n"/>
      <c r="D870" s="5" t="n"/>
      <c r="E870" s="5" t="n"/>
      <c r="F870" s="5" t="n"/>
      <c r="G870" s="5" t="n"/>
      <c r="H870" s="6" t="n"/>
      <c r="I870" s="5" t="n"/>
      <c r="J870" s="5" t="n"/>
      <c r="K870" s="5" t="n"/>
      <c r="L870" s="5" t="n"/>
    </row>
    <row r="871">
      <c r="A871" s="5" t="n"/>
      <c r="B871" s="6" t="n"/>
      <c r="C871" s="5" t="n"/>
      <c r="D871" s="5" t="n"/>
      <c r="E871" s="5" t="n"/>
      <c r="F871" s="5" t="n"/>
      <c r="G871" s="5" t="n"/>
      <c r="H871" s="6" t="n"/>
      <c r="I871" s="5" t="n"/>
      <c r="J871" s="5" t="n"/>
      <c r="K871" s="5" t="n"/>
      <c r="L871" s="5" t="n"/>
    </row>
    <row r="872">
      <c r="A872" s="5" t="n"/>
      <c r="B872" s="6" t="n"/>
      <c r="C872" s="5" t="n"/>
      <c r="D872" s="5" t="n"/>
      <c r="E872" s="5" t="n"/>
      <c r="F872" s="5" t="n"/>
      <c r="G872" s="5" t="n"/>
      <c r="H872" s="6" t="n"/>
      <c r="I872" s="5" t="n"/>
      <c r="J872" s="5" t="n"/>
      <c r="K872" s="5" t="n"/>
      <c r="L872" s="5" t="n"/>
    </row>
    <row r="873">
      <c r="A873" s="5" t="n"/>
      <c r="B873" s="6" t="n"/>
      <c r="C873" s="5" t="n"/>
      <c r="D873" s="5" t="n"/>
      <c r="E873" s="5" t="n"/>
      <c r="F873" s="5" t="n"/>
      <c r="G873" s="5" t="n"/>
      <c r="H873" s="6" t="n"/>
      <c r="I873" s="5" t="n"/>
      <c r="J873" s="5" t="n"/>
      <c r="K873" s="5" t="n"/>
      <c r="L873" s="5" t="n"/>
    </row>
    <row r="874">
      <c r="A874" s="5" t="n"/>
      <c r="B874" s="6" t="n"/>
      <c r="C874" s="5" t="n"/>
      <c r="D874" s="5" t="n"/>
      <c r="E874" s="5" t="n"/>
      <c r="F874" s="5" t="n"/>
      <c r="G874" s="5" t="n"/>
      <c r="H874" s="6" t="n"/>
      <c r="I874" s="5" t="n"/>
      <c r="J874" s="5" t="n"/>
      <c r="K874" s="5" t="n"/>
      <c r="L874" s="5" t="n"/>
    </row>
    <row r="875">
      <c r="A875" s="5" t="n"/>
      <c r="B875" s="6" t="n"/>
      <c r="C875" s="5" t="n"/>
      <c r="D875" s="5" t="n"/>
      <c r="E875" s="5" t="n"/>
      <c r="F875" s="5" t="n"/>
      <c r="G875" s="5" t="n"/>
      <c r="H875" s="6" t="n"/>
      <c r="I875" s="5" t="n"/>
      <c r="J875" s="5" t="n"/>
      <c r="K875" s="5" t="n"/>
      <c r="L875" s="5" t="n"/>
    </row>
    <row r="876">
      <c r="A876" s="5" t="n"/>
      <c r="B876" s="6" t="n"/>
      <c r="C876" s="5" t="n"/>
      <c r="D876" s="5" t="n"/>
      <c r="E876" s="5" t="n"/>
      <c r="F876" s="5" t="n"/>
      <c r="G876" s="5" t="n"/>
      <c r="H876" s="6" t="n"/>
      <c r="I876" s="5" t="n"/>
      <c r="J876" s="5" t="n"/>
      <c r="K876" s="5" t="n"/>
      <c r="L876" s="5" t="n"/>
    </row>
    <row r="877">
      <c r="A877" s="5" t="n"/>
      <c r="B877" s="6" t="n"/>
      <c r="C877" s="5" t="n"/>
      <c r="D877" s="5" t="n"/>
      <c r="E877" s="5" t="n"/>
      <c r="F877" s="5" t="n"/>
      <c r="G877" s="5" t="n"/>
      <c r="H877" s="6" t="n"/>
      <c r="I877" s="5" t="n"/>
      <c r="J877" s="5" t="n"/>
      <c r="K877" s="5" t="n"/>
      <c r="L877" s="5" t="n"/>
    </row>
    <row r="878">
      <c r="A878" s="5" t="n"/>
      <c r="B878" s="6" t="n"/>
      <c r="C878" s="5" t="n"/>
      <c r="D878" s="5" t="n"/>
      <c r="E878" s="5" t="n"/>
      <c r="F878" s="5" t="n"/>
      <c r="G878" s="5" t="n"/>
      <c r="H878" s="6" t="n"/>
      <c r="I878" s="5" t="n"/>
      <c r="J878" s="5" t="n"/>
      <c r="K878" s="5" t="n"/>
      <c r="L878" s="5" t="n"/>
    </row>
    <row r="879">
      <c r="A879" s="5" t="n"/>
      <c r="B879" s="6" t="n"/>
      <c r="C879" s="5" t="n"/>
      <c r="D879" s="5" t="n"/>
      <c r="E879" s="5" t="n"/>
      <c r="F879" s="5" t="n"/>
      <c r="G879" s="5" t="n"/>
      <c r="H879" s="6" t="n"/>
      <c r="I879" s="5" t="n"/>
      <c r="J879" s="5" t="n"/>
      <c r="K879" s="5" t="n"/>
      <c r="L879" s="5" t="n"/>
    </row>
    <row r="880">
      <c r="A880" s="5" t="n"/>
      <c r="B880" s="6" t="n"/>
      <c r="C880" s="5" t="n"/>
      <c r="D880" s="5" t="n"/>
      <c r="E880" s="5" t="n"/>
      <c r="F880" s="5" t="n"/>
      <c r="G880" s="5" t="n"/>
      <c r="H880" s="6" t="n"/>
      <c r="I880" s="5" t="n"/>
      <c r="J880" s="5" t="n"/>
      <c r="K880" s="5" t="n"/>
      <c r="L880" s="5" t="n"/>
    </row>
    <row r="881">
      <c r="A881" s="5" t="n"/>
      <c r="B881" s="6" t="n"/>
      <c r="C881" s="5" t="n"/>
      <c r="D881" s="5" t="n"/>
      <c r="E881" s="5" t="n"/>
      <c r="F881" s="5" t="n"/>
      <c r="G881" s="5" t="n"/>
      <c r="H881" s="6" t="n"/>
      <c r="I881" s="5" t="n"/>
      <c r="J881" s="5" t="n"/>
      <c r="K881" s="5" t="n"/>
      <c r="L881" s="5" t="n"/>
    </row>
    <row r="882">
      <c r="A882" s="5" t="n"/>
      <c r="B882" s="6" t="n"/>
      <c r="C882" s="5" t="n"/>
      <c r="D882" s="5" t="n"/>
      <c r="E882" s="5" t="n"/>
      <c r="F882" s="5" t="n"/>
      <c r="G882" s="5" t="n"/>
      <c r="H882" s="6" t="n"/>
      <c r="I882" s="5" t="n"/>
      <c r="J882" s="5" t="n"/>
      <c r="K882" s="5" t="n"/>
      <c r="L882" s="5" t="n"/>
    </row>
    <row r="883">
      <c r="A883" s="5" t="n"/>
      <c r="B883" s="6" t="n"/>
      <c r="C883" s="5" t="n"/>
      <c r="D883" s="5" t="n"/>
      <c r="E883" s="5" t="n"/>
      <c r="F883" s="5" t="n"/>
      <c r="G883" s="5" t="n"/>
      <c r="H883" s="6" t="n"/>
      <c r="I883" s="5" t="n"/>
      <c r="J883" s="5" t="n"/>
      <c r="K883" s="5" t="n"/>
      <c r="L883" s="5" t="n"/>
    </row>
    <row r="884">
      <c r="A884" s="5" t="n"/>
      <c r="B884" s="6" t="n"/>
      <c r="C884" s="5" t="n"/>
      <c r="D884" s="5" t="n"/>
      <c r="E884" s="5" t="n"/>
      <c r="F884" s="5" t="n"/>
      <c r="G884" s="5" t="n"/>
      <c r="H884" s="6" t="n"/>
      <c r="I884" s="5" t="n"/>
      <c r="J884" s="5" t="n"/>
      <c r="K884" s="5" t="n"/>
      <c r="L884" s="5" t="n"/>
    </row>
    <row r="885">
      <c r="A885" s="5" t="n"/>
      <c r="B885" s="6" t="n"/>
      <c r="C885" s="5" t="n"/>
      <c r="D885" s="5" t="n"/>
      <c r="E885" s="5" t="n"/>
      <c r="F885" s="5" t="n"/>
      <c r="G885" s="5" t="n"/>
      <c r="H885" s="6" t="n"/>
      <c r="I885" s="5" t="n"/>
      <c r="J885" s="5" t="n"/>
      <c r="K885" s="5" t="n"/>
      <c r="L885" s="5" t="n"/>
    </row>
    <row r="886">
      <c r="A886" s="5" t="n"/>
      <c r="B886" s="6" t="n"/>
      <c r="C886" s="5" t="n"/>
      <c r="D886" s="5" t="n"/>
      <c r="E886" s="5" t="n"/>
      <c r="F886" s="5" t="n"/>
      <c r="G886" s="5" t="n"/>
      <c r="H886" s="6" t="n"/>
      <c r="I886" s="5" t="n"/>
      <c r="J886" s="5" t="n"/>
      <c r="K886" s="5" t="n"/>
      <c r="L886" s="5" t="n"/>
    </row>
    <row r="887">
      <c r="A887" s="5" t="n"/>
      <c r="B887" s="6" t="n"/>
      <c r="C887" s="5" t="n"/>
      <c r="D887" s="5" t="n"/>
      <c r="E887" s="5" t="n"/>
      <c r="F887" s="5" t="n"/>
      <c r="G887" s="5" t="n"/>
      <c r="H887" s="6" t="n"/>
      <c r="I887" s="5" t="n"/>
      <c r="J887" s="5" t="n"/>
      <c r="K887" s="5" t="n"/>
      <c r="L887" s="5" t="n"/>
    </row>
    <row r="888">
      <c r="A888" s="5" t="n"/>
      <c r="B888" s="6" t="n"/>
      <c r="C888" s="5" t="n"/>
      <c r="D888" s="5" t="n"/>
      <c r="E888" s="5" t="n"/>
      <c r="F888" s="5" t="n"/>
      <c r="G888" s="5" t="n"/>
      <c r="H888" s="6" t="n"/>
      <c r="I888" s="5" t="n"/>
      <c r="J888" s="5" t="n"/>
      <c r="K888" s="5" t="n"/>
      <c r="L888" s="5" t="n"/>
    </row>
    <row r="889">
      <c r="A889" s="5" t="n"/>
      <c r="B889" s="6" t="n"/>
      <c r="C889" s="5" t="n"/>
      <c r="D889" s="5" t="n"/>
      <c r="E889" s="5" t="n"/>
      <c r="F889" s="5" t="n"/>
      <c r="G889" s="5" t="n"/>
      <c r="H889" s="6" t="n"/>
      <c r="I889" s="5" t="n"/>
      <c r="J889" s="5" t="n"/>
      <c r="K889" s="5" t="n"/>
      <c r="L889" s="5" t="n"/>
    </row>
    <row r="890">
      <c r="A890" s="5" t="n"/>
      <c r="B890" s="6" t="n"/>
      <c r="C890" s="5" t="n"/>
      <c r="D890" s="5" t="n"/>
      <c r="E890" s="5" t="n"/>
      <c r="F890" s="5" t="n"/>
      <c r="G890" s="5" t="n"/>
      <c r="H890" s="6" t="n"/>
      <c r="I890" s="5" t="n"/>
      <c r="J890" s="5" t="n"/>
      <c r="K890" s="5" t="n"/>
      <c r="L890" s="5" t="n"/>
    </row>
    <row r="891">
      <c r="A891" s="5" t="n"/>
      <c r="B891" s="6" t="n"/>
      <c r="C891" s="5" t="n"/>
      <c r="D891" s="5" t="n"/>
      <c r="E891" s="5" t="n"/>
      <c r="F891" s="5" t="n"/>
      <c r="G891" s="5" t="n"/>
      <c r="H891" s="6" t="n"/>
      <c r="I891" s="5" t="n"/>
      <c r="J891" s="5" t="n"/>
      <c r="K891" s="5" t="n"/>
      <c r="L891" s="5" t="n"/>
    </row>
    <row r="892">
      <c r="A892" s="5" t="n"/>
      <c r="B892" s="6" t="n"/>
      <c r="C892" s="5" t="n"/>
      <c r="D892" s="5" t="n"/>
      <c r="E892" s="5" t="n"/>
      <c r="F892" s="5" t="n"/>
      <c r="G892" s="5" t="n"/>
      <c r="H892" s="6" t="n"/>
      <c r="I892" s="5" t="n"/>
      <c r="J892" s="5" t="n"/>
      <c r="K892" s="5" t="n"/>
      <c r="L892" s="5" t="n"/>
    </row>
    <row r="893">
      <c r="A893" s="5" t="n"/>
      <c r="B893" s="6" t="n"/>
      <c r="C893" s="5" t="n"/>
      <c r="D893" s="5" t="n"/>
      <c r="E893" s="5" t="n"/>
      <c r="F893" s="5" t="n"/>
      <c r="G893" s="5" t="n"/>
      <c r="H893" s="6" t="n"/>
      <c r="I893" s="5" t="n"/>
      <c r="J893" s="5" t="n"/>
      <c r="K893" s="5" t="n"/>
      <c r="L893" s="5" t="n"/>
    </row>
    <row r="894">
      <c r="A894" s="5" t="n"/>
      <c r="B894" s="6" t="n"/>
      <c r="C894" s="5" t="n"/>
      <c r="D894" s="5" t="n"/>
      <c r="E894" s="5" t="n"/>
      <c r="F894" s="5" t="n"/>
      <c r="G894" s="5" t="n"/>
      <c r="H894" s="6" t="n"/>
      <c r="I894" s="5" t="n"/>
      <c r="J894" s="5" t="n"/>
      <c r="K894" s="5" t="n"/>
      <c r="L894" s="5" t="n"/>
    </row>
    <row r="895">
      <c r="A895" s="5" t="n"/>
      <c r="B895" s="6" t="n"/>
      <c r="C895" s="5" t="n"/>
      <c r="D895" s="5" t="n"/>
      <c r="E895" s="5" t="n"/>
      <c r="F895" s="5" t="n"/>
      <c r="G895" s="5" t="n"/>
      <c r="H895" s="6" t="n"/>
      <c r="I895" s="5" t="n"/>
      <c r="J895" s="5" t="n"/>
      <c r="K895" s="5" t="n"/>
      <c r="L895" s="5" t="n"/>
    </row>
    <row r="896">
      <c r="A896" s="5" t="n"/>
      <c r="B896" s="6" t="n"/>
      <c r="C896" s="5" t="n"/>
      <c r="D896" s="5" t="n"/>
      <c r="E896" s="5" t="n"/>
      <c r="F896" s="5" t="n"/>
      <c r="G896" s="5" t="n"/>
      <c r="H896" s="6" t="n"/>
      <c r="I896" s="5" t="n"/>
      <c r="J896" s="5" t="n"/>
      <c r="K896" s="5" t="n"/>
      <c r="L896" s="5" t="n"/>
    </row>
    <row r="897">
      <c r="A897" s="5" t="n"/>
      <c r="B897" s="6" t="n"/>
      <c r="C897" s="5" t="n"/>
      <c r="D897" s="5" t="n"/>
      <c r="E897" s="5" t="n"/>
      <c r="F897" s="5" t="n"/>
      <c r="G897" s="5" t="n"/>
      <c r="H897" s="6" t="n"/>
      <c r="I897" s="5" t="n"/>
      <c r="J897" s="5" t="n"/>
      <c r="K897" s="5" t="n"/>
      <c r="L897" s="5" t="n"/>
    </row>
    <row r="898">
      <c r="A898" s="5" t="n"/>
      <c r="B898" s="6" t="n"/>
      <c r="C898" s="5" t="n"/>
      <c r="D898" s="5" t="n"/>
      <c r="E898" s="5" t="n"/>
      <c r="F898" s="5" t="n"/>
      <c r="G898" s="5" t="n"/>
      <c r="H898" s="6" t="n"/>
      <c r="I898" s="5" t="n"/>
      <c r="J898" s="5" t="n"/>
      <c r="K898" s="5" t="n"/>
      <c r="L898" s="5" t="n"/>
    </row>
    <row r="899">
      <c r="A899" s="5" t="n"/>
      <c r="B899" s="6" t="n"/>
      <c r="C899" s="5" t="n"/>
      <c r="D899" s="5" t="n"/>
      <c r="E899" s="5" t="n"/>
      <c r="F899" s="5" t="n"/>
      <c r="G899" s="5" t="n"/>
      <c r="H899" s="6" t="n"/>
      <c r="I899" s="5" t="n"/>
      <c r="J899" s="5" t="n"/>
      <c r="K899" s="5" t="n"/>
      <c r="L899" s="5" t="n"/>
    </row>
    <row r="900">
      <c r="A900" s="5" t="n"/>
      <c r="B900" s="6" t="n"/>
      <c r="C900" s="5" t="n"/>
      <c r="D900" s="5" t="n"/>
      <c r="E900" s="5" t="n"/>
      <c r="F900" s="5" t="n"/>
      <c r="G900" s="5" t="n"/>
      <c r="H900" s="6" t="n"/>
      <c r="I900" s="5" t="n"/>
      <c r="J900" s="5" t="n"/>
      <c r="K900" s="5" t="n"/>
      <c r="L900" s="5" t="n"/>
    </row>
    <row r="901">
      <c r="A901" s="5" t="n"/>
      <c r="B901" s="6" t="n"/>
      <c r="C901" s="5" t="n"/>
      <c r="D901" s="5" t="n"/>
      <c r="E901" s="5" t="n"/>
      <c r="F901" s="5" t="n"/>
      <c r="G901" s="5" t="n"/>
      <c r="H901" s="6" t="n"/>
      <c r="I901" s="5" t="n"/>
      <c r="J901" s="5" t="n"/>
      <c r="K901" s="5" t="n"/>
      <c r="L901" s="5" t="n"/>
    </row>
    <row r="902">
      <c r="A902" s="5" t="n"/>
      <c r="B902" s="6" t="n"/>
      <c r="C902" s="5" t="n"/>
      <c r="D902" s="5" t="n"/>
      <c r="E902" s="5" t="n"/>
      <c r="F902" s="5" t="n"/>
      <c r="G902" s="5" t="n"/>
      <c r="H902" s="6" t="n"/>
      <c r="I902" s="5" t="n"/>
      <c r="J902" s="5" t="n"/>
      <c r="K902" s="5" t="n"/>
      <c r="L902" s="5" t="n"/>
    </row>
    <row r="903">
      <c r="A903" s="5" t="n"/>
      <c r="B903" s="6" t="n"/>
      <c r="C903" s="5" t="n"/>
      <c r="D903" s="5" t="n"/>
      <c r="E903" s="5" t="n"/>
      <c r="F903" s="5" t="n"/>
      <c r="G903" s="5" t="n"/>
      <c r="H903" s="6" t="n"/>
      <c r="I903" s="5" t="n"/>
      <c r="J903" s="5" t="n"/>
      <c r="K903" s="5" t="n"/>
      <c r="L903" s="5" t="n"/>
    </row>
    <row r="904">
      <c r="A904" s="5" t="n"/>
      <c r="B904" s="6" t="n"/>
      <c r="C904" s="5" t="n"/>
      <c r="D904" s="5" t="n"/>
      <c r="E904" s="5" t="n"/>
      <c r="F904" s="5" t="n"/>
      <c r="G904" s="5" t="n"/>
      <c r="H904" s="6" t="n"/>
      <c r="I904" s="5" t="n"/>
      <c r="J904" s="5" t="n"/>
      <c r="K904" s="5" t="n"/>
      <c r="L904" s="5" t="n"/>
    </row>
    <row r="905">
      <c r="A905" s="5" t="n"/>
      <c r="B905" s="6" t="n"/>
      <c r="C905" s="5" t="n"/>
      <c r="D905" s="5" t="n"/>
      <c r="E905" s="5" t="n"/>
      <c r="F905" s="5" t="n"/>
      <c r="G905" s="5" t="n"/>
      <c r="H905" s="6" t="n"/>
      <c r="I905" s="5" t="n"/>
      <c r="J905" s="5" t="n"/>
      <c r="K905" s="5" t="n"/>
      <c r="L905" s="5" t="n"/>
    </row>
    <row r="906">
      <c r="A906" s="5" t="n"/>
      <c r="B906" s="6" t="n"/>
      <c r="C906" s="5" t="n"/>
      <c r="D906" s="5" t="n"/>
      <c r="E906" s="5" t="n"/>
      <c r="F906" s="5" t="n"/>
      <c r="G906" s="5" t="n"/>
      <c r="H906" s="6" t="n"/>
      <c r="I906" s="5" t="n"/>
      <c r="J906" s="5" t="n"/>
      <c r="K906" s="5" t="n"/>
      <c r="L906" s="5" t="n"/>
    </row>
    <row r="907">
      <c r="A907" s="5" t="n"/>
      <c r="B907" s="6" t="n"/>
      <c r="C907" s="5" t="n"/>
      <c r="D907" s="5" t="n"/>
      <c r="E907" s="5" t="n"/>
      <c r="F907" s="5" t="n"/>
      <c r="G907" s="5" t="n"/>
      <c r="H907" s="6" t="n"/>
      <c r="I907" s="5" t="n"/>
      <c r="J907" s="5" t="n"/>
      <c r="K907" s="5" t="n"/>
      <c r="L907" s="5" t="n"/>
    </row>
    <row r="908">
      <c r="A908" s="5" t="n"/>
      <c r="B908" s="6" t="n"/>
      <c r="C908" s="5" t="n"/>
      <c r="D908" s="5" t="n"/>
      <c r="E908" s="5" t="n"/>
      <c r="F908" s="5" t="n"/>
      <c r="G908" s="5" t="n"/>
      <c r="H908" s="6" t="n"/>
      <c r="I908" s="5" t="n"/>
      <c r="J908" s="5" t="n"/>
      <c r="K908" s="5" t="n"/>
      <c r="L908" s="5" t="n"/>
    </row>
    <row r="909">
      <c r="A909" s="5" t="n"/>
      <c r="B909" s="6" t="n"/>
      <c r="C909" s="5" t="n"/>
      <c r="D909" s="5" t="n"/>
      <c r="E909" s="5" t="n"/>
      <c r="F909" s="5" t="n"/>
      <c r="G909" s="5" t="n"/>
      <c r="H909" s="6" t="n"/>
      <c r="I909" s="5" t="n"/>
      <c r="J909" s="5" t="n"/>
      <c r="K909" s="5" t="n"/>
      <c r="L909" s="5" t="n"/>
    </row>
    <row r="910">
      <c r="A910" s="5" t="n"/>
      <c r="B910" s="6" t="n"/>
      <c r="C910" s="5" t="n"/>
      <c r="D910" s="5" t="n"/>
      <c r="E910" s="5" t="n"/>
      <c r="F910" s="5" t="n"/>
      <c r="G910" s="5" t="n"/>
      <c r="H910" s="6" t="n"/>
      <c r="I910" s="5" t="n"/>
      <c r="J910" s="5" t="n"/>
      <c r="K910" s="5" t="n"/>
      <c r="L910" s="5" t="n"/>
    </row>
    <row r="911">
      <c r="A911" s="5" t="n"/>
      <c r="B911" s="6" t="n"/>
      <c r="C911" s="5" t="n"/>
      <c r="D911" s="5" t="n"/>
      <c r="E911" s="5" t="n"/>
      <c r="F911" s="5" t="n"/>
      <c r="G911" s="5" t="n"/>
      <c r="H911" s="6" t="n"/>
      <c r="I911" s="5" t="n"/>
      <c r="J911" s="5" t="n"/>
      <c r="K911" s="5" t="n"/>
      <c r="L911" s="5" t="n"/>
    </row>
    <row r="912">
      <c r="A912" s="5" t="n"/>
      <c r="B912" s="6" t="n"/>
      <c r="C912" s="5" t="n"/>
      <c r="D912" s="5" t="n"/>
      <c r="E912" s="5" t="n"/>
      <c r="F912" s="5" t="n"/>
      <c r="G912" s="5" t="n"/>
      <c r="H912" s="6" t="n"/>
      <c r="I912" s="5" t="n"/>
      <c r="J912" s="5" t="n"/>
      <c r="K912" s="5" t="n"/>
      <c r="L912" s="5" t="n"/>
    </row>
    <row r="913">
      <c r="A913" s="5" t="n"/>
      <c r="B913" s="6" t="n"/>
      <c r="C913" s="5" t="n"/>
      <c r="D913" s="5" t="n"/>
      <c r="E913" s="5" t="n"/>
      <c r="F913" s="5" t="n"/>
      <c r="G913" s="5" t="n"/>
      <c r="H913" s="6" t="n"/>
      <c r="I913" s="5" t="n"/>
      <c r="J913" s="5" t="n"/>
      <c r="K913" s="5" t="n"/>
      <c r="L913" s="5" t="n"/>
    </row>
    <row r="914">
      <c r="A914" s="5" t="n"/>
      <c r="B914" s="6" t="n"/>
      <c r="C914" s="5" t="n"/>
      <c r="D914" s="5" t="n"/>
      <c r="E914" s="5" t="n"/>
      <c r="F914" s="5" t="n"/>
      <c r="G914" s="5" t="n"/>
      <c r="H914" s="6" t="n"/>
      <c r="I914" s="5" t="n"/>
      <c r="J914" s="5" t="n"/>
      <c r="K914" s="5" t="n"/>
      <c r="L914" s="5" t="n"/>
    </row>
    <row r="915">
      <c r="A915" s="5" t="n"/>
      <c r="B915" s="6" t="n"/>
      <c r="C915" s="5" t="n"/>
      <c r="D915" s="5" t="n"/>
      <c r="E915" s="5" t="n"/>
      <c r="F915" s="5" t="n"/>
      <c r="G915" s="5" t="n"/>
      <c r="H915" s="6" t="n"/>
      <c r="I915" s="5" t="n"/>
      <c r="J915" s="5" t="n"/>
      <c r="K915" s="5" t="n"/>
      <c r="L915" s="5" t="n"/>
    </row>
    <row r="916">
      <c r="A916" s="5" t="n"/>
      <c r="B916" s="6" t="n"/>
      <c r="C916" s="5" t="n"/>
      <c r="D916" s="5" t="n"/>
      <c r="E916" s="5" t="n"/>
      <c r="F916" s="5" t="n"/>
      <c r="G916" s="5" t="n"/>
      <c r="H916" s="6" t="n"/>
      <c r="I916" s="5" t="n"/>
      <c r="J916" s="5" t="n"/>
      <c r="K916" s="5" t="n"/>
      <c r="L916" s="5" t="n"/>
    </row>
    <row r="917">
      <c r="A917" s="5" t="n"/>
      <c r="B917" s="6" t="n"/>
      <c r="C917" s="5" t="n"/>
      <c r="D917" s="5" t="n"/>
      <c r="E917" s="5" t="n"/>
      <c r="F917" s="5" t="n"/>
      <c r="G917" s="5" t="n"/>
      <c r="H917" s="6" t="n"/>
      <c r="I917" s="5" t="n"/>
      <c r="J917" s="5" t="n"/>
      <c r="K917" s="5" t="n"/>
      <c r="L917" s="5" t="n"/>
    </row>
    <row r="918">
      <c r="A918" s="5" t="n"/>
      <c r="B918" s="6" t="n"/>
      <c r="C918" s="5" t="n"/>
      <c r="D918" s="5" t="n"/>
      <c r="E918" s="5" t="n"/>
      <c r="F918" s="5" t="n"/>
      <c r="G918" s="5" t="n"/>
      <c r="H918" s="6" t="n"/>
      <c r="I918" s="5" t="n"/>
      <c r="J918" s="5" t="n"/>
      <c r="K918" s="5" t="n"/>
      <c r="L918" s="5" t="n"/>
    </row>
    <row r="919">
      <c r="A919" s="5" t="n"/>
      <c r="B919" s="6" t="n"/>
      <c r="C919" s="5" t="n"/>
      <c r="D919" s="5" t="n"/>
      <c r="E919" s="5" t="n"/>
      <c r="F919" s="5" t="n"/>
      <c r="G919" s="5" t="n"/>
      <c r="H919" s="6" t="n"/>
      <c r="I919" s="5" t="n"/>
      <c r="J919" s="5" t="n"/>
      <c r="K919" s="5" t="n"/>
      <c r="L919" s="5" t="n"/>
    </row>
    <row r="920">
      <c r="A920" s="5" t="n"/>
      <c r="B920" s="6" t="n"/>
      <c r="C920" s="5" t="n"/>
      <c r="D920" s="5" t="n"/>
      <c r="E920" s="5" t="n"/>
      <c r="F920" s="5" t="n"/>
      <c r="G920" s="5" t="n"/>
      <c r="H920" s="6" t="n"/>
      <c r="I920" s="5" t="n"/>
      <c r="J920" s="5" t="n"/>
      <c r="K920" s="5" t="n"/>
      <c r="L920" s="5" t="n"/>
    </row>
    <row r="921">
      <c r="A921" s="5" t="n"/>
      <c r="B921" s="6" t="n"/>
      <c r="C921" s="5" t="n"/>
      <c r="D921" s="5" t="n"/>
      <c r="E921" s="5" t="n"/>
      <c r="F921" s="5" t="n"/>
      <c r="G921" s="5" t="n"/>
      <c r="H921" s="6" t="n"/>
      <c r="I921" s="5" t="n"/>
      <c r="J921" s="5" t="n"/>
      <c r="K921" s="5" t="n"/>
      <c r="L921" s="5" t="n"/>
    </row>
    <row r="922">
      <c r="A922" s="5" t="n"/>
      <c r="B922" s="6" t="n"/>
      <c r="C922" s="5" t="n"/>
      <c r="D922" s="5" t="n"/>
      <c r="E922" s="5" t="n"/>
      <c r="F922" s="5" t="n"/>
      <c r="G922" s="5" t="n"/>
      <c r="H922" s="6" t="n"/>
      <c r="I922" s="5" t="n"/>
      <c r="J922" s="5" t="n"/>
      <c r="K922" s="5" t="n"/>
      <c r="L922" s="5" t="n"/>
    </row>
    <row r="923">
      <c r="A923" s="5" t="n"/>
      <c r="B923" s="6" t="n"/>
      <c r="C923" s="5" t="n"/>
      <c r="D923" s="5" t="n"/>
      <c r="E923" s="5" t="n"/>
      <c r="F923" s="5" t="n"/>
      <c r="G923" s="5" t="n"/>
      <c r="H923" s="6" t="n"/>
      <c r="I923" s="5" t="n"/>
      <c r="J923" s="5" t="n"/>
      <c r="K923" s="5" t="n"/>
      <c r="L923" s="5" t="n"/>
    </row>
    <row r="924">
      <c r="A924" s="5" t="n"/>
      <c r="B924" s="6" t="n"/>
      <c r="C924" s="5" t="n"/>
      <c r="D924" s="5" t="n"/>
      <c r="E924" s="5" t="n"/>
      <c r="F924" s="5" t="n"/>
      <c r="G924" s="5" t="n"/>
      <c r="H924" s="6" t="n"/>
      <c r="I924" s="5" t="n"/>
      <c r="J924" s="5" t="n"/>
      <c r="K924" s="5" t="n"/>
      <c r="L924" s="5" t="n"/>
    </row>
    <row r="925">
      <c r="A925" s="5" t="n"/>
      <c r="B925" s="6" t="n"/>
      <c r="C925" s="5" t="n"/>
      <c r="D925" s="5" t="n"/>
      <c r="E925" s="5" t="n"/>
      <c r="F925" s="5" t="n"/>
      <c r="G925" s="5" t="n"/>
      <c r="H925" s="6" t="n"/>
      <c r="I925" s="5" t="n"/>
      <c r="J925" s="5" t="n"/>
      <c r="K925" s="5" t="n"/>
      <c r="L925" s="5" t="n"/>
    </row>
    <row r="926">
      <c r="A926" s="5" t="n"/>
      <c r="B926" s="6" t="n"/>
      <c r="C926" s="5" t="n"/>
      <c r="D926" s="5" t="n"/>
      <c r="E926" s="5" t="n"/>
      <c r="F926" s="5" t="n"/>
      <c r="G926" s="5" t="n"/>
      <c r="H926" s="6" t="n"/>
      <c r="I926" s="5" t="n"/>
      <c r="J926" s="5" t="n"/>
      <c r="K926" s="5" t="n"/>
      <c r="L926" s="5" t="n"/>
    </row>
    <row r="927">
      <c r="A927" s="5" t="n"/>
      <c r="B927" s="6" t="n"/>
      <c r="C927" s="5" t="n"/>
      <c r="D927" s="5" t="n"/>
      <c r="E927" s="5" t="n"/>
      <c r="F927" s="5" t="n"/>
      <c r="G927" s="5" t="n"/>
      <c r="H927" s="6" t="n"/>
      <c r="I927" s="5" t="n"/>
      <c r="J927" s="5" t="n"/>
      <c r="K927" s="5" t="n"/>
      <c r="L927" s="5" t="n"/>
    </row>
    <row r="928">
      <c r="A928" s="5" t="n"/>
      <c r="B928" s="6" t="n"/>
      <c r="C928" s="5" t="n"/>
      <c r="D928" s="5" t="n"/>
      <c r="E928" s="5" t="n"/>
      <c r="F928" s="5" t="n"/>
      <c r="G928" s="5" t="n"/>
      <c r="H928" s="6" t="n"/>
      <c r="I928" s="5" t="n"/>
      <c r="J928" s="5" t="n"/>
      <c r="K928" s="5" t="n"/>
      <c r="L928" s="5" t="n"/>
    </row>
    <row r="929">
      <c r="A929" s="5" t="n"/>
      <c r="B929" s="6" t="n"/>
      <c r="C929" s="5" t="n"/>
      <c r="D929" s="5" t="n"/>
      <c r="E929" s="5" t="n"/>
      <c r="F929" s="5" t="n"/>
      <c r="G929" s="5" t="n"/>
      <c r="H929" s="6" t="n"/>
      <c r="I929" s="5" t="n"/>
      <c r="J929" s="5" t="n"/>
      <c r="K929" s="5" t="n"/>
      <c r="L929" s="5" t="n"/>
    </row>
    <row r="930">
      <c r="A930" s="5" t="n"/>
      <c r="B930" s="6" t="n"/>
      <c r="C930" s="5" t="n"/>
      <c r="D930" s="5" t="n"/>
      <c r="E930" s="5" t="n"/>
      <c r="F930" s="5" t="n"/>
      <c r="G930" s="5" t="n"/>
      <c r="H930" s="6" t="n"/>
      <c r="I930" s="5" t="n"/>
      <c r="J930" s="5" t="n"/>
      <c r="K930" s="5" t="n"/>
      <c r="L930" s="5" t="n"/>
    </row>
    <row r="931">
      <c r="A931" s="5" t="n"/>
      <c r="B931" s="6" t="n"/>
      <c r="C931" s="5" t="n"/>
      <c r="D931" s="5" t="n"/>
      <c r="E931" s="5" t="n"/>
      <c r="F931" s="5" t="n"/>
      <c r="G931" s="5" t="n"/>
      <c r="H931" s="6" t="n"/>
      <c r="I931" s="5" t="n"/>
      <c r="J931" s="5" t="n"/>
      <c r="K931" s="5" t="n"/>
      <c r="L931" s="5" t="n"/>
    </row>
    <row r="932">
      <c r="A932" s="5" t="n"/>
      <c r="B932" s="6" t="n"/>
      <c r="C932" s="5" t="n"/>
      <c r="D932" s="5" t="n"/>
      <c r="E932" s="5" t="n"/>
      <c r="F932" s="5" t="n"/>
      <c r="G932" s="5" t="n"/>
      <c r="H932" s="6" t="n"/>
      <c r="I932" s="5" t="n"/>
      <c r="J932" s="5" t="n"/>
      <c r="K932" s="5" t="n"/>
      <c r="L932" s="5" t="n"/>
    </row>
    <row r="933">
      <c r="A933" s="5" t="n"/>
      <c r="B933" s="6" t="n"/>
      <c r="C933" s="5" t="n"/>
      <c r="D933" s="5" t="n"/>
      <c r="E933" s="5" t="n"/>
      <c r="F933" s="5" t="n"/>
      <c r="G933" s="5" t="n"/>
      <c r="H933" s="6" t="n"/>
      <c r="I933" s="5" t="n"/>
      <c r="J933" s="5" t="n"/>
      <c r="K933" s="5" t="n"/>
      <c r="L933" s="5" t="n"/>
    </row>
    <row r="934">
      <c r="A934" s="5" t="n"/>
      <c r="B934" s="6" t="n"/>
      <c r="C934" s="5" t="n"/>
      <c r="D934" s="5" t="n"/>
      <c r="E934" s="5" t="n"/>
      <c r="F934" s="5" t="n"/>
      <c r="G934" s="5" t="n"/>
      <c r="H934" s="6" t="n"/>
      <c r="I934" s="5" t="n"/>
      <c r="J934" s="5" t="n"/>
      <c r="K934" s="5" t="n"/>
      <c r="L934" s="5" t="n"/>
    </row>
    <row r="935">
      <c r="A935" s="5" t="n"/>
      <c r="B935" s="6" t="n"/>
      <c r="C935" s="5" t="n"/>
      <c r="D935" s="5" t="n"/>
      <c r="E935" s="5" t="n"/>
      <c r="F935" s="5" t="n"/>
      <c r="G935" s="5" t="n"/>
      <c r="H935" s="6" t="n"/>
      <c r="I935" s="5" t="n"/>
      <c r="J935" s="5" t="n"/>
      <c r="K935" s="5" t="n"/>
      <c r="L935" s="5" t="n"/>
    </row>
    <row r="936">
      <c r="A936" s="5" t="n"/>
      <c r="B936" s="6" t="n"/>
      <c r="C936" s="5" t="n"/>
      <c r="D936" s="5" t="n"/>
      <c r="E936" s="5" t="n"/>
      <c r="F936" s="5" t="n"/>
      <c r="G936" s="5" t="n"/>
      <c r="H936" s="6" t="n"/>
      <c r="I936" s="5" t="n"/>
      <c r="J936" s="5" t="n"/>
      <c r="K936" s="5" t="n"/>
      <c r="L936" s="5" t="n"/>
    </row>
    <row r="937">
      <c r="A937" s="5" t="n"/>
      <c r="B937" s="6" t="n"/>
      <c r="C937" s="5" t="n"/>
      <c r="D937" s="5" t="n"/>
      <c r="E937" s="5" t="n"/>
      <c r="F937" s="5" t="n"/>
      <c r="G937" s="5" t="n"/>
      <c r="H937" s="6" t="n"/>
      <c r="I937" s="5" t="n"/>
      <c r="J937" s="5" t="n"/>
      <c r="K937" s="5" t="n"/>
      <c r="L937" s="5" t="n"/>
    </row>
    <row r="938">
      <c r="A938" s="5" t="n"/>
      <c r="B938" s="6" t="n"/>
      <c r="C938" s="5" t="n"/>
      <c r="D938" s="5" t="n"/>
      <c r="E938" s="5" t="n"/>
      <c r="F938" s="5" t="n"/>
      <c r="G938" s="5" t="n"/>
      <c r="H938" s="6" t="n"/>
      <c r="I938" s="5" t="n"/>
      <c r="J938" s="5" t="n"/>
      <c r="K938" s="5" t="n"/>
      <c r="L938" s="5" t="n"/>
    </row>
    <row r="939">
      <c r="A939" s="5" t="n"/>
      <c r="B939" s="6" t="n"/>
      <c r="C939" s="5" t="n"/>
      <c r="D939" s="5" t="n"/>
      <c r="E939" s="5" t="n"/>
      <c r="F939" s="5" t="n"/>
      <c r="G939" s="5" t="n"/>
      <c r="H939" s="6" t="n"/>
      <c r="I939" s="5" t="n"/>
      <c r="J939" s="5" t="n"/>
      <c r="K939" s="5" t="n"/>
      <c r="L939" s="5" t="n"/>
    </row>
    <row r="940">
      <c r="A940" s="5" t="n"/>
      <c r="B940" s="6" t="n"/>
      <c r="C940" s="5" t="n"/>
      <c r="D940" s="5" t="n"/>
      <c r="E940" s="5" t="n"/>
      <c r="F940" s="5" t="n"/>
      <c r="G940" s="5" t="n"/>
      <c r="H940" s="6" t="n"/>
      <c r="I940" s="5" t="n"/>
      <c r="J940" s="5" t="n"/>
      <c r="K940" s="5" t="n"/>
      <c r="L940" s="5" t="n"/>
    </row>
    <row r="941">
      <c r="A941" s="5" t="n"/>
      <c r="B941" s="6" t="n"/>
      <c r="C941" s="5" t="n"/>
      <c r="D941" s="5" t="n"/>
      <c r="E941" s="5" t="n"/>
      <c r="F941" s="5" t="n"/>
      <c r="G941" s="5" t="n"/>
      <c r="H941" s="6" t="n"/>
      <c r="I941" s="5" t="n"/>
      <c r="J941" s="5" t="n"/>
      <c r="K941" s="5" t="n"/>
      <c r="L941" s="5" t="n"/>
    </row>
    <row r="942">
      <c r="A942" s="5" t="n"/>
      <c r="B942" s="6" t="n"/>
      <c r="C942" s="5" t="n"/>
      <c r="D942" s="5" t="n"/>
      <c r="E942" s="5" t="n"/>
      <c r="F942" s="5" t="n"/>
      <c r="G942" s="5" t="n"/>
      <c r="H942" s="6" t="n"/>
      <c r="I942" s="5" t="n"/>
      <c r="J942" s="5" t="n"/>
      <c r="K942" s="5" t="n"/>
      <c r="L942" s="5" t="n"/>
    </row>
    <row r="943">
      <c r="A943" s="5" t="n"/>
      <c r="B943" s="6" t="n"/>
      <c r="C943" s="5" t="n"/>
      <c r="D943" s="5" t="n"/>
      <c r="E943" s="5" t="n"/>
      <c r="F943" s="5" t="n"/>
      <c r="G943" s="5" t="n"/>
      <c r="H943" s="6" t="n"/>
      <c r="I943" s="5" t="n"/>
      <c r="J943" s="5" t="n"/>
      <c r="K943" s="5" t="n"/>
      <c r="L943" s="5" t="n"/>
    </row>
    <row r="944">
      <c r="A944" s="5" t="n"/>
      <c r="B944" s="6" t="n"/>
      <c r="C944" s="5" t="n"/>
      <c r="D944" s="5" t="n"/>
      <c r="E944" s="5" t="n"/>
      <c r="F944" s="5" t="n"/>
      <c r="G944" s="5" t="n"/>
      <c r="H944" s="6" t="n"/>
      <c r="I944" s="5" t="n"/>
      <c r="J944" s="5" t="n"/>
      <c r="K944" s="5" t="n"/>
      <c r="L944" s="5" t="n"/>
    </row>
    <row r="945">
      <c r="A945" s="5" t="n"/>
      <c r="B945" s="6" t="n"/>
      <c r="C945" s="5" t="n"/>
      <c r="D945" s="5" t="n"/>
      <c r="E945" s="5" t="n"/>
      <c r="F945" s="5" t="n"/>
      <c r="G945" s="5" t="n"/>
      <c r="H945" s="6" t="n"/>
      <c r="I945" s="5" t="n"/>
      <c r="J945" s="5" t="n"/>
      <c r="K945" s="5" t="n"/>
      <c r="L945" s="5" t="n"/>
    </row>
    <row r="946">
      <c r="A946" s="5" t="n"/>
      <c r="B946" s="6" t="n"/>
      <c r="C946" s="5" t="n"/>
      <c r="D946" s="5" t="n"/>
      <c r="E946" s="5" t="n"/>
      <c r="F946" s="5" t="n"/>
      <c r="G946" s="5" t="n"/>
      <c r="H946" s="6" t="n"/>
      <c r="I946" s="5" t="n"/>
      <c r="J946" s="5" t="n"/>
      <c r="K946" s="5" t="n"/>
      <c r="L946" s="5" t="n"/>
    </row>
    <row r="947">
      <c r="A947" s="5" t="n"/>
      <c r="B947" s="6" t="n"/>
      <c r="C947" s="5" t="n"/>
      <c r="D947" s="5" t="n"/>
      <c r="E947" s="5" t="n"/>
      <c r="F947" s="5" t="n"/>
      <c r="G947" s="5" t="n"/>
      <c r="H947" s="6" t="n"/>
      <c r="I947" s="5" t="n"/>
      <c r="J947" s="5" t="n"/>
      <c r="K947" s="5" t="n"/>
      <c r="L947" s="5" t="n"/>
    </row>
    <row r="948">
      <c r="A948" s="5" t="n"/>
      <c r="B948" s="6" t="n"/>
      <c r="C948" s="5" t="n"/>
      <c r="D948" s="5" t="n"/>
      <c r="E948" s="5" t="n"/>
      <c r="F948" s="5" t="n"/>
      <c r="G948" s="5" t="n"/>
      <c r="H948" s="6" t="n"/>
      <c r="I948" s="5" t="n"/>
      <c r="J948" s="5" t="n"/>
      <c r="K948" s="5" t="n"/>
      <c r="L948" s="5" t="n"/>
    </row>
    <row r="949">
      <c r="A949" s="5" t="n"/>
      <c r="B949" s="6" t="n"/>
      <c r="C949" s="5" t="n"/>
      <c r="D949" s="5" t="n"/>
      <c r="E949" s="5" t="n"/>
      <c r="F949" s="5" t="n"/>
      <c r="G949" s="5" t="n"/>
      <c r="H949" s="6" t="n"/>
      <c r="I949" s="5" t="n"/>
      <c r="J949" s="5" t="n"/>
      <c r="K949" s="5" t="n"/>
      <c r="L949" s="5" t="n"/>
    </row>
    <row r="950">
      <c r="A950" s="5" t="n"/>
      <c r="B950" s="6" t="n"/>
      <c r="C950" s="5" t="n"/>
      <c r="D950" s="5" t="n"/>
      <c r="E950" s="5" t="n"/>
      <c r="F950" s="5" t="n"/>
      <c r="G950" s="5" t="n"/>
      <c r="H950" s="6" t="n"/>
      <c r="I950" s="5" t="n"/>
      <c r="J950" s="5" t="n"/>
      <c r="K950" s="5" t="n"/>
      <c r="L950" s="5" t="n"/>
    </row>
    <row r="951">
      <c r="A951" s="5" t="n"/>
      <c r="B951" s="6" t="n"/>
      <c r="C951" s="5" t="n"/>
      <c r="D951" s="5" t="n"/>
      <c r="E951" s="5" t="n"/>
      <c r="F951" s="5" t="n"/>
      <c r="G951" s="5" t="n"/>
      <c r="H951" s="6" t="n"/>
      <c r="I951" s="5" t="n"/>
      <c r="J951" s="5" t="n"/>
      <c r="K951" s="5" t="n"/>
      <c r="L951" s="5" t="n"/>
    </row>
    <row r="952">
      <c r="A952" s="5" t="n"/>
      <c r="B952" s="6" t="n"/>
      <c r="C952" s="5" t="n"/>
      <c r="D952" s="5" t="n"/>
      <c r="E952" s="5" t="n"/>
      <c r="F952" s="5" t="n"/>
      <c r="G952" s="5" t="n"/>
      <c r="H952" s="6" t="n"/>
      <c r="I952" s="5" t="n"/>
      <c r="J952" s="5" t="n"/>
      <c r="K952" s="5" t="n"/>
      <c r="L952" s="5" t="n"/>
    </row>
    <row r="953">
      <c r="A953" s="5" t="n"/>
      <c r="B953" s="6" t="n"/>
      <c r="C953" s="5" t="n"/>
      <c r="D953" s="5" t="n"/>
      <c r="E953" s="5" t="n"/>
      <c r="F953" s="5" t="n"/>
      <c r="G953" s="5" t="n"/>
      <c r="H953" s="6" t="n"/>
      <c r="I953" s="5" t="n"/>
      <c r="J953" s="5" t="n"/>
      <c r="K953" s="5" t="n"/>
      <c r="L953" s="5" t="n"/>
    </row>
    <row r="954">
      <c r="A954" s="5" t="n"/>
      <c r="B954" s="6" t="n"/>
      <c r="C954" s="5" t="n"/>
      <c r="D954" s="5" t="n"/>
      <c r="E954" s="5" t="n"/>
      <c r="F954" s="5" t="n"/>
      <c r="G954" s="5" t="n"/>
      <c r="H954" s="6" t="n"/>
      <c r="I954" s="5" t="n"/>
      <c r="J954" s="5" t="n"/>
      <c r="K954" s="5" t="n"/>
      <c r="L954" s="5" t="n"/>
    </row>
    <row r="955">
      <c r="A955" s="5" t="n"/>
      <c r="B955" s="6" t="n"/>
      <c r="C955" s="5" t="n"/>
      <c r="D955" s="5" t="n"/>
      <c r="E955" s="5" t="n"/>
      <c r="F955" s="5" t="n"/>
      <c r="G955" s="5" t="n"/>
      <c r="H955" s="6" t="n"/>
      <c r="I955" s="5" t="n"/>
      <c r="J955" s="5" t="n"/>
      <c r="K955" s="5" t="n"/>
      <c r="L955" s="5" t="n"/>
    </row>
    <row r="956">
      <c r="A956" s="5" t="n"/>
      <c r="B956" s="6" t="n"/>
      <c r="C956" s="5" t="n"/>
      <c r="D956" s="5" t="n"/>
      <c r="E956" s="5" t="n"/>
      <c r="F956" s="5" t="n"/>
      <c r="G956" s="5" t="n"/>
      <c r="H956" s="6" t="n"/>
      <c r="I956" s="5" t="n"/>
      <c r="J956" s="5" t="n"/>
      <c r="K956" s="5" t="n"/>
      <c r="L956" s="5" t="n"/>
    </row>
    <row r="957">
      <c r="A957" s="5" t="n"/>
      <c r="B957" s="6" t="n"/>
      <c r="C957" s="5" t="n"/>
      <c r="D957" s="5" t="n"/>
      <c r="E957" s="5" t="n"/>
      <c r="F957" s="5" t="n"/>
      <c r="G957" s="5" t="n"/>
      <c r="H957" s="6" t="n"/>
      <c r="I957" s="5" t="n"/>
      <c r="J957" s="5" t="n"/>
      <c r="K957" s="5" t="n"/>
      <c r="L957" s="5" t="n"/>
    </row>
    <row r="958">
      <c r="A958" s="5" t="n"/>
      <c r="B958" s="6" t="n"/>
      <c r="C958" s="5" t="n"/>
      <c r="D958" s="5" t="n"/>
      <c r="E958" s="5" t="n"/>
      <c r="F958" s="5" t="n"/>
      <c r="G958" s="5" t="n"/>
      <c r="H958" s="6" t="n"/>
      <c r="I958" s="5" t="n"/>
      <c r="J958" s="5" t="n"/>
      <c r="K958" s="5" t="n"/>
      <c r="L958" s="5" t="n"/>
    </row>
    <row r="959">
      <c r="A959" s="5" t="n"/>
      <c r="B959" s="6" t="n"/>
      <c r="C959" s="5" t="n"/>
      <c r="D959" s="5" t="n"/>
      <c r="E959" s="5" t="n"/>
      <c r="F959" s="5" t="n"/>
      <c r="G959" s="5" t="n"/>
      <c r="H959" s="6" t="n"/>
      <c r="I959" s="5" t="n"/>
      <c r="J959" s="5" t="n"/>
      <c r="K959" s="5" t="n"/>
      <c r="L959" s="5" t="n"/>
    </row>
    <row r="960">
      <c r="A960" s="5" t="n"/>
      <c r="B960" s="6" t="n"/>
      <c r="C960" s="5" t="n"/>
      <c r="D960" s="5" t="n"/>
      <c r="E960" s="5" t="n"/>
      <c r="F960" s="5" t="n"/>
      <c r="G960" s="5" t="n"/>
      <c r="H960" s="6" t="n"/>
      <c r="I960" s="5" t="n"/>
      <c r="J960" s="5" t="n"/>
      <c r="K960" s="5" t="n"/>
      <c r="L960" s="5" t="n"/>
    </row>
    <row r="961">
      <c r="A961" s="5" t="n"/>
      <c r="B961" s="6" t="n"/>
      <c r="C961" s="5" t="n"/>
      <c r="D961" s="5" t="n"/>
      <c r="E961" s="5" t="n"/>
      <c r="F961" s="5" t="n"/>
      <c r="G961" s="5" t="n"/>
      <c r="H961" s="6" t="n"/>
      <c r="I961" s="5" t="n"/>
      <c r="J961" s="5" t="n"/>
      <c r="K961" s="5" t="n"/>
      <c r="L961" s="5" t="n"/>
    </row>
    <row r="962">
      <c r="A962" s="5" t="n"/>
      <c r="B962" s="6" t="n"/>
      <c r="C962" s="5" t="n"/>
      <c r="D962" s="5" t="n"/>
      <c r="E962" s="5" t="n"/>
      <c r="F962" s="5" t="n"/>
      <c r="G962" s="5" t="n"/>
      <c r="H962" s="6" t="n"/>
      <c r="I962" s="5" t="n"/>
      <c r="J962" s="5" t="n"/>
      <c r="K962" s="5" t="n"/>
      <c r="L962" s="5" t="n"/>
    </row>
    <row r="963">
      <c r="A963" s="5" t="n"/>
      <c r="B963" s="6" t="n"/>
      <c r="C963" s="5" t="n"/>
      <c r="D963" s="5" t="n"/>
      <c r="E963" s="5" t="n"/>
      <c r="F963" s="5" t="n"/>
      <c r="G963" s="5" t="n"/>
      <c r="H963" s="6" t="n"/>
      <c r="I963" s="5" t="n"/>
      <c r="J963" s="5" t="n"/>
      <c r="K963" s="5" t="n"/>
      <c r="L963" s="5" t="n"/>
    </row>
    <row r="964">
      <c r="A964" s="5" t="n"/>
      <c r="B964" s="6" t="n"/>
      <c r="C964" s="5" t="n"/>
      <c r="D964" s="5" t="n"/>
      <c r="E964" s="5" t="n"/>
      <c r="F964" s="5" t="n"/>
      <c r="G964" s="5" t="n"/>
      <c r="H964" s="6" t="n"/>
      <c r="I964" s="5" t="n"/>
      <c r="J964" s="5" t="n"/>
      <c r="K964" s="5" t="n"/>
      <c r="L964" s="5" t="n"/>
    </row>
    <row r="965">
      <c r="A965" s="5" t="n"/>
      <c r="B965" s="6" t="n"/>
      <c r="C965" s="5" t="n"/>
      <c r="D965" s="5" t="n"/>
      <c r="E965" s="5" t="n"/>
      <c r="F965" s="5" t="n"/>
      <c r="G965" s="5" t="n"/>
      <c r="H965" s="6" t="n"/>
      <c r="I965" s="5" t="n"/>
      <c r="J965" s="5" t="n"/>
      <c r="K965" s="5" t="n"/>
      <c r="L965" s="5" t="n"/>
    </row>
    <row r="966">
      <c r="A966" s="5" t="n"/>
      <c r="B966" s="6" t="n"/>
      <c r="C966" s="5" t="n"/>
      <c r="D966" s="5" t="n"/>
      <c r="E966" s="5" t="n"/>
      <c r="F966" s="5" t="n"/>
      <c r="G966" s="5" t="n"/>
      <c r="H966" s="6" t="n"/>
      <c r="I966" s="5" t="n"/>
      <c r="J966" s="5" t="n"/>
      <c r="K966" s="5" t="n"/>
      <c r="L966" s="5" t="n"/>
    </row>
    <row r="967">
      <c r="A967" s="5" t="n"/>
      <c r="B967" s="6" t="n"/>
      <c r="C967" s="5" t="n"/>
      <c r="D967" s="5" t="n"/>
      <c r="E967" s="5" t="n"/>
      <c r="F967" s="5" t="n"/>
      <c r="G967" s="5" t="n"/>
      <c r="H967" s="6" t="n"/>
      <c r="I967" s="5" t="n"/>
      <c r="J967" s="5" t="n"/>
      <c r="K967" s="5" t="n"/>
      <c r="L967" s="5" t="n"/>
    </row>
    <row r="968">
      <c r="A968" s="5" t="n"/>
      <c r="B968" s="6" t="n"/>
      <c r="C968" s="5" t="n"/>
      <c r="D968" s="5" t="n"/>
      <c r="E968" s="5" t="n"/>
      <c r="F968" s="5" t="n"/>
      <c r="G968" s="5" t="n"/>
      <c r="H968" s="6" t="n"/>
      <c r="I968" s="5" t="n"/>
      <c r="J968" s="5" t="n"/>
      <c r="K968" s="5" t="n"/>
      <c r="L968" s="5" t="n"/>
    </row>
    <row r="969">
      <c r="A969" s="5" t="n"/>
      <c r="B969" s="6" t="n"/>
      <c r="C969" s="5" t="n"/>
      <c r="D969" s="5" t="n"/>
      <c r="E969" s="5" t="n"/>
      <c r="F969" s="5" t="n"/>
      <c r="G969" s="5" t="n"/>
      <c r="H969" s="6" t="n"/>
      <c r="I969" s="5" t="n"/>
      <c r="J969" s="5" t="n"/>
      <c r="K969" s="5" t="n"/>
      <c r="L969" s="5" t="n"/>
    </row>
    <row r="970">
      <c r="A970" s="5" t="n"/>
      <c r="B970" s="6" t="n"/>
      <c r="C970" s="5" t="n"/>
      <c r="D970" s="5" t="n"/>
      <c r="E970" s="5" t="n"/>
      <c r="F970" s="5" t="n"/>
      <c r="G970" s="5" t="n"/>
      <c r="H970" s="6" t="n"/>
      <c r="I970" s="5" t="n"/>
      <c r="J970" s="5" t="n"/>
      <c r="K970" s="5" t="n"/>
      <c r="L970" s="5" t="n"/>
    </row>
    <row r="971">
      <c r="A971" s="5" t="n"/>
      <c r="B971" s="6" t="n"/>
      <c r="C971" s="5" t="n"/>
      <c r="D971" s="5" t="n"/>
      <c r="E971" s="5" t="n"/>
      <c r="F971" s="5" t="n"/>
      <c r="G971" s="5" t="n"/>
      <c r="H971" s="6" t="n"/>
      <c r="I971" s="5" t="n"/>
      <c r="J971" s="5" t="n"/>
      <c r="K971" s="5" t="n"/>
      <c r="L971" s="5" t="n"/>
    </row>
    <row r="972">
      <c r="A972" s="5" t="n"/>
      <c r="B972" s="6" t="n"/>
      <c r="C972" s="5" t="n"/>
      <c r="D972" s="5" t="n"/>
      <c r="E972" s="5" t="n"/>
      <c r="F972" s="5" t="n"/>
      <c r="G972" s="5" t="n"/>
      <c r="H972" s="6" t="n"/>
      <c r="I972" s="5" t="n"/>
      <c r="J972" s="5" t="n"/>
      <c r="K972" s="5" t="n"/>
      <c r="L972" s="5" t="n"/>
    </row>
    <row r="973">
      <c r="A973" s="5" t="n"/>
      <c r="B973" s="6" t="n"/>
      <c r="C973" s="5" t="n"/>
      <c r="D973" s="5" t="n"/>
      <c r="E973" s="5" t="n"/>
      <c r="F973" s="5" t="n"/>
      <c r="G973" s="5" t="n"/>
      <c r="H973" s="6" t="n"/>
      <c r="I973" s="5" t="n"/>
      <c r="J973" s="5" t="n"/>
      <c r="K973" s="5" t="n"/>
      <c r="L973" s="5" t="n"/>
    </row>
    <row r="974">
      <c r="A974" s="5" t="n"/>
      <c r="B974" s="6" t="n"/>
      <c r="C974" s="5" t="n"/>
      <c r="D974" s="5" t="n"/>
      <c r="E974" s="5" t="n"/>
      <c r="F974" s="5" t="n"/>
      <c r="G974" s="5" t="n"/>
      <c r="H974" s="6" t="n"/>
      <c r="I974" s="5" t="n"/>
      <c r="J974" s="5" t="n"/>
      <c r="K974" s="5" t="n"/>
      <c r="L974" s="5" t="n"/>
    </row>
    <row r="975">
      <c r="A975" s="5" t="n"/>
      <c r="B975" s="6" t="n"/>
      <c r="C975" s="5" t="n"/>
      <c r="D975" s="5" t="n"/>
      <c r="E975" s="5" t="n"/>
      <c r="F975" s="5" t="n"/>
      <c r="G975" s="5" t="n"/>
      <c r="H975" s="6" t="n"/>
      <c r="I975" s="5" t="n"/>
      <c r="J975" s="5" t="n"/>
      <c r="K975" s="5" t="n"/>
      <c r="L975" s="5" t="n"/>
    </row>
    <row r="976">
      <c r="A976" s="5" t="n"/>
      <c r="B976" s="6" t="n"/>
      <c r="C976" s="5" t="n"/>
      <c r="D976" s="5" t="n"/>
      <c r="E976" s="5" t="n"/>
      <c r="F976" s="5" t="n"/>
      <c r="G976" s="5" t="n"/>
      <c r="H976" s="6" t="n"/>
      <c r="I976" s="5" t="n"/>
      <c r="J976" s="5" t="n"/>
      <c r="K976" s="5" t="n"/>
      <c r="L976" s="5" t="n"/>
    </row>
    <row r="977">
      <c r="A977" s="5" t="n"/>
      <c r="B977" s="6" t="n"/>
      <c r="C977" s="5" t="n"/>
      <c r="D977" s="5" t="n"/>
      <c r="E977" s="5" t="n"/>
      <c r="F977" s="5" t="n"/>
      <c r="G977" s="5" t="n"/>
      <c r="H977" s="6" t="n"/>
      <c r="I977" s="5" t="n"/>
      <c r="J977" s="5" t="n"/>
      <c r="K977" s="5" t="n"/>
      <c r="L977" s="5" t="n"/>
    </row>
    <row r="978">
      <c r="A978" s="5" t="n"/>
      <c r="B978" s="6" t="n"/>
      <c r="C978" s="5" t="n"/>
      <c r="D978" s="5" t="n"/>
      <c r="E978" s="5" t="n"/>
      <c r="F978" s="5" t="n"/>
      <c r="G978" s="5" t="n"/>
      <c r="H978" s="6" t="n"/>
      <c r="I978" s="5" t="n"/>
      <c r="J978" s="5" t="n"/>
      <c r="K978" s="5" t="n"/>
      <c r="L978" s="5" t="n"/>
    </row>
    <row r="979">
      <c r="A979" s="5" t="n"/>
      <c r="B979" s="6" t="n"/>
      <c r="C979" s="5" t="n"/>
      <c r="D979" s="5" t="n"/>
      <c r="E979" s="5" t="n"/>
      <c r="F979" s="5" t="n"/>
      <c r="G979" s="5" t="n"/>
      <c r="H979" s="6" t="n"/>
      <c r="I979" s="5" t="n"/>
      <c r="J979" s="5" t="n"/>
      <c r="K979" s="5" t="n"/>
      <c r="L979" s="5" t="n"/>
    </row>
    <row r="980">
      <c r="A980" s="5" t="n"/>
      <c r="B980" s="6" t="n"/>
      <c r="C980" s="5" t="n"/>
      <c r="D980" s="5" t="n"/>
      <c r="E980" s="5" t="n"/>
      <c r="F980" s="5" t="n"/>
      <c r="G980" s="5" t="n"/>
      <c r="H980" s="6" t="n"/>
      <c r="I980" s="5" t="n"/>
      <c r="J980" s="5" t="n"/>
      <c r="K980" s="5" t="n"/>
      <c r="L980" s="5" t="n"/>
    </row>
    <row r="981">
      <c r="A981" s="5" t="n"/>
      <c r="B981" s="6" t="n"/>
      <c r="C981" s="5" t="n"/>
      <c r="D981" s="5" t="n"/>
      <c r="E981" s="5" t="n"/>
      <c r="F981" s="5" t="n"/>
      <c r="G981" s="5" t="n"/>
      <c r="H981" s="6" t="n"/>
      <c r="I981" s="5" t="n"/>
      <c r="J981" s="5" t="n"/>
      <c r="K981" s="5" t="n"/>
      <c r="L981" s="5" t="n"/>
    </row>
    <row r="982">
      <c r="A982" s="5" t="n"/>
      <c r="B982" s="6" t="n"/>
      <c r="C982" s="5" t="n"/>
      <c r="D982" s="5" t="n"/>
      <c r="E982" s="5" t="n"/>
      <c r="F982" s="5" t="n"/>
      <c r="G982" s="5" t="n"/>
      <c r="H982" s="6" t="n"/>
      <c r="I982" s="5" t="n"/>
      <c r="J982" s="5" t="n"/>
      <c r="K982" s="5" t="n"/>
      <c r="L982" s="5" t="n"/>
    </row>
    <row r="983">
      <c r="A983" s="5" t="n"/>
      <c r="B983" s="6" t="n"/>
      <c r="C983" s="5" t="n"/>
      <c r="D983" s="5" t="n"/>
      <c r="E983" s="5" t="n"/>
      <c r="F983" s="5" t="n"/>
      <c r="G983" s="5" t="n"/>
      <c r="H983" s="6" t="n"/>
      <c r="I983" s="5" t="n"/>
      <c r="J983" s="5" t="n"/>
      <c r="K983" s="5" t="n"/>
      <c r="L983" s="5" t="n"/>
    </row>
    <row r="984">
      <c r="A984" s="5" t="n"/>
      <c r="B984" s="6" t="n"/>
      <c r="C984" s="5" t="n"/>
      <c r="D984" s="5" t="n"/>
      <c r="E984" s="5" t="n"/>
      <c r="F984" s="5" t="n"/>
      <c r="G984" s="5" t="n"/>
      <c r="H984" s="6" t="n"/>
      <c r="I984" s="5" t="n"/>
      <c r="J984" s="5" t="n"/>
      <c r="K984" s="5" t="n"/>
      <c r="L984" s="5" t="n"/>
    </row>
    <row r="985">
      <c r="A985" s="5" t="n"/>
      <c r="B985" s="6" t="n"/>
      <c r="C985" s="5" t="n"/>
      <c r="D985" s="5" t="n"/>
      <c r="E985" s="5" t="n"/>
      <c r="F985" s="5" t="n"/>
      <c r="G985" s="5" t="n"/>
      <c r="H985" s="6" t="n"/>
      <c r="I985" s="5" t="n"/>
      <c r="J985" s="5" t="n"/>
      <c r="K985" s="5" t="n"/>
      <c r="L985" s="5" t="n"/>
    </row>
    <row r="986">
      <c r="A986" s="5" t="n"/>
      <c r="B986" s="6" t="n"/>
      <c r="C986" s="5" t="n"/>
      <c r="D986" s="5" t="n"/>
      <c r="E986" s="5" t="n"/>
      <c r="F986" s="5" t="n"/>
      <c r="G986" s="5" t="n"/>
      <c r="H986" s="6" t="n"/>
      <c r="I986" s="5" t="n"/>
      <c r="J986" s="5" t="n"/>
      <c r="K986" s="5" t="n"/>
      <c r="L986" s="5" t="n"/>
    </row>
    <row r="987">
      <c r="A987" s="5" t="n"/>
      <c r="B987" s="6" t="n"/>
      <c r="C987" s="5" t="n"/>
      <c r="D987" s="5" t="n"/>
      <c r="E987" s="5" t="n"/>
      <c r="F987" s="5" t="n"/>
      <c r="G987" s="5" t="n"/>
      <c r="H987" s="6" t="n"/>
      <c r="I987" s="5" t="n"/>
      <c r="J987" s="5" t="n"/>
      <c r="K987" s="5" t="n"/>
      <c r="L987" s="5" t="n"/>
    </row>
    <row r="988">
      <c r="A988" s="5" t="n"/>
      <c r="B988" s="6" t="n"/>
      <c r="C988" s="5" t="n"/>
      <c r="D988" s="5" t="n"/>
      <c r="E988" s="5" t="n"/>
      <c r="F988" s="5" t="n"/>
      <c r="G988" s="5" t="n"/>
      <c r="H988" s="6" t="n"/>
      <c r="I988" s="5" t="n"/>
      <c r="J988" s="5" t="n"/>
      <c r="K988" s="5" t="n"/>
      <c r="L988" s="5" t="n"/>
    </row>
    <row r="989">
      <c r="A989" s="5" t="n"/>
      <c r="B989" s="6" t="n"/>
      <c r="C989" s="5" t="n"/>
      <c r="D989" s="5" t="n"/>
      <c r="E989" s="5" t="n"/>
      <c r="F989" s="5" t="n"/>
      <c r="G989" s="5" t="n"/>
      <c r="H989" s="6" t="n"/>
      <c r="I989" s="5" t="n"/>
      <c r="J989" s="5" t="n"/>
      <c r="K989" s="5" t="n"/>
      <c r="L989" s="5" t="n"/>
    </row>
    <row r="990">
      <c r="A990" s="5" t="n"/>
      <c r="B990" s="6" t="n"/>
      <c r="C990" s="5" t="n"/>
      <c r="D990" s="5" t="n"/>
      <c r="E990" s="5" t="n"/>
      <c r="F990" s="5" t="n"/>
      <c r="G990" s="5" t="n"/>
      <c r="H990" s="6" t="n"/>
      <c r="I990" s="5" t="n"/>
      <c r="J990" s="5" t="n"/>
      <c r="K990" s="5" t="n"/>
      <c r="L990" s="5" t="n"/>
    </row>
    <row r="991">
      <c r="A991" s="5" t="n"/>
      <c r="B991" s="6" t="n"/>
      <c r="C991" s="5" t="n"/>
      <c r="D991" s="5" t="n"/>
      <c r="E991" s="5" t="n"/>
      <c r="F991" s="5" t="n"/>
      <c r="G991" s="5" t="n"/>
      <c r="H991" s="6" t="n"/>
      <c r="I991" s="5" t="n"/>
      <c r="J991" s="5" t="n"/>
      <c r="K991" s="5" t="n"/>
      <c r="L991" s="5" t="n"/>
    </row>
    <row r="992">
      <c r="A992" s="5" t="n"/>
      <c r="B992" s="6" t="n"/>
      <c r="C992" s="5" t="n"/>
      <c r="D992" s="5" t="n"/>
      <c r="E992" s="5" t="n"/>
      <c r="F992" s="5" t="n"/>
      <c r="G992" s="5" t="n"/>
      <c r="H992" s="6" t="n"/>
      <c r="I992" s="5" t="n"/>
      <c r="J992" s="5" t="n"/>
      <c r="K992" s="5" t="n"/>
      <c r="L992" s="5" t="n"/>
    </row>
    <row r="993">
      <c r="A993" s="5" t="n"/>
      <c r="B993" s="6" t="n"/>
      <c r="C993" s="5" t="n"/>
      <c r="D993" s="5" t="n"/>
      <c r="E993" s="5" t="n"/>
      <c r="F993" s="5" t="n"/>
      <c r="G993" s="5" t="n"/>
      <c r="H993" s="6" t="n"/>
      <c r="I993" s="5" t="n"/>
      <c r="J993" s="5" t="n"/>
      <c r="K993" s="5" t="n"/>
      <c r="L993" s="5" t="n"/>
    </row>
    <row r="994">
      <c r="A994" s="5" t="n"/>
      <c r="B994" s="6" t="n"/>
      <c r="C994" s="5" t="n"/>
      <c r="D994" s="5" t="n"/>
      <c r="E994" s="5" t="n"/>
      <c r="F994" s="5" t="n"/>
      <c r="G994" s="5" t="n"/>
      <c r="H994" s="6" t="n"/>
      <c r="I994" s="5" t="n"/>
      <c r="J994" s="5" t="n"/>
      <c r="K994" s="5" t="n"/>
      <c r="L994" s="5" t="n"/>
    </row>
    <row r="995">
      <c r="A995" s="5" t="n"/>
      <c r="B995" s="6" t="n"/>
      <c r="C995" s="5" t="n"/>
      <c r="D995" s="5" t="n"/>
      <c r="E995" s="5" t="n"/>
      <c r="F995" s="5" t="n"/>
      <c r="G995" s="5" t="n"/>
      <c r="H995" s="6" t="n"/>
      <c r="I995" s="5" t="n"/>
      <c r="J995" s="5" t="n"/>
      <c r="K995" s="5" t="n"/>
      <c r="L995" s="5" t="n"/>
    </row>
    <row r="996">
      <c r="A996" s="5" t="n"/>
      <c r="B996" s="6" t="n"/>
      <c r="C996" s="5" t="n"/>
      <c r="D996" s="5" t="n"/>
      <c r="E996" s="5" t="n"/>
      <c r="F996" s="5" t="n"/>
      <c r="G996" s="5" t="n"/>
      <c r="H996" s="6" t="n"/>
      <c r="I996" s="5" t="n"/>
      <c r="J996" s="5" t="n"/>
      <c r="K996" s="5" t="n"/>
      <c r="L996" s="5" t="n"/>
    </row>
    <row r="997">
      <c r="A997" s="5" t="n"/>
      <c r="B997" s="6" t="n"/>
      <c r="C997" s="5" t="n"/>
      <c r="D997" s="5" t="n"/>
      <c r="E997" s="5" t="n"/>
      <c r="F997" s="5" t="n"/>
      <c r="G997" s="5" t="n"/>
      <c r="H997" s="6" t="n"/>
      <c r="I997" s="5" t="n"/>
      <c r="J997" s="5" t="n"/>
      <c r="K997" s="5" t="n"/>
      <c r="L997" s="5" t="n"/>
    </row>
    <row r="998">
      <c r="A998" s="5" t="n"/>
      <c r="B998" s="6" t="n"/>
      <c r="C998" s="5" t="n"/>
      <c r="D998" s="5" t="n"/>
      <c r="E998" s="5" t="n"/>
      <c r="F998" s="5" t="n"/>
      <c r="G998" s="5" t="n"/>
      <c r="H998" s="6" t="n"/>
      <c r="I998" s="5" t="n"/>
      <c r="J998" s="5" t="n"/>
      <c r="K998" s="5" t="n"/>
      <c r="L998" s="5" t="n"/>
    </row>
    <row r="999">
      <c r="A999" s="5" t="n"/>
      <c r="B999" s="6" t="n"/>
      <c r="C999" s="5" t="n"/>
      <c r="D999" s="5" t="n"/>
      <c r="E999" s="5" t="n"/>
      <c r="F999" s="5" t="n"/>
      <c r="G999" s="5" t="n"/>
      <c r="H999" s="6" t="n"/>
      <c r="I999" s="5" t="n"/>
      <c r="J999" s="5" t="n"/>
      <c r="K999" s="5" t="n"/>
      <c r="L999" s="5" t="n"/>
    </row>
    <row r="1000">
      <c r="A1000" s="5" t="n"/>
      <c r="B1000" s="6" t="n"/>
      <c r="C1000" s="5" t="n"/>
      <c r="D1000" s="5" t="n"/>
      <c r="E1000" s="5" t="n"/>
      <c r="F1000" s="5" t="n"/>
      <c r="G1000" s="5" t="n"/>
      <c r="H1000" s="6" t="n"/>
      <c r="I1000" s="5" t="n"/>
      <c r="J1000" s="5" t="n"/>
      <c r="K1000" s="5" t="n"/>
      <c r="L1000" s="5" t="n"/>
    </row>
    <row r="1001">
      <c r="A1001" s="5" t="n"/>
      <c r="B1001" s="6" t="n"/>
      <c r="C1001" s="5" t="n"/>
      <c r="D1001" s="5" t="n"/>
      <c r="E1001" s="5" t="n"/>
      <c r="F1001" s="5" t="n"/>
      <c r="G1001" s="5" t="n"/>
      <c r="H1001" s="6" t="n"/>
      <c r="I1001" s="5" t="n"/>
      <c r="J1001" s="5" t="n"/>
      <c r="K1001" s="5" t="n"/>
      <c r="L1001" s="5" t="n"/>
    </row>
  </sheetData>
  <autoFilter ref="A1:L1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T6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" customWidth="1" min="3" max="3"/>
    <col width="11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0" customWidth="1" min="11" max="11"/>
    <col width="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3" customWidth="1" min="19" max="19"/>
    <col width="11" customWidth="1" min="20" max="20"/>
  </cols>
  <sheetData>
    <row r="1">
      <c r="B1" s="7" t="inlineStr">
        <is>
          <t>2026년도 하반기 인턴근무계획표(9~2월)</t>
        </is>
      </c>
      <c r="M1" s="8" t="inlineStr">
        <is>
          <t>↓ 자동 정규화 (수정 금지) — '병원 진료과'로 통일, 인식 불가는 ⚠ 표시</t>
        </is>
      </c>
    </row>
    <row r="2" ht="28" customHeight="1">
      <c r="B2" s="4" t="inlineStr">
        <is>
          <t xml:space="preserve">순번 </t>
        </is>
      </c>
      <c r="C2" s="4" t="inlineStr">
        <is>
          <t xml:space="preserve">이름 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 xml:space="preserve">2월 </t>
        </is>
      </c>
      <c r="K2" s="4" t="inlineStr">
        <is>
          <t>비고</t>
        </is>
      </c>
      <c r="M2" s="9">
        <f>TRIM(E$2&amp;"")&amp;" 정규화"</f>
        <v/>
      </c>
      <c r="N2" s="9">
        <f>TRIM(F$2&amp;"")&amp;" 정규화"</f>
        <v/>
      </c>
      <c r="O2" s="9">
        <f>TRIM(G$2&amp;"")&amp;" 정규화"</f>
        <v/>
      </c>
      <c r="P2" s="9">
        <f>TRIM(H$2&amp;"")&amp;" 정규화"</f>
        <v/>
      </c>
      <c r="Q2" s="9">
        <f>TRIM(I$2&amp;"")&amp;" 정규화"</f>
        <v/>
      </c>
      <c r="R2" s="9">
        <f>TRIM(J$2&amp;"")&amp;" 정규화"</f>
        <v/>
      </c>
      <c r="S2" s="9" t="inlineStr">
        <is>
          <t>입사일(비고)</t>
        </is>
      </c>
      <c r="T2" s="9" t="inlineStr">
        <is>
          <t>입력오류(건)</t>
        </is>
      </c>
    </row>
    <row r="3">
      <c r="B3" s="5" t="n">
        <v>1</v>
      </c>
      <c r="C3" s="5" t="inlineStr">
        <is>
          <t>김ㅇㅇ</t>
        </is>
      </c>
      <c r="D3" s="5" t="n">
        <v>222222</v>
      </c>
      <c r="E3" s="5" t="inlineStr">
        <is>
          <t>구리 안과</t>
        </is>
      </c>
      <c r="F3" s="5" t="inlineStr">
        <is>
          <t>구리 내과</t>
        </is>
      </c>
      <c r="G3" s="5" t="inlineStr">
        <is>
          <t>서울 핵방</t>
        </is>
      </c>
      <c r="H3" s="5" t="inlineStr">
        <is>
          <t>서울 재활의학과</t>
        </is>
      </c>
      <c r="I3" s="5" t="inlineStr">
        <is>
          <t>제주 산부</t>
        </is>
      </c>
      <c r="J3" s="5" t="inlineStr">
        <is>
          <t>서울 소아과</t>
        </is>
      </c>
      <c r="K3" s="5" t="n">
        <v>2026.03</v>
      </c>
      <c r="M3" s="10">
        <f>IFERROR(IF(TRIM(E3&amp;"")="","",IF(AND(ISNUMBER(FIND(" ",TRIM(E3&amp;""))),ISNUMBER(MATCH(LEFT(TRIM(E3&amp;""),FIND(" ",TRIM(E3&amp;""))-1),코드표!$J$2:$J$101,0)),ISNUMBER(MATCH(TRIM(RIGHT(SUBSTITUTE(TRIM(E3&amp;"")," ",REPT(" ",60)),60)),코드표!$F$2:$F$101,0))),INDEX(코드표!$K$2:$K$101,MATCH(LEFT(TRIM(E3&amp;""),FIND(" ",TRIM(E3&amp;""))-1),코드표!$J$2:$J$101,0))&amp;" "&amp;INDEX(코드표!$G$2:$G$101,MATCH(TRIM(RIGHT(SUBSTITUTE(TRIM(E3&amp;"")," ",REPT(" ",60)),60)),코드표!$F$2:$F$101,0)),"⚠"&amp;TRIM(E3&amp;""))),"⚠"&amp;TRIM(E3&amp;""))</f>
        <v/>
      </c>
      <c r="N3" s="10">
        <f>IFERROR(IF(TRIM(F3&amp;"")="","",IF(AND(ISNUMBER(FIND(" ",TRIM(F3&amp;""))),ISNUMBER(MATCH(LEFT(TRIM(F3&amp;""),FIND(" ",TRIM(F3&amp;""))-1),코드표!$J$2:$J$101,0)),ISNUMBER(MATCH(TRIM(RIGHT(SUBSTITUTE(TRIM(F3&amp;"")," ",REPT(" ",60)),60)),코드표!$F$2:$F$101,0))),INDEX(코드표!$K$2:$K$101,MATCH(LEFT(TRIM(F3&amp;""),FIND(" ",TRIM(F3&amp;""))-1),코드표!$J$2:$J$101,0))&amp;" "&amp;INDEX(코드표!$G$2:$G$101,MATCH(TRIM(RIGHT(SUBSTITUTE(TRIM(F3&amp;"")," ",REPT(" ",60)),60)),코드표!$F$2:$F$101,0)),"⚠"&amp;TRIM(F3&amp;""))),"⚠"&amp;TRIM(F3&amp;""))</f>
        <v/>
      </c>
      <c r="O3" s="10">
        <f>IFERROR(IF(TRIM(G3&amp;"")="","",IF(AND(ISNUMBER(FIND(" ",TRIM(G3&amp;""))),ISNUMBER(MATCH(LEFT(TRIM(G3&amp;""),FIND(" ",TRIM(G3&amp;""))-1),코드표!$J$2:$J$101,0)),ISNUMBER(MATCH(TRIM(RIGHT(SUBSTITUTE(TRIM(G3&amp;"")," ",REPT(" ",60)),60)),코드표!$F$2:$F$101,0))),INDEX(코드표!$K$2:$K$101,MATCH(LEFT(TRIM(G3&amp;""),FIND(" ",TRIM(G3&amp;""))-1),코드표!$J$2:$J$101,0))&amp;" "&amp;INDEX(코드표!$G$2:$G$101,MATCH(TRIM(RIGHT(SUBSTITUTE(TRIM(G3&amp;"")," ",REPT(" ",60)),60)),코드표!$F$2:$F$101,0)),"⚠"&amp;TRIM(G3&amp;""))),"⚠"&amp;TRIM(G3&amp;""))</f>
        <v/>
      </c>
      <c r="P3" s="10">
        <f>IFERROR(IF(TRIM(H3&amp;"")="","",IF(AND(ISNUMBER(FIND(" ",TRIM(H3&amp;""))),ISNUMBER(MATCH(LEFT(TRIM(H3&amp;""),FIND(" ",TRIM(H3&amp;""))-1),코드표!$J$2:$J$101,0)),ISNUMBER(MATCH(TRIM(RIGHT(SUBSTITUTE(TRIM(H3&amp;"")," ",REPT(" ",60)),60)),코드표!$F$2:$F$101,0))),INDEX(코드표!$K$2:$K$101,MATCH(LEFT(TRIM(H3&amp;""),FIND(" ",TRIM(H3&amp;""))-1),코드표!$J$2:$J$101,0))&amp;" "&amp;INDEX(코드표!$G$2:$G$101,MATCH(TRIM(RIGHT(SUBSTITUTE(TRIM(H3&amp;"")," ",REPT(" ",60)),60)),코드표!$F$2:$F$101,0)),"⚠"&amp;TRIM(H3&amp;""))),"⚠"&amp;TRIM(H3&amp;""))</f>
        <v/>
      </c>
      <c r="Q3" s="10">
        <f>IFERROR(IF(TRIM(I3&amp;"")="","",IF(AND(ISNUMBER(FIND(" ",TRIM(I3&amp;""))),ISNUMBER(MATCH(LEFT(TRIM(I3&amp;""),FIND(" ",TRIM(I3&amp;""))-1),코드표!$J$2:$J$101,0)),ISNUMBER(MATCH(TRIM(RIGHT(SUBSTITUTE(TRIM(I3&amp;"")," ",REPT(" ",60)),60)),코드표!$F$2:$F$101,0))),INDEX(코드표!$K$2:$K$101,MATCH(LEFT(TRIM(I3&amp;""),FIND(" ",TRIM(I3&amp;""))-1),코드표!$J$2:$J$101,0))&amp;" "&amp;INDEX(코드표!$G$2:$G$101,MATCH(TRIM(RIGHT(SUBSTITUTE(TRIM(I3&amp;"")," ",REPT(" ",60)),60)),코드표!$F$2:$F$101,0)),"⚠"&amp;TRIM(I3&amp;""))),"⚠"&amp;TRIM(I3&amp;""))</f>
        <v/>
      </c>
      <c r="R3" s="10">
        <f>IFERROR(IF(TRIM(J3&amp;"")="","",IF(AND(ISNUMBER(FIND(" ",TRIM(J3&amp;""))),ISNUMBER(MATCH(LEFT(TRIM(J3&amp;""),FIND(" ",TRIM(J3&amp;""))-1),코드표!$J$2:$J$101,0)),ISNUMBER(MATCH(TRIM(RIGHT(SUBSTITUTE(TRIM(J3&amp;"")," ",REPT(" ",60)),60)),코드표!$F$2:$F$101,0))),INDEX(코드표!$K$2:$K$101,MATCH(LEFT(TRIM(J3&amp;""),FIND(" ",TRIM(J3&amp;""))-1),코드표!$J$2:$J$101,0))&amp;" "&amp;INDEX(코드표!$G$2:$G$101,MATCH(TRIM(RIGHT(SUBSTITUTE(TRIM(J3&amp;"")," ",REPT(" ",60)),60)),코드표!$F$2:$F$101,0)),"⚠"&amp;TRIM(J3&amp;""))),"⚠"&amp;TRIM(J3&amp;""))</f>
        <v/>
      </c>
      <c r="S3" s="11">
        <f>IF(K3="","",IFERROR(IF(AND(ROUND((VALUE(K3&amp;"")-INT(VALUE(K3&amp;"")))*100,0)&gt;=1,ROUND((VALUE(K3&amp;"")-INT(VALUE(K3&amp;"")))*100,0)&lt;=12,INT(VALUE(K3&amp;""))&gt;=1900),DATE(INT(VALUE(K3&amp;"")),ROUND((VALUE(K3&amp;"")-INT(VALUE(K3&amp;"")))*100,0),1),K3&amp;""),K3&amp;""))</f>
        <v/>
      </c>
      <c r="T3" s="10">
        <f>COUNTIF(M3:R3,"⚠*")</f>
        <v/>
      </c>
    </row>
    <row r="4">
      <c r="B4" s="5" t="n">
        <v>2</v>
      </c>
      <c r="C4" s="5" t="inlineStr">
        <is>
          <t>이ㅇㅇ</t>
        </is>
      </c>
      <c r="D4" s="5" t="n">
        <v>222223</v>
      </c>
      <c r="E4" s="5" t="inlineStr">
        <is>
          <t>서울 내과</t>
        </is>
      </c>
      <c r="F4" s="5" t="inlineStr">
        <is>
          <t>서울 외과</t>
        </is>
      </c>
      <c r="G4" s="5" t="inlineStr">
        <is>
          <t>구리 통합</t>
        </is>
      </c>
      <c r="H4" s="5" t="inlineStr">
        <is>
          <t>인천 산부인과</t>
        </is>
      </c>
      <c r="I4" s="5" t="inlineStr">
        <is>
          <t>제주 에스중앙 내과</t>
        </is>
      </c>
      <c r="J4" s="5" t="inlineStr">
        <is>
          <t>서울 가정의학과</t>
        </is>
      </c>
      <c r="K4" s="5" t="n">
        <v>2026.03</v>
      </c>
      <c r="M4" s="10">
        <f>IFERROR(IF(TRIM(E4&amp;"")="","",IF(AND(ISNUMBER(FIND(" ",TRIM(E4&amp;""))),ISNUMBER(MATCH(LEFT(TRIM(E4&amp;""),FIND(" ",TRIM(E4&amp;""))-1),코드표!$J$2:$J$101,0)),ISNUMBER(MATCH(TRIM(RIGHT(SUBSTITUTE(TRIM(E4&amp;"")," ",REPT(" ",60)),60)),코드표!$F$2:$F$101,0))),INDEX(코드표!$K$2:$K$101,MATCH(LEFT(TRIM(E4&amp;""),FIND(" ",TRIM(E4&amp;""))-1),코드표!$J$2:$J$101,0))&amp;" "&amp;INDEX(코드표!$G$2:$G$101,MATCH(TRIM(RIGHT(SUBSTITUTE(TRIM(E4&amp;"")," ",REPT(" ",60)),60)),코드표!$F$2:$F$101,0)),"⚠"&amp;TRIM(E4&amp;""))),"⚠"&amp;TRIM(E4&amp;""))</f>
        <v/>
      </c>
      <c r="N4" s="10">
        <f>IFERROR(IF(TRIM(F4&amp;"")="","",IF(AND(ISNUMBER(FIND(" ",TRIM(F4&amp;""))),ISNUMBER(MATCH(LEFT(TRIM(F4&amp;""),FIND(" ",TRIM(F4&amp;""))-1),코드표!$J$2:$J$101,0)),ISNUMBER(MATCH(TRIM(RIGHT(SUBSTITUTE(TRIM(F4&amp;"")," ",REPT(" ",60)),60)),코드표!$F$2:$F$101,0))),INDEX(코드표!$K$2:$K$101,MATCH(LEFT(TRIM(F4&amp;""),FIND(" ",TRIM(F4&amp;""))-1),코드표!$J$2:$J$101,0))&amp;" "&amp;INDEX(코드표!$G$2:$G$101,MATCH(TRIM(RIGHT(SUBSTITUTE(TRIM(F4&amp;"")," ",REPT(" ",60)),60)),코드표!$F$2:$F$101,0)),"⚠"&amp;TRIM(F4&amp;""))),"⚠"&amp;TRIM(F4&amp;""))</f>
        <v/>
      </c>
      <c r="O4" s="10">
        <f>IFERROR(IF(TRIM(G4&amp;"")="","",IF(AND(ISNUMBER(FIND(" ",TRIM(G4&amp;""))),ISNUMBER(MATCH(LEFT(TRIM(G4&amp;""),FIND(" ",TRIM(G4&amp;""))-1),코드표!$J$2:$J$101,0)),ISNUMBER(MATCH(TRIM(RIGHT(SUBSTITUTE(TRIM(G4&amp;"")," ",REPT(" ",60)),60)),코드표!$F$2:$F$101,0))),INDEX(코드표!$K$2:$K$101,MATCH(LEFT(TRIM(G4&amp;""),FIND(" ",TRIM(G4&amp;""))-1),코드표!$J$2:$J$101,0))&amp;" "&amp;INDEX(코드표!$G$2:$G$101,MATCH(TRIM(RIGHT(SUBSTITUTE(TRIM(G4&amp;"")," ",REPT(" ",60)),60)),코드표!$F$2:$F$101,0)),"⚠"&amp;TRIM(G4&amp;""))),"⚠"&amp;TRIM(G4&amp;""))</f>
        <v/>
      </c>
      <c r="P4" s="10">
        <f>IFERROR(IF(TRIM(H4&amp;"")="","",IF(AND(ISNUMBER(FIND(" ",TRIM(H4&amp;""))),ISNUMBER(MATCH(LEFT(TRIM(H4&amp;""),FIND(" ",TRIM(H4&amp;""))-1),코드표!$J$2:$J$101,0)),ISNUMBER(MATCH(TRIM(RIGHT(SUBSTITUTE(TRIM(H4&amp;"")," ",REPT(" ",60)),60)),코드표!$F$2:$F$101,0))),INDEX(코드표!$K$2:$K$101,MATCH(LEFT(TRIM(H4&amp;""),FIND(" ",TRIM(H4&amp;""))-1),코드표!$J$2:$J$101,0))&amp;" "&amp;INDEX(코드표!$G$2:$G$101,MATCH(TRIM(RIGHT(SUBSTITUTE(TRIM(H4&amp;"")," ",REPT(" ",60)),60)),코드표!$F$2:$F$101,0)),"⚠"&amp;TRIM(H4&amp;""))),"⚠"&amp;TRIM(H4&amp;""))</f>
        <v/>
      </c>
      <c r="Q4" s="10">
        <f>IFERROR(IF(TRIM(I4&amp;"")="","",IF(AND(ISNUMBER(FIND(" ",TRIM(I4&amp;""))),ISNUMBER(MATCH(LEFT(TRIM(I4&amp;""),FIND(" ",TRIM(I4&amp;""))-1),코드표!$J$2:$J$101,0)),ISNUMBER(MATCH(TRIM(RIGHT(SUBSTITUTE(TRIM(I4&amp;"")," ",REPT(" ",60)),60)),코드표!$F$2:$F$101,0))),INDEX(코드표!$K$2:$K$101,MATCH(LEFT(TRIM(I4&amp;""),FIND(" ",TRIM(I4&amp;""))-1),코드표!$J$2:$J$101,0))&amp;" "&amp;INDEX(코드표!$G$2:$G$101,MATCH(TRIM(RIGHT(SUBSTITUTE(TRIM(I4&amp;"")," ",REPT(" ",60)),60)),코드표!$F$2:$F$101,0)),"⚠"&amp;TRIM(I4&amp;""))),"⚠"&amp;TRIM(I4&amp;""))</f>
        <v/>
      </c>
      <c r="R4" s="10">
        <f>IFERROR(IF(TRIM(J4&amp;"")="","",IF(AND(ISNUMBER(FIND(" ",TRIM(J4&amp;""))),ISNUMBER(MATCH(LEFT(TRIM(J4&amp;""),FIND(" ",TRIM(J4&amp;""))-1),코드표!$J$2:$J$101,0)),ISNUMBER(MATCH(TRIM(RIGHT(SUBSTITUTE(TRIM(J4&amp;"")," ",REPT(" ",60)),60)),코드표!$F$2:$F$101,0))),INDEX(코드표!$K$2:$K$101,MATCH(LEFT(TRIM(J4&amp;""),FIND(" ",TRIM(J4&amp;""))-1),코드표!$J$2:$J$101,0))&amp;" "&amp;INDEX(코드표!$G$2:$G$101,MATCH(TRIM(RIGHT(SUBSTITUTE(TRIM(J4&amp;"")," ",REPT(" ",60)),60)),코드표!$F$2:$F$101,0)),"⚠"&amp;TRIM(J4&amp;""))),"⚠"&amp;TRIM(J4&amp;""))</f>
        <v/>
      </c>
      <c r="S4" s="11">
        <f>IF(K4="","",IFERROR(IF(AND(ROUND((VALUE(K4&amp;"")-INT(VALUE(K4&amp;"")))*100,0)&gt;=1,ROUND((VALUE(K4&amp;"")-INT(VALUE(K4&amp;"")))*100,0)&lt;=12,INT(VALUE(K4&amp;""))&gt;=1900),DATE(INT(VALUE(K4&amp;"")),ROUND((VALUE(K4&amp;"")-INT(VALUE(K4&amp;"")))*100,0),1),K4&amp;""),K4&amp;""))</f>
        <v/>
      </c>
      <c r="T4" s="10">
        <f>COUNTIF(M4:R4,"⚠*")</f>
        <v/>
      </c>
    </row>
    <row r="5">
      <c r="B5" s="5" t="n">
        <v>3</v>
      </c>
      <c r="C5" s="5" t="inlineStr">
        <is>
          <t>박ㅇㅇ</t>
        </is>
      </c>
      <c r="D5" s="5" t="n">
        <v>222224</v>
      </c>
      <c r="E5" s="5" t="inlineStr">
        <is>
          <t>제주 외과</t>
        </is>
      </c>
      <c r="F5" s="5" t="inlineStr">
        <is>
          <t>서울 내과</t>
        </is>
      </c>
      <c r="G5" s="5" t="inlineStr">
        <is>
          <t>서울 응급</t>
        </is>
      </c>
      <c r="H5" s="5" t="inlineStr">
        <is>
          <t>구리 내과</t>
        </is>
      </c>
      <c r="I5" s="5" t="inlineStr">
        <is>
          <t>서울 소아과</t>
        </is>
      </c>
      <c r="J5" s="5" t="inlineStr">
        <is>
          <t>제주 산부</t>
        </is>
      </c>
      <c r="K5" s="5" t="n">
        <v>2026.03</v>
      </c>
      <c r="M5" s="10">
        <f>IFERROR(IF(TRIM(E5&amp;"")="","",IF(AND(ISNUMBER(FIND(" ",TRIM(E5&amp;""))),ISNUMBER(MATCH(LEFT(TRIM(E5&amp;""),FIND(" ",TRIM(E5&amp;""))-1),코드표!$J$2:$J$101,0)),ISNUMBER(MATCH(TRIM(RIGHT(SUBSTITUTE(TRIM(E5&amp;"")," ",REPT(" ",60)),60)),코드표!$F$2:$F$101,0))),INDEX(코드표!$K$2:$K$101,MATCH(LEFT(TRIM(E5&amp;""),FIND(" ",TRIM(E5&amp;""))-1),코드표!$J$2:$J$101,0))&amp;" "&amp;INDEX(코드표!$G$2:$G$101,MATCH(TRIM(RIGHT(SUBSTITUTE(TRIM(E5&amp;"")," ",REPT(" ",60)),60)),코드표!$F$2:$F$101,0)),"⚠"&amp;TRIM(E5&amp;""))),"⚠"&amp;TRIM(E5&amp;""))</f>
        <v/>
      </c>
      <c r="N5" s="10">
        <f>IFERROR(IF(TRIM(F5&amp;"")="","",IF(AND(ISNUMBER(FIND(" ",TRIM(F5&amp;""))),ISNUMBER(MATCH(LEFT(TRIM(F5&amp;""),FIND(" ",TRIM(F5&amp;""))-1),코드표!$J$2:$J$101,0)),ISNUMBER(MATCH(TRIM(RIGHT(SUBSTITUTE(TRIM(F5&amp;"")," ",REPT(" ",60)),60)),코드표!$F$2:$F$101,0))),INDEX(코드표!$K$2:$K$101,MATCH(LEFT(TRIM(F5&amp;""),FIND(" ",TRIM(F5&amp;""))-1),코드표!$J$2:$J$101,0))&amp;" "&amp;INDEX(코드표!$G$2:$G$101,MATCH(TRIM(RIGHT(SUBSTITUTE(TRIM(F5&amp;"")," ",REPT(" ",60)),60)),코드표!$F$2:$F$101,0)),"⚠"&amp;TRIM(F5&amp;""))),"⚠"&amp;TRIM(F5&amp;""))</f>
        <v/>
      </c>
      <c r="O5" s="10">
        <f>IFERROR(IF(TRIM(G5&amp;"")="","",IF(AND(ISNUMBER(FIND(" ",TRIM(G5&amp;""))),ISNUMBER(MATCH(LEFT(TRIM(G5&amp;""),FIND(" ",TRIM(G5&amp;""))-1),코드표!$J$2:$J$101,0)),ISNUMBER(MATCH(TRIM(RIGHT(SUBSTITUTE(TRIM(G5&amp;"")," ",REPT(" ",60)),60)),코드표!$F$2:$F$101,0))),INDEX(코드표!$K$2:$K$101,MATCH(LEFT(TRIM(G5&amp;""),FIND(" ",TRIM(G5&amp;""))-1),코드표!$J$2:$J$101,0))&amp;" "&amp;INDEX(코드표!$G$2:$G$101,MATCH(TRIM(RIGHT(SUBSTITUTE(TRIM(G5&amp;"")," ",REPT(" ",60)),60)),코드표!$F$2:$F$101,0)),"⚠"&amp;TRIM(G5&amp;""))),"⚠"&amp;TRIM(G5&amp;""))</f>
        <v/>
      </c>
      <c r="P5" s="10">
        <f>IFERROR(IF(TRIM(H5&amp;"")="","",IF(AND(ISNUMBER(FIND(" ",TRIM(H5&amp;""))),ISNUMBER(MATCH(LEFT(TRIM(H5&amp;""),FIND(" ",TRIM(H5&amp;""))-1),코드표!$J$2:$J$101,0)),ISNUMBER(MATCH(TRIM(RIGHT(SUBSTITUTE(TRIM(H5&amp;"")," ",REPT(" ",60)),60)),코드표!$F$2:$F$101,0))),INDEX(코드표!$K$2:$K$101,MATCH(LEFT(TRIM(H5&amp;""),FIND(" ",TRIM(H5&amp;""))-1),코드표!$J$2:$J$101,0))&amp;" "&amp;INDEX(코드표!$G$2:$G$101,MATCH(TRIM(RIGHT(SUBSTITUTE(TRIM(H5&amp;"")," ",REPT(" ",60)),60)),코드표!$F$2:$F$101,0)),"⚠"&amp;TRIM(H5&amp;""))),"⚠"&amp;TRIM(H5&amp;""))</f>
        <v/>
      </c>
      <c r="Q5" s="10">
        <f>IFERROR(IF(TRIM(I5&amp;"")="","",IF(AND(ISNUMBER(FIND(" ",TRIM(I5&amp;""))),ISNUMBER(MATCH(LEFT(TRIM(I5&amp;""),FIND(" ",TRIM(I5&amp;""))-1),코드표!$J$2:$J$101,0)),ISNUMBER(MATCH(TRIM(RIGHT(SUBSTITUTE(TRIM(I5&amp;"")," ",REPT(" ",60)),60)),코드표!$F$2:$F$101,0))),INDEX(코드표!$K$2:$K$101,MATCH(LEFT(TRIM(I5&amp;""),FIND(" ",TRIM(I5&amp;""))-1),코드표!$J$2:$J$101,0))&amp;" "&amp;INDEX(코드표!$G$2:$G$101,MATCH(TRIM(RIGHT(SUBSTITUTE(TRIM(I5&amp;"")," ",REPT(" ",60)),60)),코드표!$F$2:$F$101,0)),"⚠"&amp;TRIM(I5&amp;""))),"⚠"&amp;TRIM(I5&amp;""))</f>
        <v/>
      </c>
      <c r="R5" s="10">
        <f>IFERROR(IF(TRIM(J5&amp;"")="","",IF(AND(ISNUMBER(FIND(" ",TRIM(J5&amp;""))),ISNUMBER(MATCH(LEFT(TRIM(J5&amp;""),FIND(" ",TRIM(J5&amp;""))-1),코드표!$J$2:$J$101,0)),ISNUMBER(MATCH(TRIM(RIGHT(SUBSTITUTE(TRIM(J5&amp;"")," ",REPT(" ",60)),60)),코드표!$F$2:$F$101,0))),INDEX(코드표!$K$2:$K$101,MATCH(LEFT(TRIM(J5&amp;""),FIND(" ",TRIM(J5&amp;""))-1),코드표!$J$2:$J$101,0))&amp;" "&amp;INDEX(코드표!$G$2:$G$101,MATCH(TRIM(RIGHT(SUBSTITUTE(TRIM(J5&amp;"")," ",REPT(" ",60)),60)),코드표!$F$2:$F$101,0)),"⚠"&amp;TRIM(J5&amp;""))),"⚠"&amp;TRIM(J5&amp;""))</f>
        <v/>
      </c>
      <c r="S5" s="11">
        <f>IF(K5="","",IFERROR(IF(AND(ROUND((VALUE(K5&amp;"")-INT(VALUE(K5&amp;"")))*100,0)&gt;=1,ROUND((VALUE(K5&amp;"")-INT(VALUE(K5&amp;"")))*100,0)&lt;=12,INT(VALUE(K5&amp;""))&gt;=1900),DATE(INT(VALUE(K5&amp;"")),ROUND((VALUE(K5&amp;"")-INT(VALUE(K5&amp;"")))*100,0),1),K5&amp;""),K5&amp;""))</f>
        <v/>
      </c>
      <c r="T5" s="10">
        <f>COUNTIF(M5:R5,"⚠*")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M6" s="10">
        <f>IFERROR(IF(TRIM(E6&amp;"")="","",IF(AND(ISNUMBER(FIND(" ",TRIM(E6&amp;""))),ISNUMBER(MATCH(LEFT(TRIM(E6&amp;""),FIND(" ",TRIM(E6&amp;""))-1),코드표!$J$2:$J$101,0)),ISNUMBER(MATCH(TRIM(RIGHT(SUBSTITUTE(TRIM(E6&amp;"")," ",REPT(" ",60)),60)),코드표!$F$2:$F$101,0))),INDEX(코드표!$K$2:$K$101,MATCH(LEFT(TRIM(E6&amp;""),FIND(" ",TRIM(E6&amp;""))-1),코드표!$J$2:$J$101,0))&amp;" "&amp;INDEX(코드표!$G$2:$G$101,MATCH(TRIM(RIGHT(SUBSTITUTE(TRIM(E6&amp;"")," ",REPT(" ",60)),60)),코드표!$F$2:$F$101,0)),"⚠"&amp;TRIM(E6&amp;""))),"⚠"&amp;TRIM(E6&amp;""))</f>
        <v/>
      </c>
      <c r="N6" s="10">
        <f>IFERROR(IF(TRIM(F6&amp;"")="","",IF(AND(ISNUMBER(FIND(" ",TRIM(F6&amp;""))),ISNUMBER(MATCH(LEFT(TRIM(F6&amp;""),FIND(" ",TRIM(F6&amp;""))-1),코드표!$J$2:$J$101,0)),ISNUMBER(MATCH(TRIM(RIGHT(SUBSTITUTE(TRIM(F6&amp;"")," ",REPT(" ",60)),60)),코드표!$F$2:$F$101,0))),INDEX(코드표!$K$2:$K$101,MATCH(LEFT(TRIM(F6&amp;""),FIND(" ",TRIM(F6&amp;""))-1),코드표!$J$2:$J$101,0))&amp;" "&amp;INDEX(코드표!$G$2:$G$101,MATCH(TRIM(RIGHT(SUBSTITUTE(TRIM(F6&amp;"")," ",REPT(" ",60)),60)),코드표!$F$2:$F$101,0)),"⚠"&amp;TRIM(F6&amp;""))),"⚠"&amp;TRIM(F6&amp;""))</f>
        <v/>
      </c>
      <c r="O6" s="10">
        <f>IFERROR(IF(TRIM(G6&amp;"")="","",IF(AND(ISNUMBER(FIND(" ",TRIM(G6&amp;""))),ISNUMBER(MATCH(LEFT(TRIM(G6&amp;""),FIND(" ",TRIM(G6&amp;""))-1),코드표!$J$2:$J$101,0)),ISNUMBER(MATCH(TRIM(RIGHT(SUBSTITUTE(TRIM(G6&amp;"")," ",REPT(" ",60)),60)),코드표!$F$2:$F$101,0))),INDEX(코드표!$K$2:$K$101,MATCH(LEFT(TRIM(G6&amp;""),FIND(" ",TRIM(G6&amp;""))-1),코드표!$J$2:$J$101,0))&amp;" "&amp;INDEX(코드표!$G$2:$G$101,MATCH(TRIM(RIGHT(SUBSTITUTE(TRIM(G6&amp;"")," ",REPT(" ",60)),60)),코드표!$F$2:$F$101,0)),"⚠"&amp;TRIM(G6&amp;""))),"⚠"&amp;TRIM(G6&amp;""))</f>
        <v/>
      </c>
      <c r="P6" s="10">
        <f>IFERROR(IF(TRIM(H6&amp;"")="","",IF(AND(ISNUMBER(FIND(" ",TRIM(H6&amp;""))),ISNUMBER(MATCH(LEFT(TRIM(H6&amp;""),FIND(" ",TRIM(H6&amp;""))-1),코드표!$J$2:$J$101,0)),ISNUMBER(MATCH(TRIM(RIGHT(SUBSTITUTE(TRIM(H6&amp;"")," ",REPT(" ",60)),60)),코드표!$F$2:$F$101,0))),INDEX(코드표!$K$2:$K$101,MATCH(LEFT(TRIM(H6&amp;""),FIND(" ",TRIM(H6&amp;""))-1),코드표!$J$2:$J$101,0))&amp;" "&amp;INDEX(코드표!$G$2:$G$101,MATCH(TRIM(RIGHT(SUBSTITUTE(TRIM(H6&amp;"")," ",REPT(" ",60)),60)),코드표!$F$2:$F$101,0)),"⚠"&amp;TRIM(H6&amp;""))),"⚠"&amp;TRIM(H6&amp;""))</f>
        <v/>
      </c>
      <c r="Q6" s="10">
        <f>IFERROR(IF(TRIM(I6&amp;"")="","",IF(AND(ISNUMBER(FIND(" ",TRIM(I6&amp;""))),ISNUMBER(MATCH(LEFT(TRIM(I6&amp;""),FIND(" ",TRIM(I6&amp;""))-1),코드표!$J$2:$J$101,0)),ISNUMBER(MATCH(TRIM(RIGHT(SUBSTITUTE(TRIM(I6&amp;"")," ",REPT(" ",60)),60)),코드표!$F$2:$F$101,0))),INDEX(코드표!$K$2:$K$101,MATCH(LEFT(TRIM(I6&amp;""),FIND(" ",TRIM(I6&amp;""))-1),코드표!$J$2:$J$101,0))&amp;" "&amp;INDEX(코드표!$G$2:$G$101,MATCH(TRIM(RIGHT(SUBSTITUTE(TRIM(I6&amp;"")," ",REPT(" ",60)),60)),코드표!$F$2:$F$101,0)),"⚠"&amp;TRIM(I6&amp;""))),"⚠"&amp;TRIM(I6&amp;""))</f>
        <v/>
      </c>
      <c r="R6" s="10">
        <f>IFERROR(IF(TRIM(J6&amp;"")="","",IF(AND(ISNUMBER(FIND(" ",TRIM(J6&amp;""))),ISNUMBER(MATCH(LEFT(TRIM(J6&amp;""),FIND(" ",TRIM(J6&amp;""))-1),코드표!$J$2:$J$101,0)),ISNUMBER(MATCH(TRIM(RIGHT(SUBSTITUTE(TRIM(J6&amp;"")," ",REPT(" ",60)),60)),코드표!$F$2:$F$101,0))),INDEX(코드표!$K$2:$K$101,MATCH(LEFT(TRIM(J6&amp;""),FIND(" ",TRIM(J6&amp;""))-1),코드표!$J$2:$J$101,0))&amp;" "&amp;INDEX(코드표!$G$2:$G$101,MATCH(TRIM(RIGHT(SUBSTITUTE(TRIM(J6&amp;"")," ",REPT(" ",60)),60)),코드표!$F$2:$F$101,0)),"⚠"&amp;TRIM(J6&amp;""))),"⚠"&amp;TRIM(J6&amp;""))</f>
        <v/>
      </c>
      <c r="S6" s="11">
        <f>IF(K6="","",IFERROR(IF(AND(ROUND((VALUE(K6&amp;"")-INT(VALUE(K6&amp;"")))*100,0)&gt;=1,ROUND((VALUE(K6&amp;"")-INT(VALUE(K6&amp;"")))*100,0)&lt;=12,INT(VALUE(K6&amp;""))&gt;=1900),DATE(INT(VALUE(K6&amp;"")),ROUND((VALUE(K6&amp;"")-INT(VALUE(K6&amp;"")))*100,0),1),K6&amp;""),K6&amp;""))</f>
        <v/>
      </c>
      <c r="T6" s="10">
        <f>COUNTIF(M6:R6,"⚠*")</f>
        <v/>
      </c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M7" s="10">
        <f>IFERROR(IF(TRIM(E7&amp;"")="","",IF(AND(ISNUMBER(FIND(" ",TRIM(E7&amp;""))),ISNUMBER(MATCH(LEFT(TRIM(E7&amp;""),FIND(" ",TRIM(E7&amp;""))-1),코드표!$J$2:$J$101,0)),ISNUMBER(MATCH(TRIM(RIGHT(SUBSTITUTE(TRIM(E7&amp;"")," ",REPT(" ",60)),60)),코드표!$F$2:$F$101,0))),INDEX(코드표!$K$2:$K$101,MATCH(LEFT(TRIM(E7&amp;""),FIND(" ",TRIM(E7&amp;""))-1),코드표!$J$2:$J$101,0))&amp;" "&amp;INDEX(코드표!$G$2:$G$101,MATCH(TRIM(RIGHT(SUBSTITUTE(TRIM(E7&amp;"")," ",REPT(" ",60)),60)),코드표!$F$2:$F$101,0)),"⚠"&amp;TRIM(E7&amp;""))),"⚠"&amp;TRIM(E7&amp;""))</f>
        <v/>
      </c>
      <c r="N7" s="10">
        <f>IFERROR(IF(TRIM(F7&amp;"")="","",IF(AND(ISNUMBER(FIND(" ",TRIM(F7&amp;""))),ISNUMBER(MATCH(LEFT(TRIM(F7&amp;""),FIND(" ",TRIM(F7&amp;""))-1),코드표!$J$2:$J$101,0)),ISNUMBER(MATCH(TRIM(RIGHT(SUBSTITUTE(TRIM(F7&amp;"")," ",REPT(" ",60)),60)),코드표!$F$2:$F$101,0))),INDEX(코드표!$K$2:$K$101,MATCH(LEFT(TRIM(F7&amp;""),FIND(" ",TRIM(F7&amp;""))-1),코드표!$J$2:$J$101,0))&amp;" "&amp;INDEX(코드표!$G$2:$G$101,MATCH(TRIM(RIGHT(SUBSTITUTE(TRIM(F7&amp;"")," ",REPT(" ",60)),60)),코드표!$F$2:$F$101,0)),"⚠"&amp;TRIM(F7&amp;""))),"⚠"&amp;TRIM(F7&amp;""))</f>
        <v/>
      </c>
      <c r="O7" s="10">
        <f>IFERROR(IF(TRIM(G7&amp;"")="","",IF(AND(ISNUMBER(FIND(" ",TRIM(G7&amp;""))),ISNUMBER(MATCH(LEFT(TRIM(G7&amp;""),FIND(" ",TRIM(G7&amp;""))-1),코드표!$J$2:$J$101,0)),ISNUMBER(MATCH(TRIM(RIGHT(SUBSTITUTE(TRIM(G7&amp;"")," ",REPT(" ",60)),60)),코드표!$F$2:$F$101,0))),INDEX(코드표!$K$2:$K$101,MATCH(LEFT(TRIM(G7&amp;""),FIND(" ",TRIM(G7&amp;""))-1),코드표!$J$2:$J$101,0))&amp;" "&amp;INDEX(코드표!$G$2:$G$101,MATCH(TRIM(RIGHT(SUBSTITUTE(TRIM(G7&amp;"")," ",REPT(" ",60)),60)),코드표!$F$2:$F$101,0)),"⚠"&amp;TRIM(G7&amp;""))),"⚠"&amp;TRIM(G7&amp;""))</f>
        <v/>
      </c>
      <c r="P7" s="10">
        <f>IFERROR(IF(TRIM(H7&amp;"")="","",IF(AND(ISNUMBER(FIND(" ",TRIM(H7&amp;""))),ISNUMBER(MATCH(LEFT(TRIM(H7&amp;""),FIND(" ",TRIM(H7&amp;""))-1),코드표!$J$2:$J$101,0)),ISNUMBER(MATCH(TRIM(RIGHT(SUBSTITUTE(TRIM(H7&amp;"")," ",REPT(" ",60)),60)),코드표!$F$2:$F$101,0))),INDEX(코드표!$K$2:$K$101,MATCH(LEFT(TRIM(H7&amp;""),FIND(" ",TRIM(H7&amp;""))-1),코드표!$J$2:$J$101,0))&amp;" "&amp;INDEX(코드표!$G$2:$G$101,MATCH(TRIM(RIGHT(SUBSTITUTE(TRIM(H7&amp;"")," ",REPT(" ",60)),60)),코드표!$F$2:$F$101,0)),"⚠"&amp;TRIM(H7&amp;""))),"⚠"&amp;TRIM(H7&amp;""))</f>
        <v/>
      </c>
      <c r="Q7" s="10">
        <f>IFERROR(IF(TRIM(I7&amp;"")="","",IF(AND(ISNUMBER(FIND(" ",TRIM(I7&amp;""))),ISNUMBER(MATCH(LEFT(TRIM(I7&amp;""),FIND(" ",TRIM(I7&amp;""))-1),코드표!$J$2:$J$101,0)),ISNUMBER(MATCH(TRIM(RIGHT(SUBSTITUTE(TRIM(I7&amp;"")," ",REPT(" ",60)),60)),코드표!$F$2:$F$101,0))),INDEX(코드표!$K$2:$K$101,MATCH(LEFT(TRIM(I7&amp;""),FIND(" ",TRIM(I7&amp;""))-1),코드표!$J$2:$J$101,0))&amp;" "&amp;INDEX(코드표!$G$2:$G$101,MATCH(TRIM(RIGHT(SUBSTITUTE(TRIM(I7&amp;"")," ",REPT(" ",60)),60)),코드표!$F$2:$F$101,0)),"⚠"&amp;TRIM(I7&amp;""))),"⚠"&amp;TRIM(I7&amp;""))</f>
        <v/>
      </c>
      <c r="R7" s="10">
        <f>IFERROR(IF(TRIM(J7&amp;"")="","",IF(AND(ISNUMBER(FIND(" ",TRIM(J7&amp;""))),ISNUMBER(MATCH(LEFT(TRIM(J7&amp;""),FIND(" ",TRIM(J7&amp;""))-1),코드표!$J$2:$J$101,0)),ISNUMBER(MATCH(TRIM(RIGHT(SUBSTITUTE(TRIM(J7&amp;"")," ",REPT(" ",60)),60)),코드표!$F$2:$F$101,0))),INDEX(코드표!$K$2:$K$101,MATCH(LEFT(TRIM(J7&amp;""),FIND(" ",TRIM(J7&amp;""))-1),코드표!$J$2:$J$101,0))&amp;" "&amp;INDEX(코드표!$G$2:$G$101,MATCH(TRIM(RIGHT(SUBSTITUTE(TRIM(J7&amp;"")," ",REPT(" ",60)),60)),코드표!$F$2:$F$101,0)),"⚠"&amp;TRIM(J7&amp;""))),"⚠"&amp;TRIM(J7&amp;""))</f>
        <v/>
      </c>
      <c r="S7" s="11">
        <f>IF(K7="","",IFERROR(IF(AND(ROUND((VALUE(K7&amp;"")-INT(VALUE(K7&amp;"")))*100,0)&gt;=1,ROUND((VALUE(K7&amp;"")-INT(VALUE(K7&amp;"")))*100,0)&lt;=12,INT(VALUE(K7&amp;""))&gt;=1900),DATE(INT(VALUE(K7&amp;"")),ROUND((VALUE(K7&amp;"")-INT(VALUE(K7&amp;"")))*100,0),1),K7&amp;""),K7&amp;""))</f>
        <v/>
      </c>
      <c r="T7" s="10">
        <f>COUNTIF(M7:R7,"⚠*")</f>
        <v/>
      </c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M8" s="10">
        <f>IFERROR(IF(TRIM(E8&amp;"")="","",IF(AND(ISNUMBER(FIND(" ",TRIM(E8&amp;""))),ISNUMBER(MATCH(LEFT(TRIM(E8&amp;""),FIND(" ",TRIM(E8&amp;""))-1),코드표!$J$2:$J$101,0)),ISNUMBER(MATCH(TRIM(RIGHT(SUBSTITUTE(TRIM(E8&amp;"")," ",REPT(" ",60)),60)),코드표!$F$2:$F$101,0))),INDEX(코드표!$K$2:$K$101,MATCH(LEFT(TRIM(E8&amp;""),FIND(" ",TRIM(E8&amp;""))-1),코드표!$J$2:$J$101,0))&amp;" "&amp;INDEX(코드표!$G$2:$G$101,MATCH(TRIM(RIGHT(SUBSTITUTE(TRIM(E8&amp;"")," ",REPT(" ",60)),60)),코드표!$F$2:$F$101,0)),"⚠"&amp;TRIM(E8&amp;""))),"⚠"&amp;TRIM(E8&amp;""))</f>
        <v/>
      </c>
      <c r="N8" s="10">
        <f>IFERROR(IF(TRIM(F8&amp;"")="","",IF(AND(ISNUMBER(FIND(" ",TRIM(F8&amp;""))),ISNUMBER(MATCH(LEFT(TRIM(F8&amp;""),FIND(" ",TRIM(F8&amp;""))-1),코드표!$J$2:$J$101,0)),ISNUMBER(MATCH(TRIM(RIGHT(SUBSTITUTE(TRIM(F8&amp;"")," ",REPT(" ",60)),60)),코드표!$F$2:$F$101,0))),INDEX(코드표!$K$2:$K$101,MATCH(LEFT(TRIM(F8&amp;""),FIND(" ",TRIM(F8&amp;""))-1),코드표!$J$2:$J$101,0))&amp;" "&amp;INDEX(코드표!$G$2:$G$101,MATCH(TRIM(RIGHT(SUBSTITUTE(TRIM(F8&amp;"")," ",REPT(" ",60)),60)),코드표!$F$2:$F$101,0)),"⚠"&amp;TRIM(F8&amp;""))),"⚠"&amp;TRIM(F8&amp;""))</f>
        <v/>
      </c>
      <c r="O8" s="10">
        <f>IFERROR(IF(TRIM(G8&amp;"")="","",IF(AND(ISNUMBER(FIND(" ",TRIM(G8&amp;""))),ISNUMBER(MATCH(LEFT(TRIM(G8&amp;""),FIND(" ",TRIM(G8&amp;""))-1),코드표!$J$2:$J$101,0)),ISNUMBER(MATCH(TRIM(RIGHT(SUBSTITUTE(TRIM(G8&amp;"")," ",REPT(" ",60)),60)),코드표!$F$2:$F$101,0))),INDEX(코드표!$K$2:$K$101,MATCH(LEFT(TRIM(G8&amp;""),FIND(" ",TRIM(G8&amp;""))-1),코드표!$J$2:$J$101,0))&amp;" "&amp;INDEX(코드표!$G$2:$G$101,MATCH(TRIM(RIGHT(SUBSTITUTE(TRIM(G8&amp;"")," ",REPT(" ",60)),60)),코드표!$F$2:$F$101,0)),"⚠"&amp;TRIM(G8&amp;""))),"⚠"&amp;TRIM(G8&amp;""))</f>
        <v/>
      </c>
      <c r="P8" s="10">
        <f>IFERROR(IF(TRIM(H8&amp;"")="","",IF(AND(ISNUMBER(FIND(" ",TRIM(H8&amp;""))),ISNUMBER(MATCH(LEFT(TRIM(H8&amp;""),FIND(" ",TRIM(H8&amp;""))-1),코드표!$J$2:$J$101,0)),ISNUMBER(MATCH(TRIM(RIGHT(SUBSTITUTE(TRIM(H8&amp;"")," ",REPT(" ",60)),60)),코드표!$F$2:$F$101,0))),INDEX(코드표!$K$2:$K$101,MATCH(LEFT(TRIM(H8&amp;""),FIND(" ",TRIM(H8&amp;""))-1),코드표!$J$2:$J$101,0))&amp;" "&amp;INDEX(코드표!$G$2:$G$101,MATCH(TRIM(RIGHT(SUBSTITUTE(TRIM(H8&amp;"")," ",REPT(" ",60)),60)),코드표!$F$2:$F$101,0)),"⚠"&amp;TRIM(H8&amp;""))),"⚠"&amp;TRIM(H8&amp;""))</f>
        <v/>
      </c>
      <c r="Q8" s="10">
        <f>IFERROR(IF(TRIM(I8&amp;"")="","",IF(AND(ISNUMBER(FIND(" ",TRIM(I8&amp;""))),ISNUMBER(MATCH(LEFT(TRIM(I8&amp;""),FIND(" ",TRIM(I8&amp;""))-1),코드표!$J$2:$J$101,0)),ISNUMBER(MATCH(TRIM(RIGHT(SUBSTITUTE(TRIM(I8&amp;"")," ",REPT(" ",60)),60)),코드표!$F$2:$F$101,0))),INDEX(코드표!$K$2:$K$101,MATCH(LEFT(TRIM(I8&amp;""),FIND(" ",TRIM(I8&amp;""))-1),코드표!$J$2:$J$101,0))&amp;" "&amp;INDEX(코드표!$G$2:$G$101,MATCH(TRIM(RIGHT(SUBSTITUTE(TRIM(I8&amp;"")," ",REPT(" ",60)),60)),코드표!$F$2:$F$101,0)),"⚠"&amp;TRIM(I8&amp;""))),"⚠"&amp;TRIM(I8&amp;""))</f>
        <v/>
      </c>
      <c r="R8" s="10">
        <f>IFERROR(IF(TRIM(J8&amp;"")="","",IF(AND(ISNUMBER(FIND(" ",TRIM(J8&amp;""))),ISNUMBER(MATCH(LEFT(TRIM(J8&amp;""),FIND(" ",TRIM(J8&amp;""))-1),코드표!$J$2:$J$101,0)),ISNUMBER(MATCH(TRIM(RIGHT(SUBSTITUTE(TRIM(J8&amp;"")," ",REPT(" ",60)),60)),코드표!$F$2:$F$101,0))),INDEX(코드표!$K$2:$K$101,MATCH(LEFT(TRIM(J8&amp;""),FIND(" ",TRIM(J8&amp;""))-1),코드표!$J$2:$J$101,0))&amp;" "&amp;INDEX(코드표!$G$2:$G$101,MATCH(TRIM(RIGHT(SUBSTITUTE(TRIM(J8&amp;"")," ",REPT(" ",60)),60)),코드표!$F$2:$F$101,0)),"⚠"&amp;TRIM(J8&amp;""))),"⚠"&amp;TRIM(J8&amp;""))</f>
        <v/>
      </c>
      <c r="S8" s="11">
        <f>IF(K8="","",IFERROR(IF(AND(ROUND((VALUE(K8&amp;"")-INT(VALUE(K8&amp;"")))*100,0)&gt;=1,ROUND((VALUE(K8&amp;"")-INT(VALUE(K8&amp;"")))*100,0)&lt;=12,INT(VALUE(K8&amp;""))&gt;=1900),DATE(INT(VALUE(K8&amp;"")),ROUND((VALUE(K8&amp;"")-INT(VALUE(K8&amp;"")))*100,0),1),K8&amp;""),K8&amp;""))</f>
        <v/>
      </c>
      <c r="T8" s="10">
        <f>COUNTIF(M8:R8,"⚠*")</f>
        <v/>
      </c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M9" s="10">
        <f>IFERROR(IF(TRIM(E9&amp;"")="","",IF(AND(ISNUMBER(FIND(" ",TRIM(E9&amp;""))),ISNUMBER(MATCH(LEFT(TRIM(E9&amp;""),FIND(" ",TRIM(E9&amp;""))-1),코드표!$J$2:$J$101,0)),ISNUMBER(MATCH(TRIM(RIGHT(SUBSTITUTE(TRIM(E9&amp;"")," ",REPT(" ",60)),60)),코드표!$F$2:$F$101,0))),INDEX(코드표!$K$2:$K$101,MATCH(LEFT(TRIM(E9&amp;""),FIND(" ",TRIM(E9&amp;""))-1),코드표!$J$2:$J$101,0))&amp;" "&amp;INDEX(코드표!$G$2:$G$101,MATCH(TRIM(RIGHT(SUBSTITUTE(TRIM(E9&amp;"")," ",REPT(" ",60)),60)),코드표!$F$2:$F$101,0)),"⚠"&amp;TRIM(E9&amp;""))),"⚠"&amp;TRIM(E9&amp;""))</f>
        <v/>
      </c>
      <c r="N9" s="10">
        <f>IFERROR(IF(TRIM(F9&amp;"")="","",IF(AND(ISNUMBER(FIND(" ",TRIM(F9&amp;""))),ISNUMBER(MATCH(LEFT(TRIM(F9&amp;""),FIND(" ",TRIM(F9&amp;""))-1),코드표!$J$2:$J$101,0)),ISNUMBER(MATCH(TRIM(RIGHT(SUBSTITUTE(TRIM(F9&amp;"")," ",REPT(" ",60)),60)),코드표!$F$2:$F$101,0))),INDEX(코드표!$K$2:$K$101,MATCH(LEFT(TRIM(F9&amp;""),FIND(" ",TRIM(F9&amp;""))-1),코드표!$J$2:$J$101,0))&amp;" "&amp;INDEX(코드표!$G$2:$G$101,MATCH(TRIM(RIGHT(SUBSTITUTE(TRIM(F9&amp;"")," ",REPT(" ",60)),60)),코드표!$F$2:$F$101,0)),"⚠"&amp;TRIM(F9&amp;""))),"⚠"&amp;TRIM(F9&amp;""))</f>
        <v/>
      </c>
      <c r="O9" s="10">
        <f>IFERROR(IF(TRIM(G9&amp;"")="","",IF(AND(ISNUMBER(FIND(" ",TRIM(G9&amp;""))),ISNUMBER(MATCH(LEFT(TRIM(G9&amp;""),FIND(" ",TRIM(G9&amp;""))-1),코드표!$J$2:$J$101,0)),ISNUMBER(MATCH(TRIM(RIGHT(SUBSTITUTE(TRIM(G9&amp;"")," ",REPT(" ",60)),60)),코드표!$F$2:$F$101,0))),INDEX(코드표!$K$2:$K$101,MATCH(LEFT(TRIM(G9&amp;""),FIND(" ",TRIM(G9&amp;""))-1),코드표!$J$2:$J$101,0))&amp;" "&amp;INDEX(코드표!$G$2:$G$101,MATCH(TRIM(RIGHT(SUBSTITUTE(TRIM(G9&amp;"")," ",REPT(" ",60)),60)),코드표!$F$2:$F$101,0)),"⚠"&amp;TRIM(G9&amp;""))),"⚠"&amp;TRIM(G9&amp;""))</f>
        <v/>
      </c>
      <c r="P9" s="10">
        <f>IFERROR(IF(TRIM(H9&amp;"")="","",IF(AND(ISNUMBER(FIND(" ",TRIM(H9&amp;""))),ISNUMBER(MATCH(LEFT(TRIM(H9&amp;""),FIND(" ",TRIM(H9&amp;""))-1),코드표!$J$2:$J$101,0)),ISNUMBER(MATCH(TRIM(RIGHT(SUBSTITUTE(TRIM(H9&amp;"")," ",REPT(" ",60)),60)),코드표!$F$2:$F$101,0))),INDEX(코드표!$K$2:$K$101,MATCH(LEFT(TRIM(H9&amp;""),FIND(" ",TRIM(H9&amp;""))-1),코드표!$J$2:$J$101,0))&amp;" "&amp;INDEX(코드표!$G$2:$G$101,MATCH(TRIM(RIGHT(SUBSTITUTE(TRIM(H9&amp;"")," ",REPT(" ",60)),60)),코드표!$F$2:$F$101,0)),"⚠"&amp;TRIM(H9&amp;""))),"⚠"&amp;TRIM(H9&amp;""))</f>
        <v/>
      </c>
      <c r="Q9" s="10">
        <f>IFERROR(IF(TRIM(I9&amp;"")="","",IF(AND(ISNUMBER(FIND(" ",TRIM(I9&amp;""))),ISNUMBER(MATCH(LEFT(TRIM(I9&amp;""),FIND(" ",TRIM(I9&amp;""))-1),코드표!$J$2:$J$101,0)),ISNUMBER(MATCH(TRIM(RIGHT(SUBSTITUTE(TRIM(I9&amp;"")," ",REPT(" ",60)),60)),코드표!$F$2:$F$101,0))),INDEX(코드표!$K$2:$K$101,MATCH(LEFT(TRIM(I9&amp;""),FIND(" ",TRIM(I9&amp;""))-1),코드표!$J$2:$J$101,0))&amp;" "&amp;INDEX(코드표!$G$2:$G$101,MATCH(TRIM(RIGHT(SUBSTITUTE(TRIM(I9&amp;"")," ",REPT(" ",60)),60)),코드표!$F$2:$F$101,0)),"⚠"&amp;TRIM(I9&amp;""))),"⚠"&amp;TRIM(I9&amp;""))</f>
        <v/>
      </c>
      <c r="R9" s="10">
        <f>IFERROR(IF(TRIM(J9&amp;"")="","",IF(AND(ISNUMBER(FIND(" ",TRIM(J9&amp;""))),ISNUMBER(MATCH(LEFT(TRIM(J9&amp;""),FIND(" ",TRIM(J9&amp;""))-1),코드표!$J$2:$J$101,0)),ISNUMBER(MATCH(TRIM(RIGHT(SUBSTITUTE(TRIM(J9&amp;"")," ",REPT(" ",60)),60)),코드표!$F$2:$F$101,0))),INDEX(코드표!$K$2:$K$101,MATCH(LEFT(TRIM(J9&amp;""),FIND(" ",TRIM(J9&amp;""))-1),코드표!$J$2:$J$101,0))&amp;" "&amp;INDEX(코드표!$G$2:$G$101,MATCH(TRIM(RIGHT(SUBSTITUTE(TRIM(J9&amp;"")," ",REPT(" ",60)),60)),코드표!$F$2:$F$101,0)),"⚠"&amp;TRIM(J9&amp;""))),"⚠"&amp;TRIM(J9&amp;""))</f>
        <v/>
      </c>
      <c r="S9" s="11">
        <f>IF(K9="","",IFERROR(IF(AND(ROUND((VALUE(K9&amp;"")-INT(VALUE(K9&amp;"")))*100,0)&gt;=1,ROUND((VALUE(K9&amp;"")-INT(VALUE(K9&amp;"")))*100,0)&lt;=12,INT(VALUE(K9&amp;""))&gt;=1900),DATE(INT(VALUE(K9&amp;"")),ROUND((VALUE(K9&amp;"")-INT(VALUE(K9&amp;"")))*100,0),1),K9&amp;""),K9&amp;""))</f>
        <v/>
      </c>
      <c r="T9" s="10">
        <f>COUNTIF(M9:R9,"⚠*")</f>
        <v/>
      </c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M10" s="10">
        <f>IFERROR(IF(TRIM(E10&amp;"")="","",IF(AND(ISNUMBER(FIND(" ",TRIM(E10&amp;""))),ISNUMBER(MATCH(LEFT(TRIM(E10&amp;""),FIND(" ",TRIM(E10&amp;""))-1),코드표!$J$2:$J$101,0)),ISNUMBER(MATCH(TRIM(RIGHT(SUBSTITUTE(TRIM(E10&amp;"")," ",REPT(" ",60)),60)),코드표!$F$2:$F$101,0))),INDEX(코드표!$K$2:$K$101,MATCH(LEFT(TRIM(E10&amp;""),FIND(" ",TRIM(E10&amp;""))-1),코드표!$J$2:$J$101,0))&amp;" "&amp;INDEX(코드표!$G$2:$G$101,MATCH(TRIM(RIGHT(SUBSTITUTE(TRIM(E10&amp;"")," ",REPT(" ",60)),60)),코드표!$F$2:$F$101,0)),"⚠"&amp;TRIM(E10&amp;""))),"⚠"&amp;TRIM(E10&amp;""))</f>
        <v/>
      </c>
      <c r="N10" s="10">
        <f>IFERROR(IF(TRIM(F10&amp;"")="","",IF(AND(ISNUMBER(FIND(" ",TRIM(F10&amp;""))),ISNUMBER(MATCH(LEFT(TRIM(F10&amp;""),FIND(" ",TRIM(F10&amp;""))-1),코드표!$J$2:$J$101,0)),ISNUMBER(MATCH(TRIM(RIGHT(SUBSTITUTE(TRIM(F10&amp;"")," ",REPT(" ",60)),60)),코드표!$F$2:$F$101,0))),INDEX(코드표!$K$2:$K$101,MATCH(LEFT(TRIM(F10&amp;""),FIND(" ",TRIM(F10&amp;""))-1),코드표!$J$2:$J$101,0))&amp;" "&amp;INDEX(코드표!$G$2:$G$101,MATCH(TRIM(RIGHT(SUBSTITUTE(TRIM(F10&amp;"")," ",REPT(" ",60)),60)),코드표!$F$2:$F$101,0)),"⚠"&amp;TRIM(F10&amp;""))),"⚠"&amp;TRIM(F10&amp;""))</f>
        <v/>
      </c>
      <c r="O10" s="10">
        <f>IFERROR(IF(TRIM(G10&amp;"")="","",IF(AND(ISNUMBER(FIND(" ",TRIM(G10&amp;""))),ISNUMBER(MATCH(LEFT(TRIM(G10&amp;""),FIND(" ",TRIM(G10&amp;""))-1),코드표!$J$2:$J$101,0)),ISNUMBER(MATCH(TRIM(RIGHT(SUBSTITUTE(TRIM(G10&amp;"")," ",REPT(" ",60)),60)),코드표!$F$2:$F$101,0))),INDEX(코드표!$K$2:$K$101,MATCH(LEFT(TRIM(G10&amp;""),FIND(" ",TRIM(G10&amp;""))-1),코드표!$J$2:$J$101,0))&amp;" "&amp;INDEX(코드표!$G$2:$G$101,MATCH(TRIM(RIGHT(SUBSTITUTE(TRIM(G10&amp;"")," ",REPT(" ",60)),60)),코드표!$F$2:$F$101,0)),"⚠"&amp;TRIM(G10&amp;""))),"⚠"&amp;TRIM(G10&amp;""))</f>
        <v/>
      </c>
      <c r="P10" s="10">
        <f>IFERROR(IF(TRIM(H10&amp;"")="","",IF(AND(ISNUMBER(FIND(" ",TRIM(H10&amp;""))),ISNUMBER(MATCH(LEFT(TRIM(H10&amp;""),FIND(" ",TRIM(H10&amp;""))-1),코드표!$J$2:$J$101,0)),ISNUMBER(MATCH(TRIM(RIGHT(SUBSTITUTE(TRIM(H10&amp;"")," ",REPT(" ",60)),60)),코드표!$F$2:$F$101,0))),INDEX(코드표!$K$2:$K$101,MATCH(LEFT(TRIM(H10&amp;""),FIND(" ",TRIM(H10&amp;""))-1),코드표!$J$2:$J$101,0))&amp;" "&amp;INDEX(코드표!$G$2:$G$101,MATCH(TRIM(RIGHT(SUBSTITUTE(TRIM(H10&amp;"")," ",REPT(" ",60)),60)),코드표!$F$2:$F$101,0)),"⚠"&amp;TRIM(H10&amp;""))),"⚠"&amp;TRIM(H10&amp;""))</f>
        <v/>
      </c>
      <c r="Q10" s="10">
        <f>IFERROR(IF(TRIM(I10&amp;"")="","",IF(AND(ISNUMBER(FIND(" ",TRIM(I10&amp;""))),ISNUMBER(MATCH(LEFT(TRIM(I10&amp;""),FIND(" ",TRIM(I10&amp;""))-1),코드표!$J$2:$J$101,0)),ISNUMBER(MATCH(TRIM(RIGHT(SUBSTITUTE(TRIM(I10&amp;"")," ",REPT(" ",60)),60)),코드표!$F$2:$F$101,0))),INDEX(코드표!$K$2:$K$101,MATCH(LEFT(TRIM(I10&amp;""),FIND(" ",TRIM(I10&amp;""))-1),코드표!$J$2:$J$101,0))&amp;" "&amp;INDEX(코드표!$G$2:$G$101,MATCH(TRIM(RIGHT(SUBSTITUTE(TRIM(I10&amp;"")," ",REPT(" ",60)),60)),코드표!$F$2:$F$101,0)),"⚠"&amp;TRIM(I10&amp;""))),"⚠"&amp;TRIM(I10&amp;""))</f>
        <v/>
      </c>
      <c r="R10" s="10">
        <f>IFERROR(IF(TRIM(J10&amp;"")="","",IF(AND(ISNUMBER(FIND(" ",TRIM(J10&amp;""))),ISNUMBER(MATCH(LEFT(TRIM(J10&amp;""),FIND(" ",TRIM(J10&amp;""))-1),코드표!$J$2:$J$101,0)),ISNUMBER(MATCH(TRIM(RIGHT(SUBSTITUTE(TRIM(J10&amp;"")," ",REPT(" ",60)),60)),코드표!$F$2:$F$101,0))),INDEX(코드표!$K$2:$K$101,MATCH(LEFT(TRIM(J10&amp;""),FIND(" ",TRIM(J10&amp;""))-1),코드표!$J$2:$J$101,0))&amp;" "&amp;INDEX(코드표!$G$2:$G$101,MATCH(TRIM(RIGHT(SUBSTITUTE(TRIM(J10&amp;"")," ",REPT(" ",60)),60)),코드표!$F$2:$F$101,0)),"⚠"&amp;TRIM(J10&amp;""))),"⚠"&amp;TRIM(J10&amp;""))</f>
        <v/>
      </c>
      <c r="S10" s="11">
        <f>IF(K10="","",IFERROR(IF(AND(ROUND((VALUE(K10&amp;"")-INT(VALUE(K10&amp;"")))*100,0)&gt;=1,ROUND((VALUE(K10&amp;"")-INT(VALUE(K10&amp;"")))*100,0)&lt;=12,INT(VALUE(K10&amp;""))&gt;=1900),DATE(INT(VALUE(K10&amp;"")),ROUND((VALUE(K10&amp;"")-INT(VALUE(K10&amp;"")))*100,0),1),K10&amp;""),K10&amp;""))</f>
        <v/>
      </c>
      <c r="T10" s="10">
        <f>COUNTIF(M10:R10,"⚠*")</f>
        <v/>
      </c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M11" s="10">
        <f>IFERROR(IF(TRIM(E11&amp;"")="","",IF(AND(ISNUMBER(FIND(" ",TRIM(E11&amp;""))),ISNUMBER(MATCH(LEFT(TRIM(E11&amp;""),FIND(" ",TRIM(E11&amp;""))-1),코드표!$J$2:$J$101,0)),ISNUMBER(MATCH(TRIM(RIGHT(SUBSTITUTE(TRIM(E11&amp;"")," ",REPT(" ",60)),60)),코드표!$F$2:$F$101,0))),INDEX(코드표!$K$2:$K$101,MATCH(LEFT(TRIM(E11&amp;""),FIND(" ",TRIM(E11&amp;""))-1),코드표!$J$2:$J$101,0))&amp;" "&amp;INDEX(코드표!$G$2:$G$101,MATCH(TRIM(RIGHT(SUBSTITUTE(TRIM(E11&amp;"")," ",REPT(" ",60)),60)),코드표!$F$2:$F$101,0)),"⚠"&amp;TRIM(E11&amp;""))),"⚠"&amp;TRIM(E11&amp;""))</f>
        <v/>
      </c>
      <c r="N11" s="10">
        <f>IFERROR(IF(TRIM(F11&amp;"")="","",IF(AND(ISNUMBER(FIND(" ",TRIM(F11&amp;""))),ISNUMBER(MATCH(LEFT(TRIM(F11&amp;""),FIND(" ",TRIM(F11&amp;""))-1),코드표!$J$2:$J$101,0)),ISNUMBER(MATCH(TRIM(RIGHT(SUBSTITUTE(TRIM(F11&amp;"")," ",REPT(" ",60)),60)),코드표!$F$2:$F$101,0))),INDEX(코드표!$K$2:$K$101,MATCH(LEFT(TRIM(F11&amp;""),FIND(" ",TRIM(F11&amp;""))-1),코드표!$J$2:$J$101,0))&amp;" "&amp;INDEX(코드표!$G$2:$G$101,MATCH(TRIM(RIGHT(SUBSTITUTE(TRIM(F11&amp;"")," ",REPT(" ",60)),60)),코드표!$F$2:$F$101,0)),"⚠"&amp;TRIM(F11&amp;""))),"⚠"&amp;TRIM(F11&amp;""))</f>
        <v/>
      </c>
      <c r="O11" s="10">
        <f>IFERROR(IF(TRIM(G11&amp;"")="","",IF(AND(ISNUMBER(FIND(" ",TRIM(G11&amp;""))),ISNUMBER(MATCH(LEFT(TRIM(G11&amp;""),FIND(" ",TRIM(G11&amp;""))-1),코드표!$J$2:$J$101,0)),ISNUMBER(MATCH(TRIM(RIGHT(SUBSTITUTE(TRIM(G11&amp;"")," ",REPT(" ",60)),60)),코드표!$F$2:$F$101,0))),INDEX(코드표!$K$2:$K$101,MATCH(LEFT(TRIM(G11&amp;""),FIND(" ",TRIM(G11&amp;""))-1),코드표!$J$2:$J$101,0))&amp;" "&amp;INDEX(코드표!$G$2:$G$101,MATCH(TRIM(RIGHT(SUBSTITUTE(TRIM(G11&amp;"")," ",REPT(" ",60)),60)),코드표!$F$2:$F$101,0)),"⚠"&amp;TRIM(G11&amp;""))),"⚠"&amp;TRIM(G11&amp;""))</f>
        <v/>
      </c>
      <c r="P11" s="10">
        <f>IFERROR(IF(TRIM(H11&amp;"")="","",IF(AND(ISNUMBER(FIND(" ",TRIM(H11&amp;""))),ISNUMBER(MATCH(LEFT(TRIM(H11&amp;""),FIND(" ",TRIM(H11&amp;""))-1),코드표!$J$2:$J$101,0)),ISNUMBER(MATCH(TRIM(RIGHT(SUBSTITUTE(TRIM(H11&amp;"")," ",REPT(" ",60)),60)),코드표!$F$2:$F$101,0))),INDEX(코드표!$K$2:$K$101,MATCH(LEFT(TRIM(H11&amp;""),FIND(" ",TRIM(H11&amp;""))-1),코드표!$J$2:$J$101,0))&amp;" "&amp;INDEX(코드표!$G$2:$G$101,MATCH(TRIM(RIGHT(SUBSTITUTE(TRIM(H11&amp;"")," ",REPT(" ",60)),60)),코드표!$F$2:$F$101,0)),"⚠"&amp;TRIM(H11&amp;""))),"⚠"&amp;TRIM(H11&amp;""))</f>
        <v/>
      </c>
      <c r="Q11" s="10">
        <f>IFERROR(IF(TRIM(I11&amp;"")="","",IF(AND(ISNUMBER(FIND(" ",TRIM(I11&amp;""))),ISNUMBER(MATCH(LEFT(TRIM(I11&amp;""),FIND(" ",TRIM(I11&amp;""))-1),코드표!$J$2:$J$101,0)),ISNUMBER(MATCH(TRIM(RIGHT(SUBSTITUTE(TRIM(I11&amp;"")," ",REPT(" ",60)),60)),코드표!$F$2:$F$101,0))),INDEX(코드표!$K$2:$K$101,MATCH(LEFT(TRIM(I11&amp;""),FIND(" ",TRIM(I11&amp;""))-1),코드표!$J$2:$J$101,0))&amp;" "&amp;INDEX(코드표!$G$2:$G$101,MATCH(TRIM(RIGHT(SUBSTITUTE(TRIM(I11&amp;"")," ",REPT(" ",60)),60)),코드표!$F$2:$F$101,0)),"⚠"&amp;TRIM(I11&amp;""))),"⚠"&amp;TRIM(I11&amp;""))</f>
        <v/>
      </c>
      <c r="R11" s="10">
        <f>IFERROR(IF(TRIM(J11&amp;"")="","",IF(AND(ISNUMBER(FIND(" ",TRIM(J11&amp;""))),ISNUMBER(MATCH(LEFT(TRIM(J11&amp;""),FIND(" ",TRIM(J11&amp;""))-1),코드표!$J$2:$J$101,0)),ISNUMBER(MATCH(TRIM(RIGHT(SUBSTITUTE(TRIM(J11&amp;"")," ",REPT(" ",60)),60)),코드표!$F$2:$F$101,0))),INDEX(코드표!$K$2:$K$101,MATCH(LEFT(TRIM(J11&amp;""),FIND(" ",TRIM(J11&amp;""))-1),코드표!$J$2:$J$101,0))&amp;" "&amp;INDEX(코드표!$G$2:$G$101,MATCH(TRIM(RIGHT(SUBSTITUTE(TRIM(J11&amp;"")," ",REPT(" ",60)),60)),코드표!$F$2:$F$101,0)),"⚠"&amp;TRIM(J11&amp;""))),"⚠"&amp;TRIM(J11&amp;""))</f>
        <v/>
      </c>
      <c r="S11" s="11">
        <f>IF(K11="","",IFERROR(IF(AND(ROUND((VALUE(K11&amp;"")-INT(VALUE(K11&amp;"")))*100,0)&gt;=1,ROUND((VALUE(K11&amp;"")-INT(VALUE(K11&amp;"")))*100,0)&lt;=12,INT(VALUE(K11&amp;""))&gt;=1900),DATE(INT(VALUE(K11&amp;"")),ROUND((VALUE(K11&amp;"")-INT(VALUE(K11&amp;"")))*100,0),1),K11&amp;""),K11&amp;""))</f>
        <v/>
      </c>
      <c r="T11" s="10">
        <f>COUNTIF(M11:R11,"⚠*")</f>
        <v/>
      </c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M12" s="10">
        <f>IFERROR(IF(TRIM(E12&amp;"")="","",IF(AND(ISNUMBER(FIND(" ",TRIM(E12&amp;""))),ISNUMBER(MATCH(LEFT(TRIM(E12&amp;""),FIND(" ",TRIM(E12&amp;""))-1),코드표!$J$2:$J$101,0)),ISNUMBER(MATCH(TRIM(RIGHT(SUBSTITUTE(TRIM(E12&amp;"")," ",REPT(" ",60)),60)),코드표!$F$2:$F$101,0))),INDEX(코드표!$K$2:$K$101,MATCH(LEFT(TRIM(E12&amp;""),FIND(" ",TRIM(E12&amp;""))-1),코드표!$J$2:$J$101,0))&amp;" "&amp;INDEX(코드표!$G$2:$G$101,MATCH(TRIM(RIGHT(SUBSTITUTE(TRIM(E12&amp;"")," ",REPT(" ",60)),60)),코드표!$F$2:$F$101,0)),"⚠"&amp;TRIM(E12&amp;""))),"⚠"&amp;TRIM(E12&amp;""))</f>
        <v/>
      </c>
      <c r="N12" s="10">
        <f>IFERROR(IF(TRIM(F12&amp;"")="","",IF(AND(ISNUMBER(FIND(" ",TRIM(F12&amp;""))),ISNUMBER(MATCH(LEFT(TRIM(F12&amp;""),FIND(" ",TRIM(F12&amp;""))-1),코드표!$J$2:$J$101,0)),ISNUMBER(MATCH(TRIM(RIGHT(SUBSTITUTE(TRIM(F12&amp;"")," ",REPT(" ",60)),60)),코드표!$F$2:$F$101,0))),INDEX(코드표!$K$2:$K$101,MATCH(LEFT(TRIM(F12&amp;""),FIND(" ",TRIM(F12&amp;""))-1),코드표!$J$2:$J$101,0))&amp;" "&amp;INDEX(코드표!$G$2:$G$101,MATCH(TRIM(RIGHT(SUBSTITUTE(TRIM(F12&amp;"")," ",REPT(" ",60)),60)),코드표!$F$2:$F$101,0)),"⚠"&amp;TRIM(F12&amp;""))),"⚠"&amp;TRIM(F12&amp;""))</f>
        <v/>
      </c>
      <c r="O12" s="10">
        <f>IFERROR(IF(TRIM(G12&amp;"")="","",IF(AND(ISNUMBER(FIND(" ",TRIM(G12&amp;""))),ISNUMBER(MATCH(LEFT(TRIM(G12&amp;""),FIND(" ",TRIM(G12&amp;""))-1),코드표!$J$2:$J$101,0)),ISNUMBER(MATCH(TRIM(RIGHT(SUBSTITUTE(TRIM(G12&amp;"")," ",REPT(" ",60)),60)),코드표!$F$2:$F$101,0))),INDEX(코드표!$K$2:$K$101,MATCH(LEFT(TRIM(G12&amp;""),FIND(" ",TRIM(G12&amp;""))-1),코드표!$J$2:$J$101,0))&amp;" "&amp;INDEX(코드표!$G$2:$G$101,MATCH(TRIM(RIGHT(SUBSTITUTE(TRIM(G12&amp;"")," ",REPT(" ",60)),60)),코드표!$F$2:$F$101,0)),"⚠"&amp;TRIM(G12&amp;""))),"⚠"&amp;TRIM(G12&amp;""))</f>
        <v/>
      </c>
      <c r="P12" s="10">
        <f>IFERROR(IF(TRIM(H12&amp;"")="","",IF(AND(ISNUMBER(FIND(" ",TRIM(H12&amp;""))),ISNUMBER(MATCH(LEFT(TRIM(H12&amp;""),FIND(" ",TRIM(H12&amp;""))-1),코드표!$J$2:$J$101,0)),ISNUMBER(MATCH(TRIM(RIGHT(SUBSTITUTE(TRIM(H12&amp;"")," ",REPT(" ",60)),60)),코드표!$F$2:$F$101,0))),INDEX(코드표!$K$2:$K$101,MATCH(LEFT(TRIM(H12&amp;""),FIND(" ",TRIM(H12&amp;""))-1),코드표!$J$2:$J$101,0))&amp;" "&amp;INDEX(코드표!$G$2:$G$101,MATCH(TRIM(RIGHT(SUBSTITUTE(TRIM(H12&amp;"")," ",REPT(" ",60)),60)),코드표!$F$2:$F$101,0)),"⚠"&amp;TRIM(H12&amp;""))),"⚠"&amp;TRIM(H12&amp;""))</f>
        <v/>
      </c>
      <c r="Q12" s="10">
        <f>IFERROR(IF(TRIM(I12&amp;"")="","",IF(AND(ISNUMBER(FIND(" ",TRIM(I12&amp;""))),ISNUMBER(MATCH(LEFT(TRIM(I12&amp;""),FIND(" ",TRIM(I12&amp;""))-1),코드표!$J$2:$J$101,0)),ISNUMBER(MATCH(TRIM(RIGHT(SUBSTITUTE(TRIM(I12&amp;"")," ",REPT(" ",60)),60)),코드표!$F$2:$F$101,0))),INDEX(코드표!$K$2:$K$101,MATCH(LEFT(TRIM(I12&amp;""),FIND(" ",TRIM(I12&amp;""))-1),코드표!$J$2:$J$101,0))&amp;" "&amp;INDEX(코드표!$G$2:$G$101,MATCH(TRIM(RIGHT(SUBSTITUTE(TRIM(I12&amp;"")," ",REPT(" ",60)),60)),코드표!$F$2:$F$101,0)),"⚠"&amp;TRIM(I12&amp;""))),"⚠"&amp;TRIM(I12&amp;""))</f>
        <v/>
      </c>
      <c r="R12" s="10">
        <f>IFERROR(IF(TRIM(J12&amp;"")="","",IF(AND(ISNUMBER(FIND(" ",TRIM(J12&amp;""))),ISNUMBER(MATCH(LEFT(TRIM(J12&amp;""),FIND(" ",TRIM(J12&amp;""))-1),코드표!$J$2:$J$101,0)),ISNUMBER(MATCH(TRIM(RIGHT(SUBSTITUTE(TRIM(J12&amp;"")," ",REPT(" ",60)),60)),코드표!$F$2:$F$101,0))),INDEX(코드표!$K$2:$K$101,MATCH(LEFT(TRIM(J12&amp;""),FIND(" ",TRIM(J12&amp;""))-1),코드표!$J$2:$J$101,0))&amp;" "&amp;INDEX(코드표!$G$2:$G$101,MATCH(TRIM(RIGHT(SUBSTITUTE(TRIM(J12&amp;"")," ",REPT(" ",60)),60)),코드표!$F$2:$F$101,0)),"⚠"&amp;TRIM(J12&amp;""))),"⚠"&amp;TRIM(J12&amp;""))</f>
        <v/>
      </c>
      <c r="S12" s="11">
        <f>IF(K12="","",IFERROR(IF(AND(ROUND((VALUE(K12&amp;"")-INT(VALUE(K12&amp;"")))*100,0)&gt;=1,ROUND((VALUE(K12&amp;"")-INT(VALUE(K12&amp;"")))*100,0)&lt;=12,INT(VALUE(K12&amp;""))&gt;=1900),DATE(INT(VALUE(K12&amp;"")),ROUND((VALUE(K12&amp;"")-INT(VALUE(K12&amp;"")))*100,0),1),K12&amp;""),K12&amp;""))</f>
        <v/>
      </c>
      <c r="T12" s="10">
        <f>COUNTIF(M12:R12,"⚠*")</f>
        <v/>
      </c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M13" s="10">
        <f>IFERROR(IF(TRIM(E13&amp;"")="","",IF(AND(ISNUMBER(FIND(" ",TRIM(E13&amp;""))),ISNUMBER(MATCH(LEFT(TRIM(E13&amp;""),FIND(" ",TRIM(E13&amp;""))-1),코드표!$J$2:$J$101,0)),ISNUMBER(MATCH(TRIM(RIGHT(SUBSTITUTE(TRIM(E13&amp;"")," ",REPT(" ",60)),60)),코드표!$F$2:$F$101,0))),INDEX(코드표!$K$2:$K$101,MATCH(LEFT(TRIM(E13&amp;""),FIND(" ",TRIM(E13&amp;""))-1),코드표!$J$2:$J$101,0))&amp;" "&amp;INDEX(코드표!$G$2:$G$101,MATCH(TRIM(RIGHT(SUBSTITUTE(TRIM(E13&amp;"")," ",REPT(" ",60)),60)),코드표!$F$2:$F$101,0)),"⚠"&amp;TRIM(E13&amp;""))),"⚠"&amp;TRIM(E13&amp;""))</f>
        <v/>
      </c>
      <c r="N13" s="10">
        <f>IFERROR(IF(TRIM(F13&amp;"")="","",IF(AND(ISNUMBER(FIND(" ",TRIM(F13&amp;""))),ISNUMBER(MATCH(LEFT(TRIM(F13&amp;""),FIND(" ",TRIM(F13&amp;""))-1),코드표!$J$2:$J$101,0)),ISNUMBER(MATCH(TRIM(RIGHT(SUBSTITUTE(TRIM(F13&amp;"")," ",REPT(" ",60)),60)),코드표!$F$2:$F$101,0))),INDEX(코드표!$K$2:$K$101,MATCH(LEFT(TRIM(F13&amp;""),FIND(" ",TRIM(F13&amp;""))-1),코드표!$J$2:$J$101,0))&amp;" "&amp;INDEX(코드표!$G$2:$G$101,MATCH(TRIM(RIGHT(SUBSTITUTE(TRIM(F13&amp;"")," ",REPT(" ",60)),60)),코드표!$F$2:$F$101,0)),"⚠"&amp;TRIM(F13&amp;""))),"⚠"&amp;TRIM(F13&amp;""))</f>
        <v/>
      </c>
      <c r="O13" s="10">
        <f>IFERROR(IF(TRIM(G13&amp;"")="","",IF(AND(ISNUMBER(FIND(" ",TRIM(G13&amp;""))),ISNUMBER(MATCH(LEFT(TRIM(G13&amp;""),FIND(" ",TRIM(G13&amp;""))-1),코드표!$J$2:$J$101,0)),ISNUMBER(MATCH(TRIM(RIGHT(SUBSTITUTE(TRIM(G13&amp;"")," ",REPT(" ",60)),60)),코드표!$F$2:$F$101,0))),INDEX(코드표!$K$2:$K$101,MATCH(LEFT(TRIM(G13&amp;""),FIND(" ",TRIM(G13&amp;""))-1),코드표!$J$2:$J$101,0))&amp;" "&amp;INDEX(코드표!$G$2:$G$101,MATCH(TRIM(RIGHT(SUBSTITUTE(TRIM(G13&amp;"")," ",REPT(" ",60)),60)),코드표!$F$2:$F$101,0)),"⚠"&amp;TRIM(G13&amp;""))),"⚠"&amp;TRIM(G13&amp;""))</f>
        <v/>
      </c>
      <c r="P13" s="10">
        <f>IFERROR(IF(TRIM(H13&amp;"")="","",IF(AND(ISNUMBER(FIND(" ",TRIM(H13&amp;""))),ISNUMBER(MATCH(LEFT(TRIM(H13&amp;""),FIND(" ",TRIM(H13&amp;""))-1),코드표!$J$2:$J$101,0)),ISNUMBER(MATCH(TRIM(RIGHT(SUBSTITUTE(TRIM(H13&amp;"")," ",REPT(" ",60)),60)),코드표!$F$2:$F$101,0))),INDEX(코드표!$K$2:$K$101,MATCH(LEFT(TRIM(H13&amp;""),FIND(" ",TRIM(H13&amp;""))-1),코드표!$J$2:$J$101,0))&amp;" "&amp;INDEX(코드표!$G$2:$G$101,MATCH(TRIM(RIGHT(SUBSTITUTE(TRIM(H13&amp;"")," ",REPT(" ",60)),60)),코드표!$F$2:$F$101,0)),"⚠"&amp;TRIM(H13&amp;""))),"⚠"&amp;TRIM(H13&amp;""))</f>
        <v/>
      </c>
      <c r="Q13" s="10">
        <f>IFERROR(IF(TRIM(I13&amp;"")="","",IF(AND(ISNUMBER(FIND(" ",TRIM(I13&amp;""))),ISNUMBER(MATCH(LEFT(TRIM(I13&amp;""),FIND(" ",TRIM(I13&amp;""))-1),코드표!$J$2:$J$101,0)),ISNUMBER(MATCH(TRIM(RIGHT(SUBSTITUTE(TRIM(I13&amp;"")," ",REPT(" ",60)),60)),코드표!$F$2:$F$101,0))),INDEX(코드표!$K$2:$K$101,MATCH(LEFT(TRIM(I13&amp;""),FIND(" ",TRIM(I13&amp;""))-1),코드표!$J$2:$J$101,0))&amp;" "&amp;INDEX(코드표!$G$2:$G$101,MATCH(TRIM(RIGHT(SUBSTITUTE(TRIM(I13&amp;"")," ",REPT(" ",60)),60)),코드표!$F$2:$F$101,0)),"⚠"&amp;TRIM(I13&amp;""))),"⚠"&amp;TRIM(I13&amp;""))</f>
        <v/>
      </c>
      <c r="R13" s="10">
        <f>IFERROR(IF(TRIM(J13&amp;"")="","",IF(AND(ISNUMBER(FIND(" ",TRIM(J13&amp;""))),ISNUMBER(MATCH(LEFT(TRIM(J13&amp;""),FIND(" ",TRIM(J13&amp;""))-1),코드표!$J$2:$J$101,0)),ISNUMBER(MATCH(TRIM(RIGHT(SUBSTITUTE(TRIM(J13&amp;"")," ",REPT(" ",60)),60)),코드표!$F$2:$F$101,0))),INDEX(코드표!$K$2:$K$101,MATCH(LEFT(TRIM(J13&amp;""),FIND(" ",TRIM(J13&amp;""))-1),코드표!$J$2:$J$101,0))&amp;" "&amp;INDEX(코드표!$G$2:$G$101,MATCH(TRIM(RIGHT(SUBSTITUTE(TRIM(J13&amp;"")," ",REPT(" ",60)),60)),코드표!$F$2:$F$101,0)),"⚠"&amp;TRIM(J13&amp;""))),"⚠"&amp;TRIM(J13&amp;""))</f>
        <v/>
      </c>
      <c r="S13" s="11">
        <f>IF(K13="","",IFERROR(IF(AND(ROUND((VALUE(K13&amp;"")-INT(VALUE(K13&amp;"")))*100,0)&gt;=1,ROUND((VALUE(K13&amp;"")-INT(VALUE(K13&amp;"")))*100,0)&lt;=12,INT(VALUE(K13&amp;""))&gt;=1900),DATE(INT(VALUE(K13&amp;"")),ROUND((VALUE(K13&amp;"")-INT(VALUE(K13&amp;"")))*100,0),1),K13&amp;""),K13&amp;""))</f>
        <v/>
      </c>
      <c r="T13" s="10">
        <f>COUNTIF(M13:R13,"⚠*")</f>
        <v/>
      </c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M14" s="10">
        <f>IFERROR(IF(TRIM(E14&amp;"")="","",IF(AND(ISNUMBER(FIND(" ",TRIM(E14&amp;""))),ISNUMBER(MATCH(LEFT(TRIM(E14&amp;""),FIND(" ",TRIM(E14&amp;""))-1),코드표!$J$2:$J$101,0)),ISNUMBER(MATCH(TRIM(RIGHT(SUBSTITUTE(TRIM(E14&amp;"")," ",REPT(" ",60)),60)),코드표!$F$2:$F$101,0))),INDEX(코드표!$K$2:$K$101,MATCH(LEFT(TRIM(E14&amp;""),FIND(" ",TRIM(E14&amp;""))-1),코드표!$J$2:$J$101,0))&amp;" "&amp;INDEX(코드표!$G$2:$G$101,MATCH(TRIM(RIGHT(SUBSTITUTE(TRIM(E14&amp;"")," ",REPT(" ",60)),60)),코드표!$F$2:$F$101,0)),"⚠"&amp;TRIM(E14&amp;""))),"⚠"&amp;TRIM(E14&amp;""))</f>
        <v/>
      </c>
      <c r="N14" s="10">
        <f>IFERROR(IF(TRIM(F14&amp;"")="","",IF(AND(ISNUMBER(FIND(" ",TRIM(F14&amp;""))),ISNUMBER(MATCH(LEFT(TRIM(F14&amp;""),FIND(" ",TRIM(F14&amp;""))-1),코드표!$J$2:$J$101,0)),ISNUMBER(MATCH(TRIM(RIGHT(SUBSTITUTE(TRIM(F14&amp;"")," ",REPT(" ",60)),60)),코드표!$F$2:$F$101,0))),INDEX(코드표!$K$2:$K$101,MATCH(LEFT(TRIM(F14&amp;""),FIND(" ",TRIM(F14&amp;""))-1),코드표!$J$2:$J$101,0))&amp;" "&amp;INDEX(코드표!$G$2:$G$101,MATCH(TRIM(RIGHT(SUBSTITUTE(TRIM(F14&amp;"")," ",REPT(" ",60)),60)),코드표!$F$2:$F$101,0)),"⚠"&amp;TRIM(F14&amp;""))),"⚠"&amp;TRIM(F14&amp;""))</f>
        <v/>
      </c>
      <c r="O14" s="10">
        <f>IFERROR(IF(TRIM(G14&amp;"")="","",IF(AND(ISNUMBER(FIND(" ",TRIM(G14&amp;""))),ISNUMBER(MATCH(LEFT(TRIM(G14&amp;""),FIND(" ",TRIM(G14&amp;""))-1),코드표!$J$2:$J$101,0)),ISNUMBER(MATCH(TRIM(RIGHT(SUBSTITUTE(TRIM(G14&amp;"")," ",REPT(" ",60)),60)),코드표!$F$2:$F$101,0))),INDEX(코드표!$K$2:$K$101,MATCH(LEFT(TRIM(G14&amp;""),FIND(" ",TRIM(G14&amp;""))-1),코드표!$J$2:$J$101,0))&amp;" "&amp;INDEX(코드표!$G$2:$G$101,MATCH(TRIM(RIGHT(SUBSTITUTE(TRIM(G14&amp;"")," ",REPT(" ",60)),60)),코드표!$F$2:$F$101,0)),"⚠"&amp;TRIM(G14&amp;""))),"⚠"&amp;TRIM(G14&amp;""))</f>
        <v/>
      </c>
      <c r="P14" s="10">
        <f>IFERROR(IF(TRIM(H14&amp;"")="","",IF(AND(ISNUMBER(FIND(" ",TRIM(H14&amp;""))),ISNUMBER(MATCH(LEFT(TRIM(H14&amp;""),FIND(" ",TRIM(H14&amp;""))-1),코드표!$J$2:$J$101,0)),ISNUMBER(MATCH(TRIM(RIGHT(SUBSTITUTE(TRIM(H14&amp;"")," ",REPT(" ",60)),60)),코드표!$F$2:$F$101,0))),INDEX(코드표!$K$2:$K$101,MATCH(LEFT(TRIM(H14&amp;""),FIND(" ",TRIM(H14&amp;""))-1),코드표!$J$2:$J$101,0))&amp;" "&amp;INDEX(코드표!$G$2:$G$101,MATCH(TRIM(RIGHT(SUBSTITUTE(TRIM(H14&amp;"")," ",REPT(" ",60)),60)),코드표!$F$2:$F$101,0)),"⚠"&amp;TRIM(H14&amp;""))),"⚠"&amp;TRIM(H14&amp;""))</f>
        <v/>
      </c>
      <c r="Q14" s="10">
        <f>IFERROR(IF(TRIM(I14&amp;"")="","",IF(AND(ISNUMBER(FIND(" ",TRIM(I14&amp;""))),ISNUMBER(MATCH(LEFT(TRIM(I14&amp;""),FIND(" ",TRIM(I14&amp;""))-1),코드표!$J$2:$J$101,0)),ISNUMBER(MATCH(TRIM(RIGHT(SUBSTITUTE(TRIM(I14&amp;"")," ",REPT(" ",60)),60)),코드표!$F$2:$F$101,0))),INDEX(코드표!$K$2:$K$101,MATCH(LEFT(TRIM(I14&amp;""),FIND(" ",TRIM(I14&amp;""))-1),코드표!$J$2:$J$101,0))&amp;" "&amp;INDEX(코드표!$G$2:$G$101,MATCH(TRIM(RIGHT(SUBSTITUTE(TRIM(I14&amp;"")," ",REPT(" ",60)),60)),코드표!$F$2:$F$101,0)),"⚠"&amp;TRIM(I14&amp;""))),"⚠"&amp;TRIM(I14&amp;""))</f>
        <v/>
      </c>
      <c r="R14" s="10">
        <f>IFERROR(IF(TRIM(J14&amp;"")="","",IF(AND(ISNUMBER(FIND(" ",TRIM(J14&amp;""))),ISNUMBER(MATCH(LEFT(TRIM(J14&amp;""),FIND(" ",TRIM(J14&amp;""))-1),코드표!$J$2:$J$101,0)),ISNUMBER(MATCH(TRIM(RIGHT(SUBSTITUTE(TRIM(J14&amp;"")," ",REPT(" ",60)),60)),코드표!$F$2:$F$101,0))),INDEX(코드표!$K$2:$K$101,MATCH(LEFT(TRIM(J14&amp;""),FIND(" ",TRIM(J14&amp;""))-1),코드표!$J$2:$J$101,0))&amp;" "&amp;INDEX(코드표!$G$2:$G$101,MATCH(TRIM(RIGHT(SUBSTITUTE(TRIM(J14&amp;"")," ",REPT(" ",60)),60)),코드표!$F$2:$F$101,0)),"⚠"&amp;TRIM(J14&amp;""))),"⚠"&amp;TRIM(J14&amp;""))</f>
        <v/>
      </c>
      <c r="S14" s="11">
        <f>IF(K14="","",IFERROR(IF(AND(ROUND((VALUE(K14&amp;"")-INT(VALUE(K14&amp;"")))*100,0)&gt;=1,ROUND((VALUE(K14&amp;"")-INT(VALUE(K14&amp;"")))*100,0)&lt;=12,INT(VALUE(K14&amp;""))&gt;=1900),DATE(INT(VALUE(K14&amp;"")),ROUND((VALUE(K14&amp;"")-INT(VALUE(K14&amp;"")))*100,0),1),K14&amp;""),K14&amp;""))</f>
        <v/>
      </c>
      <c r="T14" s="10">
        <f>COUNTIF(M14:R14,"⚠*")</f>
        <v/>
      </c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M15" s="10">
        <f>IFERROR(IF(TRIM(E15&amp;"")="","",IF(AND(ISNUMBER(FIND(" ",TRIM(E15&amp;""))),ISNUMBER(MATCH(LEFT(TRIM(E15&amp;""),FIND(" ",TRIM(E15&amp;""))-1),코드표!$J$2:$J$101,0)),ISNUMBER(MATCH(TRIM(RIGHT(SUBSTITUTE(TRIM(E15&amp;"")," ",REPT(" ",60)),60)),코드표!$F$2:$F$101,0))),INDEX(코드표!$K$2:$K$101,MATCH(LEFT(TRIM(E15&amp;""),FIND(" ",TRIM(E15&amp;""))-1),코드표!$J$2:$J$101,0))&amp;" "&amp;INDEX(코드표!$G$2:$G$101,MATCH(TRIM(RIGHT(SUBSTITUTE(TRIM(E15&amp;"")," ",REPT(" ",60)),60)),코드표!$F$2:$F$101,0)),"⚠"&amp;TRIM(E15&amp;""))),"⚠"&amp;TRIM(E15&amp;""))</f>
        <v/>
      </c>
      <c r="N15" s="10">
        <f>IFERROR(IF(TRIM(F15&amp;"")="","",IF(AND(ISNUMBER(FIND(" ",TRIM(F15&amp;""))),ISNUMBER(MATCH(LEFT(TRIM(F15&amp;""),FIND(" ",TRIM(F15&amp;""))-1),코드표!$J$2:$J$101,0)),ISNUMBER(MATCH(TRIM(RIGHT(SUBSTITUTE(TRIM(F15&amp;"")," ",REPT(" ",60)),60)),코드표!$F$2:$F$101,0))),INDEX(코드표!$K$2:$K$101,MATCH(LEFT(TRIM(F15&amp;""),FIND(" ",TRIM(F15&amp;""))-1),코드표!$J$2:$J$101,0))&amp;" "&amp;INDEX(코드표!$G$2:$G$101,MATCH(TRIM(RIGHT(SUBSTITUTE(TRIM(F15&amp;"")," ",REPT(" ",60)),60)),코드표!$F$2:$F$101,0)),"⚠"&amp;TRIM(F15&amp;""))),"⚠"&amp;TRIM(F15&amp;""))</f>
        <v/>
      </c>
      <c r="O15" s="10">
        <f>IFERROR(IF(TRIM(G15&amp;"")="","",IF(AND(ISNUMBER(FIND(" ",TRIM(G15&amp;""))),ISNUMBER(MATCH(LEFT(TRIM(G15&amp;""),FIND(" ",TRIM(G15&amp;""))-1),코드표!$J$2:$J$101,0)),ISNUMBER(MATCH(TRIM(RIGHT(SUBSTITUTE(TRIM(G15&amp;"")," ",REPT(" ",60)),60)),코드표!$F$2:$F$101,0))),INDEX(코드표!$K$2:$K$101,MATCH(LEFT(TRIM(G15&amp;""),FIND(" ",TRIM(G15&amp;""))-1),코드표!$J$2:$J$101,0))&amp;" "&amp;INDEX(코드표!$G$2:$G$101,MATCH(TRIM(RIGHT(SUBSTITUTE(TRIM(G15&amp;"")," ",REPT(" ",60)),60)),코드표!$F$2:$F$101,0)),"⚠"&amp;TRIM(G15&amp;""))),"⚠"&amp;TRIM(G15&amp;""))</f>
        <v/>
      </c>
      <c r="P15" s="10">
        <f>IFERROR(IF(TRIM(H15&amp;"")="","",IF(AND(ISNUMBER(FIND(" ",TRIM(H15&amp;""))),ISNUMBER(MATCH(LEFT(TRIM(H15&amp;""),FIND(" ",TRIM(H15&amp;""))-1),코드표!$J$2:$J$101,0)),ISNUMBER(MATCH(TRIM(RIGHT(SUBSTITUTE(TRIM(H15&amp;"")," ",REPT(" ",60)),60)),코드표!$F$2:$F$101,0))),INDEX(코드표!$K$2:$K$101,MATCH(LEFT(TRIM(H15&amp;""),FIND(" ",TRIM(H15&amp;""))-1),코드표!$J$2:$J$101,0))&amp;" "&amp;INDEX(코드표!$G$2:$G$101,MATCH(TRIM(RIGHT(SUBSTITUTE(TRIM(H15&amp;"")," ",REPT(" ",60)),60)),코드표!$F$2:$F$101,0)),"⚠"&amp;TRIM(H15&amp;""))),"⚠"&amp;TRIM(H15&amp;""))</f>
        <v/>
      </c>
      <c r="Q15" s="10">
        <f>IFERROR(IF(TRIM(I15&amp;"")="","",IF(AND(ISNUMBER(FIND(" ",TRIM(I15&amp;""))),ISNUMBER(MATCH(LEFT(TRIM(I15&amp;""),FIND(" ",TRIM(I15&amp;""))-1),코드표!$J$2:$J$101,0)),ISNUMBER(MATCH(TRIM(RIGHT(SUBSTITUTE(TRIM(I15&amp;"")," ",REPT(" ",60)),60)),코드표!$F$2:$F$101,0))),INDEX(코드표!$K$2:$K$101,MATCH(LEFT(TRIM(I15&amp;""),FIND(" ",TRIM(I15&amp;""))-1),코드표!$J$2:$J$101,0))&amp;" "&amp;INDEX(코드표!$G$2:$G$101,MATCH(TRIM(RIGHT(SUBSTITUTE(TRIM(I15&amp;"")," ",REPT(" ",60)),60)),코드표!$F$2:$F$101,0)),"⚠"&amp;TRIM(I15&amp;""))),"⚠"&amp;TRIM(I15&amp;""))</f>
        <v/>
      </c>
      <c r="R15" s="10">
        <f>IFERROR(IF(TRIM(J15&amp;"")="","",IF(AND(ISNUMBER(FIND(" ",TRIM(J15&amp;""))),ISNUMBER(MATCH(LEFT(TRIM(J15&amp;""),FIND(" ",TRIM(J15&amp;""))-1),코드표!$J$2:$J$101,0)),ISNUMBER(MATCH(TRIM(RIGHT(SUBSTITUTE(TRIM(J15&amp;"")," ",REPT(" ",60)),60)),코드표!$F$2:$F$101,0))),INDEX(코드표!$K$2:$K$101,MATCH(LEFT(TRIM(J15&amp;""),FIND(" ",TRIM(J15&amp;""))-1),코드표!$J$2:$J$101,0))&amp;" "&amp;INDEX(코드표!$G$2:$G$101,MATCH(TRIM(RIGHT(SUBSTITUTE(TRIM(J15&amp;"")," ",REPT(" ",60)),60)),코드표!$F$2:$F$101,0)),"⚠"&amp;TRIM(J15&amp;""))),"⚠"&amp;TRIM(J15&amp;""))</f>
        <v/>
      </c>
      <c r="S15" s="11">
        <f>IF(K15="","",IFERROR(IF(AND(ROUND((VALUE(K15&amp;"")-INT(VALUE(K15&amp;"")))*100,0)&gt;=1,ROUND((VALUE(K15&amp;"")-INT(VALUE(K15&amp;"")))*100,0)&lt;=12,INT(VALUE(K15&amp;""))&gt;=1900),DATE(INT(VALUE(K15&amp;"")),ROUND((VALUE(K15&amp;"")-INT(VALUE(K15&amp;"")))*100,0),1),K15&amp;""),K15&amp;""))</f>
        <v/>
      </c>
      <c r="T15" s="10">
        <f>COUNTIF(M15:R15,"⚠*")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M16" s="10">
        <f>IFERROR(IF(TRIM(E16&amp;"")="","",IF(AND(ISNUMBER(FIND(" ",TRIM(E16&amp;""))),ISNUMBER(MATCH(LEFT(TRIM(E16&amp;""),FIND(" ",TRIM(E16&amp;""))-1),코드표!$J$2:$J$101,0)),ISNUMBER(MATCH(TRIM(RIGHT(SUBSTITUTE(TRIM(E16&amp;"")," ",REPT(" ",60)),60)),코드표!$F$2:$F$101,0))),INDEX(코드표!$K$2:$K$101,MATCH(LEFT(TRIM(E16&amp;""),FIND(" ",TRIM(E16&amp;""))-1),코드표!$J$2:$J$101,0))&amp;" "&amp;INDEX(코드표!$G$2:$G$101,MATCH(TRIM(RIGHT(SUBSTITUTE(TRIM(E16&amp;"")," ",REPT(" ",60)),60)),코드표!$F$2:$F$101,0)),"⚠"&amp;TRIM(E16&amp;""))),"⚠"&amp;TRIM(E16&amp;""))</f>
        <v/>
      </c>
      <c r="N16" s="10">
        <f>IFERROR(IF(TRIM(F16&amp;"")="","",IF(AND(ISNUMBER(FIND(" ",TRIM(F16&amp;""))),ISNUMBER(MATCH(LEFT(TRIM(F16&amp;""),FIND(" ",TRIM(F16&amp;""))-1),코드표!$J$2:$J$101,0)),ISNUMBER(MATCH(TRIM(RIGHT(SUBSTITUTE(TRIM(F16&amp;"")," ",REPT(" ",60)),60)),코드표!$F$2:$F$101,0))),INDEX(코드표!$K$2:$K$101,MATCH(LEFT(TRIM(F16&amp;""),FIND(" ",TRIM(F16&amp;""))-1),코드표!$J$2:$J$101,0))&amp;" "&amp;INDEX(코드표!$G$2:$G$101,MATCH(TRIM(RIGHT(SUBSTITUTE(TRIM(F16&amp;"")," ",REPT(" ",60)),60)),코드표!$F$2:$F$101,0)),"⚠"&amp;TRIM(F16&amp;""))),"⚠"&amp;TRIM(F16&amp;""))</f>
        <v/>
      </c>
      <c r="O16" s="10">
        <f>IFERROR(IF(TRIM(G16&amp;"")="","",IF(AND(ISNUMBER(FIND(" ",TRIM(G16&amp;""))),ISNUMBER(MATCH(LEFT(TRIM(G16&amp;""),FIND(" ",TRIM(G16&amp;""))-1),코드표!$J$2:$J$101,0)),ISNUMBER(MATCH(TRIM(RIGHT(SUBSTITUTE(TRIM(G16&amp;"")," ",REPT(" ",60)),60)),코드표!$F$2:$F$101,0))),INDEX(코드표!$K$2:$K$101,MATCH(LEFT(TRIM(G16&amp;""),FIND(" ",TRIM(G16&amp;""))-1),코드표!$J$2:$J$101,0))&amp;" "&amp;INDEX(코드표!$G$2:$G$101,MATCH(TRIM(RIGHT(SUBSTITUTE(TRIM(G16&amp;"")," ",REPT(" ",60)),60)),코드표!$F$2:$F$101,0)),"⚠"&amp;TRIM(G16&amp;""))),"⚠"&amp;TRIM(G16&amp;""))</f>
        <v/>
      </c>
      <c r="P16" s="10">
        <f>IFERROR(IF(TRIM(H16&amp;"")="","",IF(AND(ISNUMBER(FIND(" ",TRIM(H16&amp;""))),ISNUMBER(MATCH(LEFT(TRIM(H16&amp;""),FIND(" ",TRIM(H16&amp;""))-1),코드표!$J$2:$J$101,0)),ISNUMBER(MATCH(TRIM(RIGHT(SUBSTITUTE(TRIM(H16&amp;"")," ",REPT(" ",60)),60)),코드표!$F$2:$F$101,0))),INDEX(코드표!$K$2:$K$101,MATCH(LEFT(TRIM(H16&amp;""),FIND(" ",TRIM(H16&amp;""))-1),코드표!$J$2:$J$101,0))&amp;" "&amp;INDEX(코드표!$G$2:$G$101,MATCH(TRIM(RIGHT(SUBSTITUTE(TRIM(H16&amp;"")," ",REPT(" ",60)),60)),코드표!$F$2:$F$101,0)),"⚠"&amp;TRIM(H16&amp;""))),"⚠"&amp;TRIM(H16&amp;""))</f>
        <v/>
      </c>
      <c r="Q16" s="10">
        <f>IFERROR(IF(TRIM(I16&amp;"")="","",IF(AND(ISNUMBER(FIND(" ",TRIM(I16&amp;""))),ISNUMBER(MATCH(LEFT(TRIM(I16&amp;""),FIND(" ",TRIM(I16&amp;""))-1),코드표!$J$2:$J$101,0)),ISNUMBER(MATCH(TRIM(RIGHT(SUBSTITUTE(TRIM(I16&amp;"")," ",REPT(" ",60)),60)),코드표!$F$2:$F$101,0))),INDEX(코드표!$K$2:$K$101,MATCH(LEFT(TRIM(I16&amp;""),FIND(" ",TRIM(I16&amp;""))-1),코드표!$J$2:$J$101,0))&amp;" "&amp;INDEX(코드표!$G$2:$G$101,MATCH(TRIM(RIGHT(SUBSTITUTE(TRIM(I16&amp;"")," ",REPT(" ",60)),60)),코드표!$F$2:$F$101,0)),"⚠"&amp;TRIM(I16&amp;""))),"⚠"&amp;TRIM(I16&amp;""))</f>
        <v/>
      </c>
      <c r="R16" s="10">
        <f>IFERROR(IF(TRIM(J16&amp;"")="","",IF(AND(ISNUMBER(FIND(" ",TRIM(J16&amp;""))),ISNUMBER(MATCH(LEFT(TRIM(J16&amp;""),FIND(" ",TRIM(J16&amp;""))-1),코드표!$J$2:$J$101,0)),ISNUMBER(MATCH(TRIM(RIGHT(SUBSTITUTE(TRIM(J16&amp;"")," ",REPT(" ",60)),60)),코드표!$F$2:$F$101,0))),INDEX(코드표!$K$2:$K$101,MATCH(LEFT(TRIM(J16&amp;""),FIND(" ",TRIM(J16&amp;""))-1),코드표!$J$2:$J$101,0))&amp;" "&amp;INDEX(코드표!$G$2:$G$101,MATCH(TRIM(RIGHT(SUBSTITUTE(TRIM(J16&amp;"")," ",REPT(" ",60)),60)),코드표!$F$2:$F$101,0)),"⚠"&amp;TRIM(J16&amp;""))),"⚠"&amp;TRIM(J16&amp;""))</f>
        <v/>
      </c>
      <c r="S16" s="11">
        <f>IF(K16="","",IFERROR(IF(AND(ROUND((VALUE(K16&amp;"")-INT(VALUE(K16&amp;"")))*100,0)&gt;=1,ROUND((VALUE(K16&amp;"")-INT(VALUE(K16&amp;"")))*100,0)&lt;=12,INT(VALUE(K16&amp;""))&gt;=1900),DATE(INT(VALUE(K16&amp;"")),ROUND((VALUE(K16&amp;"")-INT(VALUE(K16&amp;"")))*100,0),1),K16&amp;""),K16&amp;""))</f>
        <v/>
      </c>
      <c r="T16" s="10">
        <f>COUNTIF(M16:R16,"⚠*")</f>
        <v/>
      </c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M17" s="10">
        <f>IFERROR(IF(TRIM(E17&amp;"")="","",IF(AND(ISNUMBER(FIND(" ",TRIM(E17&amp;""))),ISNUMBER(MATCH(LEFT(TRIM(E17&amp;""),FIND(" ",TRIM(E17&amp;""))-1),코드표!$J$2:$J$101,0)),ISNUMBER(MATCH(TRIM(RIGHT(SUBSTITUTE(TRIM(E17&amp;"")," ",REPT(" ",60)),60)),코드표!$F$2:$F$101,0))),INDEX(코드표!$K$2:$K$101,MATCH(LEFT(TRIM(E17&amp;""),FIND(" ",TRIM(E17&amp;""))-1),코드표!$J$2:$J$101,0))&amp;" "&amp;INDEX(코드표!$G$2:$G$101,MATCH(TRIM(RIGHT(SUBSTITUTE(TRIM(E17&amp;"")," ",REPT(" ",60)),60)),코드표!$F$2:$F$101,0)),"⚠"&amp;TRIM(E17&amp;""))),"⚠"&amp;TRIM(E17&amp;""))</f>
        <v/>
      </c>
      <c r="N17" s="10">
        <f>IFERROR(IF(TRIM(F17&amp;"")="","",IF(AND(ISNUMBER(FIND(" ",TRIM(F17&amp;""))),ISNUMBER(MATCH(LEFT(TRIM(F17&amp;""),FIND(" ",TRIM(F17&amp;""))-1),코드표!$J$2:$J$101,0)),ISNUMBER(MATCH(TRIM(RIGHT(SUBSTITUTE(TRIM(F17&amp;"")," ",REPT(" ",60)),60)),코드표!$F$2:$F$101,0))),INDEX(코드표!$K$2:$K$101,MATCH(LEFT(TRIM(F17&amp;""),FIND(" ",TRIM(F17&amp;""))-1),코드표!$J$2:$J$101,0))&amp;" "&amp;INDEX(코드표!$G$2:$G$101,MATCH(TRIM(RIGHT(SUBSTITUTE(TRIM(F17&amp;"")," ",REPT(" ",60)),60)),코드표!$F$2:$F$101,0)),"⚠"&amp;TRIM(F17&amp;""))),"⚠"&amp;TRIM(F17&amp;""))</f>
        <v/>
      </c>
      <c r="O17" s="10">
        <f>IFERROR(IF(TRIM(G17&amp;"")="","",IF(AND(ISNUMBER(FIND(" ",TRIM(G17&amp;""))),ISNUMBER(MATCH(LEFT(TRIM(G17&amp;""),FIND(" ",TRIM(G17&amp;""))-1),코드표!$J$2:$J$101,0)),ISNUMBER(MATCH(TRIM(RIGHT(SUBSTITUTE(TRIM(G17&amp;"")," ",REPT(" ",60)),60)),코드표!$F$2:$F$101,0))),INDEX(코드표!$K$2:$K$101,MATCH(LEFT(TRIM(G17&amp;""),FIND(" ",TRIM(G17&amp;""))-1),코드표!$J$2:$J$101,0))&amp;" "&amp;INDEX(코드표!$G$2:$G$101,MATCH(TRIM(RIGHT(SUBSTITUTE(TRIM(G17&amp;"")," ",REPT(" ",60)),60)),코드표!$F$2:$F$101,0)),"⚠"&amp;TRIM(G17&amp;""))),"⚠"&amp;TRIM(G17&amp;""))</f>
        <v/>
      </c>
      <c r="P17" s="10">
        <f>IFERROR(IF(TRIM(H17&amp;"")="","",IF(AND(ISNUMBER(FIND(" ",TRIM(H17&amp;""))),ISNUMBER(MATCH(LEFT(TRIM(H17&amp;""),FIND(" ",TRIM(H17&amp;""))-1),코드표!$J$2:$J$101,0)),ISNUMBER(MATCH(TRIM(RIGHT(SUBSTITUTE(TRIM(H17&amp;"")," ",REPT(" ",60)),60)),코드표!$F$2:$F$101,0))),INDEX(코드표!$K$2:$K$101,MATCH(LEFT(TRIM(H17&amp;""),FIND(" ",TRIM(H17&amp;""))-1),코드표!$J$2:$J$101,0))&amp;" "&amp;INDEX(코드표!$G$2:$G$101,MATCH(TRIM(RIGHT(SUBSTITUTE(TRIM(H17&amp;"")," ",REPT(" ",60)),60)),코드표!$F$2:$F$101,0)),"⚠"&amp;TRIM(H17&amp;""))),"⚠"&amp;TRIM(H17&amp;""))</f>
        <v/>
      </c>
      <c r="Q17" s="10">
        <f>IFERROR(IF(TRIM(I17&amp;"")="","",IF(AND(ISNUMBER(FIND(" ",TRIM(I17&amp;""))),ISNUMBER(MATCH(LEFT(TRIM(I17&amp;""),FIND(" ",TRIM(I17&amp;""))-1),코드표!$J$2:$J$101,0)),ISNUMBER(MATCH(TRIM(RIGHT(SUBSTITUTE(TRIM(I17&amp;"")," ",REPT(" ",60)),60)),코드표!$F$2:$F$101,0))),INDEX(코드표!$K$2:$K$101,MATCH(LEFT(TRIM(I17&amp;""),FIND(" ",TRIM(I17&amp;""))-1),코드표!$J$2:$J$101,0))&amp;" "&amp;INDEX(코드표!$G$2:$G$101,MATCH(TRIM(RIGHT(SUBSTITUTE(TRIM(I17&amp;"")," ",REPT(" ",60)),60)),코드표!$F$2:$F$101,0)),"⚠"&amp;TRIM(I17&amp;""))),"⚠"&amp;TRIM(I17&amp;""))</f>
        <v/>
      </c>
      <c r="R17" s="10">
        <f>IFERROR(IF(TRIM(J17&amp;"")="","",IF(AND(ISNUMBER(FIND(" ",TRIM(J17&amp;""))),ISNUMBER(MATCH(LEFT(TRIM(J17&amp;""),FIND(" ",TRIM(J17&amp;""))-1),코드표!$J$2:$J$101,0)),ISNUMBER(MATCH(TRIM(RIGHT(SUBSTITUTE(TRIM(J17&amp;"")," ",REPT(" ",60)),60)),코드표!$F$2:$F$101,0))),INDEX(코드표!$K$2:$K$101,MATCH(LEFT(TRIM(J17&amp;""),FIND(" ",TRIM(J17&amp;""))-1),코드표!$J$2:$J$101,0))&amp;" "&amp;INDEX(코드표!$G$2:$G$101,MATCH(TRIM(RIGHT(SUBSTITUTE(TRIM(J17&amp;"")," ",REPT(" ",60)),60)),코드표!$F$2:$F$101,0)),"⚠"&amp;TRIM(J17&amp;""))),"⚠"&amp;TRIM(J17&amp;""))</f>
        <v/>
      </c>
      <c r="S17" s="11">
        <f>IF(K17="","",IFERROR(IF(AND(ROUND((VALUE(K17&amp;"")-INT(VALUE(K17&amp;"")))*100,0)&gt;=1,ROUND((VALUE(K17&amp;"")-INT(VALUE(K17&amp;"")))*100,0)&lt;=12,INT(VALUE(K17&amp;""))&gt;=1900),DATE(INT(VALUE(K17&amp;"")),ROUND((VALUE(K17&amp;"")-INT(VALUE(K17&amp;"")))*100,0),1),K17&amp;""),K17&amp;""))</f>
        <v/>
      </c>
      <c r="T17" s="10">
        <f>COUNTIF(M17:R17,"⚠*")</f>
        <v/>
      </c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M18" s="10">
        <f>IFERROR(IF(TRIM(E18&amp;"")="","",IF(AND(ISNUMBER(FIND(" ",TRIM(E18&amp;""))),ISNUMBER(MATCH(LEFT(TRIM(E18&amp;""),FIND(" ",TRIM(E18&amp;""))-1),코드표!$J$2:$J$101,0)),ISNUMBER(MATCH(TRIM(RIGHT(SUBSTITUTE(TRIM(E18&amp;"")," ",REPT(" ",60)),60)),코드표!$F$2:$F$101,0))),INDEX(코드표!$K$2:$K$101,MATCH(LEFT(TRIM(E18&amp;""),FIND(" ",TRIM(E18&amp;""))-1),코드표!$J$2:$J$101,0))&amp;" "&amp;INDEX(코드표!$G$2:$G$101,MATCH(TRIM(RIGHT(SUBSTITUTE(TRIM(E18&amp;"")," ",REPT(" ",60)),60)),코드표!$F$2:$F$101,0)),"⚠"&amp;TRIM(E18&amp;""))),"⚠"&amp;TRIM(E18&amp;""))</f>
        <v/>
      </c>
      <c r="N18" s="10">
        <f>IFERROR(IF(TRIM(F18&amp;"")="","",IF(AND(ISNUMBER(FIND(" ",TRIM(F18&amp;""))),ISNUMBER(MATCH(LEFT(TRIM(F18&amp;""),FIND(" ",TRIM(F18&amp;""))-1),코드표!$J$2:$J$101,0)),ISNUMBER(MATCH(TRIM(RIGHT(SUBSTITUTE(TRIM(F18&amp;"")," ",REPT(" ",60)),60)),코드표!$F$2:$F$101,0))),INDEX(코드표!$K$2:$K$101,MATCH(LEFT(TRIM(F18&amp;""),FIND(" ",TRIM(F18&amp;""))-1),코드표!$J$2:$J$101,0))&amp;" "&amp;INDEX(코드표!$G$2:$G$101,MATCH(TRIM(RIGHT(SUBSTITUTE(TRIM(F18&amp;"")," ",REPT(" ",60)),60)),코드표!$F$2:$F$101,0)),"⚠"&amp;TRIM(F18&amp;""))),"⚠"&amp;TRIM(F18&amp;""))</f>
        <v/>
      </c>
      <c r="O18" s="10">
        <f>IFERROR(IF(TRIM(G18&amp;"")="","",IF(AND(ISNUMBER(FIND(" ",TRIM(G18&amp;""))),ISNUMBER(MATCH(LEFT(TRIM(G18&amp;""),FIND(" ",TRIM(G18&amp;""))-1),코드표!$J$2:$J$101,0)),ISNUMBER(MATCH(TRIM(RIGHT(SUBSTITUTE(TRIM(G18&amp;"")," ",REPT(" ",60)),60)),코드표!$F$2:$F$101,0))),INDEX(코드표!$K$2:$K$101,MATCH(LEFT(TRIM(G18&amp;""),FIND(" ",TRIM(G18&amp;""))-1),코드표!$J$2:$J$101,0))&amp;" "&amp;INDEX(코드표!$G$2:$G$101,MATCH(TRIM(RIGHT(SUBSTITUTE(TRIM(G18&amp;"")," ",REPT(" ",60)),60)),코드표!$F$2:$F$101,0)),"⚠"&amp;TRIM(G18&amp;""))),"⚠"&amp;TRIM(G18&amp;""))</f>
        <v/>
      </c>
      <c r="P18" s="10">
        <f>IFERROR(IF(TRIM(H18&amp;"")="","",IF(AND(ISNUMBER(FIND(" ",TRIM(H18&amp;""))),ISNUMBER(MATCH(LEFT(TRIM(H18&amp;""),FIND(" ",TRIM(H18&amp;""))-1),코드표!$J$2:$J$101,0)),ISNUMBER(MATCH(TRIM(RIGHT(SUBSTITUTE(TRIM(H18&amp;"")," ",REPT(" ",60)),60)),코드표!$F$2:$F$101,0))),INDEX(코드표!$K$2:$K$101,MATCH(LEFT(TRIM(H18&amp;""),FIND(" ",TRIM(H18&amp;""))-1),코드표!$J$2:$J$101,0))&amp;" "&amp;INDEX(코드표!$G$2:$G$101,MATCH(TRIM(RIGHT(SUBSTITUTE(TRIM(H18&amp;"")," ",REPT(" ",60)),60)),코드표!$F$2:$F$101,0)),"⚠"&amp;TRIM(H18&amp;""))),"⚠"&amp;TRIM(H18&amp;""))</f>
        <v/>
      </c>
      <c r="Q18" s="10">
        <f>IFERROR(IF(TRIM(I18&amp;"")="","",IF(AND(ISNUMBER(FIND(" ",TRIM(I18&amp;""))),ISNUMBER(MATCH(LEFT(TRIM(I18&amp;""),FIND(" ",TRIM(I18&amp;""))-1),코드표!$J$2:$J$101,0)),ISNUMBER(MATCH(TRIM(RIGHT(SUBSTITUTE(TRIM(I18&amp;"")," ",REPT(" ",60)),60)),코드표!$F$2:$F$101,0))),INDEX(코드표!$K$2:$K$101,MATCH(LEFT(TRIM(I18&amp;""),FIND(" ",TRIM(I18&amp;""))-1),코드표!$J$2:$J$101,0))&amp;" "&amp;INDEX(코드표!$G$2:$G$101,MATCH(TRIM(RIGHT(SUBSTITUTE(TRIM(I18&amp;"")," ",REPT(" ",60)),60)),코드표!$F$2:$F$101,0)),"⚠"&amp;TRIM(I18&amp;""))),"⚠"&amp;TRIM(I18&amp;""))</f>
        <v/>
      </c>
      <c r="R18" s="10">
        <f>IFERROR(IF(TRIM(J18&amp;"")="","",IF(AND(ISNUMBER(FIND(" ",TRIM(J18&amp;""))),ISNUMBER(MATCH(LEFT(TRIM(J18&amp;""),FIND(" ",TRIM(J18&amp;""))-1),코드표!$J$2:$J$101,0)),ISNUMBER(MATCH(TRIM(RIGHT(SUBSTITUTE(TRIM(J18&amp;"")," ",REPT(" ",60)),60)),코드표!$F$2:$F$101,0))),INDEX(코드표!$K$2:$K$101,MATCH(LEFT(TRIM(J18&amp;""),FIND(" ",TRIM(J18&amp;""))-1),코드표!$J$2:$J$101,0))&amp;" "&amp;INDEX(코드표!$G$2:$G$101,MATCH(TRIM(RIGHT(SUBSTITUTE(TRIM(J18&amp;"")," ",REPT(" ",60)),60)),코드표!$F$2:$F$101,0)),"⚠"&amp;TRIM(J18&amp;""))),"⚠"&amp;TRIM(J18&amp;""))</f>
        <v/>
      </c>
      <c r="S18" s="11">
        <f>IF(K18="","",IFERROR(IF(AND(ROUND((VALUE(K18&amp;"")-INT(VALUE(K18&amp;"")))*100,0)&gt;=1,ROUND((VALUE(K18&amp;"")-INT(VALUE(K18&amp;"")))*100,0)&lt;=12,INT(VALUE(K18&amp;""))&gt;=1900),DATE(INT(VALUE(K18&amp;"")),ROUND((VALUE(K18&amp;"")-INT(VALUE(K18&amp;"")))*100,0),1),K18&amp;""),K18&amp;""))</f>
        <v/>
      </c>
      <c r="T18" s="10">
        <f>COUNTIF(M18:R18,"⚠*")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M19" s="10">
        <f>IFERROR(IF(TRIM(E19&amp;"")="","",IF(AND(ISNUMBER(FIND(" ",TRIM(E19&amp;""))),ISNUMBER(MATCH(LEFT(TRIM(E19&amp;""),FIND(" ",TRIM(E19&amp;""))-1),코드표!$J$2:$J$101,0)),ISNUMBER(MATCH(TRIM(RIGHT(SUBSTITUTE(TRIM(E19&amp;"")," ",REPT(" ",60)),60)),코드표!$F$2:$F$101,0))),INDEX(코드표!$K$2:$K$101,MATCH(LEFT(TRIM(E19&amp;""),FIND(" ",TRIM(E19&amp;""))-1),코드표!$J$2:$J$101,0))&amp;" "&amp;INDEX(코드표!$G$2:$G$101,MATCH(TRIM(RIGHT(SUBSTITUTE(TRIM(E19&amp;"")," ",REPT(" ",60)),60)),코드표!$F$2:$F$101,0)),"⚠"&amp;TRIM(E19&amp;""))),"⚠"&amp;TRIM(E19&amp;""))</f>
        <v/>
      </c>
      <c r="N19" s="10">
        <f>IFERROR(IF(TRIM(F19&amp;"")="","",IF(AND(ISNUMBER(FIND(" ",TRIM(F19&amp;""))),ISNUMBER(MATCH(LEFT(TRIM(F19&amp;""),FIND(" ",TRIM(F19&amp;""))-1),코드표!$J$2:$J$101,0)),ISNUMBER(MATCH(TRIM(RIGHT(SUBSTITUTE(TRIM(F19&amp;"")," ",REPT(" ",60)),60)),코드표!$F$2:$F$101,0))),INDEX(코드표!$K$2:$K$101,MATCH(LEFT(TRIM(F19&amp;""),FIND(" ",TRIM(F19&amp;""))-1),코드표!$J$2:$J$101,0))&amp;" "&amp;INDEX(코드표!$G$2:$G$101,MATCH(TRIM(RIGHT(SUBSTITUTE(TRIM(F19&amp;"")," ",REPT(" ",60)),60)),코드표!$F$2:$F$101,0)),"⚠"&amp;TRIM(F19&amp;""))),"⚠"&amp;TRIM(F19&amp;""))</f>
        <v/>
      </c>
      <c r="O19" s="10">
        <f>IFERROR(IF(TRIM(G19&amp;"")="","",IF(AND(ISNUMBER(FIND(" ",TRIM(G19&amp;""))),ISNUMBER(MATCH(LEFT(TRIM(G19&amp;""),FIND(" ",TRIM(G19&amp;""))-1),코드표!$J$2:$J$101,0)),ISNUMBER(MATCH(TRIM(RIGHT(SUBSTITUTE(TRIM(G19&amp;"")," ",REPT(" ",60)),60)),코드표!$F$2:$F$101,0))),INDEX(코드표!$K$2:$K$101,MATCH(LEFT(TRIM(G19&amp;""),FIND(" ",TRIM(G19&amp;""))-1),코드표!$J$2:$J$101,0))&amp;" "&amp;INDEX(코드표!$G$2:$G$101,MATCH(TRIM(RIGHT(SUBSTITUTE(TRIM(G19&amp;"")," ",REPT(" ",60)),60)),코드표!$F$2:$F$101,0)),"⚠"&amp;TRIM(G19&amp;""))),"⚠"&amp;TRIM(G19&amp;""))</f>
        <v/>
      </c>
      <c r="P19" s="10">
        <f>IFERROR(IF(TRIM(H19&amp;"")="","",IF(AND(ISNUMBER(FIND(" ",TRIM(H19&amp;""))),ISNUMBER(MATCH(LEFT(TRIM(H19&amp;""),FIND(" ",TRIM(H19&amp;""))-1),코드표!$J$2:$J$101,0)),ISNUMBER(MATCH(TRIM(RIGHT(SUBSTITUTE(TRIM(H19&amp;"")," ",REPT(" ",60)),60)),코드표!$F$2:$F$101,0))),INDEX(코드표!$K$2:$K$101,MATCH(LEFT(TRIM(H19&amp;""),FIND(" ",TRIM(H19&amp;""))-1),코드표!$J$2:$J$101,0))&amp;" "&amp;INDEX(코드표!$G$2:$G$101,MATCH(TRIM(RIGHT(SUBSTITUTE(TRIM(H19&amp;"")," ",REPT(" ",60)),60)),코드표!$F$2:$F$101,0)),"⚠"&amp;TRIM(H19&amp;""))),"⚠"&amp;TRIM(H19&amp;""))</f>
        <v/>
      </c>
      <c r="Q19" s="10">
        <f>IFERROR(IF(TRIM(I19&amp;"")="","",IF(AND(ISNUMBER(FIND(" ",TRIM(I19&amp;""))),ISNUMBER(MATCH(LEFT(TRIM(I19&amp;""),FIND(" ",TRIM(I19&amp;""))-1),코드표!$J$2:$J$101,0)),ISNUMBER(MATCH(TRIM(RIGHT(SUBSTITUTE(TRIM(I19&amp;"")," ",REPT(" ",60)),60)),코드표!$F$2:$F$101,0))),INDEX(코드표!$K$2:$K$101,MATCH(LEFT(TRIM(I19&amp;""),FIND(" ",TRIM(I19&amp;""))-1),코드표!$J$2:$J$101,0))&amp;" "&amp;INDEX(코드표!$G$2:$G$101,MATCH(TRIM(RIGHT(SUBSTITUTE(TRIM(I19&amp;"")," ",REPT(" ",60)),60)),코드표!$F$2:$F$101,0)),"⚠"&amp;TRIM(I19&amp;""))),"⚠"&amp;TRIM(I19&amp;""))</f>
        <v/>
      </c>
      <c r="R19" s="10">
        <f>IFERROR(IF(TRIM(J19&amp;"")="","",IF(AND(ISNUMBER(FIND(" ",TRIM(J19&amp;""))),ISNUMBER(MATCH(LEFT(TRIM(J19&amp;""),FIND(" ",TRIM(J19&amp;""))-1),코드표!$J$2:$J$101,0)),ISNUMBER(MATCH(TRIM(RIGHT(SUBSTITUTE(TRIM(J19&amp;"")," ",REPT(" ",60)),60)),코드표!$F$2:$F$101,0))),INDEX(코드표!$K$2:$K$101,MATCH(LEFT(TRIM(J19&amp;""),FIND(" ",TRIM(J19&amp;""))-1),코드표!$J$2:$J$101,0))&amp;" "&amp;INDEX(코드표!$G$2:$G$101,MATCH(TRIM(RIGHT(SUBSTITUTE(TRIM(J19&amp;"")," ",REPT(" ",60)),60)),코드표!$F$2:$F$101,0)),"⚠"&amp;TRIM(J19&amp;""))),"⚠"&amp;TRIM(J19&amp;""))</f>
        <v/>
      </c>
      <c r="S19" s="11">
        <f>IF(K19="","",IFERROR(IF(AND(ROUND((VALUE(K19&amp;"")-INT(VALUE(K19&amp;"")))*100,0)&gt;=1,ROUND((VALUE(K19&amp;"")-INT(VALUE(K19&amp;"")))*100,0)&lt;=12,INT(VALUE(K19&amp;""))&gt;=1900),DATE(INT(VALUE(K19&amp;"")),ROUND((VALUE(K19&amp;"")-INT(VALUE(K19&amp;"")))*100,0),1),K19&amp;""),K19&amp;""))</f>
        <v/>
      </c>
      <c r="T19" s="10">
        <f>COUNTIF(M19:R19,"⚠*")</f>
        <v/>
      </c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M20" s="10">
        <f>IFERROR(IF(TRIM(E20&amp;"")="","",IF(AND(ISNUMBER(FIND(" ",TRIM(E20&amp;""))),ISNUMBER(MATCH(LEFT(TRIM(E20&amp;""),FIND(" ",TRIM(E20&amp;""))-1),코드표!$J$2:$J$101,0)),ISNUMBER(MATCH(TRIM(RIGHT(SUBSTITUTE(TRIM(E20&amp;"")," ",REPT(" ",60)),60)),코드표!$F$2:$F$101,0))),INDEX(코드표!$K$2:$K$101,MATCH(LEFT(TRIM(E20&amp;""),FIND(" ",TRIM(E20&amp;""))-1),코드표!$J$2:$J$101,0))&amp;" "&amp;INDEX(코드표!$G$2:$G$101,MATCH(TRIM(RIGHT(SUBSTITUTE(TRIM(E20&amp;"")," ",REPT(" ",60)),60)),코드표!$F$2:$F$101,0)),"⚠"&amp;TRIM(E20&amp;""))),"⚠"&amp;TRIM(E20&amp;""))</f>
        <v/>
      </c>
      <c r="N20" s="10">
        <f>IFERROR(IF(TRIM(F20&amp;"")="","",IF(AND(ISNUMBER(FIND(" ",TRIM(F20&amp;""))),ISNUMBER(MATCH(LEFT(TRIM(F20&amp;""),FIND(" ",TRIM(F20&amp;""))-1),코드표!$J$2:$J$101,0)),ISNUMBER(MATCH(TRIM(RIGHT(SUBSTITUTE(TRIM(F20&amp;"")," ",REPT(" ",60)),60)),코드표!$F$2:$F$101,0))),INDEX(코드표!$K$2:$K$101,MATCH(LEFT(TRIM(F20&amp;""),FIND(" ",TRIM(F20&amp;""))-1),코드표!$J$2:$J$101,0))&amp;" "&amp;INDEX(코드표!$G$2:$G$101,MATCH(TRIM(RIGHT(SUBSTITUTE(TRIM(F20&amp;"")," ",REPT(" ",60)),60)),코드표!$F$2:$F$101,0)),"⚠"&amp;TRIM(F20&amp;""))),"⚠"&amp;TRIM(F20&amp;""))</f>
        <v/>
      </c>
      <c r="O20" s="10">
        <f>IFERROR(IF(TRIM(G20&amp;"")="","",IF(AND(ISNUMBER(FIND(" ",TRIM(G20&amp;""))),ISNUMBER(MATCH(LEFT(TRIM(G20&amp;""),FIND(" ",TRIM(G20&amp;""))-1),코드표!$J$2:$J$101,0)),ISNUMBER(MATCH(TRIM(RIGHT(SUBSTITUTE(TRIM(G20&amp;"")," ",REPT(" ",60)),60)),코드표!$F$2:$F$101,0))),INDEX(코드표!$K$2:$K$101,MATCH(LEFT(TRIM(G20&amp;""),FIND(" ",TRIM(G20&amp;""))-1),코드표!$J$2:$J$101,0))&amp;" "&amp;INDEX(코드표!$G$2:$G$101,MATCH(TRIM(RIGHT(SUBSTITUTE(TRIM(G20&amp;"")," ",REPT(" ",60)),60)),코드표!$F$2:$F$101,0)),"⚠"&amp;TRIM(G20&amp;""))),"⚠"&amp;TRIM(G20&amp;""))</f>
        <v/>
      </c>
      <c r="P20" s="10">
        <f>IFERROR(IF(TRIM(H20&amp;"")="","",IF(AND(ISNUMBER(FIND(" ",TRIM(H20&amp;""))),ISNUMBER(MATCH(LEFT(TRIM(H20&amp;""),FIND(" ",TRIM(H20&amp;""))-1),코드표!$J$2:$J$101,0)),ISNUMBER(MATCH(TRIM(RIGHT(SUBSTITUTE(TRIM(H20&amp;"")," ",REPT(" ",60)),60)),코드표!$F$2:$F$101,0))),INDEX(코드표!$K$2:$K$101,MATCH(LEFT(TRIM(H20&amp;""),FIND(" ",TRIM(H20&amp;""))-1),코드표!$J$2:$J$101,0))&amp;" "&amp;INDEX(코드표!$G$2:$G$101,MATCH(TRIM(RIGHT(SUBSTITUTE(TRIM(H20&amp;"")," ",REPT(" ",60)),60)),코드표!$F$2:$F$101,0)),"⚠"&amp;TRIM(H20&amp;""))),"⚠"&amp;TRIM(H20&amp;""))</f>
        <v/>
      </c>
      <c r="Q20" s="10">
        <f>IFERROR(IF(TRIM(I20&amp;"")="","",IF(AND(ISNUMBER(FIND(" ",TRIM(I20&amp;""))),ISNUMBER(MATCH(LEFT(TRIM(I20&amp;""),FIND(" ",TRIM(I20&amp;""))-1),코드표!$J$2:$J$101,0)),ISNUMBER(MATCH(TRIM(RIGHT(SUBSTITUTE(TRIM(I20&amp;"")," ",REPT(" ",60)),60)),코드표!$F$2:$F$101,0))),INDEX(코드표!$K$2:$K$101,MATCH(LEFT(TRIM(I20&amp;""),FIND(" ",TRIM(I20&amp;""))-1),코드표!$J$2:$J$101,0))&amp;" "&amp;INDEX(코드표!$G$2:$G$101,MATCH(TRIM(RIGHT(SUBSTITUTE(TRIM(I20&amp;"")," ",REPT(" ",60)),60)),코드표!$F$2:$F$101,0)),"⚠"&amp;TRIM(I20&amp;""))),"⚠"&amp;TRIM(I20&amp;""))</f>
        <v/>
      </c>
      <c r="R20" s="10">
        <f>IFERROR(IF(TRIM(J20&amp;"")="","",IF(AND(ISNUMBER(FIND(" ",TRIM(J20&amp;""))),ISNUMBER(MATCH(LEFT(TRIM(J20&amp;""),FIND(" ",TRIM(J20&amp;""))-1),코드표!$J$2:$J$101,0)),ISNUMBER(MATCH(TRIM(RIGHT(SUBSTITUTE(TRIM(J20&amp;"")," ",REPT(" ",60)),60)),코드표!$F$2:$F$101,0))),INDEX(코드표!$K$2:$K$101,MATCH(LEFT(TRIM(J20&amp;""),FIND(" ",TRIM(J20&amp;""))-1),코드표!$J$2:$J$101,0))&amp;" "&amp;INDEX(코드표!$G$2:$G$101,MATCH(TRIM(RIGHT(SUBSTITUTE(TRIM(J20&amp;"")," ",REPT(" ",60)),60)),코드표!$F$2:$F$101,0)),"⚠"&amp;TRIM(J20&amp;""))),"⚠"&amp;TRIM(J20&amp;""))</f>
        <v/>
      </c>
      <c r="S20" s="11">
        <f>IF(K20="","",IFERROR(IF(AND(ROUND((VALUE(K20&amp;"")-INT(VALUE(K20&amp;"")))*100,0)&gt;=1,ROUND((VALUE(K20&amp;"")-INT(VALUE(K20&amp;"")))*100,0)&lt;=12,INT(VALUE(K20&amp;""))&gt;=1900),DATE(INT(VALUE(K20&amp;"")),ROUND((VALUE(K20&amp;"")-INT(VALUE(K20&amp;"")))*100,0),1),K20&amp;""),K20&amp;""))</f>
        <v/>
      </c>
      <c r="T20" s="10">
        <f>COUNTIF(M20:R20,"⚠*")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M21" s="10">
        <f>IFERROR(IF(TRIM(E21&amp;"")="","",IF(AND(ISNUMBER(FIND(" ",TRIM(E21&amp;""))),ISNUMBER(MATCH(LEFT(TRIM(E21&amp;""),FIND(" ",TRIM(E21&amp;""))-1),코드표!$J$2:$J$101,0)),ISNUMBER(MATCH(TRIM(RIGHT(SUBSTITUTE(TRIM(E21&amp;"")," ",REPT(" ",60)),60)),코드표!$F$2:$F$101,0))),INDEX(코드표!$K$2:$K$101,MATCH(LEFT(TRIM(E21&amp;""),FIND(" ",TRIM(E21&amp;""))-1),코드표!$J$2:$J$101,0))&amp;" "&amp;INDEX(코드표!$G$2:$G$101,MATCH(TRIM(RIGHT(SUBSTITUTE(TRIM(E21&amp;"")," ",REPT(" ",60)),60)),코드표!$F$2:$F$101,0)),"⚠"&amp;TRIM(E21&amp;""))),"⚠"&amp;TRIM(E21&amp;""))</f>
        <v/>
      </c>
      <c r="N21" s="10">
        <f>IFERROR(IF(TRIM(F21&amp;"")="","",IF(AND(ISNUMBER(FIND(" ",TRIM(F21&amp;""))),ISNUMBER(MATCH(LEFT(TRIM(F21&amp;""),FIND(" ",TRIM(F21&amp;""))-1),코드표!$J$2:$J$101,0)),ISNUMBER(MATCH(TRIM(RIGHT(SUBSTITUTE(TRIM(F21&amp;"")," ",REPT(" ",60)),60)),코드표!$F$2:$F$101,0))),INDEX(코드표!$K$2:$K$101,MATCH(LEFT(TRIM(F21&amp;""),FIND(" ",TRIM(F21&amp;""))-1),코드표!$J$2:$J$101,0))&amp;" "&amp;INDEX(코드표!$G$2:$G$101,MATCH(TRIM(RIGHT(SUBSTITUTE(TRIM(F21&amp;"")," ",REPT(" ",60)),60)),코드표!$F$2:$F$101,0)),"⚠"&amp;TRIM(F21&amp;""))),"⚠"&amp;TRIM(F21&amp;""))</f>
        <v/>
      </c>
      <c r="O21" s="10">
        <f>IFERROR(IF(TRIM(G21&amp;"")="","",IF(AND(ISNUMBER(FIND(" ",TRIM(G21&amp;""))),ISNUMBER(MATCH(LEFT(TRIM(G21&amp;""),FIND(" ",TRIM(G21&amp;""))-1),코드표!$J$2:$J$101,0)),ISNUMBER(MATCH(TRIM(RIGHT(SUBSTITUTE(TRIM(G21&amp;"")," ",REPT(" ",60)),60)),코드표!$F$2:$F$101,0))),INDEX(코드표!$K$2:$K$101,MATCH(LEFT(TRIM(G21&amp;""),FIND(" ",TRIM(G21&amp;""))-1),코드표!$J$2:$J$101,0))&amp;" "&amp;INDEX(코드표!$G$2:$G$101,MATCH(TRIM(RIGHT(SUBSTITUTE(TRIM(G21&amp;"")," ",REPT(" ",60)),60)),코드표!$F$2:$F$101,0)),"⚠"&amp;TRIM(G21&amp;""))),"⚠"&amp;TRIM(G21&amp;""))</f>
        <v/>
      </c>
      <c r="P21" s="10">
        <f>IFERROR(IF(TRIM(H21&amp;"")="","",IF(AND(ISNUMBER(FIND(" ",TRIM(H21&amp;""))),ISNUMBER(MATCH(LEFT(TRIM(H21&amp;""),FIND(" ",TRIM(H21&amp;""))-1),코드표!$J$2:$J$101,0)),ISNUMBER(MATCH(TRIM(RIGHT(SUBSTITUTE(TRIM(H21&amp;"")," ",REPT(" ",60)),60)),코드표!$F$2:$F$101,0))),INDEX(코드표!$K$2:$K$101,MATCH(LEFT(TRIM(H21&amp;""),FIND(" ",TRIM(H21&amp;""))-1),코드표!$J$2:$J$101,0))&amp;" "&amp;INDEX(코드표!$G$2:$G$101,MATCH(TRIM(RIGHT(SUBSTITUTE(TRIM(H21&amp;"")," ",REPT(" ",60)),60)),코드표!$F$2:$F$101,0)),"⚠"&amp;TRIM(H21&amp;""))),"⚠"&amp;TRIM(H21&amp;""))</f>
        <v/>
      </c>
      <c r="Q21" s="10">
        <f>IFERROR(IF(TRIM(I21&amp;"")="","",IF(AND(ISNUMBER(FIND(" ",TRIM(I21&amp;""))),ISNUMBER(MATCH(LEFT(TRIM(I21&amp;""),FIND(" ",TRIM(I21&amp;""))-1),코드표!$J$2:$J$101,0)),ISNUMBER(MATCH(TRIM(RIGHT(SUBSTITUTE(TRIM(I21&amp;"")," ",REPT(" ",60)),60)),코드표!$F$2:$F$101,0))),INDEX(코드표!$K$2:$K$101,MATCH(LEFT(TRIM(I21&amp;""),FIND(" ",TRIM(I21&amp;""))-1),코드표!$J$2:$J$101,0))&amp;" "&amp;INDEX(코드표!$G$2:$G$101,MATCH(TRIM(RIGHT(SUBSTITUTE(TRIM(I21&amp;"")," ",REPT(" ",60)),60)),코드표!$F$2:$F$101,0)),"⚠"&amp;TRIM(I21&amp;""))),"⚠"&amp;TRIM(I21&amp;""))</f>
        <v/>
      </c>
      <c r="R21" s="10">
        <f>IFERROR(IF(TRIM(J21&amp;"")="","",IF(AND(ISNUMBER(FIND(" ",TRIM(J21&amp;""))),ISNUMBER(MATCH(LEFT(TRIM(J21&amp;""),FIND(" ",TRIM(J21&amp;""))-1),코드표!$J$2:$J$101,0)),ISNUMBER(MATCH(TRIM(RIGHT(SUBSTITUTE(TRIM(J21&amp;"")," ",REPT(" ",60)),60)),코드표!$F$2:$F$101,0))),INDEX(코드표!$K$2:$K$101,MATCH(LEFT(TRIM(J21&amp;""),FIND(" ",TRIM(J21&amp;""))-1),코드표!$J$2:$J$101,0))&amp;" "&amp;INDEX(코드표!$G$2:$G$101,MATCH(TRIM(RIGHT(SUBSTITUTE(TRIM(J21&amp;"")," ",REPT(" ",60)),60)),코드표!$F$2:$F$101,0)),"⚠"&amp;TRIM(J21&amp;""))),"⚠"&amp;TRIM(J21&amp;""))</f>
        <v/>
      </c>
      <c r="S21" s="11">
        <f>IF(K21="","",IFERROR(IF(AND(ROUND((VALUE(K21&amp;"")-INT(VALUE(K21&amp;"")))*100,0)&gt;=1,ROUND((VALUE(K21&amp;"")-INT(VALUE(K21&amp;"")))*100,0)&lt;=12,INT(VALUE(K21&amp;""))&gt;=1900),DATE(INT(VALUE(K21&amp;"")),ROUND((VALUE(K21&amp;"")-INT(VALUE(K21&amp;"")))*100,0),1),K21&amp;""),K21&amp;""))</f>
        <v/>
      </c>
      <c r="T21" s="10">
        <f>COUNTIF(M21:R21,"⚠*")</f>
        <v/>
      </c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M22" s="10">
        <f>IFERROR(IF(TRIM(E22&amp;"")="","",IF(AND(ISNUMBER(FIND(" ",TRIM(E22&amp;""))),ISNUMBER(MATCH(LEFT(TRIM(E22&amp;""),FIND(" ",TRIM(E22&amp;""))-1),코드표!$J$2:$J$101,0)),ISNUMBER(MATCH(TRIM(RIGHT(SUBSTITUTE(TRIM(E22&amp;"")," ",REPT(" ",60)),60)),코드표!$F$2:$F$101,0))),INDEX(코드표!$K$2:$K$101,MATCH(LEFT(TRIM(E22&amp;""),FIND(" ",TRIM(E22&amp;""))-1),코드표!$J$2:$J$101,0))&amp;" "&amp;INDEX(코드표!$G$2:$G$101,MATCH(TRIM(RIGHT(SUBSTITUTE(TRIM(E22&amp;"")," ",REPT(" ",60)),60)),코드표!$F$2:$F$101,0)),"⚠"&amp;TRIM(E22&amp;""))),"⚠"&amp;TRIM(E22&amp;""))</f>
        <v/>
      </c>
      <c r="N22" s="10">
        <f>IFERROR(IF(TRIM(F22&amp;"")="","",IF(AND(ISNUMBER(FIND(" ",TRIM(F22&amp;""))),ISNUMBER(MATCH(LEFT(TRIM(F22&amp;""),FIND(" ",TRIM(F22&amp;""))-1),코드표!$J$2:$J$101,0)),ISNUMBER(MATCH(TRIM(RIGHT(SUBSTITUTE(TRIM(F22&amp;"")," ",REPT(" ",60)),60)),코드표!$F$2:$F$101,0))),INDEX(코드표!$K$2:$K$101,MATCH(LEFT(TRIM(F22&amp;""),FIND(" ",TRIM(F22&amp;""))-1),코드표!$J$2:$J$101,0))&amp;" "&amp;INDEX(코드표!$G$2:$G$101,MATCH(TRIM(RIGHT(SUBSTITUTE(TRIM(F22&amp;"")," ",REPT(" ",60)),60)),코드표!$F$2:$F$101,0)),"⚠"&amp;TRIM(F22&amp;""))),"⚠"&amp;TRIM(F22&amp;""))</f>
        <v/>
      </c>
      <c r="O22" s="10">
        <f>IFERROR(IF(TRIM(G22&amp;"")="","",IF(AND(ISNUMBER(FIND(" ",TRIM(G22&amp;""))),ISNUMBER(MATCH(LEFT(TRIM(G22&amp;""),FIND(" ",TRIM(G22&amp;""))-1),코드표!$J$2:$J$101,0)),ISNUMBER(MATCH(TRIM(RIGHT(SUBSTITUTE(TRIM(G22&amp;"")," ",REPT(" ",60)),60)),코드표!$F$2:$F$101,0))),INDEX(코드표!$K$2:$K$101,MATCH(LEFT(TRIM(G22&amp;""),FIND(" ",TRIM(G22&amp;""))-1),코드표!$J$2:$J$101,0))&amp;" "&amp;INDEX(코드표!$G$2:$G$101,MATCH(TRIM(RIGHT(SUBSTITUTE(TRIM(G22&amp;"")," ",REPT(" ",60)),60)),코드표!$F$2:$F$101,0)),"⚠"&amp;TRIM(G22&amp;""))),"⚠"&amp;TRIM(G22&amp;""))</f>
        <v/>
      </c>
      <c r="P22" s="10">
        <f>IFERROR(IF(TRIM(H22&amp;"")="","",IF(AND(ISNUMBER(FIND(" ",TRIM(H22&amp;""))),ISNUMBER(MATCH(LEFT(TRIM(H22&amp;""),FIND(" ",TRIM(H22&amp;""))-1),코드표!$J$2:$J$101,0)),ISNUMBER(MATCH(TRIM(RIGHT(SUBSTITUTE(TRIM(H22&amp;"")," ",REPT(" ",60)),60)),코드표!$F$2:$F$101,0))),INDEX(코드표!$K$2:$K$101,MATCH(LEFT(TRIM(H22&amp;""),FIND(" ",TRIM(H22&amp;""))-1),코드표!$J$2:$J$101,0))&amp;" "&amp;INDEX(코드표!$G$2:$G$101,MATCH(TRIM(RIGHT(SUBSTITUTE(TRIM(H22&amp;"")," ",REPT(" ",60)),60)),코드표!$F$2:$F$101,0)),"⚠"&amp;TRIM(H22&amp;""))),"⚠"&amp;TRIM(H22&amp;""))</f>
        <v/>
      </c>
      <c r="Q22" s="10">
        <f>IFERROR(IF(TRIM(I22&amp;"")="","",IF(AND(ISNUMBER(FIND(" ",TRIM(I22&amp;""))),ISNUMBER(MATCH(LEFT(TRIM(I22&amp;""),FIND(" ",TRIM(I22&amp;""))-1),코드표!$J$2:$J$101,0)),ISNUMBER(MATCH(TRIM(RIGHT(SUBSTITUTE(TRIM(I22&amp;"")," ",REPT(" ",60)),60)),코드표!$F$2:$F$101,0))),INDEX(코드표!$K$2:$K$101,MATCH(LEFT(TRIM(I22&amp;""),FIND(" ",TRIM(I22&amp;""))-1),코드표!$J$2:$J$101,0))&amp;" "&amp;INDEX(코드표!$G$2:$G$101,MATCH(TRIM(RIGHT(SUBSTITUTE(TRIM(I22&amp;"")," ",REPT(" ",60)),60)),코드표!$F$2:$F$101,0)),"⚠"&amp;TRIM(I22&amp;""))),"⚠"&amp;TRIM(I22&amp;""))</f>
        <v/>
      </c>
      <c r="R22" s="10">
        <f>IFERROR(IF(TRIM(J22&amp;"")="","",IF(AND(ISNUMBER(FIND(" ",TRIM(J22&amp;""))),ISNUMBER(MATCH(LEFT(TRIM(J22&amp;""),FIND(" ",TRIM(J22&amp;""))-1),코드표!$J$2:$J$101,0)),ISNUMBER(MATCH(TRIM(RIGHT(SUBSTITUTE(TRIM(J22&amp;"")," ",REPT(" ",60)),60)),코드표!$F$2:$F$101,0))),INDEX(코드표!$K$2:$K$101,MATCH(LEFT(TRIM(J22&amp;""),FIND(" ",TRIM(J22&amp;""))-1),코드표!$J$2:$J$101,0))&amp;" "&amp;INDEX(코드표!$G$2:$G$101,MATCH(TRIM(RIGHT(SUBSTITUTE(TRIM(J22&amp;"")," ",REPT(" ",60)),60)),코드표!$F$2:$F$101,0)),"⚠"&amp;TRIM(J22&amp;""))),"⚠"&amp;TRIM(J22&amp;""))</f>
        <v/>
      </c>
      <c r="S22" s="11">
        <f>IF(K22="","",IFERROR(IF(AND(ROUND((VALUE(K22&amp;"")-INT(VALUE(K22&amp;"")))*100,0)&gt;=1,ROUND((VALUE(K22&amp;"")-INT(VALUE(K22&amp;"")))*100,0)&lt;=12,INT(VALUE(K22&amp;""))&gt;=1900),DATE(INT(VALUE(K22&amp;"")),ROUND((VALUE(K22&amp;"")-INT(VALUE(K22&amp;"")))*100,0),1),K22&amp;""),K22&amp;""))</f>
        <v/>
      </c>
      <c r="T22" s="10">
        <f>COUNTIF(M22:R22,"⚠*")</f>
        <v/>
      </c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M23" s="10">
        <f>IFERROR(IF(TRIM(E23&amp;"")="","",IF(AND(ISNUMBER(FIND(" ",TRIM(E23&amp;""))),ISNUMBER(MATCH(LEFT(TRIM(E23&amp;""),FIND(" ",TRIM(E23&amp;""))-1),코드표!$J$2:$J$101,0)),ISNUMBER(MATCH(TRIM(RIGHT(SUBSTITUTE(TRIM(E23&amp;"")," ",REPT(" ",60)),60)),코드표!$F$2:$F$101,0))),INDEX(코드표!$K$2:$K$101,MATCH(LEFT(TRIM(E23&amp;""),FIND(" ",TRIM(E23&amp;""))-1),코드표!$J$2:$J$101,0))&amp;" "&amp;INDEX(코드표!$G$2:$G$101,MATCH(TRIM(RIGHT(SUBSTITUTE(TRIM(E23&amp;"")," ",REPT(" ",60)),60)),코드표!$F$2:$F$101,0)),"⚠"&amp;TRIM(E23&amp;""))),"⚠"&amp;TRIM(E23&amp;""))</f>
        <v/>
      </c>
      <c r="N23" s="10">
        <f>IFERROR(IF(TRIM(F23&amp;"")="","",IF(AND(ISNUMBER(FIND(" ",TRIM(F23&amp;""))),ISNUMBER(MATCH(LEFT(TRIM(F23&amp;""),FIND(" ",TRIM(F23&amp;""))-1),코드표!$J$2:$J$101,0)),ISNUMBER(MATCH(TRIM(RIGHT(SUBSTITUTE(TRIM(F23&amp;"")," ",REPT(" ",60)),60)),코드표!$F$2:$F$101,0))),INDEX(코드표!$K$2:$K$101,MATCH(LEFT(TRIM(F23&amp;""),FIND(" ",TRIM(F23&amp;""))-1),코드표!$J$2:$J$101,0))&amp;" "&amp;INDEX(코드표!$G$2:$G$101,MATCH(TRIM(RIGHT(SUBSTITUTE(TRIM(F23&amp;"")," ",REPT(" ",60)),60)),코드표!$F$2:$F$101,0)),"⚠"&amp;TRIM(F23&amp;""))),"⚠"&amp;TRIM(F23&amp;""))</f>
        <v/>
      </c>
      <c r="O23" s="10">
        <f>IFERROR(IF(TRIM(G23&amp;"")="","",IF(AND(ISNUMBER(FIND(" ",TRIM(G23&amp;""))),ISNUMBER(MATCH(LEFT(TRIM(G23&amp;""),FIND(" ",TRIM(G23&amp;""))-1),코드표!$J$2:$J$101,0)),ISNUMBER(MATCH(TRIM(RIGHT(SUBSTITUTE(TRIM(G23&amp;"")," ",REPT(" ",60)),60)),코드표!$F$2:$F$101,0))),INDEX(코드표!$K$2:$K$101,MATCH(LEFT(TRIM(G23&amp;""),FIND(" ",TRIM(G23&amp;""))-1),코드표!$J$2:$J$101,0))&amp;" "&amp;INDEX(코드표!$G$2:$G$101,MATCH(TRIM(RIGHT(SUBSTITUTE(TRIM(G23&amp;"")," ",REPT(" ",60)),60)),코드표!$F$2:$F$101,0)),"⚠"&amp;TRIM(G23&amp;""))),"⚠"&amp;TRIM(G23&amp;""))</f>
        <v/>
      </c>
      <c r="P23" s="10">
        <f>IFERROR(IF(TRIM(H23&amp;"")="","",IF(AND(ISNUMBER(FIND(" ",TRIM(H23&amp;""))),ISNUMBER(MATCH(LEFT(TRIM(H23&amp;""),FIND(" ",TRIM(H23&amp;""))-1),코드표!$J$2:$J$101,0)),ISNUMBER(MATCH(TRIM(RIGHT(SUBSTITUTE(TRIM(H23&amp;"")," ",REPT(" ",60)),60)),코드표!$F$2:$F$101,0))),INDEX(코드표!$K$2:$K$101,MATCH(LEFT(TRIM(H23&amp;""),FIND(" ",TRIM(H23&amp;""))-1),코드표!$J$2:$J$101,0))&amp;" "&amp;INDEX(코드표!$G$2:$G$101,MATCH(TRIM(RIGHT(SUBSTITUTE(TRIM(H23&amp;"")," ",REPT(" ",60)),60)),코드표!$F$2:$F$101,0)),"⚠"&amp;TRIM(H23&amp;""))),"⚠"&amp;TRIM(H23&amp;""))</f>
        <v/>
      </c>
      <c r="Q23" s="10">
        <f>IFERROR(IF(TRIM(I23&amp;"")="","",IF(AND(ISNUMBER(FIND(" ",TRIM(I23&amp;""))),ISNUMBER(MATCH(LEFT(TRIM(I23&amp;""),FIND(" ",TRIM(I23&amp;""))-1),코드표!$J$2:$J$101,0)),ISNUMBER(MATCH(TRIM(RIGHT(SUBSTITUTE(TRIM(I23&amp;"")," ",REPT(" ",60)),60)),코드표!$F$2:$F$101,0))),INDEX(코드표!$K$2:$K$101,MATCH(LEFT(TRIM(I23&amp;""),FIND(" ",TRIM(I23&amp;""))-1),코드표!$J$2:$J$101,0))&amp;" "&amp;INDEX(코드표!$G$2:$G$101,MATCH(TRIM(RIGHT(SUBSTITUTE(TRIM(I23&amp;"")," ",REPT(" ",60)),60)),코드표!$F$2:$F$101,0)),"⚠"&amp;TRIM(I23&amp;""))),"⚠"&amp;TRIM(I23&amp;""))</f>
        <v/>
      </c>
      <c r="R23" s="10">
        <f>IFERROR(IF(TRIM(J23&amp;"")="","",IF(AND(ISNUMBER(FIND(" ",TRIM(J23&amp;""))),ISNUMBER(MATCH(LEFT(TRIM(J23&amp;""),FIND(" ",TRIM(J23&amp;""))-1),코드표!$J$2:$J$101,0)),ISNUMBER(MATCH(TRIM(RIGHT(SUBSTITUTE(TRIM(J23&amp;"")," ",REPT(" ",60)),60)),코드표!$F$2:$F$101,0))),INDEX(코드표!$K$2:$K$101,MATCH(LEFT(TRIM(J23&amp;""),FIND(" ",TRIM(J23&amp;""))-1),코드표!$J$2:$J$101,0))&amp;" "&amp;INDEX(코드표!$G$2:$G$101,MATCH(TRIM(RIGHT(SUBSTITUTE(TRIM(J23&amp;"")," ",REPT(" ",60)),60)),코드표!$F$2:$F$101,0)),"⚠"&amp;TRIM(J23&amp;""))),"⚠"&amp;TRIM(J23&amp;""))</f>
        <v/>
      </c>
      <c r="S23" s="11">
        <f>IF(K23="","",IFERROR(IF(AND(ROUND((VALUE(K23&amp;"")-INT(VALUE(K23&amp;"")))*100,0)&gt;=1,ROUND((VALUE(K23&amp;"")-INT(VALUE(K23&amp;"")))*100,0)&lt;=12,INT(VALUE(K23&amp;""))&gt;=1900),DATE(INT(VALUE(K23&amp;"")),ROUND((VALUE(K23&amp;"")-INT(VALUE(K23&amp;"")))*100,0),1),K23&amp;""),K23&amp;""))</f>
        <v/>
      </c>
      <c r="T23" s="10">
        <f>COUNTIF(M23:R23,"⚠*")</f>
        <v/>
      </c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M24" s="10">
        <f>IFERROR(IF(TRIM(E24&amp;"")="","",IF(AND(ISNUMBER(FIND(" ",TRIM(E24&amp;""))),ISNUMBER(MATCH(LEFT(TRIM(E24&amp;""),FIND(" ",TRIM(E24&amp;""))-1),코드표!$J$2:$J$101,0)),ISNUMBER(MATCH(TRIM(RIGHT(SUBSTITUTE(TRIM(E24&amp;"")," ",REPT(" ",60)),60)),코드표!$F$2:$F$101,0))),INDEX(코드표!$K$2:$K$101,MATCH(LEFT(TRIM(E24&amp;""),FIND(" ",TRIM(E24&amp;""))-1),코드표!$J$2:$J$101,0))&amp;" "&amp;INDEX(코드표!$G$2:$G$101,MATCH(TRIM(RIGHT(SUBSTITUTE(TRIM(E24&amp;"")," ",REPT(" ",60)),60)),코드표!$F$2:$F$101,0)),"⚠"&amp;TRIM(E24&amp;""))),"⚠"&amp;TRIM(E24&amp;""))</f>
        <v/>
      </c>
      <c r="N24" s="10">
        <f>IFERROR(IF(TRIM(F24&amp;"")="","",IF(AND(ISNUMBER(FIND(" ",TRIM(F24&amp;""))),ISNUMBER(MATCH(LEFT(TRIM(F24&amp;""),FIND(" ",TRIM(F24&amp;""))-1),코드표!$J$2:$J$101,0)),ISNUMBER(MATCH(TRIM(RIGHT(SUBSTITUTE(TRIM(F24&amp;"")," ",REPT(" ",60)),60)),코드표!$F$2:$F$101,0))),INDEX(코드표!$K$2:$K$101,MATCH(LEFT(TRIM(F24&amp;""),FIND(" ",TRIM(F24&amp;""))-1),코드표!$J$2:$J$101,0))&amp;" "&amp;INDEX(코드표!$G$2:$G$101,MATCH(TRIM(RIGHT(SUBSTITUTE(TRIM(F24&amp;"")," ",REPT(" ",60)),60)),코드표!$F$2:$F$101,0)),"⚠"&amp;TRIM(F24&amp;""))),"⚠"&amp;TRIM(F24&amp;""))</f>
        <v/>
      </c>
      <c r="O24" s="10">
        <f>IFERROR(IF(TRIM(G24&amp;"")="","",IF(AND(ISNUMBER(FIND(" ",TRIM(G24&amp;""))),ISNUMBER(MATCH(LEFT(TRIM(G24&amp;""),FIND(" ",TRIM(G24&amp;""))-1),코드표!$J$2:$J$101,0)),ISNUMBER(MATCH(TRIM(RIGHT(SUBSTITUTE(TRIM(G24&amp;"")," ",REPT(" ",60)),60)),코드표!$F$2:$F$101,0))),INDEX(코드표!$K$2:$K$101,MATCH(LEFT(TRIM(G24&amp;""),FIND(" ",TRIM(G24&amp;""))-1),코드표!$J$2:$J$101,0))&amp;" "&amp;INDEX(코드표!$G$2:$G$101,MATCH(TRIM(RIGHT(SUBSTITUTE(TRIM(G24&amp;"")," ",REPT(" ",60)),60)),코드표!$F$2:$F$101,0)),"⚠"&amp;TRIM(G24&amp;""))),"⚠"&amp;TRIM(G24&amp;""))</f>
        <v/>
      </c>
      <c r="P24" s="10">
        <f>IFERROR(IF(TRIM(H24&amp;"")="","",IF(AND(ISNUMBER(FIND(" ",TRIM(H24&amp;""))),ISNUMBER(MATCH(LEFT(TRIM(H24&amp;""),FIND(" ",TRIM(H24&amp;""))-1),코드표!$J$2:$J$101,0)),ISNUMBER(MATCH(TRIM(RIGHT(SUBSTITUTE(TRIM(H24&amp;"")," ",REPT(" ",60)),60)),코드표!$F$2:$F$101,0))),INDEX(코드표!$K$2:$K$101,MATCH(LEFT(TRIM(H24&amp;""),FIND(" ",TRIM(H24&amp;""))-1),코드표!$J$2:$J$101,0))&amp;" "&amp;INDEX(코드표!$G$2:$G$101,MATCH(TRIM(RIGHT(SUBSTITUTE(TRIM(H24&amp;"")," ",REPT(" ",60)),60)),코드표!$F$2:$F$101,0)),"⚠"&amp;TRIM(H24&amp;""))),"⚠"&amp;TRIM(H24&amp;""))</f>
        <v/>
      </c>
      <c r="Q24" s="10">
        <f>IFERROR(IF(TRIM(I24&amp;"")="","",IF(AND(ISNUMBER(FIND(" ",TRIM(I24&amp;""))),ISNUMBER(MATCH(LEFT(TRIM(I24&amp;""),FIND(" ",TRIM(I24&amp;""))-1),코드표!$J$2:$J$101,0)),ISNUMBER(MATCH(TRIM(RIGHT(SUBSTITUTE(TRIM(I24&amp;"")," ",REPT(" ",60)),60)),코드표!$F$2:$F$101,0))),INDEX(코드표!$K$2:$K$101,MATCH(LEFT(TRIM(I24&amp;""),FIND(" ",TRIM(I24&amp;""))-1),코드표!$J$2:$J$101,0))&amp;" "&amp;INDEX(코드표!$G$2:$G$101,MATCH(TRIM(RIGHT(SUBSTITUTE(TRIM(I24&amp;"")," ",REPT(" ",60)),60)),코드표!$F$2:$F$101,0)),"⚠"&amp;TRIM(I24&amp;""))),"⚠"&amp;TRIM(I24&amp;""))</f>
        <v/>
      </c>
      <c r="R24" s="10">
        <f>IFERROR(IF(TRIM(J24&amp;"")="","",IF(AND(ISNUMBER(FIND(" ",TRIM(J24&amp;""))),ISNUMBER(MATCH(LEFT(TRIM(J24&amp;""),FIND(" ",TRIM(J24&amp;""))-1),코드표!$J$2:$J$101,0)),ISNUMBER(MATCH(TRIM(RIGHT(SUBSTITUTE(TRIM(J24&amp;"")," ",REPT(" ",60)),60)),코드표!$F$2:$F$101,0))),INDEX(코드표!$K$2:$K$101,MATCH(LEFT(TRIM(J24&amp;""),FIND(" ",TRIM(J24&amp;""))-1),코드표!$J$2:$J$101,0))&amp;" "&amp;INDEX(코드표!$G$2:$G$101,MATCH(TRIM(RIGHT(SUBSTITUTE(TRIM(J24&amp;"")," ",REPT(" ",60)),60)),코드표!$F$2:$F$101,0)),"⚠"&amp;TRIM(J24&amp;""))),"⚠"&amp;TRIM(J24&amp;""))</f>
        <v/>
      </c>
      <c r="S24" s="11">
        <f>IF(K24="","",IFERROR(IF(AND(ROUND((VALUE(K24&amp;"")-INT(VALUE(K24&amp;"")))*100,0)&gt;=1,ROUND((VALUE(K24&amp;"")-INT(VALUE(K24&amp;"")))*100,0)&lt;=12,INT(VALUE(K24&amp;""))&gt;=1900),DATE(INT(VALUE(K24&amp;"")),ROUND((VALUE(K24&amp;"")-INT(VALUE(K24&amp;"")))*100,0),1),K24&amp;""),K24&amp;""))</f>
        <v/>
      </c>
      <c r="T24" s="10">
        <f>COUNTIF(M24:R24,"⚠*")</f>
        <v/>
      </c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M25" s="10">
        <f>IFERROR(IF(TRIM(E25&amp;"")="","",IF(AND(ISNUMBER(FIND(" ",TRIM(E25&amp;""))),ISNUMBER(MATCH(LEFT(TRIM(E25&amp;""),FIND(" ",TRIM(E25&amp;""))-1),코드표!$J$2:$J$101,0)),ISNUMBER(MATCH(TRIM(RIGHT(SUBSTITUTE(TRIM(E25&amp;"")," ",REPT(" ",60)),60)),코드표!$F$2:$F$101,0))),INDEX(코드표!$K$2:$K$101,MATCH(LEFT(TRIM(E25&amp;""),FIND(" ",TRIM(E25&amp;""))-1),코드표!$J$2:$J$101,0))&amp;" "&amp;INDEX(코드표!$G$2:$G$101,MATCH(TRIM(RIGHT(SUBSTITUTE(TRIM(E25&amp;"")," ",REPT(" ",60)),60)),코드표!$F$2:$F$101,0)),"⚠"&amp;TRIM(E25&amp;""))),"⚠"&amp;TRIM(E25&amp;""))</f>
        <v/>
      </c>
      <c r="N25" s="10">
        <f>IFERROR(IF(TRIM(F25&amp;"")="","",IF(AND(ISNUMBER(FIND(" ",TRIM(F25&amp;""))),ISNUMBER(MATCH(LEFT(TRIM(F25&amp;""),FIND(" ",TRIM(F25&amp;""))-1),코드표!$J$2:$J$101,0)),ISNUMBER(MATCH(TRIM(RIGHT(SUBSTITUTE(TRIM(F25&amp;"")," ",REPT(" ",60)),60)),코드표!$F$2:$F$101,0))),INDEX(코드표!$K$2:$K$101,MATCH(LEFT(TRIM(F25&amp;""),FIND(" ",TRIM(F25&amp;""))-1),코드표!$J$2:$J$101,0))&amp;" "&amp;INDEX(코드표!$G$2:$G$101,MATCH(TRIM(RIGHT(SUBSTITUTE(TRIM(F25&amp;"")," ",REPT(" ",60)),60)),코드표!$F$2:$F$101,0)),"⚠"&amp;TRIM(F25&amp;""))),"⚠"&amp;TRIM(F25&amp;""))</f>
        <v/>
      </c>
      <c r="O25" s="10">
        <f>IFERROR(IF(TRIM(G25&amp;"")="","",IF(AND(ISNUMBER(FIND(" ",TRIM(G25&amp;""))),ISNUMBER(MATCH(LEFT(TRIM(G25&amp;""),FIND(" ",TRIM(G25&amp;""))-1),코드표!$J$2:$J$101,0)),ISNUMBER(MATCH(TRIM(RIGHT(SUBSTITUTE(TRIM(G25&amp;"")," ",REPT(" ",60)),60)),코드표!$F$2:$F$101,0))),INDEX(코드표!$K$2:$K$101,MATCH(LEFT(TRIM(G25&amp;""),FIND(" ",TRIM(G25&amp;""))-1),코드표!$J$2:$J$101,0))&amp;" "&amp;INDEX(코드표!$G$2:$G$101,MATCH(TRIM(RIGHT(SUBSTITUTE(TRIM(G25&amp;"")," ",REPT(" ",60)),60)),코드표!$F$2:$F$101,0)),"⚠"&amp;TRIM(G25&amp;""))),"⚠"&amp;TRIM(G25&amp;""))</f>
        <v/>
      </c>
      <c r="P25" s="10">
        <f>IFERROR(IF(TRIM(H25&amp;"")="","",IF(AND(ISNUMBER(FIND(" ",TRIM(H25&amp;""))),ISNUMBER(MATCH(LEFT(TRIM(H25&amp;""),FIND(" ",TRIM(H25&amp;""))-1),코드표!$J$2:$J$101,0)),ISNUMBER(MATCH(TRIM(RIGHT(SUBSTITUTE(TRIM(H25&amp;"")," ",REPT(" ",60)),60)),코드표!$F$2:$F$101,0))),INDEX(코드표!$K$2:$K$101,MATCH(LEFT(TRIM(H25&amp;""),FIND(" ",TRIM(H25&amp;""))-1),코드표!$J$2:$J$101,0))&amp;" "&amp;INDEX(코드표!$G$2:$G$101,MATCH(TRIM(RIGHT(SUBSTITUTE(TRIM(H25&amp;"")," ",REPT(" ",60)),60)),코드표!$F$2:$F$101,0)),"⚠"&amp;TRIM(H25&amp;""))),"⚠"&amp;TRIM(H25&amp;""))</f>
        <v/>
      </c>
      <c r="Q25" s="10">
        <f>IFERROR(IF(TRIM(I25&amp;"")="","",IF(AND(ISNUMBER(FIND(" ",TRIM(I25&amp;""))),ISNUMBER(MATCH(LEFT(TRIM(I25&amp;""),FIND(" ",TRIM(I25&amp;""))-1),코드표!$J$2:$J$101,0)),ISNUMBER(MATCH(TRIM(RIGHT(SUBSTITUTE(TRIM(I25&amp;"")," ",REPT(" ",60)),60)),코드표!$F$2:$F$101,0))),INDEX(코드표!$K$2:$K$101,MATCH(LEFT(TRIM(I25&amp;""),FIND(" ",TRIM(I25&amp;""))-1),코드표!$J$2:$J$101,0))&amp;" "&amp;INDEX(코드표!$G$2:$G$101,MATCH(TRIM(RIGHT(SUBSTITUTE(TRIM(I25&amp;"")," ",REPT(" ",60)),60)),코드표!$F$2:$F$101,0)),"⚠"&amp;TRIM(I25&amp;""))),"⚠"&amp;TRIM(I25&amp;""))</f>
        <v/>
      </c>
      <c r="R25" s="10">
        <f>IFERROR(IF(TRIM(J25&amp;"")="","",IF(AND(ISNUMBER(FIND(" ",TRIM(J25&amp;""))),ISNUMBER(MATCH(LEFT(TRIM(J25&amp;""),FIND(" ",TRIM(J25&amp;""))-1),코드표!$J$2:$J$101,0)),ISNUMBER(MATCH(TRIM(RIGHT(SUBSTITUTE(TRIM(J25&amp;"")," ",REPT(" ",60)),60)),코드표!$F$2:$F$101,0))),INDEX(코드표!$K$2:$K$101,MATCH(LEFT(TRIM(J25&amp;""),FIND(" ",TRIM(J25&amp;""))-1),코드표!$J$2:$J$101,0))&amp;" "&amp;INDEX(코드표!$G$2:$G$101,MATCH(TRIM(RIGHT(SUBSTITUTE(TRIM(J25&amp;"")," ",REPT(" ",60)),60)),코드표!$F$2:$F$101,0)),"⚠"&amp;TRIM(J25&amp;""))),"⚠"&amp;TRIM(J25&amp;""))</f>
        <v/>
      </c>
      <c r="S25" s="11">
        <f>IF(K25="","",IFERROR(IF(AND(ROUND((VALUE(K25&amp;"")-INT(VALUE(K25&amp;"")))*100,0)&gt;=1,ROUND((VALUE(K25&amp;"")-INT(VALUE(K25&amp;"")))*100,0)&lt;=12,INT(VALUE(K25&amp;""))&gt;=1900),DATE(INT(VALUE(K25&amp;"")),ROUND((VALUE(K25&amp;"")-INT(VALUE(K25&amp;"")))*100,0),1),K25&amp;""),K25&amp;""))</f>
        <v/>
      </c>
      <c r="T25" s="10">
        <f>COUNTIF(M25:R25,"⚠*")</f>
        <v/>
      </c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M26" s="10">
        <f>IFERROR(IF(TRIM(E26&amp;"")="","",IF(AND(ISNUMBER(FIND(" ",TRIM(E26&amp;""))),ISNUMBER(MATCH(LEFT(TRIM(E26&amp;""),FIND(" ",TRIM(E26&amp;""))-1),코드표!$J$2:$J$101,0)),ISNUMBER(MATCH(TRIM(RIGHT(SUBSTITUTE(TRIM(E26&amp;"")," ",REPT(" ",60)),60)),코드표!$F$2:$F$101,0))),INDEX(코드표!$K$2:$K$101,MATCH(LEFT(TRIM(E26&amp;""),FIND(" ",TRIM(E26&amp;""))-1),코드표!$J$2:$J$101,0))&amp;" "&amp;INDEX(코드표!$G$2:$G$101,MATCH(TRIM(RIGHT(SUBSTITUTE(TRIM(E26&amp;"")," ",REPT(" ",60)),60)),코드표!$F$2:$F$101,0)),"⚠"&amp;TRIM(E26&amp;""))),"⚠"&amp;TRIM(E26&amp;""))</f>
        <v/>
      </c>
      <c r="N26" s="10">
        <f>IFERROR(IF(TRIM(F26&amp;"")="","",IF(AND(ISNUMBER(FIND(" ",TRIM(F26&amp;""))),ISNUMBER(MATCH(LEFT(TRIM(F26&amp;""),FIND(" ",TRIM(F26&amp;""))-1),코드표!$J$2:$J$101,0)),ISNUMBER(MATCH(TRIM(RIGHT(SUBSTITUTE(TRIM(F26&amp;"")," ",REPT(" ",60)),60)),코드표!$F$2:$F$101,0))),INDEX(코드표!$K$2:$K$101,MATCH(LEFT(TRIM(F26&amp;""),FIND(" ",TRIM(F26&amp;""))-1),코드표!$J$2:$J$101,0))&amp;" "&amp;INDEX(코드표!$G$2:$G$101,MATCH(TRIM(RIGHT(SUBSTITUTE(TRIM(F26&amp;"")," ",REPT(" ",60)),60)),코드표!$F$2:$F$101,0)),"⚠"&amp;TRIM(F26&amp;""))),"⚠"&amp;TRIM(F26&amp;""))</f>
        <v/>
      </c>
      <c r="O26" s="10">
        <f>IFERROR(IF(TRIM(G26&amp;"")="","",IF(AND(ISNUMBER(FIND(" ",TRIM(G26&amp;""))),ISNUMBER(MATCH(LEFT(TRIM(G26&amp;""),FIND(" ",TRIM(G26&amp;""))-1),코드표!$J$2:$J$101,0)),ISNUMBER(MATCH(TRIM(RIGHT(SUBSTITUTE(TRIM(G26&amp;"")," ",REPT(" ",60)),60)),코드표!$F$2:$F$101,0))),INDEX(코드표!$K$2:$K$101,MATCH(LEFT(TRIM(G26&amp;""),FIND(" ",TRIM(G26&amp;""))-1),코드표!$J$2:$J$101,0))&amp;" "&amp;INDEX(코드표!$G$2:$G$101,MATCH(TRIM(RIGHT(SUBSTITUTE(TRIM(G26&amp;"")," ",REPT(" ",60)),60)),코드표!$F$2:$F$101,0)),"⚠"&amp;TRIM(G26&amp;""))),"⚠"&amp;TRIM(G26&amp;""))</f>
        <v/>
      </c>
      <c r="P26" s="10">
        <f>IFERROR(IF(TRIM(H26&amp;"")="","",IF(AND(ISNUMBER(FIND(" ",TRIM(H26&amp;""))),ISNUMBER(MATCH(LEFT(TRIM(H26&amp;""),FIND(" ",TRIM(H26&amp;""))-1),코드표!$J$2:$J$101,0)),ISNUMBER(MATCH(TRIM(RIGHT(SUBSTITUTE(TRIM(H26&amp;"")," ",REPT(" ",60)),60)),코드표!$F$2:$F$101,0))),INDEX(코드표!$K$2:$K$101,MATCH(LEFT(TRIM(H26&amp;""),FIND(" ",TRIM(H26&amp;""))-1),코드표!$J$2:$J$101,0))&amp;" "&amp;INDEX(코드표!$G$2:$G$101,MATCH(TRIM(RIGHT(SUBSTITUTE(TRIM(H26&amp;"")," ",REPT(" ",60)),60)),코드표!$F$2:$F$101,0)),"⚠"&amp;TRIM(H26&amp;""))),"⚠"&amp;TRIM(H26&amp;""))</f>
        <v/>
      </c>
      <c r="Q26" s="10">
        <f>IFERROR(IF(TRIM(I26&amp;"")="","",IF(AND(ISNUMBER(FIND(" ",TRIM(I26&amp;""))),ISNUMBER(MATCH(LEFT(TRIM(I26&amp;""),FIND(" ",TRIM(I26&amp;""))-1),코드표!$J$2:$J$101,0)),ISNUMBER(MATCH(TRIM(RIGHT(SUBSTITUTE(TRIM(I26&amp;"")," ",REPT(" ",60)),60)),코드표!$F$2:$F$101,0))),INDEX(코드표!$K$2:$K$101,MATCH(LEFT(TRIM(I26&amp;""),FIND(" ",TRIM(I26&amp;""))-1),코드표!$J$2:$J$101,0))&amp;" "&amp;INDEX(코드표!$G$2:$G$101,MATCH(TRIM(RIGHT(SUBSTITUTE(TRIM(I26&amp;"")," ",REPT(" ",60)),60)),코드표!$F$2:$F$101,0)),"⚠"&amp;TRIM(I26&amp;""))),"⚠"&amp;TRIM(I26&amp;""))</f>
        <v/>
      </c>
      <c r="R26" s="10">
        <f>IFERROR(IF(TRIM(J26&amp;"")="","",IF(AND(ISNUMBER(FIND(" ",TRIM(J26&amp;""))),ISNUMBER(MATCH(LEFT(TRIM(J26&amp;""),FIND(" ",TRIM(J26&amp;""))-1),코드표!$J$2:$J$101,0)),ISNUMBER(MATCH(TRIM(RIGHT(SUBSTITUTE(TRIM(J26&amp;"")," ",REPT(" ",60)),60)),코드표!$F$2:$F$101,0))),INDEX(코드표!$K$2:$K$101,MATCH(LEFT(TRIM(J26&amp;""),FIND(" ",TRIM(J26&amp;""))-1),코드표!$J$2:$J$101,0))&amp;" "&amp;INDEX(코드표!$G$2:$G$101,MATCH(TRIM(RIGHT(SUBSTITUTE(TRIM(J26&amp;"")," ",REPT(" ",60)),60)),코드표!$F$2:$F$101,0)),"⚠"&amp;TRIM(J26&amp;""))),"⚠"&amp;TRIM(J26&amp;""))</f>
        <v/>
      </c>
      <c r="S26" s="11">
        <f>IF(K26="","",IFERROR(IF(AND(ROUND((VALUE(K26&amp;"")-INT(VALUE(K26&amp;"")))*100,0)&gt;=1,ROUND((VALUE(K26&amp;"")-INT(VALUE(K26&amp;"")))*100,0)&lt;=12,INT(VALUE(K26&amp;""))&gt;=1900),DATE(INT(VALUE(K26&amp;"")),ROUND((VALUE(K26&amp;"")-INT(VALUE(K26&amp;"")))*100,0),1),K26&amp;""),K26&amp;""))</f>
        <v/>
      </c>
      <c r="T26" s="10">
        <f>COUNTIF(M26:R26,"⚠*")</f>
        <v/>
      </c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M27" s="10">
        <f>IFERROR(IF(TRIM(E27&amp;"")="","",IF(AND(ISNUMBER(FIND(" ",TRIM(E27&amp;""))),ISNUMBER(MATCH(LEFT(TRIM(E27&amp;""),FIND(" ",TRIM(E27&amp;""))-1),코드표!$J$2:$J$101,0)),ISNUMBER(MATCH(TRIM(RIGHT(SUBSTITUTE(TRIM(E27&amp;"")," ",REPT(" ",60)),60)),코드표!$F$2:$F$101,0))),INDEX(코드표!$K$2:$K$101,MATCH(LEFT(TRIM(E27&amp;""),FIND(" ",TRIM(E27&amp;""))-1),코드표!$J$2:$J$101,0))&amp;" "&amp;INDEX(코드표!$G$2:$G$101,MATCH(TRIM(RIGHT(SUBSTITUTE(TRIM(E27&amp;"")," ",REPT(" ",60)),60)),코드표!$F$2:$F$101,0)),"⚠"&amp;TRIM(E27&amp;""))),"⚠"&amp;TRIM(E27&amp;""))</f>
        <v/>
      </c>
      <c r="N27" s="10">
        <f>IFERROR(IF(TRIM(F27&amp;"")="","",IF(AND(ISNUMBER(FIND(" ",TRIM(F27&amp;""))),ISNUMBER(MATCH(LEFT(TRIM(F27&amp;""),FIND(" ",TRIM(F27&amp;""))-1),코드표!$J$2:$J$101,0)),ISNUMBER(MATCH(TRIM(RIGHT(SUBSTITUTE(TRIM(F27&amp;"")," ",REPT(" ",60)),60)),코드표!$F$2:$F$101,0))),INDEX(코드표!$K$2:$K$101,MATCH(LEFT(TRIM(F27&amp;""),FIND(" ",TRIM(F27&amp;""))-1),코드표!$J$2:$J$101,0))&amp;" "&amp;INDEX(코드표!$G$2:$G$101,MATCH(TRIM(RIGHT(SUBSTITUTE(TRIM(F27&amp;"")," ",REPT(" ",60)),60)),코드표!$F$2:$F$101,0)),"⚠"&amp;TRIM(F27&amp;""))),"⚠"&amp;TRIM(F27&amp;""))</f>
        <v/>
      </c>
      <c r="O27" s="10">
        <f>IFERROR(IF(TRIM(G27&amp;"")="","",IF(AND(ISNUMBER(FIND(" ",TRIM(G27&amp;""))),ISNUMBER(MATCH(LEFT(TRIM(G27&amp;""),FIND(" ",TRIM(G27&amp;""))-1),코드표!$J$2:$J$101,0)),ISNUMBER(MATCH(TRIM(RIGHT(SUBSTITUTE(TRIM(G27&amp;"")," ",REPT(" ",60)),60)),코드표!$F$2:$F$101,0))),INDEX(코드표!$K$2:$K$101,MATCH(LEFT(TRIM(G27&amp;""),FIND(" ",TRIM(G27&amp;""))-1),코드표!$J$2:$J$101,0))&amp;" "&amp;INDEX(코드표!$G$2:$G$101,MATCH(TRIM(RIGHT(SUBSTITUTE(TRIM(G27&amp;"")," ",REPT(" ",60)),60)),코드표!$F$2:$F$101,0)),"⚠"&amp;TRIM(G27&amp;""))),"⚠"&amp;TRIM(G27&amp;""))</f>
        <v/>
      </c>
      <c r="P27" s="10">
        <f>IFERROR(IF(TRIM(H27&amp;"")="","",IF(AND(ISNUMBER(FIND(" ",TRIM(H27&amp;""))),ISNUMBER(MATCH(LEFT(TRIM(H27&amp;""),FIND(" ",TRIM(H27&amp;""))-1),코드표!$J$2:$J$101,0)),ISNUMBER(MATCH(TRIM(RIGHT(SUBSTITUTE(TRIM(H27&amp;"")," ",REPT(" ",60)),60)),코드표!$F$2:$F$101,0))),INDEX(코드표!$K$2:$K$101,MATCH(LEFT(TRIM(H27&amp;""),FIND(" ",TRIM(H27&amp;""))-1),코드표!$J$2:$J$101,0))&amp;" "&amp;INDEX(코드표!$G$2:$G$101,MATCH(TRIM(RIGHT(SUBSTITUTE(TRIM(H27&amp;"")," ",REPT(" ",60)),60)),코드표!$F$2:$F$101,0)),"⚠"&amp;TRIM(H27&amp;""))),"⚠"&amp;TRIM(H27&amp;""))</f>
        <v/>
      </c>
      <c r="Q27" s="10">
        <f>IFERROR(IF(TRIM(I27&amp;"")="","",IF(AND(ISNUMBER(FIND(" ",TRIM(I27&amp;""))),ISNUMBER(MATCH(LEFT(TRIM(I27&amp;""),FIND(" ",TRIM(I27&amp;""))-1),코드표!$J$2:$J$101,0)),ISNUMBER(MATCH(TRIM(RIGHT(SUBSTITUTE(TRIM(I27&amp;"")," ",REPT(" ",60)),60)),코드표!$F$2:$F$101,0))),INDEX(코드표!$K$2:$K$101,MATCH(LEFT(TRIM(I27&amp;""),FIND(" ",TRIM(I27&amp;""))-1),코드표!$J$2:$J$101,0))&amp;" "&amp;INDEX(코드표!$G$2:$G$101,MATCH(TRIM(RIGHT(SUBSTITUTE(TRIM(I27&amp;"")," ",REPT(" ",60)),60)),코드표!$F$2:$F$101,0)),"⚠"&amp;TRIM(I27&amp;""))),"⚠"&amp;TRIM(I27&amp;""))</f>
        <v/>
      </c>
      <c r="R27" s="10">
        <f>IFERROR(IF(TRIM(J27&amp;"")="","",IF(AND(ISNUMBER(FIND(" ",TRIM(J27&amp;""))),ISNUMBER(MATCH(LEFT(TRIM(J27&amp;""),FIND(" ",TRIM(J27&amp;""))-1),코드표!$J$2:$J$101,0)),ISNUMBER(MATCH(TRIM(RIGHT(SUBSTITUTE(TRIM(J27&amp;"")," ",REPT(" ",60)),60)),코드표!$F$2:$F$101,0))),INDEX(코드표!$K$2:$K$101,MATCH(LEFT(TRIM(J27&amp;""),FIND(" ",TRIM(J27&amp;""))-1),코드표!$J$2:$J$101,0))&amp;" "&amp;INDEX(코드표!$G$2:$G$101,MATCH(TRIM(RIGHT(SUBSTITUTE(TRIM(J27&amp;"")," ",REPT(" ",60)),60)),코드표!$F$2:$F$101,0)),"⚠"&amp;TRIM(J27&amp;""))),"⚠"&amp;TRIM(J27&amp;""))</f>
        <v/>
      </c>
      <c r="S27" s="11">
        <f>IF(K27="","",IFERROR(IF(AND(ROUND((VALUE(K27&amp;"")-INT(VALUE(K27&amp;"")))*100,0)&gt;=1,ROUND((VALUE(K27&amp;"")-INT(VALUE(K27&amp;"")))*100,0)&lt;=12,INT(VALUE(K27&amp;""))&gt;=1900),DATE(INT(VALUE(K27&amp;"")),ROUND((VALUE(K27&amp;"")-INT(VALUE(K27&amp;"")))*100,0),1),K27&amp;""),K27&amp;""))</f>
        <v/>
      </c>
      <c r="T27" s="10">
        <f>COUNTIF(M27:R27,"⚠*")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M28" s="10">
        <f>IFERROR(IF(TRIM(E28&amp;"")="","",IF(AND(ISNUMBER(FIND(" ",TRIM(E28&amp;""))),ISNUMBER(MATCH(LEFT(TRIM(E28&amp;""),FIND(" ",TRIM(E28&amp;""))-1),코드표!$J$2:$J$101,0)),ISNUMBER(MATCH(TRIM(RIGHT(SUBSTITUTE(TRIM(E28&amp;"")," ",REPT(" ",60)),60)),코드표!$F$2:$F$101,0))),INDEX(코드표!$K$2:$K$101,MATCH(LEFT(TRIM(E28&amp;""),FIND(" ",TRIM(E28&amp;""))-1),코드표!$J$2:$J$101,0))&amp;" "&amp;INDEX(코드표!$G$2:$G$101,MATCH(TRIM(RIGHT(SUBSTITUTE(TRIM(E28&amp;"")," ",REPT(" ",60)),60)),코드표!$F$2:$F$101,0)),"⚠"&amp;TRIM(E28&amp;""))),"⚠"&amp;TRIM(E28&amp;""))</f>
        <v/>
      </c>
      <c r="N28" s="10">
        <f>IFERROR(IF(TRIM(F28&amp;"")="","",IF(AND(ISNUMBER(FIND(" ",TRIM(F28&amp;""))),ISNUMBER(MATCH(LEFT(TRIM(F28&amp;""),FIND(" ",TRIM(F28&amp;""))-1),코드표!$J$2:$J$101,0)),ISNUMBER(MATCH(TRIM(RIGHT(SUBSTITUTE(TRIM(F28&amp;"")," ",REPT(" ",60)),60)),코드표!$F$2:$F$101,0))),INDEX(코드표!$K$2:$K$101,MATCH(LEFT(TRIM(F28&amp;""),FIND(" ",TRIM(F28&amp;""))-1),코드표!$J$2:$J$101,0))&amp;" "&amp;INDEX(코드표!$G$2:$G$101,MATCH(TRIM(RIGHT(SUBSTITUTE(TRIM(F28&amp;"")," ",REPT(" ",60)),60)),코드표!$F$2:$F$101,0)),"⚠"&amp;TRIM(F28&amp;""))),"⚠"&amp;TRIM(F28&amp;""))</f>
        <v/>
      </c>
      <c r="O28" s="10">
        <f>IFERROR(IF(TRIM(G28&amp;"")="","",IF(AND(ISNUMBER(FIND(" ",TRIM(G28&amp;""))),ISNUMBER(MATCH(LEFT(TRIM(G28&amp;""),FIND(" ",TRIM(G28&amp;""))-1),코드표!$J$2:$J$101,0)),ISNUMBER(MATCH(TRIM(RIGHT(SUBSTITUTE(TRIM(G28&amp;"")," ",REPT(" ",60)),60)),코드표!$F$2:$F$101,0))),INDEX(코드표!$K$2:$K$101,MATCH(LEFT(TRIM(G28&amp;""),FIND(" ",TRIM(G28&amp;""))-1),코드표!$J$2:$J$101,0))&amp;" "&amp;INDEX(코드표!$G$2:$G$101,MATCH(TRIM(RIGHT(SUBSTITUTE(TRIM(G28&amp;"")," ",REPT(" ",60)),60)),코드표!$F$2:$F$101,0)),"⚠"&amp;TRIM(G28&amp;""))),"⚠"&amp;TRIM(G28&amp;""))</f>
        <v/>
      </c>
      <c r="P28" s="10">
        <f>IFERROR(IF(TRIM(H28&amp;"")="","",IF(AND(ISNUMBER(FIND(" ",TRIM(H28&amp;""))),ISNUMBER(MATCH(LEFT(TRIM(H28&amp;""),FIND(" ",TRIM(H28&amp;""))-1),코드표!$J$2:$J$101,0)),ISNUMBER(MATCH(TRIM(RIGHT(SUBSTITUTE(TRIM(H28&amp;"")," ",REPT(" ",60)),60)),코드표!$F$2:$F$101,0))),INDEX(코드표!$K$2:$K$101,MATCH(LEFT(TRIM(H28&amp;""),FIND(" ",TRIM(H28&amp;""))-1),코드표!$J$2:$J$101,0))&amp;" "&amp;INDEX(코드표!$G$2:$G$101,MATCH(TRIM(RIGHT(SUBSTITUTE(TRIM(H28&amp;"")," ",REPT(" ",60)),60)),코드표!$F$2:$F$101,0)),"⚠"&amp;TRIM(H28&amp;""))),"⚠"&amp;TRIM(H28&amp;""))</f>
        <v/>
      </c>
      <c r="Q28" s="10">
        <f>IFERROR(IF(TRIM(I28&amp;"")="","",IF(AND(ISNUMBER(FIND(" ",TRIM(I28&amp;""))),ISNUMBER(MATCH(LEFT(TRIM(I28&amp;""),FIND(" ",TRIM(I28&amp;""))-1),코드표!$J$2:$J$101,0)),ISNUMBER(MATCH(TRIM(RIGHT(SUBSTITUTE(TRIM(I28&amp;"")," ",REPT(" ",60)),60)),코드표!$F$2:$F$101,0))),INDEX(코드표!$K$2:$K$101,MATCH(LEFT(TRIM(I28&amp;""),FIND(" ",TRIM(I28&amp;""))-1),코드표!$J$2:$J$101,0))&amp;" "&amp;INDEX(코드표!$G$2:$G$101,MATCH(TRIM(RIGHT(SUBSTITUTE(TRIM(I28&amp;"")," ",REPT(" ",60)),60)),코드표!$F$2:$F$101,0)),"⚠"&amp;TRIM(I28&amp;""))),"⚠"&amp;TRIM(I28&amp;""))</f>
        <v/>
      </c>
      <c r="R28" s="10">
        <f>IFERROR(IF(TRIM(J28&amp;"")="","",IF(AND(ISNUMBER(FIND(" ",TRIM(J28&amp;""))),ISNUMBER(MATCH(LEFT(TRIM(J28&amp;""),FIND(" ",TRIM(J28&amp;""))-1),코드표!$J$2:$J$101,0)),ISNUMBER(MATCH(TRIM(RIGHT(SUBSTITUTE(TRIM(J28&amp;"")," ",REPT(" ",60)),60)),코드표!$F$2:$F$101,0))),INDEX(코드표!$K$2:$K$101,MATCH(LEFT(TRIM(J28&amp;""),FIND(" ",TRIM(J28&amp;""))-1),코드표!$J$2:$J$101,0))&amp;" "&amp;INDEX(코드표!$G$2:$G$101,MATCH(TRIM(RIGHT(SUBSTITUTE(TRIM(J28&amp;"")," ",REPT(" ",60)),60)),코드표!$F$2:$F$101,0)),"⚠"&amp;TRIM(J28&amp;""))),"⚠"&amp;TRIM(J28&amp;""))</f>
        <v/>
      </c>
      <c r="S28" s="11">
        <f>IF(K28="","",IFERROR(IF(AND(ROUND((VALUE(K28&amp;"")-INT(VALUE(K28&amp;"")))*100,0)&gt;=1,ROUND((VALUE(K28&amp;"")-INT(VALUE(K28&amp;"")))*100,0)&lt;=12,INT(VALUE(K28&amp;""))&gt;=1900),DATE(INT(VALUE(K28&amp;"")),ROUND((VALUE(K28&amp;"")-INT(VALUE(K28&amp;"")))*100,0),1),K28&amp;""),K28&amp;""))</f>
        <v/>
      </c>
      <c r="T28" s="10">
        <f>COUNTIF(M28:R28,"⚠*")</f>
        <v/>
      </c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M29" s="10">
        <f>IFERROR(IF(TRIM(E29&amp;"")="","",IF(AND(ISNUMBER(FIND(" ",TRIM(E29&amp;""))),ISNUMBER(MATCH(LEFT(TRIM(E29&amp;""),FIND(" ",TRIM(E29&amp;""))-1),코드표!$J$2:$J$101,0)),ISNUMBER(MATCH(TRIM(RIGHT(SUBSTITUTE(TRIM(E29&amp;"")," ",REPT(" ",60)),60)),코드표!$F$2:$F$101,0))),INDEX(코드표!$K$2:$K$101,MATCH(LEFT(TRIM(E29&amp;""),FIND(" ",TRIM(E29&amp;""))-1),코드표!$J$2:$J$101,0))&amp;" "&amp;INDEX(코드표!$G$2:$G$101,MATCH(TRIM(RIGHT(SUBSTITUTE(TRIM(E29&amp;"")," ",REPT(" ",60)),60)),코드표!$F$2:$F$101,0)),"⚠"&amp;TRIM(E29&amp;""))),"⚠"&amp;TRIM(E29&amp;""))</f>
        <v/>
      </c>
      <c r="N29" s="10">
        <f>IFERROR(IF(TRIM(F29&amp;"")="","",IF(AND(ISNUMBER(FIND(" ",TRIM(F29&amp;""))),ISNUMBER(MATCH(LEFT(TRIM(F29&amp;""),FIND(" ",TRIM(F29&amp;""))-1),코드표!$J$2:$J$101,0)),ISNUMBER(MATCH(TRIM(RIGHT(SUBSTITUTE(TRIM(F29&amp;"")," ",REPT(" ",60)),60)),코드표!$F$2:$F$101,0))),INDEX(코드표!$K$2:$K$101,MATCH(LEFT(TRIM(F29&amp;""),FIND(" ",TRIM(F29&amp;""))-1),코드표!$J$2:$J$101,0))&amp;" "&amp;INDEX(코드표!$G$2:$G$101,MATCH(TRIM(RIGHT(SUBSTITUTE(TRIM(F29&amp;"")," ",REPT(" ",60)),60)),코드표!$F$2:$F$101,0)),"⚠"&amp;TRIM(F29&amp;""))),"⚠"&amp;TRIM(F29&amp;""))</f>
        <v/>
      </c>
      <c r="O29" s="10">
        <f>IFERROR(IF(TRIM(G29&amp;"")="","",IF(AND(ISNUMBER(FIND(" ",TRIM(G29&amp;""))),ISNUMBER(MATCH(LEFT(TRIM(G29&amp;""),FIND(" ",TRIM(G29&amp;""))-1),코드표!$J$2:$J$101,0)),ISNUMBER(MATCH(TRIM(RIGHT(SUBSTITUTE(TRIM(G29&amp;"")," ",REPT(" ",60)),60)),코드표!$F$2:$F$101,0))),INDEX(코드표!$K$2:$K$101,MATCH(LEFT(TRIM(G29&amp;""),FIND(" ",TRIM(G29&amp;""))-1),코드표!$J$2:$J$101,0))&amp;" "&amp;INDEX(코드표!$G$2:$G$101,MATCH(TRIM(RIGHT(SUBSTITUTE(TRIM(G29&amp;"")," ",REPT(" ",60)),60)),코드표!$F$2:$F$101,0)),"⚠"&amp;TRIM(G29&amp;""))),"⚠"&amp;TRIM(G29&amp;""))</f>
        <v/>
      </c>
      <c r="P29" s="10">
        <f>IFERROR(IF(TRIM(H29&amp;"")="","",IF(AND(ISNUMBER(FIND(" ",TRIM(H29&amp;""))),ISNUMBER(MATCH(LEFT(TRIM(H29&amp;""),FIND(" ",TRIM(H29&amp;""))-1),코드표!$J$2:$J$101,0)),ISNUMBER(MATCH(TRIM(RIGHT(SUBSTITUTE(TRIM(H29&amp;"")," ",REPT(" ",60)),60)),코드표!$F$2:$F$101,0))),INDEX(코드표!$K$2:$K$101,MATCH(LEFT(TRIM(H29&amp;""),FIND(" ",TRIM(H29&amp;""))-1),코드표!$J$2:$J$101,0))&amp;" "&amp;INDEX(코드표!$G$2:$G$101,MATCH(TRIM(RIGHT(SUBSTITUTE(TRIM(H29&amp;"")," ",REPT(" ",60)),60)),코드표!$F$2:$F$101,0)),"⚠"&amp;TRIM(H29&amp;""))),"⚠"&amp;TRIM(H29&amp;""))</f>
        <v/>
      </c>
      <c r="Q29" s="10">
        <f>IFERROR(IF(TRIM(I29&amp;"")="","",IF(AND(ISNUMBER(FIND(" ",TRIM(I29&amp;""))),ISNUMBER(MATCH(LEFT(TRIM(I29&amp;""),FIND(" ",TRIM(I29&amp;""))-1),코드표!$J$2:$J$101,0)),ISNUMBER(MATCH(TRIM(RIGHT(SUBSTITUTE(TRIM(I29&amp;"")," ",REPT(" ",60)),60)),코드표!$F$2:$F$101,0))),INDEX(코드표!$K$2:$K$101,MATCH(LEFT(TRIM(I29&amp;""),FIND(" ",TRIM(I29&amp;""))-1),코드표!$J$2:$J$101,0))&amp;" "&amp;INDEX(코드표!$G$2:$G$101,MATCH(TRIM(RIGHT(SUBSTITUTE(TRIM(I29&amp;"")," ",REPT(" ",60)),60)),코드표!$F$2:$F$101,0)),"⚠"&amp;TRIM(I29&amp;""))),"⚠"&amp;TRIM(I29&amp;""))</f>
        <v/>
      </c>
      <c r="R29" s="10">
        <f>IFERROR(IF(TRIM(J29&amp;"")="","",IF(AND(ISNUMBER(FIND(" ",TRIM(J29&amp;""))),ISNUMBER(MATCH(LEFT(TRIM(J29&amp;""),FIND(" ",TRIM(J29&amp;""))-1),코드표!$J$2:$J$101,0)),ISNUMBER(MATCH(TRIM(RIGHT(SUBSTITUTE(TRIM(J29&amp;"")," ",REPT(" ",60)),60)),코드표!$F$2:$F$101,0))),INDEX(코드표!$K$2:$K$101,MATCH(LEFT(TRIM(J29&amp;""),FIND(" ",TRIM(J29&amp;""))-1),코드표!$J$2:$J$101,0))&amp;" "&amp;INDEX(코드표!$G$2:$G$101,MATCH(TRIM(RIGHT(SUBSTITUTE(TRIM(J29&amp;"")," ",REPT(" ",60)),60)),코드표!$F$2:$F$101,0)),"⚠"&amp;TRIM(J29&amp;""))),"⚠"&amp;TRIM(J29&amp;""))</f>
        <v/>
      </c>
      <c r="S29" s="11">
        <f>IF(K29="","",IFERROR(IF(AND(ROUND((VALUE(K29&amp;"")-INT(VALUE(K29&amp;"")))*100,0)&gt;=1,ROUND((VALUE(K29&amp;"")-INT(VALUE(K29&amp;"")))*100,0)&lt;=12,INT(VALUE(K29&amp;""))&gt;=1900),DATE(INT(VALUE(K29&amp;"")),ROUND((VALUE(K29&amp;"")-INT(VALUE(K29&amp;"")))*100,0),1),K29&amp;""),K29&amp;""))</f>
        <v/>
      </c>
      <c r="T29" s="10">
        <f>COUNTIF(M29:R29,"⚠*")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M30" s="10">
        <f>IFERROR(IF(TRIM(E30&amp;"")="","",IF(AND(ISNUMBER(FIND(" ",TRIM(E30&amp;""))),ISNUMBER(MATCH(LEFT(TRIM(E30&amp;""),FIND(" ",TRIM(E30&amp;""))-1),코드표!$J$2:$J$101,0)),ISNUMBER(MATCH(TRIM(RIGHT(SUBSTITUTE(TRIM(E30&amp;"")," ",REPT(" ",60)),60)),코드표!$F$2:$F$101,0))),INDEX(코드표!$K$2:$K$101,MATCH(LEFT(TRIM(E30&amp;""),FIND(" ",TRIM(E30&amp;""))-1),코드표!$J$2:$J$101,0))&amp;" "&amp;INDEX(코드표!$G$2:$G$101,MATCH(TRIM(RIGHT(SUBSTITUTE(TRIM(E30&amp;"")," ",REPT(" ",60)),60)),코드표!$F$2:$F$101,0)),"⚠"&amp;TRIM(E30&amp;""))),"⚠"&amp;TRIM(E30&amp;""))</f>
        <v/>
      </c>
      <c r="N30" s="10">
        <f>IFERROR(IF(TRIM(F30&amp;"")="","",IF(AND(ISNUMBER(FIND(" ",TRIM(F30&amp;""))),ISNUMBER(MATCH(LEFT(TRIM(F30&amp;""),FIND(" ",TRIM(F30&amp;""))-1),코드표!$J$2:$J$101,0)),ISNUMBER(MATCH(TRIM(RIGHT(SUBSTITUTE(TRIM(F30&amp;"")," ",REPT(" ",60)),60)),코드표!$F$2:$F$101,0))),INDEX(코드표!$K$2:$K$101,MATCH(LEFT(TRIM(F30&amp;""),FIND(" ",TRIM(F30&amp;""))-1),코드표!$J$2:$J$101,0))&amp;" "&amp;INDEX(코드표!$G$2:$G$101,MATCH(TRIM(RIGHT(SUBSTITUTE(TRIM(F30&amp;"")," ",REPT(" ",60)),60)),코드표!$F$2:$F$101,0)),"⚠"&amp;TRIM(F30&amp;""))),"⚠"&amp;TRIM(F30&amp;""))</f>
        <v/>
      </c>
      <c r="O30" s="10">
        <f>IFERROR(IF(TRIM(G30&amp;"")="","",IF(AND(ISNUMBER(FIND(" ",TRIM(G30&amp;""))),ISNUMBER(MATCH(LEFT(TRIM(G30&amp;""),FIND(" ",TRIM(G30&amp;""))-1),코드표!$J$2:$J$101,0)),ISNUMBER(MATCH(TRIM(RIGHT(SUBSTITUTE(TRIM(G30&amp;"")," ",REPT(" ",60)),60)),코드표!$F$2:$F$101,0))),INDEX(코드표!$K$2:$K$101,MATCH(LEFT(TRIM(G30&amp;""),FIND(" ",TRIM(G30&amp;""))-1),코드표!$J$2:$J$101,0))&amp;" "&amp;INDEX(코드표!$G$2:$G$101,MATCH(TRIM(RIGHT(SUBSTITUTE(TRIM(G30&amp;"")," ",REPT(" ",60)),60)),코드표!$F$2:$F$101,0)),"⚠"&amp;TRIM(G30&amp;""))),"⚠"&amp;TRIM(G30&amp;""))</f>
        <v/>
      </c>
      <c r="P30" s="10">
        <f>IFERROR(IF(TRIM(H30&amp;"")="","",IF(AND(ISNUMBER(FIND(" ",TRIM(H30&amp;""))),ISNUMBER(MATCH(LEFT(TRIM(H30&amp;""),FIND(" ",TRIM(H30&amp;""))-1),코드표!$J$2:$J$101,0)),ISNUMBER(MATCH(TRIM(RIGHT(SUBSTITUTE(TRIM(H30&amp;"")," ",REPT(" ",60)),60)),코드표!$F$2:$F$101,0))),INDEX(코드표!$K$2:$K$101,MATCH(LEFT(TRIM(H30&amp;""),FIND(" ",TRIM(H30&amp;""))-1),코드표!$J$2:$J$101,0))&amp;" "&amp;INDEX(코드표!$G$2:$G$101,MATCH(TRIM(RIGHT(SUBSTITUTE(TRIM(H30&amp;"")," ",REPT(" ",60)),60)),코드표!$F$2:$F$101,0)),"⚠"&amp;TRIM(H30&amp;""))),"⚠"&amp;TRIM(H30&amp;""))</f>
        <v/>
      </c>
      <c r="Q30" s="10">
        <f>IFERROR(IF(TRIM(I30&amp;"")="","",IF(AND(ISNUMBER(FIND(" ",TRIM(I30&amp;""))),ISNUMBER(MATCH(LEFT(TRIM(I30&amp;""),FIND(" ",TRIM(I30&amp;""))-1),코드표!$J$2:$J$101,0)),ISNUMBER(MATCH(TRIM(RIGHT(SUBSTITUTE(TRIM(I30&amp;"")," ",REPT(" ",60)),60)),코드표!$F$2:$F$101,0))),INDEX(코드표!$K$2:$K$101,MATCH(LEFT(TRIM(I30&amp;""),FIND(" ",TRIM(I30&amp;""))-1),코드표!$J$2:$J$101,0))&amp;" "&amp;INDEX(코드표!$G$2:$G$101,MATCH(TRIM(RIGHT(SUBSTITUTE(TRIM(I30&amp;"")," ",REPT(" ",60)),60)),코드표!$F$2:$F$101,0)),"⚠"&amp;TRIM(I30&amp;""))),"⚠"&amp;TRIM(I30&amp;""))</f>
        <v/>
      </c>
      <c r="R30" s="10">
        <f>IFERROR(IF(TRIM(J30&amp;"")="","",IF(AND(ISNUMBER(FIND(" ",TRIM(J30&amp;""))),ISNUMBER(MATCH(LEFT(TRIM(J30&amp;""),FIND(" ",TRIM(J30&amp;""))-1),코드표!$J$2:$J$101,0)),ISNUMBER(MATCH(TRIM(RIGHT(SUBSTITUTE(TRIM(J30&amp;"")," ",REPT(" ",60)),60)),코드표!$F$2:$F$101,0))),INDEX(코드표!$K$2:$K$101,MATCH(LEFT(TRIM(J30&amp;""),FIND(" ",TRIM(J30&amp;""))-1),코드표!$J$2:$J$101,0))&amp;" "&amp;INDEX(코드표!$G$2:$G$101,MATCH(TRIM(RIGHT(SUBSTITUTE(TRIM(J30&amp;"")," ",REPT(" ",60)),60)),코드표!$F$2:$F$101,0)),"⚠"&amp;TRIM(J30&amp;""))),"⚠"&amp;TRIM(J30&amp;""))</f>
        <v/>
      </c>
      <c r="S30" s="11">
        <f>IF(K30="","",IFERROR(IF(AND(ROUND((VALUE(K30&amp;"")-INT(VALUE(K30&amp;"")))*100,0)&gt;=1,ROUND((VALUE(K30&amp;"")-INT(VALUE(K30&amp;"")))*100,0)&lt;=12,INT(VALUE(K30&amp;""))&gt;=1900),DATE(INT(VALUE(K30&amp;"")),ROUND((VALUE(K30&amp;"")-INT(VALUE(K30&amp;"")))*100,0),1),K30&amp;""),K30&amp;""))</f>
        <v/>
      </c>
      <c r="T30" s="10">
        <f>COUNTIF(M30:R30,"⚠*")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M31" s="10">
        <f>IFERROR(IF(TRIM(E31&amp;"")="","",IF(AND(ISNUMBER(FIND(" ",TRIM(E31&amp;""))),ISNUMBER(MATCH(LEFT(TRIM(E31&amp;""),FIND(" ",TRIM(E31&amp;""))-1),코드표!$J$2:$J$101,0)),ISNUMBER(MATCH(TRIM(RIGHT(SUBSTITUTE(TRIM(E31&amp;"")," ",REPT(" ",60)),60)),코드표!$F$2:$F$101,0))),INDEX(코드표!$K$2:$K$101,MATCH(LEFT(TRIM(E31&amp;""),FIND(" ",TRIM(E31&amp;""))-1),코드표!$J$2:$J$101,0))&amp;" "&amp;INDEX(코드표!$G$2:$G$101,MATCH(TRIM(RIGHT(SUBSTITUTE(TRIM(E31&amp;"")," ",REPT(" ",60)),60)),코드표!$F$2:$F$101,0)),"⚠"&amp;TRIM(E31&amp;""))),"⚠"&amp;TRIM(E31&amp;""))</f>
        <v/>
      </c>
      <c r="N31" s="10">
        <f>IFERROR(IF(TRIM(F31&amp;"")="","",IF(AND(ISNUMBER(FIND(" ",TRIM(F31&amp;""))),ISNUMBER(MATCH(LEFT(TRIM(F31&amp;""),FIND(" ",TRIM(F31&amp;""))-1),코드표!$J$2:$J$101,0)),ISNUMBER(MATCH(TRIM(RIGHT(SUBSTITUTE(TRIM(F31&amp;"")," ",REPT(" ",60)),60)),코드표!$F$2:$F$101,0))),INDEX(코드표!$K$2:$K$101,MATCH(LEFT(TRIM(F31&amp;""),FIND(" ",TRIM(F31&amp;""))-1),코드표!$J$2:$J$101,0))&amp;" "&amp;INDEX(코드표!$G$2:$G$101,MATCH(TRIM(RIGHT(SUBSTITUTE(TRIM(F31&amp;"")," ",REPT(" ",60)),60)),코드표!$F$2:$F$101,0)),"⚠"&amp;TRIM(F31&amp;""))),"⚠"&amp;TRIM(F31&amp;""))</f>
        <v/>
      </c>
      <c r="O31" s="10">
        <f>IFERROR(IF(TRIM(G31&amp;"")="","",IF(AND(ISNUMBER(FIND(" ",TRIM(G31&amp;""))),ISNUMBER(MATCH(LEFT(TRIM(G31&amp;""),FIND(" ",TRIM(G31&amp;""))-1),코드표!$J$2:$J$101,0)),ISNUMBER(MATCH(TRIM(RIGHT(SUBSTITUTE(TRIM(G31&amp;"")," ",REPT(" ",60)),60)),코드표!$F$2:$F$101,0))),INDEX(코드표!$K$2:$K$101,MATCH(LEFT(TRIM(G31&amp;""),FIND(" ",TRIM(G31&amp;""))-1),코드표!$J$2:$J$101,0))&amp;" "&amp;INDEX(코드표!$G$2:$G$101,MATCH(TRIM(RIGHT(SUBSTITUTE(TRIM(G31&amp;"")," ",REPT(" ",60)),60)),코드표!$F$2:$F$101,0)),"⚠"&amp;TRIM(G31&amp;""))),"⚠"&amp;TRIM(G31&amp;""))</f>
        <v/>
      </c>
      <c r="P31" s="10">
        <f>IFERROR(IF(TRIM(H31&amp;"")="","",IF(AND(ISNUMBER(FIND(" ",TRIM(H31&amp;""))),ISNUMBER(MATCH(LEFT(TRIM(H31&amp;""),FIND(" ",TRIM(H31&amp;""))-1),코드표!$J$2:$J$101,0)),ISNUMBER(MATCH(TRIM(RIGHT(SUBSTITUTE(TRIM(H31&amp;"")," ",REPT(" ",60)),60)),코드표!$F$2:$F$101,0))),INDEX(코드표!$K$2:$K$101,MATCH(LEFT(TRIM(H31&amp;""),FIND(" ",TRIM(H31&amp;""))-1),코드표!$J$2:$J$101,0))&amp;" "&amp;INDEX(코드표!$G$2:$G$101,MATCH(TRIM(RIGHT(SUBSTITUTE(TRIM(H31&amp;"")," ",REPT(" ",60)),60)),코드표!$F$2:$F$101,0)),"⚠"&amp;TRIM(H31&amp;""))),"⚠"&amp;TRIM(H31&amp;""))</f>
        <v/>
      </c>
      <c r="Q31" s="10">
        <f>IFERROR(IF(TRIM(I31&amp;"")="","",IF(AND(ISNUMBER(FIND(" ",TRIM(I31&amp;""))),ISNUMBER(MATCH(LEFT(TRIM(I31&amp;""),FIND(" ",TRIM(I31&amp;""))-1),코드표!$J$2:$J$101,0)),ISNUMBER(MATCH(TRIM(RIGHT(SUBSTITUTE(TRIM(I31&amp;"")," ",REPT(" ",60)),60)),코드표!$F$2:$F$101,0))),INDEX(코드표!$K$2:$K$101,MATCH(LEFT(TRIM(I31&amp;""),FIND(" ",TRIM(I31&amp;""))-1),코드표!$J$2:$J$101,0))&amp;" "&amp;INDEX(코드표!$G$2:$G$101,MATCH(TRIM(RIGHT(SUBSTITUTE(TRIM(I31&amp;"")," ",REPT(" ",60)),60)),코드표!$F$2:$F$101,0)),"⚠"&amp;TRIM(I31&amp;""))),"⚠"&amp;TRIM(I31&amp;""))</f>
        <v/>
      </c>
      <c r="R31" s="10">
        <f>IFERROR(IF(TRIM(J31&amp;"")="","",IF(AND(ISNUMBER(FIND(" ",TRIM(J31&amp;""))),ISNUMBER(MATCH(LEFT(TRIM(J31&amp;""),FIND(" ",TRIM(J31&amp;""))-1),코드표!$J$2:$J$101,0)),ISNUMBER(MATCH(TRIM(RIGHT(SUBSTITUTE(TRIM(J31&amp;"")," ",REPT(" ",60)),60)),코드표!$F$2:$F$101,0))),INDEX(코드표!$K$2:$K$101,MATCH(LEFT(TRIM(J31&amp;""),FIND(" ",TRIM(J31&amp;""))-1),코드표!$J$2:$J$101,0))&amp;" "&amp;INDEX(코드표!$G$2:$G$101,MATCH(TRIM(RIGHT(SUBSTITUTE(TRIM(J31&amp;"")," ",REPT(" ",60)),60)),코드표!$F$2:$F$101,0)),"⚠"&amp;TRIM(J31&amp;""))),"⚠"&amp;TRIM(J31&amp;""))</f>
        <v/>
      </c>
      <c r="S31" s="11">
        <f>IF(K31="","",IFERROR(IF(AND(ROUND((VALUE(K31&amp;"")-INT(VALUE(K31&amp;"")))*100,0)&gt;=1,ROUND((VALUE(K31&amp;"")-INT(VALUE(K31&amp;"")))*100,0)&lt;=12,INT(VALUE(K31&amp;""))&gt;=1900),DATE(INT(VALUE(K31&amp;"")),ROUND((VALUE(K31&amp;"")-INT(VALUE(K31&amp;"")))*100,0),1),K31&amp;""),K31&amp;""))</f>
        <v/>
      </c>
      <c r="T31" s="10">
        <f>COUNTIF(M31:R31,"⚠*")</f>
        <v/>
      </c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M32" s="10">
        <f>IFERROR(IF(TRIM(E32&amp;"")="","",IF(AND(ISNUMBER(FIND(" ",TRIM(E32&amp;""))),ISNUMBER(MATCH(LEFT(TRIM(E32&amp;""),FIND(" ",TRIM(E32&amp;""))-1),코드표!$J$2:$J$101,0)),ISNUMBER(MATCH(TRIM(RIGHT(SUBSTITUTE(TRIM(E32&amp;"")," ",REPT(" ",60)),60)),코드표!$F$2:$F$101,0))),INDEX(코드표!$K$2:$K$101,MATCH(LEFT(TRIM(E32&amp;""),FIND(" ",TRIM(E32&amp;""))-1),코드표!$J$2:$J$101,0))&amp;" "&amp;INDEX(코드표!$G$2:$G$101,MATCH(TRIM(RIGHT(SUBSTITUTE(TRIM(E32&amp;"")," ",REPT(" ",60)),60)),코드표!$F$2:$F$101,0)),"⚠"&amp;TRIM(E32&amp;""))),"⚠"&amp;TRIM(E32&amp;""))</f>
        <v/>
      </c>
      <c r="N32" s="10">
        <f>IFERROR(IF(TRIM(F32&amp;"")="","",IF(AND(ISNUMBER(FIND(" ",TRIM(F32&amp;""))),ISNUMBER(MATCH(LEFT(TRIM(F32&amp;""),FIND(" ",TRIM(F32&amp;""))-1),코드표!$J$2:$J$101,0)),ISNUMBER(MATCH(TRIM(RIGHT(SUBSTITUTE(TRIM(F32&amp;"")," ",REPT(" ",60)),60)),코드표!$F$2:$F$101,0))),INDEX(코드표!$K$2:$K$101,MATCH(LEFT(TRIM(F32&amp;""),FIND(" ",TRIM(F32&amp;""))-1),코드표!$J$2:$J$101,0))&amp;" "&amp;INDEX(코드표!$G$2:$G$101,MATCH(TRIM(RIGHT(SUBSTITUTE(TRIM(F32&amp;"")," ",REPT(" ",60)),60)),코드표!$F$2:$F$101,0)),"⚠"&amp;TRIM(F32&amp;""))),"⚠"&amp;TRIM(F32&amp;""))</f>
        <v/>
      </c>
      <c r="O32" s="10">
        <f>IFERROR(IF(TRIM(G32&amp;"")="","",IF(AND(ISNUMBER(FIND(" ",TRIM(G32&amp;""))),ISNUMBER(MATCH(LEFT(TRIM(G32&amp;""),FIND(" ",TRIM(G32&amp;""))-1),코드표!$J$2:$J$101,0)),ISNUMBER(MATCH(TRIM(RIGHT(SUBSTITUTE(TRIM(G32&amp;"")," ",REPT(" ",60)),60)),코드표!$F$2:$F$101,0))),INDEX(코드표!$K$2:$K$101,MATCH(LEFT(TRIM(G32&amp;""),FIND(" ",TRIM(G32&amp;""))-1),코드표!$J$2:$J$101,0))&amp;" "&amp;INDEX(코드표!$G$2:$G$101,MATCH(TRIM(RIGHT(SUBSTITUTE(TRIM(G32&amp;"")," ",REPT(" ",60)),60)),코드표!$F$2:$F$101,0)),"⚠"&amp;TRIM(G32&amp;""))),"⚠"&amp;TRIM(G32&amp;""))</f>
        <v/>
      </c>
      <c r="P32" s="10">
        <f>IFERROR(IF(TRIM(H32&amp;"")="","",IF(AND(ISNUMBER(FIND(" ",TRIM(H32&amp;""))),ISNUMBER(MATCH(LEFT(TRIM(H32&amp;""),FIND(" ",TRIM(H32&amp;""))-1),코드표!$J$2:$J$101,0)),ISNUMBER(MATCH(TRIM(RIGHT(SUBSTITUTE(TRIM(H32&amp;"")," ",REPT(" ",60)),60)),코드표!$F$2:$F$101,0))),INDEX(코드표!$K$2:$K$101,MATCH(LEFT(TRIM(H32&amp;""),FIND(" ",TRIM(H32&amp;""))-1),코드표!$J$2:$J$101,0))&amp;" "&amp;INDEX(코드표!$G$2:$G$101,MATCH(TRIM(RIGHT(SUBSTITUTE(TRIM(H32&amp;"")," ",REPT(" ",60)),60)),코드표!$F$2:$F$101,0)),"⚠"&amp;TRIM(H32&amp;""))),"⚠"&amp;TRIM(H32&amp;""))</f>
        <v/>
      </c>
      <c r="Q32" s="10">
        <f>IFERROR(IF(TRIM(I32&amp;"")="","",IF(AND(ISNUMBER(FIND(" ",TRIM(I32&amp;""))),ISNUMBER(MATCH(LEFT(TRIM(I32&amp;""),FIND(" ",TRIM(I32&amp;""))-1),코드표!$J$2:$J$101,0)),ISNUMBER(MATCH(TRIM(RIGHT(SUBSTITUTE(TRIM(I32&amp;"")," ",REPT(" ",60)),60)),코드표!$F$2:$F$101,0))),INDEX(코드표!$K$2:$K$101,MATCH(LEFT(TRIM(I32&amp;""),FIND(" ",TRIM(I32&amp;""))-1),코드표!$J$2:$J$101,0))&amp;" "&amp;INDEX(코드표!$G$2:$G$101,MATCH(TRIM(RIGHT(SUBSTITUTE(TRIM(I32&amp;"")," ",REPT(" ",60)),60)),코드표!$F$2:$F$101,0)),"⚠"&amp;TRIM(I32&amp;""))),"⚠"&amp;TRIM(I32&amp;""))</f>
        <v/>
      </c>
      <c r="R32" s="10">
        <f>IFERROR(IF(TRIM(J32&amp;"")="","",IF(AND(ISNUMBER(FIND(" ",TRIM(J32&amp;""))),ISNUMBER(MATCH(LEFT(TRIM(J32&amp;""),FIND(" ",TRIM(J32&amp;""))-1),코드표!$J$2:$J$101,0)),ISNUMBER(MATCH(TRIM(RIGHT(SUBSTITUTE(TRIM(J32&amp;"")," ",REPT(" ",60)),60)),코드표!$F$2:$F$101,0))),INDEX(코드표!$K$2:$K$101,MATCH(LEFT(TRIM(J32&amp;""),FIND(" ",TRIM(J32&amp;""))-1),코드표!$J$2:$J$101,0))&amp;" "&amp;INDEX(코드표!$G$2:$G$101,MATCH(TRIM(RIGHT(SUBSTITUTE(TRIM(J32&amp;"")," ",REPT(" ",60)),60)),코드표!$F$2:$F$101,0)),"⚠"&amp;TRIM(J32&amp;""))),"⚠"&amp;TRIM(J32&amp;""))</f>
        <v/>
      </c>
      <c r="S32" s="11">
        <f>IF(K32="","",IFERROR(IF(AND(ROUND((VALUE(K32&amp;"")-INT(VALUE(K32&amp;"")))*100,0)&gt;=1,ROUND((VALUE(K32&amp;"")-INT(VALUE(K32&amp;"")))*100,0)&lt;=12,INT(VALUE(K32&amp;""))&gt;=1900),DATE(INT(VALUE(K32&amp;"")),ROUND((VALUE(K32&amp;"")-INT(VALUE(K32&amp;"")))*100,0),1),K32&amp;""),K32&amp;""))</f>
        <v/>
      </c>
      <c r="T32" s="10">
        <f>COUNTIF(M32:R32,"⚠*")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M33" s="10">
        <f>IFERROR(IF(TRIM(E33&amp;"")="","",IF(AND(ISNUMBER(FIND(" ",TRIM(E33&amp;""))),ISNUMBER(MATCH(LEFT(TRIM(E33&amp;""),FIND(" ",TRIM(E33&amp;""))-1),코드표!$J$2:$J$101,0)),ISNUMBER(MATCH(TRIM(RIGHT(SUBSTITUTE(TRIM(E33&amp;"")," ",REPT(" ",60)),60)),코드표!$F$2:$F$101,0))),INDEX(코드표!$K$2:$K$101,MATCH(LEFT(TRIM(E33&amp;""),FIND(" ",TRIM(E33&amp;""))-1),코드표!$J$2:$J$101,0))&amp;" "&amp;INDEX(코드표!$G$2:$G$101,MATCH(TRIM(RIGHT(SUBSTITUTE(TRIM(E33&amp;"")," ",REPT(" ",60)),60)),코드표!$F$2:$F$101,0)),"⚠"&amp;TRIM(E33&amp;""))),"⚠"&amp;TRIM(E33&amp;""))</f>
        <v/>
      </c>
      <c r="N33" s="10">
        <f>IFERROR(IF(TRIM(F33&amp;"")="","",IF(AND(ISNUMBER(FIND(" ",TRIM(F33&amp;""))),ISNUMBER(MATCH(LEFT(TRIM(F33&amp;""),FIND(" ",TRIM(F33&amp;""))-1),코드표!$J$2:$J$101,0)),ISNUMBER(MATCH(TRIM(RIGHT(SUBSTITUTE(TRIM(F33&amp;"")," ",REPT(" ",60)),60)),코드표!$F$2:$F$101,0))),INDEX(코드표!$K$2:$K$101,MATCH(LEFT(TRIM(F33&amp;""),FIND(" ",TRIM(F33&amp;""))-1),코드표!$J$2:$J$101,0))&amp;" "&amp;INDEX(코드표!$G$2:$G$101,MATCH(TRIM(RIGHT(SUBSTITUTE(TRIM(F33&amp;"")," ",REPT(" ",60)),60)),코드표!$F$2:$F$101,0)),"⚠"&amp;TRIM(F33&amp;""))),"⚠"&amp;TRIM(F33&amp;""))</f>
        <v/>
      </c>
      <c r="O33" s="10">
        <f>IFERROR(IF(TRIM(G33&amp;"")="","",IF(AND(ISNUMBER(FIND(" ",TRIM(G33&amp;""))),ISNUMBER(MATCH(LEFT(TRIM(G33&amp;""),FIND(" ",TRIM(G33&amp;""))-1),코드표!$J$2:$J$101,0)),ISNUMBER(MATCH(TRIM(RIGHT(SUBSTITUTE(TRIM(G33&amp;"")," ",REPT(" ",60)),60)),코드표!$F$2:$F$101,0))),INDEX(코드표!$K$2:$K$101,MATCH(LEFT(TRIM(G33&amp;""),FIND(" ",TRIM(G33&amp;""))-1),코드표!$J$2:$J$101,0))&amp;" "&amp;INDEX(코드표!$G$2:$G$101,MATCH(TRIM(RIGHT(SUBSTITUTE(TRIM(G33&amp;"")," ",REPT(" ",60)),60)),코드표!$F$2:$F$101,0)),"⚠"&amp;TRIM(G33&amp;""))),"⚠"&amp;TRIM(G33&amp;""))</f>
        <v/>
      </c>
      <c r="P33" s="10">
        <f>IFERROR(IF(TRIM(H33&amp;"")="","",IF(AND(ISNUMBER(FIND(" ",TRIM(H33&amp;""))),ISNUMBER(MATCH(LEFT(TRIM(H33&amp;""),FIND(" ",TRIM(H33&amp;""))-1),코드표!$J$2:$J$101,0)),ISNUMBER(MATCH(TRIM(RIGHT(SUBSTITUTE(TRIM(H33&amp;"")," ",REPT(" ",60)),60)),코드표!$F$2:$F$101,0))),INDEX(코드표!$K$2:$K$101,MATCH(LEFT(TRIM(H33&amp;""),FIND(" ",TRIM(H33&amp;""))-1),코드표!$J$2:$J$101,0))&amp;" "&amp;INDEX(코드표!$G$2:$G$101,MATCH(TRIM(RIGHT(SUBSTITUTE(TRIM(H33&amp;"")," ",REPT(" ",60)),60)),코드표!$F$2:$F$101,0)),"⚠"&amp;TRIM(H33&amp;""))),"⚠"&amp;TRIM(H33&amp;""))</f>
        <v/>
      </c>
      <c r="Q33" s="10">
        <f>IFERROR(IF(TRIM(I33&amp;"")="","",IF(AND(ISNUMBER(FIND(" ",TRIM(I33&amp;""))),ISNUMBER(MATCH(LEFT(TRIM(I33&amp;""),FIND(" ",TRIM(I33&amp;""))-1),코드표!$J$2:$J$101,0)),ISNUMBER(MATCH(TRIM(RIGHT(SUBSTITUTE(TRIM(I33&amp;"")," ",REPT(" ",60)),60)),코드표!$F$2:$F$101,0))),INDEX(코드표!$K$2:$K$101,MATCH(LEFT(TRIM(I33&amp;""),FIND(" ",TRIM(I33&amp;""))-1),코드표!$J$2:$J$101,0))&amp;" "&amp;INDEX(코드표!$G$2:$G$101,MATCH(TRIM(RIGHT(SUBSTITUTE(TRIM(I33&amp;"")," ",REPT(" ",60)),60)),코드표!$F$2:$F$101,0)),"⚠"&amp;TRIM(I33&amp;""))),"⚠"&amp;TRIM(I33&amp;""))</f>
        <v/>
      </c>
      <c r="R33" s="10">
        <f>IFERROR(IF(TRIM(J33&amp;"")="","",IF(AND(ISNUMBER(FIND(" ",TRIM(J33&amp;""))),ISNUMBER(MATCH(LEFT(TRIM(J33&amp;""),FIND(" ",TRIM(J33&amp;""))-1),코드표!$J$2:$J$101,0)),ISNUMBER(MATCH(TRIM(RIGHT(SUBSTITUTE(TRIM(J33&amp;"")," ",REPT(" ",60)),60)),코드표!$F$2:$F$101,0))),INDEX(코드표!$K$2:$K$101,MATCH(LEFT(TRIM(J33&amp;""),FIND(" ",TRIM(J33&amp;""))-1),코드표!$J$2:$J$101,0))&amp;" "&amp;INDEX(코드표!$G$2:$G$101,MATCH(TRIM(RIGHT(SUBSTITUTE(TRIM(J33&amp;"")," ",REPT(" ",60)),60)),코드표!$F$2:$F$101,0)),"⚠"&amp;TRIM(J33&amp;""))),"⚠"&amp;TRIM(J33&amp;""))</f>
        <v/>
      </c>
      <c r="S33" s="11">
        <f>IF(K33="","",IFERROR(IF(AND(ROUND((VALUE(K33&amp;"")-INT(VALUE(K33&amp;"")))*100,0)&gt;=1,ROUND((VALUE(K33&amp;"")-INT(VALUE(K33&amp;"")))*100,0)&lt;=12,INT(VALUE(K33&amp;""))&gt;=1900),DATE(INT(VALUE(K33&amp;"")),ROUND((VALUE(K33&amp;"")-INT(VALUE(K33&amp;"")))*100,0),1),K33&amp;""),K33&amp;""))</f>
        <v/>
      </c>
      <c r="T33" s="10">
        <f>COUNTIF(M33:R33,"⚠*")</f>
        <v/>
      </c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M34" s="10">
        <f>IFERROR(IF(TRIM(E34&amp;"")="","",IF(AND(ISNUMBER(FIND(" ",TRIM(E34&amp;""))),ISNUMBER(MATCH(LEFT(TRIM(E34&amp;""),FIND(" ",TRIM(E34&amp;""))-1),코드표!$J$2:$J$101,0)),ISNUMBER(MATCH(TRIM(RIGHT(SUBSTITUTE(TRIM(E34&amp;"")," ",REPT(" ",60)),60)),코드표!$F$2:$F$101,0))),INDEX(코드표!$K$2:$K$101,MATCH(LEFT(TRIM(E34&amp;""),FIND(" ",TRIM(E34&amp;""))-1),코드표!$J$2:$J$101,0))&amp;" "&amp;INDEX(코드표!$G$2:$G$101,MATCH(TRIM(RIGHT(SUBSTITUTE(TRIM(E34&amp;"")," ",REPT(" ",60)),60)),코드표!$F$2:$F$101,0)),"⚠"&amp;TRIM(E34&amp;""))),"⚠"&amp;TRIM(E34&amp;""))</f>
        <v/>
      </c>
      <c r="N34" s="10">
        <f>IFERROR(IF(TRIM(F34&amp;"")="","",IF(AND(ISNUMBER(FIND(" ",TRIM(F34&amp;""))),ISNUMBER(MATCH(LEFT(TRIM(F34&amp;""),FIND(" ",TRIM(F34&amp;""))-1),코드표!$J$2:$J$101,0)),ISNUMBER(MATCH(TRIM(RIGHT(SUBSTITUTE(TRIM(F34&amp;"")," ",REPT(" ",60)),60)),코드표!$F$2:$F$101,0))),INDEX(코드표!$K$2:$K$101,MATCH(LEFT(TRIM(F34&amp;""),FIND(" ",TRIM(F34&amp;""))-1),코드표!$J$2:$J$101,0))&amp;" "&amp;INDEX(코드표!$G$2:$G$101,MATCH(TRIM(RIGHT(SUBSTITUTE(TRIM(F34&amp;"")," ",REPT(" ",60)),60)),코드표!$F$2:$F$101,0)),"⚠"&amp;TRIM(F34&amp;""))),"⚠"&amp;TRIM(F34&amp;""))</f>
        <v/>
      </c>
      <c r="O34" s="10">
        <f>IFERROR(IF(TRIM(G34&amp;"")="","",IF(AND(ISNUMBER(FIND(" ",TRIM(G34&amp;""))),ISNUMBER(MATCH(LEFT(TRIM(G34&amp;""),FIND(" ",TRIM(G34&amp;""))-1),코드표!$J$2:$J$101,0)),ISNUMBER(MATCH(TRIM(RIGHT(SUBSTITUTE(TRIM(G34&amp;"")," ",REPT(" ",60)),60)),코드표!$F$2:$F$101,0))),INDEX(코드표!$K$2:$K$101,MATCH(LEFT(TRIM(G34&amp;""),FIND(" ",TRIM(G34&amp;""))-1),코드표!$J$2:$J$101,0))&amp;" "&amp;INDEX(코드표!$G$2:$G$101,MATCH(TRIM(RIGHT(SUBSTITUTE(TRIM(G34&amp;"")," ",REPT(" ",60)),60)),코드표!$F$2:$F$101,0)),"⚠"&amp;TRIM(G34&amp;""))),"⚠"&amp;TRIM(G34&amp;""))</f>
        <v/>
      </c>
      <c r="P34" s="10">
        <f>IFERROR(IF(TRIM(H34&amp;"")="","",IF(AND(ISNUMBER(FIND(" ",TRIM(H34&amp;""))),ISNUMBER(MATCH(LEFT(TRIM(H34&amp;""),FIND(" ",TRIM(H34&amp;""))-1),코드표!$J$2:$J$101,0)),ISNUMBER(MATCH(TRIM(RIGHT(SUBSTITUTE(TRIM(H34&amp;"")," ",REPT(" ",60)),60)),코드표!$F$2:$F$101,0))),INDEX(코드표!$K$2:$K$101,MATCH(LEFT(TRIM(H34&amp;""),FIND(" ",TRIM(H34&amp;""))-1),코드표!$J$2:$J$101,0))&amp;" "&amp;INDEX(코드표!$G$2:$G$101,MATCH(TRIM(RIGHT(SUBSTITUTE(TRIM(H34&amp;"")," ",REPT(" ",60)),60)),코드표!$F$2:$F$101,0)),"⚠"&amp;TRIM(H34&amp;""))),"⚠"&amp;TRIM(H34&amp;""))</f>
        <v/>
      </c>
      <c r="Q34" s="10">
        <f>IFERROR(IF(TRIM(I34&amp;"")="","",IF(AND(ISNUMBER(FIND(" ",TRIM(I34&amp;""))),ISNUMBER(MATCH(LEFT(TRIM(I34&amp;""),FIND(" ",TRIM(I34&amp;""))-1),코드표!$J$2:$J$101,0)),ISNUMBER(MATCH(TRIM(RIGHT(SUBSTITUTE(TRIM(I34&amp;"")," ",REPT(" ",60)),60)),코드표!$F$2:$F$101,0))),INDEX(코드표!$K$2:$K$101,MATCH(LEFT(TRIM(I34&amp;""),FIND(" ",TRIM(I34&amp;""))-1),코드표!$J$2:$J$101,0))&amp;" "&amp;INDEX(코드표!$G$2:$G$101,MATCH(TRIM(RIGHT(SUBSTITUTE(TRIM(I34&amp;"")," ",REPT(" ",60)),60)),코드표!$F$2:$F$101,0)),"⚠"&amp;TRIM(I34&amp;""))),"⚠"&amp;TRIM(I34&amp;""))</f>
        <v/>
      </c>
      <c r="R34" s="10">
        <f>IFERROR(IF(TRIM(J34&amp;"")="","",IF(AND(ISNUMBER(FIND(" ",TRIM(J34&amp;""))),ISNUMBER(MATCH(LEFT(TRIM(J34&amp;""),FIND(" ",TRIM(J34&amp;""))-1),코드표!$J$2:$J$101,0)),ISNUMBER(MATCH(TRIM(RIGHT(SUBSTITUTE(TRIM(J34&amp;"")," ",REPT(" ",60)),60)),코드표!$F$2:$F$101,0))),INDEX(코드표!$K$2:$K$101,MATCH(LEFT(TRIM(J34&amp;""),FIND(" ",TRIM(J34&amp;""))-1),코드표!$J$2:$J$101,0))&amp;" "&amp;INDEX(코드표!$G$2:$G$101,MATCH(TRIM(RIGHT(SUBSTITUTE(TRIM(J34&amp;"")," ",REPT(" ",60)),60)),코드표!$F$2:$F$101,0)),"⚠"&amp;TRIM(J34&amp;""))),"⚠"&amp;TRIM(J34&amp;""))</f>
        <v/>
      </c>
      <c r="S34" s="11">
        <f>IF(K34="","",IFERROR(IF(AND(ROUND((VALUE(K34&amp;"")-INT(VALUE(K34&amp;"")))*100,0)&gt;=1,ROUND((VALUE(K34&amp;"")-INT(VALUE(K34&amp;"")))*100,0)&lt;=12,INT(VALUE(K34&amp;""))&gt;=1900),DATE(INT(VALUE(K34&amp;"")),ROUND((VALUE(K34&amp;"")-INT(VALUE(K34&amp;"")))*100,0),1),K34&amp;""),K34&amp;""))</f>
        <v/>
      </c>
      <c r="T34" s="10">
        <f>COUNTIF(M34:R34,"⚠*")</f>
        <v/>
      </c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M35" s="10">
        <f>IFERROR(IF(TRIM(E35&amp;"")="","",IF(AND(ISNUMBER(FIND(" ",TRIM(E35&amp;""))),ISNUMBER(MATCH(LEFT(TRIM(E35&amp;""),FIND(" ",TRIM(E35&amp;""))-1),코드표!$J$2:$J$101,0)),ISNUMBER(MATCH(TRIM(RIGHT(SUBSTITUTE(TRIM(E35&amp;"")," ",REPT(" ",60)),60)),코드표!$F$2:$F$101,0))),INDEX(코드표!$K$2:$K$101,MATCH(LEFT(TRIM(E35&amp;""),FIND(" ",TRIM(E35&amp;""))-1),코드표!$J$2:$J$101,0))&amp;" "&amp;INDEX(코드표!$G$2:$G$101,MATCH(TRIM(RIGHT(SUBSTITUTE(TRIM(E35&amp;"")," ",REPT(" ",60)),60)),코드표!$F$2:$F$101,0)),"⚠"&amp;TRIM(E35&amp;""))),"⚠"&amp;TRIM(E35&amp;""))</f>
        <v/>
      </c>
      <c r="N35" s="10">
        <f>IFERROR(IF(TRIM(F35&amp;"")="","",IF(AND(ISNUMBER(FIND(" ",TRIM(F35&amp;""))),ISNUMBER(MATCH(LEFT(TRIM(F35&amp;""),FIND(" ",TRIM(F35&amp;""))-1),코드표!$J$2:$J$101,0)),ISNUMBER(MATCH(TRIM(RIGHT(SUBSTITUTE(TRIM(F35&amp;"")," ",REPT(" ",60)),60)),코드표!$F$2:$F$101,0))),INDEX(코드표!$K$2:$K$101,MATCH(LEFT(TRIM(F35&amp;""),FIND(" ",TRIM(F35&amp;""))-1),코드표!$J$2:$J$101,0))&amp;" "&amp;INDEX(코드표!$G$2:$G$101,MATCH(TRIM(RIGHT(SUBSTITUTE(TRIM(F35&amp;"")," ",REPT(" ",60)),60)),코드표!$F$2:$F$101,0)),"⚠"&amp;TRIM(F35&amp;""))),"⚠"&amp;TRIM(F35&amp;""))</f>
        <v/>
      </c>
      <c r="O35" s="10">
        <f>IFERROR(IF(TRIM(G35&amp;"")="","",IF(AND(ISNUMBER(FIND(" ",TRIM(G35&amp;""))),ISNUMBER(MATCH(LEFT(TRIM(G35&amp;""),FIND(" ",TRIM(G35&amp;""))-1),코드표!$J$2:$J$101,0)),ISNUMBER(MATCH(TRIM(RIGHT(SUBSTITUTE(TRIM(G35&amp;"")," ",REPT(" ",60)),60)),코드표!$F$2:$F$101,0))),INDEX(코드표!$K$2:$K$101,MATCH(LEFT(TRIM(G35&amp;""),FIND(" ",TRIM(G35&amp;""))-1),코드표!$J$2:$J$101,0))&amp;" "&amp;INDEX(코드표!$G$2:$G$101,MATCH(TRIM(RIGHT(SUBSTITUTE(TRIM(G35&amp;"")," ",REPT(" ",60)),60)),코드표!$F$2:$F$101,0)),"⚠"&amp;TRIM(G35&amp;""))),"⚠"&amp;TRIM(G35&amp;""))</f>
        <v/>
      </c>
      <c r="P35" s="10">
        <f>IFERROR(IF(TRIM(H35&amp;"")="","",IF(AND(ISNUMBER(FIND(" ",TRIM(H35&amp;""))),ISNUMBER(MATCH(LEFT(TRIM(H35&amp;""),FIND(" ",TRIM(H35&amp;""))-1),코드표!$J$2:$J$101,0)),ISNUMBER(MATCH(TRIM(RIGHT(SUBSTITUTE(TRIM(H35&amp;"")," ",REPT(" ",60)),60)),코드표!$F$2:$F$101,0))),INDEX(코드표!$K$2:$K$101,MATCH(LEFT(TRIM(H35&amp;""),FIND(" ",TRIM(H35&amp;""))-1),코드표!$J$2:$J$101,0))&amp;" "&amp;INDEX(코드표!$G$2:$G$101,MATCH(TRIM(RIGHT(SUBSTITUTE(TRIM(H35&amp;"")," ",REPT(" ",60)),60)),코드표!$F$2:$F$101,0)),"⚠"&amp;TRIM(H35&amp;""))),"⚠"&amp;TRIM(H35&amp;""))</f>
        <v/>
      </c>
      <c r="Q35" s="10">
        <f>IFERROR(IF(TRIM(I35&amp;"")="","",IF(AND(ISNUMBER(FIND(" ",TRIM(I35&amp;""))),ISNUMBER(MATCH(LEFT(TRIM(I35&amp;""),FIND(" ",TRIM(I35&amp;""))-1),코드표!$J$2:$J$101,0)),ISNUMBER(MATCH(TRIM(RIGHT(SUBSTITUTE(TRIM(I35&amp;"")," ",REPT(" ",60)),60)),코드표!$F$2:$F$101,0))),INDEX(코드표!$K$2:$K$101,MATCH(LEFT(TRIM(I35&amp;""),FIND(" ",TRIM(I35&amp;""))-1),코드표!$J$2:$J$101,0))&amp;" "&amp;INDEX(코드표!$G$2:$G$101,MATCH(TRIM(RIGHT(SUBSTITUTE(TRIM(I35&amp;"")," ",REPT(" ",60)),60)),코드표!$F$2:$F$101,0)),"⚠"&amp;TRIM(I35&amp;""))),"⚠"&amp;TRIM(I35&amp;""))</f>
        <v/>
      </c>
      <c r="R35" s="10">
        <f>IFERROR(IF(TRIM(J35&amp;"")="","",IF(AND(ISNUMBER(FIND(" ",TRIM(J35&amp;""))),ISNUMBER(MATCH(LEFT(TRIM(J35&amp;""),FIND(" ",TRIM(J35&amp;""))-1),코드표!$J$2:$J$101,0)),ISNUMBER(MATCH(TRIM(RIGHT(SUBSTITUTE(TRIM(J35&amp;"")," ",REPT(" ",60)),60)),코드표!$F$2:$F$101,0))),INDEX(코드표!$K$2:$K$101,MATCH(LEFT(TRIM(J35&amp;""),FIND(" ",TRIM(J35&amp;""))-1),코드표!$J$2:$J$101,0))&amp;" "&amp;INDEX(코드표!$G$2:$G$101,MATCH(TRIM(RIGHT(SUBSTITUTE(TRIM(J35&amp;"")," ",REPT(" ",60)),60)),코드표!$F$2:$F$101,0)),"⚠"&amp;TRIM(J35&amp;""))),"⚠"&amp;TRIM(J35&amp;""))</f>
        <v/>
      </c>
      <c r="S35" s="11">
        <f>IF(K35="","",IFERROR(IF(AND(ROUND((VALUE(K35&amp;"")-INT(VALUE(K35&amp;"")))*100,0)&gt;=1,ROUND((VALUE(K35&amp;"")-INT(VALUE(K35&amp;"")))*100,0)&lt;=12,INT(VALUE(K35&amp;""))&gt;=1900),DATE(INT(VALUE(K35&amp;"")),ROUND((VALUE(K35&amp;"")-INT(VALUE(K35&amp;"")))*100,0),1),K35&amp;""),K35&amp;""))</f>
        <v/>
      </c>
      <c r="T35" s="10">
        <f>COUNTIF(M35:R35,"⚠*")</f>
        <v/>
      </c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M36" s="10">
        <f>IFERROR(IF(TRIM(E36&amp;"")="","",IF(AND(ISNUMBER(FIND(" ",TRIM(E36&amp;""))),ISNUMBER(MATCH(LEFT(TRIM(E36&amp;""),FIND(" ",TRIM(E36&amp;""))-1),코드표!$J$2:$J$101,0)),ISNUMBER(MATCH(TRIM(RIGHT(SUBSTITUTE(TRIM(E36&amp;"")," ",REPT(" ",60)),60)),코드표!$F$2:$F$101,0))),INDEX(코드표!$K$2:$K$101,MATCH(LEFT(TRIM(E36&amp;""),FIND(" ",TRIM(E36&amp;""))-1),코드표!$J$2:$J$101,0))&amp;" "&amp;INDEX(코드표!$G$2:$G$101,MATCH(TRIM(RIGHT(SUBSTITUTE(TRIM(E36&amp;"")," ",REPT(" ",60)),60)),코드표!$F$2:$F$101,0)),"⚠"&amp;TRIM(E36&amp;""))),"⚠"&amp;TRIM(E36&amp;""))</f>
        <v/>
      </c>
      <c r="N36" s="10">
        <f>IFERROR(IF(TRIM(F36&amp;"")="","",IF(AND(ISNUMBER(FIND(" ",TRIM(F36&amp;""))),ISNUMBER(MATCH(LEFT(TRIM(F36&amp;""),FIND(" ",TRIM(F36&amp;""))-1),코드표!$J$2:$J$101,0)),ISNUMBER(MATCH(TRIM(RIGHT(SUBSTITUTE(TRIM(F36&amp;"")," ",REPT(" ",60)),60)),코드표!$F$2:$F$101,0))),INDEX(코드표!$K$2:$K$101,MATCH(LEFT(TRIM(F36&amp;""),FIND(" ",TRIM(F36&amp;""))-1),코드표!$J$2:$J$101,0))&amp;" "&amp;INDEX(코드표!$G$2:$G$101,MATCH(TRIM(RIGHT(SUBSTITUTE(TRIM(F36&amp;"")," ",REPT(" ",60)),60)),코드표!$F$2:$F$101,0)),"⚠"&amp;TRIM(F36&amp;""))),"⚠"&amp;TRIM(F36&amp;""))</f>
        <v/>
      </c>
      <c r="O36" s="10">
        <f>IFERROR(IF(TRIM(G36&amp;"")="","",IF(AND(ISNUMBER(FIND(" ",TRIM(G36&amp;""))),ISNUMBER(MATCH(LEFT(TRIM(G36&amp;""),FIND(" ",TRIM(G36&amp;""))-1),코드표!$J$2:$J$101,0)),ISNUMBER(MATCH(TRIM(RIGHT(SUBSTITUTE(TRIM(G36&amp;"")," ",REPT(" ",60)),60)),코드표!$F$2:$F$101,0))),INDEX(코드표!$K$2:$K$101,MATCH(LEFT(TRIM(G36&amp;""),FIND(" ",TRIM(G36&amp;""))-1),코드표!$J$2:$J$101,0))&amp;" "&amp;INDEX(코드표!$G$2:$G$101,MATCH(TRIM(RIGHT(SUBSTITUTE(TRIM(G36&amp;"")," ",REPT(" ",60)),60)),코드표!$F$2:$F$101,0)),"⚠"&amp;TRIM(G36&amp;""))),"⚠"&amp;TRIM(G36&amp;""))</f>
        <v/>
      </c>
      <c r="P36" s="10">
        <f>IFERROR(IF(TRIM(H36&amp;"")="","",IF(AND(ISNUMBER(FIND(" ",TRIM(H36&amp;""))),ISNUMBER(MATCH(LEFT(TRIM(H36&amp;""),FIND(" ",TRIM(H36&amp;""))-1),코드표!$J$2:$J$101,0)),ISNUMBER(MATCH(TRIM(RIGHT(SUBSTITUTE(TRIM(H36&amp;"")," ",REPT(" ",60)),60)),코드표!$F$2:$F$101,0))),INDEX(코드표!$K$2:$K$101,MATCH(LEFT(TRIM(H36&amp;""),FIND(" ",TRIM(H36&amp;""))-1),코드표!$J$2:$J$101,0))&amp;" "&amp;INDEX(코드표!$G$2:$G$101,MATCH(TRIM(RIGHT(SUBSTITUTE(TRIM(H36&amp;"")," ",REPT(" ",60)),60)),코드표!$F$2:$F$101,0)),"⚠"&amp;TRIM(H36&amp;""))),"⚠"&amp;TRIM(H36&amp;""))</f>
        <v/>
      </c>
      <c r="Q36" s="10">
        <f>IFERROR(IF(TRIM(I36&amp;"")="","",IF(AND(ISNUMBER(FIND(" ",TRIM(I36&amp;""))),ISNUMBER(MATCH(LEFT(TRIM(I36&amp;""),FIND(" ",TRIM(I36&amp;""))-1),코드표!$J$2:$J$101,0)),ISNUMBER(MATCH(TRIM(RIGHT(SUBSTITUTE(TRIM(I36&amp;"")," ",REPT(" ",60)),60)),코드표!$F$2:$F$101,0))),INDEX(코드표!$K$2:$K$101,MATCH(LEFT(TRIM(I36&amp;""),FIND(" ",TRIM(I36&amp;""))-1),코드표!$J$2:$J$101,0))&amp;" "&amp;INDEX(코드표!$G$2:$G$101,MATCH(TRIM(RIGHT(SUBSTITUTE(TRIM(I36&amp;"")," ",REPT(" ",60)),60)),코드표!$F$2:$F$101,0)),"⚠"&amp;TRIM(I36&amp;""))),"⚠"&amp;TRIM(I36&amp;""))</f>
        <v/>
      </c>
      <c r="R36" s="10">
        <f>IFERROR(IF(TRIM(J36&amp;"")="","",IF(AND(ISNUMBER(FIND(" ",TRIM(J36&amp;""))),ISNUMBER(MATCH(LEFT(TRIM(J36&amp;""),FIND(" ",TRIM(J36&amp;""))-1),코드표!$J$2:$J$101,0)),ISNUMBER(MATCH(TRIM(RIGHT(SUBSTITUTE(TRIM(J36&amp;"")," ",REPT(" ",60)),60)),코드표!$F$2:$F$101,0))),INDEX(코드표!$K$2:$K$101,MATCH(LEFT(TRIM(J36&amp;""),FIND(" ",TRIM(J36&amp;""))-1),코드표!$J$2:$J$101,0))&amp;" "&amp;INDEX(코드표!$G$2:$G$101,MATCH(TRIM(RIGHT(SUBSTITUTE(TRIM(J36&amp;"")," ",REPT(" ",60)),60)),코드표!$F$2:$F$101,0)),"⚠"&amp;TRIM(J36&amp;""))),"⚠"&amp;TRIM(J36&amp;""))</f>
        <v/>
      </c>
      <c r="S36" s="11">
        <f>IF(K36="","",IFERROR(IF(AND(ROUND((VALUE(K36&amp;"")-INT(VALUE(K36&amp;"")))*100,0)&gt;=1,ROUND((VALUE(K36&amp;"")-INT(VALUE(K36&amp;"")))*100,0)&lt;=12,INT(VALUE(K36&amp;""))&gt;=1900),DATE(INT(VALUE(K36&amp;"")),ROUND((VALUE(K36&amp;"")-INT(VALUE(K36&amp;"")))*100,0),1),K36&amp;""),K36&amp;""))</f>
        <v/>
      </c>
      <c r="T36" s="10">
        <f>COUNTIF(M36:R36,"⚠*")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M37" s="10">
        <f>IFERROR(IF(TRIM(E37&amp;"")="","",IF(AND(ISNUMBER(FIND(" ",TRIM(E37&amp;""))),ISNUMBER(MATCH(LEFT(TRIM(E37&amp;""),FIND(" ",TRIM(E37&amp;""))-1),코드표!$J$2:$J$101,0)),ISNUMBER(MATCH(TRIM(RIGHT(SUBSTITUTE(TRIM(E37&amp;"")," ",REPT(" ",60)),60)),코드표!$F$2:$F$101,0))),INDEX(코드표!$K$2:$K$101,MATCH(LEFT(TRIM(E37&amp;""),FIND(" ",TRIM(E37&amp;""))-1),코드표!$J$2:$J$101,0))&amp;" "&amp;INDEX(코드표!$G$2:$G$101,MATCH(TRIM(RIGHT(SUBSTITUTE(TRIM(E37&amp;"")," ",REPT(" ",60)),60)),코드표!$F$2:$F$101,0)),"⚠"&amp;TRIM(E37&amp;""))),"⚠"&amp;TRIM(E37&amp;""))</f>
        <v/>
      </c>
      <c r="N37" s="10">
        <f>IFERROR(IF(TRIM(F37&amp;"")="","",IF(AND(ISNUMBER(FIND(" ",TRIM(F37&amp;""))),ISNUMBER(MATCH(LEFT(TRIM(F37&amp;""),FIND(" ",TRIM(F37&amp;""))-1),코드표!$J$2:$J$101,0)),ISNUMBER(MATCH(TRIM(RIGHT(SUBSTITUTE(TRIM(F37&amp;"")," ",REPT(" ",60)),60)),코드표!$F$2:$F$101,0))),INDEX(코드표!$K$2:$K$101,MATCH(LEFT(TRIM(F37&amp;""),FIND(" ",TRIM(F37&amp;""))-1),코드표!$J$2:$J$101,0))&amp;" "&amp;INDEX(코드표!$G$2:$G$101,MATCH(TRIM(RIGHT(SUBSTITUTE(TRIM(F37&amp;"")," ",REPT(" ",60)),60)),코드표!$F$2:$F$101,0)),"⚠"&amp;TRIM(F37&amp;""))),"⚠"&amp;TRIM(F37&amp;""))</f>
        <v/>
      </c>
      <c r="O37" s="10">
        <f>IFERROR(IF(TRIM(G37&amp;"")="","",IF(AND(ISNUMBER(FIND(" ",TRIM(G37&amp;""))),ISNUMBER(MATCH(LEFT(TRIM(G37&amp;""),FIND(" ",TRIM(G37&amp;""))-1),코드표!$J$2:$J$101,0)),ISNUMBER(MATCH(TRIM(RIGHT(SUBSTITUTE(TRIM(G37&amp;"")," ",REPT(" ",60)),60)),코드표!$F$2:$F$101,0))),INDEX(코드표!$K$2:$K$101,MATCH(LEFT(TRIM(G37&amp;""),FIND(" ",TRIM(G37&amp;""))-1),코드표!$J$2:$J$101,0))&amp;" "&amp;INDEX(코드표!$G$2:$G$101,MATCH(TRIM(RIGHT(SUBSTITUTE(TRIM(G37&amp;"")," ",REPT(" ",60)),60)),코드표!$F$2:$F$101,0)),"⚠"&amp;TRIM(G37&amp;""))),"⚠"&amp;TRIM(G37&amp;""))</f>
        <v/>
      </c>
      <c r="P37" s="10">
        <f>IFERROR(IF(TRIM(H37&amp;"")="","",IF(AND(ISNUMBER(FIND(" ",TRIM(H37&amp;""))),ISNUMBER(MATCH(LEFT(TRIM(H37&amp;""),FIND(" ",TRIM(H37&amp;""))-1),코드표!$J$2:$J$101,0)),ISNUMBER(MATCH(TRIM(RIGHT(SUBSTITUTE(TRIM(H37&amp;"")," ",REPT(" ",60)),60)),코드표!$F$2:$F$101,0))),INDEX(코드표!$K$2:$K$101,MATCH(LEFT(TRIM(H37&amp;""),FIND(" ",TRIM(H37&amp;""))-1),코드표!$J$2:$J$101,0))&amp;" "&amp;INDEX(코드표!$G$2:$G$101,MATCH(TRIM(RIGHT(SUBSTITUTE(TRIM(H37&amp;"")," ",REPT(" ",60)),60)),코드표!$F$2:$F$101,0)),"⚠"&amp;TRIM(H37&amp;""))),"⚠"&amp;TRIM(H37&amp;""))</f>
        <v/>
      </c>
      <c r="Q37" s="10">
        <f>IFERROR(IF(TRIM(I37&amp;"")="","",IF(AND(ISNUMBER(FIND(" ",TRIM(I37&amp;""))),ISNUMBER(MATCH(LEFT(TRIM(I37&amp;""),FIND(" ",TRIM(I37&amp;""))-1),코드표!$J$2:$J$101,0)),ISNUMBER(MATCH(TRIM(RIGHT(SUBSTITUTE(TRIM(I37&amp;"")," ",REPT(" ",60)),60)),코드표!$F$2:$F$101,0))),INDEX(코드표!$K$2:$K$101,MATCH(LEFT(TRIM(I37&amp;""),FIND(" ",TRIM(I37&amp;""))-1),코드표!$J$2:$J$101,0))&amp;" "&amp;INDEX(코드표!$G$2:$G$101,MATCH(TRIM(RIGHT(SUBSTITUTE(TRIM(I37&amp;"")," ",REPT(" ",60)),60)),코드표!$F$2:$F$101,0)),"⚠"&amp;TRIM(I37&amp;""))),"⚠"&amp;TRIM(I37&amp;""))</f>
        <v/>
      </c>
      <c r="R37" s="10">
        <f>IFERROR(IF(TRIM(J37&amp;"")="","",IF(AND(ISNUMBER(FIND(" ",TRIM(J37&amp;""))),ISNUMBER(MATCH(LEFT(TRIM(J37&amp;""),FIND(" ",TRIM(J37&amp;""))-1),코드표!$J$2:$J$101,0)),ISNUMBER(MATCH(TRIM(RIGHT(SUBSTITUTE(TRIM(J37&amp;"")," ",REPT(" ",60)),60)),코드표!$F$2:$F$101,0))),INDEX(코드표!$K$2:$K$101,MATCH(LEFT(TRIM(J37&amp;""),FIND(" ",TRIM(J37&amp;""))-1),코드표!$J$2:$J$101,0))&amp;" "&amp;INDEX(코드표!$G$2:$G$101,MATCH(TRIM(RIGHT(SUBSTITUTE(TRIM(J37&amp;"")," ",REPT(" ",60)),60)),코드표!$F$2:$F$101,0)),"⚠"&amp;TRIM(J37&amp;""))),"⚠"&amp;TRIM(J37&amp;""))</f>
        <v/>
      </c>
      <c r="S37" s="11">
        <f>IF(K37="","",IFERROR(IF(AND(ROUND((VALUE(K37&amp;"")-INT(VALUE(K37&amp;"")))*100,0)&gt;=1,ROUND((VALUE(K37&amp;"")-INT(VALUE(K37&amp;"")))*100,0)&lt;=12,INT(VALUE(K37&amp;""))&gt;=1900),DATE(INT(VALUE(K37&amp;"")),ROUND((VALUE(K37&amp;"")-INT(VALUE(K37&amp;"")))*100,0),1),K37&amp;""),K37&amp;""))</f>
        <v/>
      </c>
      <c r="T37" s="10">
        <f>COUNTIF(M37:R37,"⚠*")</f>
        <v/>
      </c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M38" s="10">
        <f>IFERROR(IF(TRIM(E38&amp;"")="","",IF(AND(ISNUMBER(FIND(" ",TRIM(E38&amp;""))),ISNUMBER(MATCH(LEFT(TRIM(E38&amp;""),FIND(" ",TRIM(E38&amp;""))-1),코드표!$J$2:$J$101,0)),ISNUMBER(MATCH(TRIM(RIGHT(SUBSTITUTE(TRIM(E38&amp;"")," ",REPT(" ",60)),60)),코드표!$F$2:$F$101,0))),INDEX(코드표!$K$2:$K$101,MATCH(LEFT(TRIM(E38&amp;""),FIND(" ",TRIM(E38&amp;""))-1),코드표!$J$2:$J$101,0))&amp;" "&amp;INDEX(코드표!$G$2:$G$101,MATCH(TRIM(RIGHT(SUBSTITUTE(TRIM(E38&amp;"")," ",REPT(" ",60)),60)),코드표!$F$2:$F$101,0)),"⚠"&amp;TRIM(E38&amp;""))),"⚠"&amp;TRIM(E38&amp;""))</f>
        <v/>
      </c>
      <c r="N38" s="10">
        <f>IFERROR(IF(TRIM(F38&amp;"")="","",IF(AND(ISNUMBER(FIND(" ",TRIM(F38&amp;""))),ISNUMBER(MATCH(LEFT(TRIM(F38&amp;""),FIND(" ",TRIM(F38&amp;""))-1),코드표!$J$2:$J$101,0)),ISNUMBER(MATCH(TRIM(RIGHT(SUBSTITUTE(TRIM(F38&amp;"")," ",REPT(" ",60)),60)),코드표!$F$2:$F$101,0))),INDEX(코드표!$K$2:$K$101,MATCH(LEFT(TRIM(F38&amp;""),FIND(" ",TRIM(F38&amp;""))-1),코드표!$J$2:$J$101,0))&amp;" "&amp;INDEX(코드표!$G$2:$G$101,MATCH(TRIM(RIGHT(SUBSTITUTE(TRIM(F38&amp;"")," ",REPT(" ",60)),60)),코드표!$F$2:$F$101,0)),"⚠"&amp;TRIM(F38&amp;""))),"⚠"&amp;TRIM(F38&amp;""))</f>
        <v/>
      </c>
      <c r="O38" s="10">
        <f>IFERROR(IF(TRIM(G38&amp;"")="","",IF(AND(ISNUMBER(FIND(" ",TRIM(G38&amp;""))),ISNUMBER(MATCH(LEFT(TRIM(G38&amp;""),FIND(" ",TRIM(G38&amp;""))-1),코드표!$J$2:$J$101,0)),ISNUMBER(MATCH(TRIM(RIGHT(SUBSTITUTE(TRIM(G38&amp;"")," ",REPT(" ",60)),60)),코드표!$F$2:$F$101,0))),INDEX(코드표!$K$2:$K$101,MATCH(LEFT(TRIM(G38&amp;""),FIND(" ",TRIM(G38&amp;""))-1),코드표!$J$2:$J$101,0))&amp;" "&amp;INDEX(코드표!$G$2:$G$101,MATCH(TRIM(RIGHT(SUBSTITUTE(TRIM(G38&amp;"")," ",REPT(" ",60)),60)),코드표!$F$2:$F$101,0)),"⚠"&amp;TRIM(G38&amp;""))),"⚠"&amp;TRIM(G38&amp;""))</f>
        <v/>
      </c>
      <c r="P38" s="10">
        <f>IFERROR(IF(TRIM(H38&amp;"")="","",IF(AND(ISNUMBER(FIND(" ",TRIM(H38&amp;""))),ISNUMBER(MATCH(LEFT(TRIM(H38&amp;""),FIND(" ",TRIM(H38&amp;""))-1),코드표!$J$2:$J$101,0)),ISNUMBER(MATCH(TRIM(RIGHT(SUBSTITUTE(TRIM(H38&amp;"")," ",REPT(" ",60)),60)),코드표!$F$2:$F$101,0))),INDEX(코드표!$K$2:$K$101,MATCH(LEFT(TRIM(H38&amp;""),FIND(" ",TRIM(H38&amp;""))-1),코드표!$J$2:$J$101,0))&amp;" "&amp;INDEX(코드표!$G$2:$G$101,MATCH(TRIM(RIGHT(SUBSTITUTE(TRIM(H38&amp;"")," ",REPT(" ",60)),60)),코드표!$F$2:$F$101,0)),"⚠"&amp;TRIM(H38&amp;""))),"⚠"&amp;TRIM(H38&amp;""))</f>
        <v/>
      </c>
      <c r="Q38" s="10">
        <f>IFERROR(IF(TRIM(I38&amp;"")="","",IF(AND(ISNUMBER(FIND(" ",TRIM(I38&amp;""))),ISNUMBER(MATCH(LEFT(TRIM(I38&amp;""),FIND(" ",TRIM(I38&amp;""))-1),코드표!$J$2:$J$101,0)),ISNUMBER(MATCH(TRIM(RIGHT(SUBSTITUTE(TRIM(I38&amp;"")," ",REPT(" ",60)),60)),코드표!$F$2:$F$101,0))),INDEX(코드표!$K$2:$K$101,MATCH(LEFT(TRIM(I38&amp;""),FIND(" ",TRIM(I38&amp;""))-1),코드표!$J$2:$J$101,0))&amp;" "&amp;INDEX(코드표!$G$2:$G$101,MATCH(TRIM(RIGHT(SUBSTITUTE(TRIM(I38&amp;"")," ",REPT(" ",60)),60)),코드표!$F$2:$F$101,0)),"⚠"&amp;TRIM(I38&amp;""))),"⚠"&amp;TRIM(I38&amp;""))</f>
        <v/>
      </c>
      <c r="R38" s="10">
        <f>IFERROR(IF(TRIM(J38&amp;"")="","",IF(AND(ISNUMBER(FIND(" ",TRIM(J38&amp;""))),ISNUMBER(MATCH(LEFT(TRIM(J38&amp;""),FIND(" ",TRIM(J38&amp;""))-1),코드표!$J$2:$J$101,0)),ISNUMBER(MATCH(TRIM(RIGHT(SUBSTITUTE(TRIM(J38&amp;"")," ",REPT(" ",60)),60)),코드표!$F$2:$F$101,0))),INDEX(코드표!$K$2:$K$101,MATCH(LEFT(TRIM(J38&amp;""),FIND(" ",TRIM(J38&amp;""))-1),코드표!$J$2:$J$101,0))&amp;" "&amp;INDEX(코드표!$G$2:$G$101,MATCH(TRIM(RIGHT(SUBSTITUTE(TRIM(J38&amp;"")," ",REPT(" ",60)),60)),코드표!$F$2:$F$101,0)),"⚠"&amp;TRIM(J38&amp;""))),"⚠"&amp;TRIM(J38&amp;""))</f>
        <v/>
      </c>
      <c r="S38" s="11">
        <f>IF(K38="","",IFERROR(IF(AND(ROUND((VALUE(K38&amp;"")-INT(VALUE(K38&amp;"")))*100,0)&gt;=1,ROUND((VALUE(K38&amp;"")-INT(VALUE(K38&amp;"")))*100,0)&lt;=12,INT(VALUE(K38&amp;""))&gt;=1900),DATE(INT(VALUE(K38&amp;"")),ROUND((VALUE(K38&amp;"")-INT(VALUE(K38&amp;"")))*100,0),1),K38&amp;""),K38&amp;""))</f>
        <v/>
      </c>
      <c r="T38" s="10">
        <f>COUNTIF(M38:R38,"⚠*")</f>
        <v/>
      </c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M39" s="10">
        <f>IFERROR(IF(TRIM(E39&amp;"")="","",IF(AND(ISNUMBER(FIND(" ",TRIM(E39&amp;""))),ISNUMBER(MATCH(LEFT(TRIM(E39&amp;""),FIND(" ",TRIM(E39&amp;""))-1),코드표!$J$2:$J$101,0)),ISNUMBER(MATCH(TRIM(RIGHT(SUBSTITUTE(TRIM(E39&amp;"")," ",REPT(" ",60)),60)),코드표!$F$2:$F$101,0))),INDEX(코드표!$K$2:$K$101,MATCH(LEFT(TRIM(E39&amp;""),FIND(" ",TRIM(E39&amp;""))-1),코드표!$J$2:$J$101,0))&amp;" "&amp;INDEX(코드표!$G$2:$G$101,MATCH(TRIM(RIGHT(SUBSTITUTE(TRIM(E39&amp;"")," ",REPT(" ",60)),60)),코드표!$F$2:$F$101,0)),"⚠"&amp;TRIM(E39&amp;""))),"⚠"&amp;TRIM(E39&amp;""))</f>
        <v/>
      </c>
      <c r="N39" s="10">
        <f>IFERROR(IF(TRIM(F39&amp;"")="","",IF(AND(ISNUMBER(FIND(" ",TRIM(F39&amp;""))),ISNUMBER(MATCH(LEFT(TRIM(F39&amp;""),FIND(" ",TRIM(F39&amp;""))-1),코드표!$J$2:$J$101,0)),ISNUMBER(MATCH(TRIM(RIGHT(SUBSTITUTE(TRIM(F39&amp;"")," ",REPT(" ",60)),60)),코드표!$F$2:$F$101,0))),INDEX(코드표!$K$2:$K$101,MATCH(LEFT(TRIM(F39&amp;""),FIND(" ",TRIM(F39&amp;""))-1),코드표!$J$2:$J$101,0))&amp;" "&amp;INDEX(코드표!$G$2:$G$101,MATCH(TRIM(RIGHT(SUBSTITUTE(TRIM(F39&amp;"")," ",REPT(" ",60)),60)),코드표!$F$2:$F$101,0)),"⚠"&amp;TRIM(F39&amp;""))),"⚠"&amp;TRIM(F39&amp;""))</f>
        <v/>
      </c>
      <c r="O39" s="10">
        <f>IFERROR(IF(TRIM(G39&amp;"")="","",IF(AND(ISNUMBER(FIND(" ",TRIM(G39&amp;""))),ISNUMBER(MATCH(LEFT(TRIM(G39&amp;""),FIND(" ",TRIM(G39&amp;""))-1),코드표!$J$2:$J$101,0)),ISNUMBER(MATCH(TRIM(RIGHT(SUBSTITUTE(TRIM(G39&amp;"")," ",REPT(" ",60)),60)),코드표!$F$2:$F$101,0))),INDEX(코드표!$K$2:$K$101,MATCH(LEFT(TRIM(G39&amp;""),FIND(" ",TRIM(G39&amp;""))-1),코드표!$J$2:$J$101,0))&amp;" "&amp;INDEX(코드표!$G$2:$G$101,MATCH(TRIM(RIGHT(SUBSTITUTE(TRIM(G39&amp;"")," ",REPT(" ",60)),60)),코드표!$F$2:$F$101,0)),"⚠"&amp;TRIM(G39&amp;""))),"⚠"&amp;TRIM(G39&amp;""))</f>
        <v/>
      </c>
      <c r="P39" s="10">
        <f>IFERROR(IF(TRIM(H39&amp;"")="","",IF(AND(ISNUMBER(FIND(" ",TRIM(H39&amp;""))),ISNUMBER(MATCH(LEFT(TRIM(H39&amp;""),FIND(" ",TRIM(H39&amp;""))-1),코드표!$J$2:$J$101,0)),ISNUMBER(MATCH(TRIM(RIGHT(SUBSTITUTE(TRIM(H39&amp;"")," ",REPT(" ",60)),60)),코드표!$F$2:$F$101,0))),INDEX(코드표!$K$2:$K$101,MATCH(LEFT(TRIM(H39&amp;""),FIND(" ",TRIM(H39&amp;""))-1),코드표!$J$2:$J$101,0))&amp;" "&amp;INDEX(코드표!$G$2:$G$101,MATCH(TRIM(RIGHT(SUBSTITUTE(TRIM(H39&amp;"")," ",REPT(" ",60)),60)),코드표!$F$2:$F$101,0)),"⚠"&amp;TRIM(H39&amp;""))),"⚠"&amp;TRIM(H39&amp;""))</f>
        <v/>
      </c>
      <c r="Q39" s="10">
        <f>IFERROR(IF(TRIM(I39&amp;"")="","",IF(AND(ISNUMBER(FIND(" ",TRIM(I39&amp;""))),ISNUMBER(MATCH(LEFT(TRIM(I39&amp;""),FIND(" ",TRIM(I39&amp;""))-1),코드표!$J$2:$J$101,0)),ISNUMBER(MATCH(TRIM(RIGHT(SUBSTITUTE(TRIM(I39&amp;"")," ",REPT(" ",60)),60)),코드표!$F$2:$F$101,0))),INDEX(코드표!$K$2:$K$101,MATCH(LEFT(TRIM(I39&amp;""),FIND(" ",TRIM(I39&amp;""))-1),코드표!$J$2:$J$101,0))&amp;" "&amp;INDEX(코드표!$G$2:$G$101,MATCH(TRIM(RIGHT(SUBSTITUTE(TRIM(I39&amp;"")," ",REPT(" ",60)),60)),코드표!$F$2:$F$101,0)),"⚠"&amp;TRIM(I39&amp;""))),"⚠"&amp;TRIM(I39&amp;""))</f>
        <v/>
      </c>
      <c r="R39" s="10">
        <f>IFERROR(IF(TRIM(J39&amp;"")="","",IF(AND(ISNUMBER(FIND(" ",TRIM(J39&amp;""))),ISNUMBER(MATCH(LEFT(TRIM(J39&amp;""),FIND(" ",TRIM(J39&amp;""))-1),코드표!$J$2:$J$101,0)),ISNUMBER(MATCH(TRIM(RIGHT(SUBSTITUTE(TRIM(J39&amp;"")," ",REPT(" ",60)),60)),코드표!$F$2:$F$101,0))),INDEX(코드표!$K$2:$K$101,MATCH(LEFT(TRIM(J39&amp;""),FIND(" ",TRIM(J39&amp;""))-1),코드표!$J$2:$J$101,0))&amp;" "&amp;INDEX(코드표!$G$2:$G$101,MATCH(TRIM(RIGHT(SUBSTITUTE(TRIM(J39&amp;"")," ",REPT(" ",60)),60)),코드표!$F$2:$F$101,0)),"⚠"&amp;TRIM(J39&amp;""))),"⚠"&amp;TRIM(J39&amp;""))</f>
        <v/>
      </c>
      <c r="S39" s="11">
        <f>IF(K39="","",IFERROR(IF(AND(ROUND((VALUE(K39&amp;"")-INT(VALUE(K39&amp;"")))*100,0)&gt;=1,ROUND((VALUE(K39&amp;"")-INT(VALUE(K39&amp;"")))*100,0)&lt;=12,INT(VALUE(K39&amp;""))&gt;=1900),DATE(INT(VALUE(K39&amp;"")),ROUND((VALUE(K39&amp;"")-INT(VALUE(K39&amp;"")))*100,0),1),K39&amp;""),K39&amp;""))</f>
        <v/>
      </c>
      <c r="T39" s="10">
        <f>COUNTIF(M39:R39,"⚠*")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M40" s="10">
        <f>IFERROR(IF(TRIM(E40&amp;"")="","",IF(AND(ISNUMBER(FIND(" ",TRIM(E40&amp;""))),ISNUMBER(MATCH(LEFT(TRIM(E40&amp;""),FIND(" ",TRIM(E40&amp;""))-1),코드표!$J$2:$J$101,0)),ISNUMBER(MATCH(TRIM(RIGHT(SUBSTITUTE(TRIM(E40&amp;"")," ",REPT(" ",60)),60)),코드표!$F$2:$F$101,0))),INDEX(코드표!$K$2:$K$101,MATCH(LEFT(TRIM(E40&amp;""),FIND(" ",TRIM(E40&amp;""))-1),코드표!$J$2:$J$101,0))&amp;" "&amp;INDEX(코드표!$G$2:$G$101,MATCH(TRIM(RIGHT(SUBSTITUTE(TRIM(E40&amp;"")," ",REPT(" ",60)),60)),코드표!$F$2:$F$101,0)),"⚠"&amp;TRIM(E40&amp;""))),"⚠"&amp;TRIM(E40&amp;""))</f>
        <v/>
      </c>
      <c r="N40" s="10">
        <f>IFERROR(IF(TRIM(F40&amp;"")="","",IF(AND(ISNUMBER(FIND(" ",TRIM(F40&amp;""))),ISNUMBER(MATCH(LEFT(TRIM(F40&amp;""),FIND(" ",TRIM(F40&amp;""))-1),코드표!$J$2:$J$101,0)),ISNUMBER(MATCH(TRIM(RIGHT(SUBSTITUTE(TRIM(F40&amp;"")," ",REPT(" ",60)),60)),코드표!$F$2:$F$101,0))),INDEX(코드표!$K$2:$K$101,MATCH(LEFT(TRIM(F40&amp;""),FIND(" ",TRIM(F40&amp;""))-1),코드표!$J$2:$J$101,0))&amp;" "&amp;INDEX(코드표!$G$2:$G$101,MATCH(TRIM(RIGHT(SUBSTITUTE(TRIM(F40&amp;"")," ",REPT(" ",60)),60)),코드표!$F$2:$F$101,0)),"⚠"&amp;TRIM(F40&amp;""))),"⚠"&amp;TRIM(F40&amp;""))</f>
        <v/>
      </c>
      <c r="O40" s="10">
        <f>IFERROR(IF(TRIM(G40&amp;"")="","",IF(AND(ISNUMBER(FIND(" ",TRIM(G40&amp;""))),ISNUMBER(MATCH(LEFT(TRIM(G40&amp;""),FIND(" ",TRIM(G40&amp;""))-1),코드표!$J$2:$J$101,0)),ISNUMBER(MATCH(TRIM(RIGHT(SUBSTITUTE(TRIM(G40&amp;"")," ",REPT(" ",60)),60)),코드표!$F$2:$F$101,0))),INDEX(코드표!$K$2:$K$101,MATCH(LEFT(TRIM(G40&amp;""),FIND(" ",TRIM(G40&amp;""))-1),코드표!$J$2:$J$101,0))&amp;" "&amp;INDEX(코드표!$G$2:$G$101,MATCH(TRIM(RIGHT(SUBSTITUTE(TRIM(G40&amp;"")," ",REPT(" ",60)),60)),코드표!$F$2:$F$101,0)),"⚠"&amp;TRIM(G40&amp;""))),"⚠"&amp;TRIM(G40&amp;""))</f>
        <v/>
      </c>
      <c r="P40" s="10">
        <f>IFERROR(IF(TRIM(H40&amp;"")="","",IF(AND(ISNUMBER(FIND(" ",TRIM(H40&amp;""))),ISNUMBER(MATCH(LEFT(TRIM(H40&amp;""),FIND(" ",TRIM(H40&amp;""))-1),코드표!$J$2:$J$101,0)),ISNUMBER(MATCH(TRIM(RIGHT(SUBSTITUTE(TRIM(H40&amp;"")," ",REPT(" ",60)),60)),코드표!$F$2:$F$101,0))),INDEX(코드표!$K$2:$K$101,MATCH(LEFT(TRIM(H40&amp;""),FIND(" ",TRIM(H40&amp;""))-1),코드표!$J$2:$J$101,0))&amp;" "&amp;INDEX(코드표!$G$2:$G$101,MATCH(TRIM(RIGHT(SUBSTITUTE(TRIM(H40&amp;"")," ",REPT(" ",60)),60)),코드표!$F$2:$F$101,0)),"⚠"&amp;TRIM(H40&amp;""))),"⚠"&amp;TRIM(H40&amp;""))</f>
        <v/>
      </c>
      <c r="Q40" s="10">
        <f>IFERROR(IF(TRIM(I40&amp;"")="","",IF(AND(ISNUMBER(FIND(" ",TRIM(I40&amp;""))),ISNUMBER(MATCH(LEFT(TRIM(I40&amp;""),FIND(" ",TRIM(I40&amp;""))-1),코드표!$J$2:$J$101,0)),ISNUMBER(MATCH(TRIM(RIGHT(SUBSTITUTE(TRIM(I40&amp;"")," ",REPT(" ",60)),60)),코드표!$F$2:$F$101,0))),INDEX(코드표!$K$2:$K$101,MATCH(LEFT(TRIM(I40&amp;""),FIND(" ",TRIM(I40&amp;""))-1),코드표!$J$2:$J$101,0))&amp;" "&amp;INDEX(코드표!$G$2:$G$101,MATCH(TRIM(RIGHT(SUBSTITUTE(TRIM(I40&amp;"")," ",REPT(" ",60)),60)),코드표!$F$2:$F$101,0)),"⚠"&amp;TRIM(I40&amp;""))),"⚠"&amp;TRIM(I40&amp;""))</f>
        <v/>
      </c>
      <c r="R40" s="10">
        <f>IFERROR(IF(TRIM(J40&amp;"")="","",IF(AND(ISNUMBER(FIND(" ",TRIM(J40&amp;""))),ISNUMBER(MATCH(LEFT(TRIM(J40&amp;""),FIND(" ",TRIM(J40&amp;""))-1),코드표!$J$2:$J$101,0)),ISNUMBER(MATCH(TRIM(RIGHT(SUBSTITUTE(TRIM(J40&amp;"")," ",REPT(" ",60)),60)),코드표!$F$2:$F$101,0))),INDEX(코드표!$K$2:$K$101,MATCH(LEFT(TRIM(J40&amp;""),FIND(" ",TRIM(J40&amp;""))-1),코드표!$J$2:$J$101,0))&amp;" "&amp;INDEX(코드표!$G$2:$G$101,MATCH(TRIM(RIGHT(SUBSTITUTE(TRIM(J40&amp;"")," ",REPT(" ",60)),60)),코드표!$F$2:$F$101,0)),"⚠"&amp;TRIM(J40&amp;""))),"⚠"&amp;TRIM(J40&amp;""))</f>
        <v/>
      </c>
      <c r="S40" s="11">
        <f>IF(K40="","",IFERROR(IF(AND(ROUND((VALUE(K40&amp;"")-INT(VALUE(K40&amp;"")))*100,0)&gt;=1,ROUND((VALUE(K40&amp;"")-INT(VALUE(K40&amp;"")))*100,0)&lt;=12,INT(VALUE(K40&amp;""))&gt;=1900),DATE(INT(VALUE(K40&amp;"")),ROUND((VALUE(K40&amp;"")-INT(VALUE(K40&amp;"")))*100,0),1),K40&amp;""),K40&amp;""))</f>
        <v/>
      </c>
      <c r="T40" s="10">
        <f>COUNTIF(M40:R40,"⚠*")</f>
        <v/>
      </c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M41" s="10">
        <f>IFERROR(IF(TRIM(E41&amp;"")="","",IF(AND(ISNUMBER(FIND(" ",TRIM(E41&amp;""))),ISNUMBER(MATCH(LEFT(TRIM(E41&amp;""),FIND(" ",TRIM(E41&amp;""))-1),코드표!$J$2:$J$101,0)),ISNUMBER(MATCH(TRIM(RIGHT(SUBSTITUTE(TRIM(E41&amp;"")," ",REPT(" ",60)),60)),코드표!$F$2:$F$101,0))),INDEX(코드표!$K$2:$K$101,MATCH(LEFT(TRIM(E41&amp;""),FIND(" ",TRIM(E41&amp;""))-1),코드표!$J$2:$J$101,0))&amp;" "&amp;INDEX(코드표!$G$2:$G$101,MATCH(TRIM(RIGHT(SUBSTITUTE(TRIM(E41&amp;"")," ",REPT(" ",60)),60)),코드표!$F$2:$F$101,0)),"⚠"&amp;TRIM(E41&amp;""))),"⚠"&amp;TRIM(E41&amp;""))</f>
        <v/>
      </c>
      <c r="N41" s="10">
        <f>IFERROR(IF(TRIM(F41&amp;"")="","",IF(AND(ISNUMBER(FIND(" ",TRIM(F41&amp;""))),ISNUMBER(MATCH(LEFT(TRIM(F41&amp;""),FIND(" ",TRIM(F41&amp;""))-1),코드표!$J$2:$J$101,0)),ISNUMBER(MATCH(TRIM(RIGHT(SUBSTITUTE(TRIM(F41&amp;"")," ",REPT(" ",60)),60)),코드표!$F$2:$F$101,0))),INDEX(코드표!$K$2:$K$101,MATCH(LEFT(TRIM(F41&amp;""),FIND(" ",TRIM(F41&amp;""))-1),코드표!$J$2:$J$101,0))&amp;" "&amp;INDEX(코드표!$G$2:$G$101,MATCH(TRIM(RIGHT(SUBSTITUTE(TRIM(F41&amp;"")," ",REPT(" ",60)),60)),코드표!$F$2:$F$101,0)),"⚠"&amp;TRIM(F41&amp;""))),"⚠"&amp;TRIM(F41&amp;""))</f>
        <v/>
      </c>
      <c r="O41" s="10">
        <f>IFERROR(IF(TRIM(G41&amp;"")="","",IF(AND(ISNUMBER(FIND(" ",TRIM(G41&amp;""))),ISNUMBER(MATCH(LEFT(TRIM(G41&amp;""),FIND(" ",TRIM(G41&amp;""))-1),코드표!$J$2:$J$101,0)),ISNUMBER(MATCH(TRIM(RIGHT(SUBSTITUTE(TRIM(G41&amp;"")," ",REPT(" ",60)),60)),코드표!$F$2:$F$101,0))),INDEX(코드표!$K$2:$K$101,MATCH(LEFT(TRIM(G41&amp;""),FIND(" ",TRIM(G41&amp;""))-1),코드표!$J$2:$J$101,0))&amp;" "&amp;INDEX(코드표!$G$2:$G$101,MATCH(TRIM(RIGHT(SUBSTITUTE(TRIM(G41&amp;"")," ",REPT(" ",60)),60)),코드표!$F$2:$F$101,0)),"⚠"&amp;TRIM(G41&amp;""))),"⚠"&amp;TRIM(G41&amp;""))</f>
        <v/>
      </c>
      <c r="P41" s="10">
        <f>IFERROR(IF(TRIM(H41&amp;"")="","",IF(AND(ISNUMBER(FIND(" ",TRIM(H41&amp;""))),ISNUMBER(MATCH(LEFT(TRIM(H41&amp;""),FIND(" ",TRIM(H41&amp;""))-1),코드표!$J$2:$J$101,0)),ISNUMBER(MATCH(TRIM(RIGHT(SUBSTITUTE(TRIM(H41&amp;"")," ",REPT(" ",60)),60)),코드표!$F$2:$F$101,0))),INDEX(코드표!$K$2:$K$101,MATCH(LEFT(TRIM(H41&amp;""),FIND(" ",TRIM(H41&amp;""))-1),코드표!$J$2:$J$101,0))&amp;" "&amp;INDEX(코드표!$G$2:$G$101,MATCH(TRIM(RIGHT(SUBSTITUTE(TRIM(H41&amp;"")," ",REPT(" ",60)),60)),코드표!$F$2:$F$101,0)),"⚠"&amp;TRIM(H41&amp;""))),"⚠"&amp;TRIM(H41&amp;""))</f>
        <v/>
      </c>
      <c r="Q41" s="10">
        <f>IFERROR(IF(TRIM(I41&amp;"")="","",IF(AND(ISNUMBER(FIND(" ",TRIM(I41&amp;""))),ISNUMBER(MATCH(LEFT(TRIM(I41&amp;""),FIND(" ",TRIM(I41&amp;""))-1),코드표!$J$2:$J$101,0)),ISNUMBER(MATCH(TRIM(RIGHT(SUBSTITUTE(TRIM(I41&amp;"")," ",REPT(" ",60)),60)),코드표!$F$2:$F$101,0))),INDEX(코드표!$K$2:$K$101,MATCH(LEFT(TRIM(I41&amp;""),FIND(" ",TRIM(I41&amp;""))-1),코드표!$J$2:$J$101,0))&amp;" "&amp;INDEX(코드표!$G$2:$G$101,MATCH(TRIM(RIGHT(SUBSTITUTE(TRIM(I41&amp;"")," ",REPT(" ",60)),60)),코드표!$F$2:$F$101,0)),"⚠"&amp;TRIM(I41&amp;""))),"⚠"&amp;TRIM(I41&amp;""))</f>
        <v/>
      </c>
      <c r="R41" s="10">
        <f>IFERROR(IF(TRIM(J41&amp;"")="","",IF(AND(ISNUMBER(FIND(" ",TRIM(J41&amp;""))),ISNUMBER(MATCH(LEFT(TRIM(J41&amp;""),FIND(" ",TRIM(J41&amp;""))-1),코드표!$J$2:$J$101,0)),ISNUMBER(MATCH(TRIM(RIGHT(SUBSTITUTE(TRIM(J41&amp;"")," ",REPT(" ",60)),60)),코드표!$F$2:$F$101,0))),INDEX(코드표!$K$2:$K$101,MATCH(LEFT(TRIM(J41&amp;""),FIND(" ",TRIM(J41&amp;""))-1),코드표!$J$2:$J$101,0))&amp;" "&amp;INDEX(코드표!$G$2:$G$101,MATCH(TRIM(RIGHT(SUBSTITUTE(TRIM(J41&amp;"")," ",REPT(" ",60)),60)),코드표!$F$2:$F$101,0)),"⚠"&amp;TRIM(J41&amp;""))),"⚠"&amp;TRIM(J41&amp;""))</f>
        <v/>
      </c>
      <c r="S41" s="11">
        <f>IF(K41="","",IFERROR(IF(AND(ROUND((VALUE(K41&amp;"")-INT(VALUE(K41&amp;"")))*100,0)&gt;=1,ROUND((VALUE(K41&amp;"")-INT(VALUE(K41&amp;"")))*100,0)&lt;=12,INT(VALUE(K41&amp;""))&gt;=1900),DATE(INT(VALUE(K41&amp;"")),ROUND((VALUE(K41&amp;"")-INT(VALUE(K41&amp;"")))*100,0),1),K41&amp;""),K41&amp;""))</f>
        <v/>
      </c>
      <c r="T41" s="10">
        <f>COUNTIF(M41:R41,"⚠*")</f>
        <v/>
      </c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M42" s="10">
        <f>IFERROR(IF(TRIM(E42&amp;"")="","",IF(AND(ISNUMBER(FIND(" ",TRIM(E42&amp;""))),ISNUMBER(MATCH(LEFT(TRIM(E42&amp;""),FIND(" ",TRIM(E42&amp;""))-1),코드표!$J$2:$J$101,0)),ISNUMBER(MATCH(TRIM(RIGHT(SUBSTITUTE(TRIM(E42&amp;"")," ",REPT(" ",60)),60)),코드표!$F$2:$F$101,0))),INDEX(코드표!$K$2:$K$101,MATCH(LEFT(TRIM(E42&amp;""),FIND(" ",TRIM(E42&amp;""))-1),코드표!$J$2:$J$101,0))&amp;" "&amp;INDEX(코드표!$G$2:$G$101,MATCH(TRIM(RIGHT(SUBSTITUTE(TRIM(E42&amp;"")," ",REPT(" ",60)),60)),코드표!$F$2:$F$101,0)),"⚠"&amp;TRIM(E42&amp;""))),"⚠"&amp;TRIM(E42&amp;""))</f>
        <v/>
      </c>
      <c r="N42" s="10">
        <f>IFERROR(IF(TRIM(F42&amp;"")="","",IF(AND(ISNUMBER(FIND(" ",TRIM(F42&amp;""))),ISNUMBER(MATCH(LEFT(TRIM(F42&amp;""),FIND(" ",TRIM(F42&amp;""))-1),코드표!$J$2:$J$101,0)),ISNUMBER(MATCH(TRIM(RIGHT(SUBSTITUTE(TRIM(F42&amp;"")," ",REPT(" ",60)),60)),코드표!$F$2:$F$101,0))),INDEX(코드표!$K$2:$K$101,MATCH(LEFT(TRIM(F42&amp;""),FIND(" ",TRIM(F42&amp;""))-1),코드표!$J$2:$J$101,0))&amp;" "&amp;INDEX(코드표!$G$2:$G$101,MATCH(TRIM(RIGHT(SUBSTITUTE(TRIM(F42&amp;"")," ",REPT(" ",60)),60)),코드표!$F$2:$F$101,0)),"⚠"&amp;TRIM(F42&amp;""))),"⚠"&amp;TRIM(F42&amp;""))</f>
        <v/>
      </c>
      <c r="O42" s="10">
        <f>IFERROR(IF(TRIM(G42&amp;"")="","",IF(AND(ISNUMBER(FIND(" ",TRIM(G42&amp;""))),ISNUMBER(MATCH(LEFT(TRIM(G42&amp;""),FIND(" ",TRIM(G42&amp;""))-1),코드표!$J$2:$J$101,0)),ISNUMBER(MATCH(TRIM(RIGHT(SUBSTITUTE(TRIM(G42&amp;"")," ",REPT(" ",60)),60)),코드표!$F$2:$F$101,0))),INDEX(코드표!$K$2:$K$101,MATCH(LEFT(TRIM(G42&amp;""),FIND(" ",TRIM(G42&amp;""))-1),코드표!$J$2:$J$101,0))&amp;" "&amp;INDEX(코드표!$G$2:$G$101,MATCH(TRIM(RIGHT(SUBSTITUTE(TRIM(G42&amp;"")," ",REPT(" ",60)),60)),코드표!$F$2:$F$101,0)),"⚠"&amp;TRIM(G42&amp;""))),"⚠"&amp;TRIM(G42&amp;""))</f>
        <v/>
      </c>
      <c r="P42" s="10">
        <f>IFERROR(IF(TRIM(H42&amp;"")="","",IF(AND(ISNUMBER(FIND(" ",TRIM(H42&amp;""))),ISNUMBER(MATCH(LEFT(TRIM(H42&amp;""),FIND(" ",TRIM(H42&amp;""))-1),코드표!$J$2:$J$101,0)),ISNUMBER(MATCH(TRIM(RIGHT(SUBSTITUTE(TRIM(H42&amp;"")," ",REPT(" ",60)),60)),코드표!$F$2:$F$101,0))),INDEX(코드표!$K$2:$K$101,MATCH(LEFT(TRIM(H42&amp;""),FIND(" ",TRIM(H42&amp;""))-1),코드표!$J$2:$J$101,0))&amp;" "&amp;INDEX(코드표!$G$2:$G$101,MATCH(TRIM(RIGHT(SUBSTITUTE(TRIM(H42&amp;"")," ",REPT(" ",60)),60)),코드표!$F$2:$F$101,0)),"⚠"&amp;TRIM(H42&amp;""))),"⚠"&amp;TRIM(H42&amp;""))</f>
        <v/>
      </c>
      <c r="Q42" s="10">
        <f>IFERROR(IF(TRIM(I42&amp;"")="","",IF(AND(ISNUMBER(FIND(" ",TRIM(I42&amp;""))),ISNUMBER(MATCH(LEFT(TRIM(I42&amp;""),FIND(" ",TRIM(I42&amp;""))-1),코드표!$J$2:$J$101,0)),ISNUMBER(MATCH(TRIM(RIGHT(SUBSTITUTE(TRIM(I42&amp;"")," ",REPT(" ",60)),60)),코드표!$F$2:$F$101,0))),INDEX(코드표!$K$2:$K$101,MATCH(LEFT(TRIM(I42&amp;""),FIND(" ",TRIM(I42&amp;""))-1),코드표!$J$2:$J$101,0))&amp;" "&amp;INDEX(코드표!$G$2:$G$101,MATCH(TRIM(RIGHT(SUBSTITUTE(TRIM(I42&amp;"")," ",REPT(" ",60)),60)),코드표!$F$2:$F$101,0)),"⚠"&amp;TRIM(I42&amp;""))),"⚠"&amp;TRIM(I42&amp;""))</f>
        <v/>
      </c>
      <c r="R42" s="10">
        <f>IFERROR(IF(TRIM(J42&amp;"")="","",IF(AND(ISNUMBER(FIND(" ",TRIM(J42&amp;""))),ISNUMBER(MATCH(LEFT(TRIM(J42&amp;""),FIND(" ",TRIM(J42&amp;""))-1),코드표!$J$2:$J$101,0)),ISNUMBER(MATCH(TRIM(RIGHT(SUBSTITUTE(TRIM(J42&amp;"")," ",REPT(" ",60)),60)),코드표!$F$2:$F$101,0))),INDEX(코드표!$K$2:$K$101,MATCH(LEFT(TRIM(J42&amp;""),FIND(" ",TRIM(J42&amp;""))-1),코드표!$J$2:$J$101,0))&amp;" "&amp;INDEX(코드표!$G$2:$G$101,MATCH(TRIM(RIGHT(SUBSTITUTE(TRIM(J42&amp;"")," ",REPT(" ",60)),60)),코드표!$F$2:$F$101,0)),"⚠"&amp;TRIM(J42&amp;""))),"⚠"&amp;TRIM(J42&amp;""))</f>
        <v/>
      </c>
      <c r="S42" s="11">
        <f>IF(K42="","",IFERROR(IF(AND(ROUND((VALUE(K42&amp;"")-INT(VALUE(K42&amp;"")))*100,0)&gt;=1,ROUND((VALUE(K42&amp;"")-INT(VALUE(K42&amp;"")))*100,0)&lt;=12,INT(VALUE(K42&amp;""))&gt;=1900),DATE(INT(VALUE(K42&amp;"")),ROUND((VALUE(K42&amp;"")-INT(VALUE(K42&amp;"")))*100,0),1),K42&amp;""),K42&amp;""))</f>
        <v/>
      </c>
      <c r="T42" s="10">
        <f>COUNTIF(M42:R42,"⚠*")</f>
        <v/>
      </c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M43" s="10">
        <f>IFERROR(IF(TRIM(E43&amp;"")="","",IF(AND(ISNUMBER(FIND(" ",TRIM(E43&amp;""))),ISNUMBER(MATCH(LEFT(TRIM(E43&amp;""),FIND(" ",TRIM(E43&amp;""))-1),코드표!$J$2:$J$101,0)),ISNUMBER(MATCH(TRIM(RIGHT(SUBSTITUTE(TRIM(E43&amp;"")," ",REPT(" ",60)),60)),코드표!$F$2:$F$101,0))),INDEX(코드표!$K$2:$K$101,MATCH(LEFT(TRIM(E43&amp;""),FIND(" ",TRIM(E43&amp;""))-1),코드표!$J$2:$J$101,0))&amp;" "&amp;INDEX(코드표!$G$2:$G$101,MATCH(TRIM(RIGHT(SUBSTITUTE(TRIM(E43&amp;"")," ",REPT(" ",60)),60)),코드표!$F$2:$F$101,0)),"⚠"&amp;TRIM(E43&amp;""))),"⚠"&amp;TRIM(E43&amp;""))</f>
        <v/>
      </c>
      <c r="N43" s="10">
        <f>IFERROR(IF(TRIM(F43&amp;"")="","",IF(AND(ISNUMBER(FIND(" ",TRIM(F43&amp;""))),ISNUMBER(MATCH(LEFT(TRIM(F43&amp;""),FIND(" ",TRIM(F43&amp;""))-1),코드표!$J$2:$J$101,0)),ISNUMBER(MATCH(TRIM(RIGHT(SUBSTITUTE(TRIM(F43&amp;"")," ",REPT(" ",60)),60)),코드표!$F$2:$F$101,0))),INDEX(코드표!$K$2:$K$101,MATCH(LEFT(TRIM(F43&amp;""),FIND(" ",TRIM(F43&amp;""))-1),코드표!$J$2:$J$101,0))&amp;" "&amp;INDEX(코드표!$G$2:$G$101,MATCH(TRIM(RIGHT(SUBSTITUTE(TRIM(F43&amp;"")," ",REPT(" ",60)),60)),코드표!$F$2:$F$101,0)),"⚠"&amp;TRIM(F43&amp;""))),"⚠"&amp;TRIM(F43&amp;""))</f>
        <v/>
      </c>
      <c r="O43" s="10">
        <f>IFERROR(IF(TRIM(G43&amp;"")="","",IF(AND(ISNUMBER(FIND(" ",TRIM(G43&amp;""))),ISNUMBER(MATCH(LEFT(TRIM(G43&amp;""),FIND(" ",TRIM(G43&amp;""))-1),코드표!$J$2:$J$101,0)),ISNUMBER(MATCH(TRIM(RIGHT(SUBSTITUTE(TRIM(G43&amp;"")," ",REPT(" ",60)),60)),코드표!$F$2:$F$101,0))),INDEX(코드표!$K$2:$K$101,MATCH(LEFT(TRIM(G43&amp;""),FIND(" ",TRIM(G43&amp;""))-1),코드표!$J$2:$J$101,0))&amp;" "&amp;INDEX(코드표!$G$2:$G$101,MATCH(TRIM(RIGHT(SUBSTITUTE(TRIM(G43&amp;"")," ",REPT(" ",60)),60)),코드표!$F$2:$F$101,0)),"⚠"&amp;TRIM(G43&amp;""))),"⚠"&amp;TRIM(G43&amp;""))</f>
        <v/>
      </c>
      <c r="P43" s="10">
        <f>IFERROR(IF(TRIM(H43&amp;"")="","",IF(AND(ISNUMBER(FIND(" ",TRIM(H43&amp;""))),ISNUMBER(MATCH(LEFT(TRIM(H43&amp;""),FIND(" ",TRIM(H43&amp;""))-1),코드표!$J$2:$J$101,0)),ISNUMBER(MATCH(TRIM(RIGHT(SUBSTITUTE(TRIM(H43&amp;"")," ",REPT(" ",60)),60)),코드표!$F$2:$F$101,0))),INDEX(코드표!$K$2:$K$101,MATCH(LEFT(TRIM(H43&amp;""),FIND(" ",TRIM(H43&amp;""))-1),코드표!$J$2:$J$101,0))&amp;" "&amp;INDEX(코드표!$G$2:$G$101,MATCH(TRIM(RIGHT(SUBSTITUTE(TRIM(H43&amp;"")," ",REPT(" ",60)),60)),코드표!$F$2:$F$101,0)),"⚠"&amp;TRIM(H43&amp;""))),"⚠"&amp;TRIM(H43&amp;""))</f>
        <v/>
      </c>
      <c r="Q43" s="10">
        <f>IFERROR(IF(TRIM(I43&amp;"")="","",IF(AND(ISNUMBER(FIND(" ",TRIM(I43&amp;""))),ISNUMBER(MATCH(LEFT(TRIM(I43&amp;""),FIND(" ",TRIM(I43&amp;""))-1),코드표!$J$2:$J$101,0)),ISNUMBER(MATCH(TRIM(RIGHT(SUBSTITUTE(TRIM(I43&amp;"")," ",REPT(" ",60)),60)),코드표!$F$2:$F$101,0))),INDEX(코드표!$K$2:$K$101,MATCH(LEFT(TRIM(I43&amp;""),FIND(" ",TRIM(I43&amp;""))-1),코드표!$J$2:$J$101,0))&amp;" "&amp;INDEX(코드표!$G$2:$G$101,MATCH(TRIM(RIGHT(SUBSTITUTE(TRIM(I43&amp;"")," ",REPT(" ",60)),60)),코드표!$F$2:$F$101,0)),"⚠"&amp;TRIM(I43&amp;""))),"⚠"&amp;TRIM(I43&amp;""))</f>
        <v/>
      </c>
      <c r="R43" s="10">
        <f>IFERROR(IF(TRIM(J43&amp;"")="","",IF(AND(ISNUMBER(FIND(" ",TRIM(J43&amp;""))),ISNUMBER(MATCH(LEFT(TRIM(J43&amp;""),FIND(" ",TRIM(J43&amp;""))-1),코드표!$J$2:$J$101,0)),ISNUMBER(MATCH(TRIM(RIGHT(SUBSTITUTE(TRIM(J43&amp;"")," ",REPT(" ",60)),60)),코드표!$F$2:$F$101,0))),INDEX(코드표!$K$2:$K$101,MATCH(LEFT(TRIM(J43&amp;""),FIND(" ",TRIM(J43&amp;""))-1),코드표!$J$2:$J$101,0))&amp;" "&amp;INDEX(코드표!$G$2:$G$101,MATCH(TRIM(RIGHT(SUBSTITUTE(TRIM(J43&amp;"")," ",REPT(" ",60)),60)),코드표!$F$2:$F$101,0)),"⚠"&amp;TRIM(J43&amp;""))),"⚠"&amp;TRIM(J43&amp;""))</f>
        <v/>
      </c>
      <c r="S43" s="11">
        <f>IF(K43="","",IFERROR(IF(AND(ROUND((VALUE(K43&amp;"")-INT(VALUE(K43&amp;"")))*100,0)&gt;=1,ROUND((VALUE(K43&amp;"")-INT(VALUE(K43&amp;"")))*100,0)&lt;=12,INT(VALUE(K43&amp;""))&gt;=1900),DATE(INT(VALUE(K43&amp;"")),ROUND((VALUE(K43&amp;"")-INT(VALUE(K43&amp;"")))*100,0),1),K43&amp;""),K43&amp;""))</f>
        <v/>
      </c>
      <c r="T43" s="10">
        <f>COUNTIF(M43:R43,"⚠*")</f>
        <v/>
      </c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M44" s="10">
        <f>IFERROR(IF(TRIM(E44&amp;"")="","",IF(AND(ISNUMBER(FIND(" ",TRIM(E44&amp;""))),ISNUMBER(MATCH(LEFT(TRIM(E44&amp;""),FIND(" ",TRIM(E44&amp;""))-1),코드표!$J$2:$J$101,0)),ISNUMBER(MATCH(TRIM(RIGHT(SUBSTITUTE(TRIM(E44&amp;"")," ",REPT(" ",60)),60)),코드표!$F$2:$F$101,0))),INDEX(코드표!$K$2:$K$101,MATCH(LEFT(TRIM(E44&amp;""),FIND(" ",TRIM(E44&amp;""))-1),코드표!$J$2:$J$101,0))&amp;" "&amp;INDEX(코드표!$G$2:$G$101,MATCH(TRIM(RIGHT(SUBSTITUTE(TRIM(E44&amp;"")," ",REPT(" ",60)),60)),코드표!$F$2:$F$101,0)),"⚠"&amp;TRIM(E44&amp;""))),"⚠"&amp;TRIM(E44&amp;""))</f>
        <v/>
      </c>
      <c r="N44" s="10">
        <f>IFERROR(IF(TRIM(F44&amp;"")="","",IF(AND(ISNUMBER(FIND(" ",TRIM(F44&amp;""))),ISNUMBER(MATCH(LEFT(TRIM(F44&amp;""),FIND(" ",TRIM(F44&amp;""))-1),코드표!$J$2:$J$101,0)),ISNUMBER(MATCH(TRIM(RIGHT(SUBSTITUTE(TRIM(F44&amp;"")," ",REPT(" ",60)),60)),코드표!$F$2:$F$101,0))),INDEX(코드표!$K$2:$K$101,MATCH(LEFT(TRIM(F44&amp;""),FIND(" ",TRIM(F44&amp;""))-1),코드표!$J$2:$J$101,0))&amp;" "&amp;INDEX(코드표!$G$2:$G$101,MATCH(TRIM(RIGHT(SUBSTITUTE(TRIM(F44&amp;"")," ",REPT(" ",60)),60)),코드표!$F$2:$F$101,0)),"⚠"&amp;TRIM(F44&amp;""))),"⚠"&amp;TRIM(F44&amp;""))</f>
        <v/>
      </c>
      <c r="O44" s="10">
        <f>IFERROR(IF(TRIM(G44&amp;"")="","",IF(AND(ISNUMBER(FIND(" ",TRIM(G44&amp;""))),ISNUMBER(MATCH(LEFT(TRIM(G44&amp;""),FIND(" ",TRIM(G44&amp;""))-1),코드표!$J$2:$J$101,0)),ISNUMBER(MATCH(TRIM(RIGHT(SUBSTITUTE(TRIM(G44&amp;"")," ",REPT(" ",60)),60)),코드표!$F$2:$F$101,0))),INDEX(코드표!$K$2:$K$101,MATCH(LEFT(TRIM(G44&amp;""),FIND(" ",TRIM(G44&amp;""))-1),코드표!$J$2:$J$101,0))&amp;" "&amp;INDEX(코드표!$G$2:$G$101,MATCH(TRIM(RIGHT(SUBSTITUTE(TRIM(G44&amp;"")," ",REPT(" ",60)),60)),코드표!$F$2:$F$101,0)),"⚠"&amp;TRIM(G44&amp;""))),"⚠"&amp;TRIM(G44&amp;""))</f>
        <v/>
      </c>
      <c r="P44" s="10">
        <f>IFERROR(IF(TRIM(H44&amp;"")="","",IF(AND(ISNUMBER(FIND(" ",TRIM(H44&amp;""))),ISNUMBER(MATCH(LEFT(TRIM(H44&amp;""),FIND(" ",TRIM(H44&amp;""))-1),코드표!$J$2:$J$101,0)),ISNUMBER(MATCH(TRIM(RIGHT(SUBSTITUTE(TRIM(H44&amp;"")," ",REPT(" ",60)),60)),코드표!$F$2:$F$101,0))),INDEX(코드표!$K$2:$K$101,MATCH(LEFT(TRIM(H44&amp;""),FIND(" ",TRIM(H44&amp;""))-1),코드표!$J$2:$J$101,0))&amp;" "&amp;INDEX(코드표!$G$2:$G$101,MATCH(TRIM(RIGHT(SUBSTITUTE(TRIM(H44&amp;"")," ",REPT(" ",60)),60)),코드표!$F$2:$F$101,0)),"⚠"&amp;TRIM(H44&amp;""))),"⚠"&amp;TRIM(H44&amp;""))</f>
        <v/>
      </c>
      <c r="Q44" s="10">
        <f>IFERROR(IF(TRIM(I44&amp;"")="","",IF(AND(ISNUMBER(FIND(" ",TRIM(I44&amp;""))),ISNUMBER(MATCH(LEFT(TRIM(I44&amp;""),FIND(" ",TRIM(I44&amp;""))-1),코드표!$J$2:$J$101,0)),ISNUMBER(MATCH(TRIM(RIGHT(SUBSTITUTE(TRIM(I44&amp;"")," ",REPT(" ",60)),60)),코드표!$F$2:$F$101,0))),INDEX(코드표!$K$2:$K$101,MATCH(LEFT(TRIM(I44&amp;""),FIND(" ",TRIM(I44&amp;""))-1),코드표!$J$2:$J$101,0))&amp;" "&amp;INDEX(코드표!$G$2:$G$101,MATCH(TRIM(RIGHT(SUBSTITUTE(TRIM(I44&amp;"")," ",REPT(" ",60)),60)),코드표!$F$2:$F$101,0)),"⚠"&amp;TRIM(I44&amp;""))),"⚠"&amp;TRIM(I44&amp;""))</f>
        <v/>
      </c>
      <c r="R44" s="10">
        <f>IFERROR(IF(TRIM(J44&amp;"")="","",IF(AND(ISNUMBER(FIND(" ",TRIM(J44&amp;""))),ISNUMBER(MATCH(LEFT(TRIM(J44&amp;""),FIND(" ",TRIM(J44&amp;""))-1),코드표!$J$2:$J$101,0)),ISNUMBER(MATCH(TRIM(RIGHT(SUBSTITUTE(TRIM(J44&amp;"")," ",REPT(" ",60)),60)),코드표!$F$2:$F$101,0))),INDEX(코드표!$K$2:$K$101,MATCH(LEFT(TRIM(J44&amp;""),FIND(" ",TRIM(J44&amp;""))-1),코드표!$J$2:$J$101,0))&amp;" "&amp;INDEX(코드표!$G$2:$G$101,MATCH(TRIM(RIGHT(SUBSTITUTE(TRIM(J44&amp;"")," ",REPT(" ",60)),60)),코드표!$F$2:$F$101,0)),"⚠"&amp;TRIM(J44&amp;""))),"⚠"&amp;TRIM(J44&amp;""))</f>
        <v/>
      </c>
      <c r="S44" s="11">
        <f>IF(K44="","",IFERROR(IF(AND(ROUND((VALUE(K44&amp;"")-INT(VALUE(K44&amp;"")))*100,0)&gt;=1,ROUND((VALUE(K44&amp;"")-INT(VALUE(K44&amp;"")))*100,0)&lt;=12,INT(VALUE(K44&amp;""))&gt;=1900),DATE(INT(VALUE(K44&amp;"")),ROUND((VALUE(K44&amp;"")-INT(VALUE(K44&amp;"")))*100,0),1),K44&amp;""),K44&amp;""))</f>
        <v/>
      </c>
      <c r="T44" s="10">
        <f>COUNTIF(M44:R44,"⚠*")</f>
        <v/>
      </c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M45" s="10">
        <f>IFERROR(IF(TRIM(E45&amp;"")="","",IF(AND(ISNUMBER(FIND(" ",TRIM(E45&amp;""))),ISNUMBER(MATCH(LEFT(TRIM(E45&amp;""),FIND(" ",TRIM(E45&amp;""))-1),코드표!$J$2:$J$101,0)),ISNUMBER(MATCH(TRIM(RIGHT(SUBSTITUTE(TRIM(E45&amp;"")," ",REPT(" ",60)),60)),코드표!$F$2:$F$101,0))),INDEX(코드표!$K$2:$K$101,MATCH(LEFT(TRIM(E45&amp;""),FIND(" ",TRIM(E45&amp;""))-1),코드표!$J$2:$J$101,0))&amp;" "&amp;INDEX(코드표!$G$2:$G$101,MATCH(TRIM(RIGHT(SUBSTITUTE(TRIM(E45&amp;"")," ",REPT(" ",60)),60)),코드표!$F$2:$F$101,0)),"⚠"&amp;TRIM(E45&amp;""))),"⚠"&amp;TRIM(E45&amp;""))</f>
        <v/>
      </c>
      <c r="N45" s="10">
        <f>IFERROR(IF(TRIM(F45&amp;"")="","",IF(AND(ISNUMBER(FIND(" ",TRIM(F45&amp;""))),ISNUMBER(MATCH(LEFT(TRIM(F45&amp;""),FIND(" ",TRIM(F45&amp;""))-1),코드표!$J$2:$J$101,0)),ISNUMBER(MATCH(TRIM(RIGHT(SUBSTITUTE(TRIM(F45&amp;"")," ",REPT(" ",60)),60)),코드표!$F$2:$F$101,0))),INDEX(코드표!$K$2:$K$101,MATCH(LEFT(TRIM(F45&amp;""),FIND(" ",TRIM(F45&amp;""))-1),코드표!$J$2:$J$101,0))&amp;" "&amp;INDEX(코드표!$G$2:$G$101,MATCH(TRIM(RIGHT(SUBSTITUTE(TRIM(F45&amp;"")," ",REPT(" ",60)),60)),코드표!$F$2:$F$101,0)),"⚠"&amp;TRIM(F45&amp;""))),"⚠"&amp;TRIM(F45&amp;""))</f>
        <v/>
      </c>
      <c r="O45" s="10">
        <f>IFERROR(IF(TRIM(G45&amp;"")="","",IF(AND(ISNUMBER(FIND(" ",TRIM(G45&amp;""))),ISNUMBER(MATCH(LEFT(TRIM(G45&amp;""),FIND(" ",TRIM(G45&amp;""))-1),코드표!$J$2:$J$101,0)),ISNUMBER(MATCH(TRIM(RIGHT(SUBSTITUTE(TRIM(G45&amp;"")," ",REPT(" ",60)),60)),코드표!$F$2:$F$101,0))),INDEX(코드표!$K$2:$K$101,MATCH(LEFT(TRIM(G45&amp;""),FIND(" ",TRIM(G45&amp;""))-1),코드표!$J$2:$J$101,0))&amp;" "&amp;INDEX(코드표!$G$2:$G$101,MATCH(TRIM(RIGHT(SUBSTITUTE(TRIM(G45&amp;"")," ",REPT(" ",60)),60)),코드표!$F$2:$F$101,0)),"⚠"&amp;TRIM(G45&amp;""))),"⚠"&amp;TRIM(G45&amp;""))</f>
        <v/>
      </c>
      <c r="P45" s="10">
        <f>IFERROR(IF(TRIM(H45&amp;"")="","",IF(AND(ISNUMBER(FIND(" ",TRIM(H45&amp;""))),ISNUMBER(MATCH(LEFT(TRIM(H45&amp;""),FIND(" ",TRIM(H45&amp;""))-1),코드표!$J$2:$J$101,0)),ISNUMBER(MATCH(TRIM(RIGHT(SUBSTITUTE(TRIM(H45&amp;"")," ",REPT(" ",60)),60)),코드표!$F$2:$F$101,0))),INDEX(코드표!$K$2:$K$101,MATCH(LEFT(TRIM(H45&amp;""),FIND(" ",TRIM(H45&amp;""))-1),코드표!$J$2:$J$101,0))&amp;" "&amp;INDEX(코드표!$G$2:$G$101,MATCH(TRIM(RIGHT(SUBSTITUTE(TRIM(H45&amp;"")," ",REPT(" ",60)),60)),코드표!$F$2:$F$101,0)),"⚠"&amp;TRIM(H45&amp;""))),"⚠"&amp;TRIM(H45&amp;""))</f>
        <v/>
      </c>
      <c r="Q45" s="10">
        <f>IFERROR(IF(TRIM(I45&amp;"")="","",IF(AND(ISNUMBER(FIND(" ",TRIM(I45&amp;""))),ISNUMBER(MATCH(LEFT(TRIM(I45&amp;""),FIND(" ",TRIM(I45&amp;""))-1),코드표!$J$2:$J$101,0)),ISNUMBER(MATCH(TRIM(RIGHT(SUBSTITUTE(TRIM(I45&amp;"")," ",REPT(" ",60)),60)),코드표!$F$2:$F$101,0))),INDEX(코드표!$K$2:$K$101,MATCH(LEFT(TRIM(I45&amp;""),FIND(" ",TRIM(I45&amp;""))-1),코드표!$J$2:$J$101,0))&amp;" "&amp;INDEX(코드표!$G$2:$G$101,MATCH(TRIM(RIGHT(SUBSTITUTE(TRIM(I45&amp;"")," ",REPT(" ",60)),60)),코드표!$F$2:$F$101,0)),"⚠"&amp;TRIM(I45&amp;""))),"⚠"&amp;TRIM(I45&amp;""))</f>
        <v/>
      </c>
      <c r="R45" s="10">
        <f>IFERROR(IF(TRIM(J45&amp;"")="","",IF(AND(ISNUMBER(FIND(" ",TRIM(J45&amp;""))),ISNUMBER(MATCH(LEFT(TRIM(J45&amp;""),FIND(" ",TRIM(J45&amp;""))-1),코드표!$J$2:$J$101,0)),ISNUMBER(MATCH(TRIM(RIGHT(SUBSTITUTE(TRIM(J45&amp;"")," ",REPT(" ",60)),60)),코드표!$F$2:$F$101,0))),INDEX(코드표!$K$2:$K$101,MATCH(LEFT(TRIM(J45&amp;""),FIND(" ",TRIM(J45&amp;""))-1),코드표!$J$2:$J$101,0))&amp;" "&amp;INDEX(코드표!$G$2:$G$101,MATCH(TRIM(RIGHT(SUBSTITUTE(TRIM(J45&amp;"")," ",REPT(" ",60)),60)),코드표!$F$2:$F$101,0)),"⚠"&amp;TRIM(J45&amp;""))),"⚠"&amp;TRIM(J45&amp;""))</f>
        <v/>
      </c>
      <c r="S45" s="11">
        <f>IF(K45="","",IFERROR(IF(AND(ROUND((VALUE(K45&amp;"")-INT(VALUE(K45&amp;"")))*100,0)&gt;=1,ROUND((VALUE(K45&amp;"")-INT(VALUE(K45&amp;"")))*100,0)&lt;=12,INT(VALUE(K45&amp;""))&gt;=1900),DATE(INT(VALUE(K45&amp;"")),ROUND((VALUE(K45&amp;"")-INT(VALUE(K45&amp;"")))*100,0),1),K45&amp;""),K45&amp;""))</f>
        <v/>
      </c>
      <c r="T45" s="10">
        <f>COUNTIF(M45:R45,"⚠*")</f>
        <v/>
      </c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M46" s="10">
        <f>IFERROR(IF(TRIM(E46&amp;"")="","",IF(AND(ISNUMBER(FIND(" ",TRIM(E46&amp;""))),ISNUMBER(MATCH(LEFT(TRIM(E46&amp;""),FIND(" ",TRIM(E46&amp;""))-1),코드표!$J$2:$J$101,0)),ISNUMBER(MATCH(TRIM(RIGHT(SUBSTITUTE(TRIM(E46&amp;"")," ",REPT(" ",60)),60)),코드표!$F$2:$F$101,0))),INDEX(코드표!$K$2:$K$101,MATCH(LEFT(TRIM(E46&amp;""),FIND(" ",TRIM(E46&amp;""))-1),코드표!$J$2:$J$101,0))&amp;" "&amp;INDEX(코드표!$G$2:$G$101,MATCH(TRIM(RIGHT(SUBSTITUTE(TRIM(E46&amp;"")," ",REPT(" ",60)),60)),코드표!$F$2:$F$101,0)),"⚠"&amp;TRIM(E46&amp;""))),"⚠"&amp;TRIM(E46&amp;""))</f>
        <v/>
      </c>
      <c r="N46" s="10">
        <f>IFERROR(IF(TRIM(F46&amp;"")="","",IF(AND(ISNUMBER(FIND(" ",TRIM(F46&amp;""))),ISNUMBER(MATCH(LEFT(TRIM(F46&amp;""),FIND(" ",TRIM(F46&amp;""))-1),코드표!$J$2:$J$101,0)),ISNUMBER(MATCH(TRIM(RIGHT(SUBSTITUTE(TRIM(F46&amp;"")," ",REPT(" ",60)),60)),코드표!$F$2:$F$101,0))),INDEX(코드표!$K$2:$K$101,MATCH(LEFT(TRIM(F46&amp;""),FIND(" ",TRIM(F46&amp;""))-1),코드표!$J$2:$J$101,0))&amp;" "&amp;INDEX(코드표!$G$2:$G$101,MATCH(TRIM(RIGHT(SUBSTITUTE(TRIM(F46&amp;"")," ",REPT(" ",60)),60)),코드표!$F$2:$F$101,0)),"⚠"&amp;TRIM(F46&amp;""))),"⚠"&amp;TRIM(F46&amp;""))</f>
        <v/>
      </c>
      <c r="O46" s="10">
        <f>IFERROR(IF(TRIM(G46&amp;"")="","",IF(AND(ISNUMBER(FIND(" ",TRIM(G46&amp;""))),ISNUMBER(MATCH(LEFT(TRIM(G46&amp;""),FIND(" ",TRIM(G46&amp;""))-1),코드표!$J$2:$J$101,0)),ISNUMBER(MATCH(TRIM(RIGHT(SUBSTITUTE(TRIM(G46&amp;"")," ",REPT(" ",60)),60)),코드표!$F$2:$F$101,0))),INDEX(코드표!$K$2:$K$101,MATCH(LEFT(TRIM(G46&amp;""),FIND(" ",TRIM(G46&amp;""))-1),코드표!$J$2:$J$101,0))&amp;" "&amp;INDEX(코드표!$G$2:$G$101,MATCH(TRIM(RIGHT(SUBSTITUTE(TRIM(G46&amp;"")," ",REPT(" ",60)),60)),코드표!$F$2:$F$101,0)),"⚠"&amp;TRIM(G46&amp;""))),"⚠"&amp;TRIM(G46&amp;""))</f>
        <v/>
      </c>
      <c r="P46" s="10">
        <f>IFERROR(IF(TRIM(H46&amp;"")="","",IF(AND(ISNUMBER(FIND(" ",TRIM(H46&amp;""))),ISNUMBER(MATCH(LEFT(TRIM(H46&amp;""),FIND(" ",TRIM(H46&amp;""))-1),코드표!$J$2:$J$101,0)),ISNUMBER(MATCH(TRIM(RIGHT(SUBSTITUTE(TRIM(H46&amp;"")," ",REPT(" ",60)),60)),코드표!$F$2:$F$101,0))),INDEX(코드표!$K$2:$K$101,MATCH(LEFT(TRIM(H46&amp;""),FIND(" ",TRIM(H46&amp;""))-1),코드표!$J$2:$J$101,0))&amp;" "&amp;INDEX(코드표!$G$2:$G$101,MATCH(TRIM(RIGHT(SUBSTITUTE(TRIM(H46&amp;"")," ",REPT(" ",60)),60)),코드표!$F$2:$F$101,0)),"⚠"&amp;TRIM(H46&amp;""))),"⚠"&amp;TRIM(H46&amp;""))</f>
        <v/>
      </c>
      <c r="Q46" s="10">
        <f>IFERROR(IF(TRIM(I46&amp;"")="","",IF(AND(ISNUMBER(FIND(" ",TRIM(I46&amp;""))),ISNUMBER(MATCH(LEFT(TRIM(I46&amp;""),FIND(" ",TRIM(I46&amp;""))-1),코드표!$J$2:$J$101,0)),ISNUMBER(MATCH(TRIM(RIGHT(SUBSTITUTE(TRIM(I46&amp;"")," ",REPT(" ",60)),60)),코드표!$F$2:$F$101,0))),INDEX(코드표!$K$2:$K$101,MATCH(LEFT(TRIM(I46&amp;""),FIND(" ",TRIM(I46&amp;""))-1),코드표!$J$2:$J$101,0))&amp;" "&amp;INDEX(코드표!$G$2:$G$101,MATCH(TRIM(RIGHT(SUBSTITUTE(TRIM(I46&amp;"")," ",REPT(" ",60)),60)),코드표!$F$2:$F$101,0)),"⚠"&amp;TRIM(I46&amp;""))),"⚠"&amp;TRIM(I46&amp;""))</f>
        <v/>
      </c>
      <c r="R46" s="10">
        <f>IFERROR(IF(TRIM(J46&amp;"")="","",IF(AND(ISNUMBER(FIND(" ",TRIM(J46&amp;""))),ISNUMBER(MATCH(LEFT(TRIM(J46&amp;""),FIND(" ",TRIM(J46&amp;""))-1),코드표!$J$2:$J$101,0)),ISNUMBER(MATCH(TRIM(RIGHT(SUBSTITUTE(TRIM(J46&amp;"")," ",REPT(" ",60)),60)),코드표!$F$2:$F$101,0))),INDEX(코드표!$K$2:$K$101,MATCH(LEFT(TRIM(J46&amp;""),FIND(" ",TRIM(J46&amp;""))-1),코드표!$J$2:$J$101,0))&amp;" "&amp;INDEX(코드표!$G$2:$G$101,MATCH(TRIM(RIGHT(SUBSTITUTE(TRIM(J46&amp;"")," ",REPT(" ",60)),60)),코드표!$F$2:$F$101,0)),"⚠"&amp;TRIM(J46&amp;""))),"⚠"&amp;TRIM(J46&amp;""))</f>
        <v/>
      </c>
      <c r="S46" s="11">
        <f>IF(K46="","",IFERROR(IF(AND(ROUND((VALUE(K46&amp;"")-INT(VALUE(K46&amp;"")))*100,0)&gt;=1,ROUND((VALUE(K46&amp;"")-INT(VALUE(K46&amp;"")))*100,0)&lt;=12,INT(VALUE(K46&amp;""))&gt;=1900),DATE(INT(VALUE(K46&amp;"")),ROUND((VALUE(K46&amp;"")-INT(VALUE(K46&amp;"")))*100,0),1),K46&amp;""),K46&amp;""))</f>
        <v/>
      </c>
      <c r="T46" s="10">
        <f>COUNTIF(M46:R46,"⚠*")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M47" s="10">
        <f>IFERROR(IF(TRIM(E47&amp;"")="","",IF(AND(ISNUMBER(FIND(" ",TRIM(E47&amp;""))),ISNUMBER(MATCH(LEFT(TRIM(E47&amp;""),FIND(" ",TRIM(E47&amp;""))-1),코드표!$J$2:$J$101,0)),ISNUMBER(MATCH(TRIM(RIGHT(SUBSTITUTE(TRIM(E47&amp;"")," ",REPT(" ",60)),60)),코드표!$F$2:$F$101,0))),INDEX(코드표!$K$2:$K$101,MATCH(LEFT(TRIM(E47&amp;""),FIND(" ",TRIM(E47&amp;""))-1),코드표!$J$2:$J$101,0))&amp;" "&amp;INDEX(코드표!$G$2:$G$101,MATCH(TRIM(RIGHT(SUBSTITUTE(TRIM(E47&amp;"")," ",REPT(" ",60)),60)),코드표!$F$2:$F$101,0)),"⚠"&amp;TRIM(E47&amp;""))),"⚠"&amp;TRIM(E47&amp;""))</f>
        <v/>
      </c>
      <c r="N47" s="10">
        <f>IFERROR(IF(TRIM(F47&amp;"")="","",IF(AND(ISNUMBER(FIND(" ",TRIM(F47&amp;""))),ISNUMBER(MATCH(LEFT(TRIM(F47&amp;""),FIND(" ",TRIM(F47&amp;""))-1),코드표!$J$2:$J$101,0)),ISNUMBER(MATCH(TRIM(RIGHT(SUBSTITUTE(TRIM(F47&amp;"")," ",REPT(" ",60)),60)),코드표!$F$2:$F$101,0))),INDEX(코드표!$K$2:$K$101,MATCH(LEFT(TRIM(F47&amp;""),FIND(" ",TRIM(F47&amp;""))-1),코드표!$J$2:$J$101,0))&amp;" "&amp;INDEX(코드표!$G$2:$G$101,MATCH(TRIM(RIGHT(SUBSTITUTE(TRIM(F47&amp;"")," ",REPT(" ",60)),60)),코드표!$F$2:$F$101,0)),"⚠"&amp;TRIM(F47&amp;""))),"⚠"&amp;TRIM(F47&amp;""))</f>
        <v/>
      </c>
      <c r="O47" s="10">
        <f>IFERROR(IF(TRIM(G47&amp;"")="","",IF(AND(ISNUMBER(FIND(" ",TRIM(G47&amp;""))),ISNUMBER(MATCH(LEFT(TRIM(G47&amp;""),FIND(" ",TRIM(G47&amp;""))-1),코드표!$J$2:$J$101,0)),ISNUMBER(MATCH(TRIM(RIGHT(SUBSTITUTE(TRIM(G47&amp;"")," ",REPT(" ",60)),60)),코드표!$F$2:$F$101,0))),INDEX(코드표!$K$2:$K$101,MATCH(LEFT(TRIM(G47&amp;""),FIND(" ",TRIM(G47&amp;""))-1),코드표!$J$2:$J$101,0))&amp;" "&amp;INDEX(코드표!$G$2:$G$101,MATCH(TRIM(RIGHT(SUBSTITUTE(TRIM(G47&amp;"")," ",REPT(" ",60)),60)),코드표!$F$2:$F$101,0)),"⚠"&amp;TRIM(G47&amp;""))),"⚠"&amp;TRIM(G47&amp;""))</f>
        <v/>
      </c>
      <c r="P47" s="10">
        <f>IFERROR(IF(TRIM(H47&amp;"")="","",IF(AND(ISNUMBER(FIND(" ",TRIM(H47&amp;""))),ISNUMBER(MATCH(LEFT(TRIM(H47&amp;""),FIND(" ",TRIM(H47&amp;""))-1),코드표!$J$2:$J$101,0)),ISNUMBER(MATCH(TRIM(RIGHT(SUBSTITUTE(TRIM(H47&amp;"")," ",REPT(" ",60)),60)),코드표!$F$2:$F$101,0))),INDEX(코드표!$K$2:$K$101,MATCH(LEFT(TRIM(H47&amp;""),FIND(" ",TRIM(H47&amp;""))-1),코드표!$J$2:$J$101,0))&amp;" "&amp;INDEX(코드표!$G$2:$G$101,MATCH(TRIM(RIGHT(SUBSTITUTE(TRIM(H47&amp;"")," ",REPT(" ",60)),60)),코드표!$F$2:$F$101,0)),"⚠"&amp;TRIM(H47&amp;""))),"⚠"&amp;TRIM(H47&amp;""))</f>
        <v/>
      </c>
      <c r="Q47" s="10">
        <f>IFERROR(IF(TRIM(I47&amp;"")="","",IF(AND(ISNUMBER(FIND(" ",TRIM(I47&amp;""))),ISNUMBER(MATCH(LEFT(TRIM(I47&amp;""),FIND(" ",TRIM(I47&amp;""))-1),코드표!$J$2:$J$101,0)),ISNUMBER(MATCH(TRIM(RIGHT(SUBSTITUTE(TRIM(I47&amp;"")," ",REPT(" ",60)),60)),코드표!$F$2:$F$101,0))),INDEX(코드표!$K$2:$K$101,MATCH(LEFT(TRIM(I47&amp;""),FIND(" ",TRIM(I47&amp;""))-1),코드표!$J$2:$J$101,0))&amp;" "&amp;INDEX(코드표!$G$2:$G$101,MATCH(TRIM(RIGHT(SUBSTITUTE(TRIM(I47&amp;"")," ",REPT(" ",60)),60)),코드표!$F$2:$F$101,0)),"⚠"&amp;TRIM(I47&amp;""))),"⚠"&amp;TRIM(I47&amp;""))</f>
        <v/>
      </c>
      <c r="R47" s="10">
        <f>IFERROR(IF(TRIM(J47&amp;"")="","",IF(AND(ISNUMBER(FIND(" ",TRIM(J47&amp;""))),ISNUMBER(MATCH(LEFT(TRIM(J47&amp;""),FIND(" ",TRIM(J47&amp;""))-1),코드표!$J$2:$J$101,0)),ISNUMBER(MATCH(TRIM(RIGHT(SUBSTITUTE(TRIM(J47&amp;"")," ",REPT(" ",60)),60)),코드표!$F$2:$F$101,0))),INDEX(코드표!$K$2:$K$101,MATCH(LEFT(TRIM(J47&amp;""),FIND(" ",TRIM(J47&amp;""))-1),코드표!$J$2:$J$101,0))&amp;" "&amp;INDEX(코드표!$G$2:$G$101,MATCH(TRIM(RIGHT(SUBSTITUTE(TRIM(J47&amp;"")," ",REPT(" ",60)),60)),코드표!$F$2:$F$101,0)),"⚠"&amp;TRIM(J47&amp;""))),"⚠"&amp;TRIM(J47&amp;""))</f>
        <v/>
      </c>
      <c r="S47" s="11">
        <f>IF(K47="","",IFERROR(IF(AND(ROUND((VALUE(K47&amp;"")-INT(VALUE(K47&amp;"")))*100,0)&gt;=1,ROUND((VALUE(K47&amp;"")-INT(VALUE(K47&amp;"")))*100,0)&lt;=12,INT(VALUE(K47&amp;""))&gt;=1900),DATE(INT(VALUE(K47&amp;"")),ROUND((VALUE(K47&amp;"")-INT(VALUE(K47&amp;"")))*100,0),1),K47&amp;""),K47&amp;""))</f>
        <v/>
      </c>
      <c r="T47" s="10">
        <f>COUNTIF(M47:R47,"⚠*")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M48" s="10">
        <f>IFERROR(IF(TRIM(E48&amp;"")="","",IF(AND(ISNUMBER(FIND(" ",TRIM(E48&amp;""))),ISNUMBER(MATCH(LEFT(TRIM(E48&amp;""),FIND(" ",TRIM(E48&amp;""))-1),코드표!$J$2:$J$101,0)),ISNUMBER(MATCH(TRIM(RIGHT(SUBSTITUTE(TRIM(E48&amp;"")," ",REPT(" ",60)),60)),코드표!$F$2:$F$101,0))),INDEX(코드표!$K$2:$K$101,MATCH(LEFT(TRIM(E48&amp;""),FIND(" ",TRIM(E48&amp;""))-1),코드표!$J$2:$J$101,0))&amp;" "&amp;INDEX(코드표!$G$2:$G$101,MATCH(TRIM(RIGHT(SUBSTITUTE(TRIM(E48&amp;"")," ",REPT(" ",60)),60)),코드표!$F$2:$F$101,0)),"⚠"&amp;TRIM(E48&amp;""))),"⚠"&amp;TRIM(E48&amp;""))</f>
        <v/>
      </c>
      <c r="N48" s="10">
        <f>IFERROR(IF(TRIM(F48&amp;"")="","",IF(AND(ISNUMBER(FIND(" ",TRIM(F48&amp;""))),ISNUMBER(MATCH(LEFT(TRIM(F48&amp;""),FIND(" ",TRIM(F48&amp;""))-1),코드표!$J$2:$J$101,0)),ISNUMBER(MATCH(TRIM(RIGHT(SUBSTITUTE(TRIM(F48&amp;"")," ",REPT(" ",60)),60)),코드표!$F$2:$F$101,0))),INDEX(코드표!$K$2:$K$101,MATCH(LEFT(TRIM(F48&amp;""),FIND(" ",TRIM(F48&amp;""))-1),코드표!$J$2:$J$101,0))&amp;" "&amp;INDEX(코드표!$G$2:$G$101,MATCH(TRIM(RIGHT(SUBSTITUTE(TRIM(F48&amp;"")," ",REPT(" ",60)),60)),코드표!$F$2:$F$101,0)),"⚠"&amp;TRIM(F48&amp;""))),"⚠"&amp;TRIM(F48&amp;""))</f>
        <v/>
      </c>
      <c r="O48" s="10">
        <f>IFERROR(IF(TRIM(G48&amp;"")="","",IF(AND(ISNUMBER(FIND(" ",TRIM(G48&amp;""))),ISNUMBER(MATCH(LEFT(TRIM(G48&amp;""),FIND(" ",TRIM(G48&amp;""))-1),코드표!$J$2:$J$101,0)),ISNUMBER(MATCH(TRIM(RIGHT(SUBSTITUTE(TRIM(G48&amp;"")," ",REPT(" ",60)),60)),코드표!$F$2:$F$101,0))),INDEX(코드표!$K$2:$K$101,MATCH(LEFT(TRIM(G48&amp;""),FIND(" ",TRIM(G48&amp;""))-1),코드표!$J$2:$J$101,0))&amp;" "&amp;INDEX(코드표!$G$2:$G$101,MATCH(TRIM(RIGHT(SUBSTITUTE(TRIM(G48&amp;"")," ",REPT(" ",60)),60)),코드표!$F$2:$F$101,0)),"⚠"&amp;TRIM(G48&amp;""))),"⚠"&amp;TRIM(G48&amp;""))</f>
        <v/>
      </c>
      <c r="P48" s="10">
        <f>IFERROR(IF(TRIM(H48&amp;"")="","",IF(AND(ISNUMBER(FIND(" ",TRIM(H48&amp;""))),ISNUMBER(MATCH(LEFT(TRIM(H48&amp;""),FIND(" ",TRIM(H48&amp;""))-1),코드표!$J$2:$J$101,0)),ISNUMBER(MATCH(TRIM(RIGHT(SUBSTITUTE(TRIM(H48&amp;"")," ",REPT(" ",60)),60)),코드표!$F$2:$F$101,0))),INDEX(코드표!$K$2:$K$101,MATCH(LEFT(TRIM(H48&amp;""),FIND(" ",TRIM(H48&amp;""))-1),코드표!$J$2:$J$101,0))&amp;" "&amp;INDEX(코드표!$G$2:$G$101,MATCH(TRIM(RIGHT(SUBSTITUTE(TRIM(H48&amp;"")," ",REPT(" ",60)),60)),코드표!$F$2:$F$101,0)),"⚠"&amp;TRIM(H48&amp;""))),"⚠"&amp;TRIM(H48&amp;""))</f>
        <v/>
      </c>
      <c r="Q48" s="10">
        <f>IFERROR(IF(TRIM(I48&amp;"")="","",IF(AND(ISNUMBER(FIND(" ",TRIM(I48&amp;""))),ISNUMBER(MATCH(LEFT(TRIM(I48&amp;""),FIND(" ",TRIM(I48&amp;""))-1),코드표!$J$2:$J$101,0)),ISNUMBER(MATCH(TRIM(RIGHT(SUBSTITUTE(TRIM(I48&amp;"")," ",REPT(" ",60)),60)),코드표!$F$2:$F$101,0))),INDEX(코드표!$K$2:$K$101,MATCH(LEFT(TRIM(I48&amp;""),FIND(" ",TRIM(I48&amp;""))-1),코드표!$J$2:$J$101,0))&amp;" "&amp;INDEX(코드표!$G$2:$G$101,MATCH(TRIM(RIGHT(SUBSTITUTE(TRIM(I48&amp;"")," ",REPT(" ",60)),60)),코드표!$F$2:$F$101,0)),"⚠"&amp;TRIM(I48&amp;""))),"⚠"&amp;TRIM(I48&amp;""))</f>
        <v/>
      </c>
      <c r="R48" s="10">
        <f>IFERROR(IF(TRIM(J48&amp;"")="","",IF(AND(ISNUMBER(FIND(" ",TRIM(J48&amp;""))),ISNUMBER(MATCH(LEFT(TRIM(J48&amp;""),FIND(" ",TRIM(J48&amp;""))-1),코드표!$J$2:$J$101,0)),ISNUMBER(MATCH(TRIM(RIGHT(SUBSTITUTE(TRIM(J48&amp;"")," ",REPT(" ",60)),60)),코드표!$F$2:$F$101,0))),INDEX(코드표!$K$2:$K$101,MATCH(LEFT(TRIM(J48&amp;""),FIND(" ",TRIM(J48&amp;""))-1),코드표!$J$2:$J$101,0))&amp;" "&amp;INDEX(코드표!$G$2:$G$101,MATCH(TRIM(RIGHT(SUBSTITUTE(TRIM(J48&amp;"")," ",REPT(" ",60)),60)),코드표!$F$2:$F$101,0)),"⚠"&amp;TRIM(J48&amp;""))),"⚠"&amp;TRIM(J48&amp;""))</f>
        <v/>
      </c>
      <c r="S48" s="11">
        <f>IF(K48="","",IFERROR(IF(AND(ROUND((VALUE(K48&amp;"")-INT(VALUE(K48&amp;"")))*100,0)&gt;=1,ROUND((VALUE(K48&amp;"")-INT(VALUE(K48&amp;"")))*100,0)&lt;=12,INT(VALUE(K48&amp;""))&gt;=1900),DATE(INT(VALUE(K48&amp;"")),ROUND((VALUE(K48&amp;"")-INT(VALUE(K48&amp;"")))*100,0),1),K48&amp;""),K48&amp;""))</f>
        <v/>
      </c>
      <c r="T48" s="10">
        <f>COUNTIF(M48:R48,"⚠*")</f>
        <v/>
      </c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M49" s="10">
        <f>IFERROR(IF(TRIM(E49&amp;"")="","",IF(AND(ISNUMBER(FIND(" ",TRIM(E49&amp;""))),ISNUMBER(MATCH(LEFT(TRIM(E49&amp;""),FIND(" ",TRIM(E49&amp;""))-1),코드표!$J$2:$J$101,0)),ISNUMBER(MATCH(TRIM(RIGHT(SUBSTITUTE(TRIM(E49&amp;"")," ",REPT(" ",60)),60)),코드표!$F$2:$F$101,0))),INDEX(코드표!$K$2:$K$101,MATCH(LEFT(TRIM(E49&amp;""),FIND(" ",TRIM(E49&amp;""))-1),코드표!$J$2:$J$101,0))&amp;" "&amp;INDEX(코드표!$G$2:$G$101,MATCH(TRIM(RIGHT(SUBSTITUTE(TRIM(E49&amp;"")," ",REPT(" ",60)),60)),코드표!$F$2:$F$101,0)),"⚠"&amp;TRIM(E49&amp;""))),"⚠"&amp;TRIM(E49&amp;""))</f>
        <v/>
      </c>
      <c r="N49" s="10">
        <f>IFERROR(IF(TRIM(F49&amp;"")="","",IF(AND(ISNUMBER(FIND(" ",TRIM(F49&amp;""))),ISNUMBER(MATCH(LEFT(TRIM(F49&amp;""),FIND(" ",TRIM(F49&amp;""))-1),코드표!$J$2:$J$101,0)),ISNUMBER(MATCH(TRIM(RIGHT(SUBSTITUTE(TRIM(F49&amp;"")," ",REPT(" ",60)),60)),코드표!$F$2:$F$101,0))),INDEX(코드표!$K$2:$K$101,MATCH(LEFT(TRIM(F49&amp;""),FIND(" ",TRIM(F49&amp;""))-1),코드표!$J$2:$J$101,0))&amp;" "&amp;INDEX(코드표!$G$2:$G$101,MATCH(TRIM(RIGHT(SUBSTITUTE(TRIM(F49&amp;"")," ",REPT(" ",60)),60)),코드표!$F$2:$F$101,0)),"⚠"&amp;TRIM(F49&amp;""))),"⚠"&amp;TRIM(F49&amp;""))</f>
        <v/>
      </c>
      <c r="O49" s="10">
        <f>IFERROR(IF(TRIM(G49&amp;"")="","",IF(AND(ISNUMBER(FIND(" ",TRIM(G49&amp;""))),ISNUMBER(MATCH(LEFT(TRIM(G49&amp;""),FIND(" ",TRIM(G49&amp;""))-1),코드표!$J$2:$J$101,0)),ISNUMBER(MATCH(TRIM(RIGHT(SUBSTITUTE(TRIM(G49&amp;"")," ",REPT(" ",60)),60)),코드표!$F$2:$F$101,0))),INDEX(코드표!$K$2:$K$101,MATCH(LEFT(TRIM(G49&amp;""),FIND(" ",TRIM(G49&amp;""))-1),코드표!$J$2:$J$101,0))&amp;" "&amp;INDEX(코드표!$G$2:$G$101,MATCH(TRIM(RIGHT(SUBSTITUTE(TRIM(G49&amp;"")," ",REPT(" ",60)),60)),코드표!$F$2:$F$101,0)),"⚠"&amp;TRIM(G49&amp;""))),"⚠"&amp;TRIM(G49&amp;""))</f>
        <v/>
      </c>
      <c r="P49" s="10">
        <f>IFERROR(IF(TRIM(H49&amp;"")="","",IF(AND(ISNUMBER(FIND(" ",TRIM(H49&amp;""))),ISNUMBER(MATCH(LEFT(TRIM(H49&amp;""),FIND(" ",TRIM(H49&amp;""))-1),코드표!$J$2:$J$101,0)),ISNUMBER(MATCH(TRIM(RIGHT(SUBSTITUTE(TRIM(H49&amp;"")," ",REPT(" ",60)),60)),코드표!$F$2:$F$101,0))),INDEX(코드표!$K$2:$K$101,MATCH(LEFT(TRIM(H49&amp;""),FIND(" ",TRIM(H49&amp;""))-1),코드표!$J$2:$J$101,0))&amp;" "&amp;INDEX(코드표!$G$2:$G$101,MATCH(TRIM(RIGHT(SUBSTITUTE(TRIM(H49&amp;"")," ",REPT(" ",60)),60)),코드표!$F$2:$F$101,0)),"⚠"&amp;TRIM(H49&amp;""))),"⚠"&amp;TRIM(H49&amp;""))</f>
        <v/>
      </c>
      <c r="Q49" s="10">
        <f>IFERROR(IF(TRIM(I49&amp;"")="","",IF(AND(ISNUMBER(FIND(" ",TRIM(I49&amp;""))),ISNUMBER(MATCH(LEFT(TRIM(I49&amp;""),FIND(" ",TRIM(I49&amp;""))-1),코드표!$J$2:$J$101,0)),ISNUMBER(MATCH(TRIM(RIGHT(SUBSTITUTE(TRIM(I49&amp;"")," ",REPT(" ",60)),60)),코드표!$F$2:$F$101,0))),INDEX(코드표!$K$2:$K$101,MATCH(LEFT(TRIM(I49&amp;""),FIND(" ",TRIM(I49&amp;""))-1),코드표!$J$2:$J$101,0))&amp;" "&amp;INDEX(코드표!$G$2:$G$101,MATCH(TRIM(RIGHT(SUBSTITUTE(TRIM(I49&amp;"")," ",REPT(" ",60)),60)),코드표!$F$2:$F$101,0)),"⚠"&amp;TRIM(I49&amp;""))),"⚠"&amp;TRIM(I49&amp;""))</f>
        <v/>
      </c>
      <c r="R49" s="10">
        <f>IFERROR(IF(TRIM(J49&amp;"")="","",IF(AND(ISNUMBER(FIND(" ",TRIM(J49&amp;""))),ISNUMBER(MATCH(LEFT(TRIM(J49&amp;""),FIND(" ",TRIM(J49&amp;""))-1),코드표!$J$2:$J$101,0)),ISNUMBER(MATCH(TRIM(RIGHT(SUBSTITUTE(TRIM(J49&amp;"")," ",REPT(" ",60)),60)),코드표!$F$2:$F$101,0))),INDEX(코드표!$K$2:$K$101,MATCH(LEFT(TRIM(J49&amp;""),FIND(" ",TRIM(J49&amp;""))-1),코드표!$J$2:$J$101,0))&amp;" "&amp;INDEX(코드표!$G$2:$G$101,MATCH(TRIM(RIGHT(SUBSTITUTE(TRIM(J49&amp;"")," ",REPT(" ",60)),60)),코드표!$F$2:$F$101,0)),"⚠"&amp;TRIM(J49&amp;""))),"⚠"&amp;TRIM(J49&amp;""))</f>
        <v/>
      </c>
      <c r="S49" s="11">
        <f>IF(K49="","",IFERROR(IF(AND(ROUND((VALUE(K49&amp;"")-INT(VALUE(K49&amp;"")))*100,0)&gt;=1,ROUND((VALUE(K49&amp;"")-INT(VALUE(K49&amp;"")))*100,0)&lt;=12,INT(VALUE(K49&amp;""))&gt;=1900),DATE(INT(VALUE(K49&amp;"")),ROUND((VALUE(K49&amp;"")-INT(VALUE(K49&amp;"")))*100,0),1),K49&amp;""),K49&amp;""))</f>
        <v/>
      </c>
      <c r="T49" s="10">
        <f>COUNTIF(M49:R49,"⚠*")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M50" s="10">
        <f>IFERROR(IF(TRIM(E50&amp;"")="","",IF(AND(ISNUMBER(FIND(" ",TRIM(E50&amp;""))),ISNUMBER(MATCH(LEFT(TRIM(E50&amp;""),FIND(" ",TRIM(E50&amp;""))-1),코드표!$J$2:$J$101,0)),ISNUMBER(MATCH(TRIM(RIGHT(SUBSTITUTE(TRIM(E50&amp;"")," ",REPT(" ",60)),60)),코드표!$F$2:$F$101,0))),INDEX(코드표!$K$2:$K$101,MATCH(LEFT(TRIM(E50&amp;""),FIND(" ",TRIM(E50&amp;""))-1),코드표!$J$2:$J$101,0))&amp;" "&amp;INDEX(코드표!$G$2:$G$101,MATCH(TRIM(RIGHT(SUBSTITUTE(TRIM(E50&amp;"")," ",REPT(" ",60)),60)),코드표!$F$2:$F$101,0)),"⚠"&amp;TRIM(E50&amp;""))),"⚠"&amp;TRIM(E50&amp;""))</f>
        <v/>
      </c>
      <c r="N50" s="10">
        <f>IFERROR(IF(TRIM(F50&amp;"")="","",IF(AND(ISNUMBER(FIND(" ",TRIM(F50&amp;""))),ISNUMBER(MATCH(LEFT(TRIM(F50&amp;""),FIND(" ",TRIM(F50&amp;""))-1),코드표!$J$2:$J$101,0)),ISNUMBER(MATCH(TRIM(RIGHT(SUBSTITUTE(TRIM(F50&amp;"")," ",REPT(" ",60)),60)),코드표!$F$2:$F$101,0))),INDEX(코드표!$K$2:$K$101,MATCH(LEFT(TRIM(F50&amp;""),FIND(" ",TRIM(F50&amp;""))-1),코드표!$J$2:$J$101,0))&amp;" "&amp;INDEX(코드표!$G$2:$G$101,MATCH(TRIM(RIGHT(SUBSTITUTE(TRIM(F50&amp;"")," ",REPT(" ",60)),60)),코드표!$F$2:$F$101,0)),"⚠"&amp;TRIM(F50&amp;""))),"⚠"&amp;TRIM(F50&amp;""))</f>
        <v/>
      </c>
      <c r="O50" s="10">
        <f>IFERROR(IF(TRIM(G50&amp;"")="","",IF(AND(ISNUMBER(FIND(" ",TRIM(G50&amp;""))),ISNUMBER(MATCH(LEFT(TRIM(G50&amp;""),FIND(" ",TRIM(G50&amp;""))-1),코드표!$J$2:$J$101,0)),ISNUMBER(MATCH(TRIM(RIGHT(SUBSTITUTE(TRIM(G50&amp;"")," ",REPT(" ",60)),60)),코드표!$F$2:$F$101,0))),INDEX(코드표!$K$2:$K$101,MATCH(LEFT(TRIM(G50&amp;""),FIND(" ",TRIM(G50&amp;""))-1),코드표!$J$2:$J$101,0))&amp;" "&amp;INDEX(코드표!$G$2:$G$101,MATCH(TRIM(RIGHT(SUBSTITUTE(TRIM(G50&amp;"")," ",REPT(" ",60)),60)),코드표!$F$2:$F$101,0)),"⚠"&amp;TRIM(G50&amp;""))),"⚠"&amp;TRIM(G50&amp;""))</f>
        <v/>
      </c>
      <c r="P50" s="10">
        <f>IFERROR(IF(TRIM(H50&amp;"")="","",IF(AND(ISNUMBER(FIND(" ",TRIM(H50&amp;""))),ISNUMBER(MATCH(LEFT(TRIM(H50&amp;""),FIND(" ",TRIM(H50&amp;""))-1),코드표!$J$2:$J$101,0)),ISNUMBER(MATCH(TRIM(RIGHT(SUBSTITUTE(TRIM(H50&amp;"")," ",REPT(" ",60)),60)),코드표!$F$2:$F$101,0))),INDEX(코드표!$K$2:$K$101,MATCH(LEFT(TRIM(H50&amp;""),FIND(" ",TRIM(H50&amp;""))-1),코드표!$J$2:$J$101,0))&amp;" "&amp;INDEX(코드표!$G$2:$G$101,MATCH(TRIM(RIGHT(SUBSTITUTE(TRIM(H50&amp;"")," ",REPT(" ",60)),60)),코드표!$F$2:$F$101,0)),"⚠"&amp;TRIM(H50&amp;""))),"⚠"&amp;TRIM(H50&amp;""))</f>
        <v/>
      </c>
      <c r="Q50" s="10">
        <f>IFERROR(IF(TRIM(I50&amp;"")="","",IF(AND(ISNUMBER(FIND(" ",TRIM(I50&amp;""))),ISNUMBER(MATCH(LEFT(TRIM(I50&amp;""),FIND(" ",TRIM(I50&amp;""))-1),코드표!$J$2:$J$101,0)),ISNUMBER(MATCH(TRIM(RIGHT(SUBSTITUTE(TRIM(I50&amp;"")," ",REPT(" ",60)),60)),코드표!$F$2:$F$101,0))),INDEX(코드표!$K$2:$K$101,MATCH(LEFT(TRIM(I50&amp;""),FIND(" ",TRIM(I50&amp;""))-1),코드표!$J$2:$J$101,0))&amp;" "&amp;INDEX(코드표!$G$2:$G$101,MATCH(TRIM(RIGHT(SUBSTITUTE(TRIM(I50&amp;"")," ",REPT(" ",60)),60)),코드표!$F$2:$F$101,0)),"⚠"&amp;TRIM(I50&amp;""))),"⚠"&amp;TRIM(I50&amp;""))</f>
        <v/>
      </c>
      <c r="R50" s="10">
        <f>IFERROR(IF(TRIM(J50&amp;"")="","",IF(AND(ISNUMBER(FIND(" ",TRIM(J50&amp;""))),ISNUMBER(MATCH(LEFT(TRIM(J50&amp;""),FIND(" ",TRIM(J50&amp;""))-1),코드표!$J$2:$J$101,0)),ISNUMBER(MATCH(TRIM(RIGHT(SUBSTITUTE(TRIM(J50&amp;"")," ",REPT(" ",60)),60)),코드표!$F$2:$F$101,0))),INDEX(코드표!$K$2:$K$101,MATCH(LEFT(TRIM(J50&amp;""),FIND(" ",TRIM(J50&amp;""))-1),코드표!$J$2:$J$101,0))&amp;" "&amp;INDEX(코드표!$G$2:$G$101,MATCH(TRIM(RIGHT(SUBSTITUTE(TRIM(J50&amp;"")," ",REPT(" ",60)),60)),코드표!$F$2:$F$101,0)),"⚠"&amp;TRIM(J50&amp;""))),"⚠"&amp;TRIM(J50&amp;""))</f>
        <v/>
      </c>
      <c r="S50" s="11">
        <f>IF(K50="","",IFERROR(IF(AND(ROUND((VALUE(K50&amp;"")-INT(VALUE(K50&amp;"")))*100,0)&gt;=1,ROUND((VALUE(K50&amp;"")-INT(VALUE(K50&amp;"")))*100,0)&lt;=12,INT(VALUE(K50&amp;""))&gt;=1900),DATE(INT(VALUE(K50&amp;"")),ROUND((VALUE(K50&amp;"")-INT(VALUE(K50&amp;"")))*100,0),1),K50&amp;""),K50&amp;""))</f>
        <v/>
      </c>
      <c r="T50" s="10">
        <f>COUNTIF(M50:R50,"⚠*")</f>
        <v/>
      </c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M51" s="10">
        <f>IFERROR(IF(TRIM(E51&amp;"")="","",IF(AND(ISNUMBER(FIND(" ",TRIM(E51&amp;""))),ISNUMBER(MATCH(LEFT(TRIM(E51&amp;""),FIND(" ",TRIM(E51&amp;""))-1),코드표!$J$2:$J$101,0)),ISNUMBER(MATCH(TRIM(RIGHT(SUBSTITUTE(TRIM(E51&amp;"")," ",REPT(" ",60)),60)),코드표!$F$2:$F$101,0))),INDEX(코드표!$K$2:$K$101,MATCH(LEFT(TRIM(E51&amp;""),FIND(" ",TRIM(E51&amp;""))-1),코드표!$J$2:$J$101,0))&amp;" "&amp;INDEX(코드표!$G$2:$G$101,MATCH(TRIM(RIGHT(SUBSTITUTE(TRIM(E51&amp;"")," ",REPT(" ",60)),60)),코드표!$F$2:$F$101,0)),"⚠"&amp;TRIM(E51&amp;""))),"⚠"&amp;TRIM(E51&amp;""))</f>
        <v/>
      </c>
      <c r="N51" s="10">
        <f>IFERROR(IF(TRIM(F51&amp;"")="","",IF(AND(ISNUMBER(FIND(" ",TRIM(F51&amp;""))),ISNUMBER(MATCH(LEFT(TRIM(F51&amp;""),FIND(" ",TRIM(F51&amp;""))-1),코드표!$J$2:$J$101,0)),ISNUMBER(MATCH(TRIM(RIGHT(SUBSTITUTE(TRIM(F51&amp;"")," ",REPT(" ",60)),60)),코드표!$F$2:$F$101,0))),INDEX(코드표!$K$2:$K$101,MATCH(LEFT(TRIM(F51&amp;""),FIND(" ",TRIM(F51&amp;""))-1),코드표!$J$2:$J$101,0))&amp;" "&amp;INDEX(코드표!$G$2:$G$101,MATCH(TRIM(RIGHT(SUBSTITUTE(TRIM(F51&amp;"")," ",REPT(" ",60)),60)),코드표!$F$2:$F$101,0)),"⚠"&amp;TRIM(F51&amp;""))),"⚠"&amp;TRIM(F51&amp;""))</f>
        <v/>
      </c>
      <c r="O51" s="10">
        <f>IFERROR(IF(TRIM(G51&amp;"")="","",IF(AND(ISNUMBER(FIND(" ",TRIM(G51&amp;""))),ISNUMBER(MATCH(LEFT(TRIM(G51&amp;""),FIND(" ",TRIM(G51&amp;""))-1),코드표!$J$2:$J$101,0)),ISNUMBER(MATCH(TRIM(RIGHT(SUBSTITUTE(TRIM(G51&amp;"")," ",REPT(" ",60)),60)),코드표!$F$2:$F$101,0))),INDEX(코드표!$K$2:$K$101,MATCH(LEFT(TRIM(G51&amp;""),FIND(" ",TRIM(G51&amp;""))-1),코드표!$J$2:$J$101,0))&amp;" "&amp;INDEX(코드표!$G$2:$G$101,MATCH(TRIM(RIGHT(SUBSTITUTE(TRIM(G51&amp;"")," ",REPT(" ",60)),60)),코드표!$F$2:$F$101,0)),"⚠"&amp;TRIM(G51&amp;""))),"⚠"&amp;TRIM(G51&amp;""))</f>
        <v/>
      </c>
      <c r="P51" s="10">
        <f>IFERROR(IF(TRIM(H51&amp;"")="","",IF(AND(ISNUMBER(FIND(" ",TRIM(H51&amp;""))),ISNUMBER(MATCH(LEFT(TRIM(H51&amp;""),FIND(" ",TRIM(H51&amp;""))-1),코드표!$J$2:$J$101,0)),ISNUMBER(MATCH(TRIM(RIGHT(SUBSTITUTE(TRIM(H51&amp;"")," ",REPT(" ",60)),60)),코드표!$F$2:$F$101,0))),INDEX(코드표!$K$2:$K$101,MATCH(LEFT(TRIM(H51&amp;""),FIND(" ",TRIM(H51&amp;""))-1),코드표!$J$2:$J$101,0))&amp;" "&amp;INDEX(코드표!$G$2:$G$101,MATCH(TRIM(RIGHT(SUBSTITUTE(TRIM(H51&amp;"")," ",REPT(" ",60)),60)),코드표!$F$2:$F$101,0)),"⚠"&amp;TRIM(H51&amp;""))),"⚠"&amp;TRIM(H51&amp;""))</f>
        <v/>
      </c>
      <c r="Q51" s="10">
        <f>IFERROR(IF(TRIM(I51&amp;"")="","",IF(AND(ISNUMBER(FIND(" ",TRIM(I51&amp;""))),ISNUMBER(MATCH(LEFT(TRIM(I51&amp;""),FIND(" ",TRIM(I51&amp;""))-1),코드표!$J$2:$J$101,0)),ISNUMBER(MATCH(TRIM(RIGHT(SUBSTITUTE(TRIM(I51&amp;"")," ",REPT(" ",60)),60)),코드표!$F$2:$F$101,0))),INDEX(코드표!$K$2:$K$101,MATCH(LEFT(TRIM(I51&amp;""),FIND(" ",TRIM(I51&amp;""))-1),코드표!$J$2:$J$101,0))&amp;" "&amp;INDEX(코드표!$G$2:$G$101,MATCH(TRIM(RIGHT(SUBSTITUTE(TRIM(I51&amp;"")," ",REPT(" ",60)),60)),코드표!$F$2:$F$101,0)),"⚠"&amp;TRIM(I51&amp;""))),"⚠"&amp;TRIM(I51&amp;""))</f>
        <v/>
      </c>
      <c r="R51" s="10">
        <f>IFERROR(IF(TRIM(J51&amp;"")="","",IF(AND(ISNUMBER(FIND(" ",TRIM(J51&amp;""))),ISNUMBER(MATCH(LEFT(TRIM(J51&amp;""),FIND(" ",TRIM(J51&amp;""))-1),코드표!$J$2:$J$101,0)),ISNUMBER(MATCH(TRIM(RIGHT(SUBSTITUTE(TRIM(J51&amp;"")," ",REPT(" ",60)),60)),코드표!$F$2:$F$101,0))),INDEX(코드표!$K$2:$K$101,MATCH(LEFT(TRIM(J51&amp;""),FIND(" ",TRIM(J51&amp;""))-1),코드표!$J$2:$J$101,0))&amp;" "&amp;INDEX(코드표!$G$2:$G$101,MATCH(TRIM(RIGHT(SUBSTITUTE(TRIM(J51&amp;"")," ",REPT(" ",60)),60)),코드표!$F$2:$F$101,0)),"⚠"&amp;TRIM(J51&amp;""))),"⚠"&amp;TRIM(J51&amp;""))</f>
        <v/>
      </c>
      <c r="S51" s="11">
        <f>IF(K51="","",IFERROR(IF(AND(ROUND((VALUE(K51&amp;"")-INT(VALUE(K51&amp;"")))*100,0)&gt;=1,ROUND((VALUE(K51&amp;"")-INT(VALUE(K51&amp;"")))*100,0)&lt;=12,INT(VALUE(K51&amp;""))&gt;=1900),DATE(INT(VALUE(K51&amp;"")),ROUND((VALUE(K51&amp;"")-INT(VALUE(K51&amp;"")))*100,0),1),K51&amp;""),K51&amp;""))</f>
        <v/>
      </c>
      <c r="T51" s="10">
        <f>COUNTIF(M51:R51,"⚠*")</f>
        <v/>
      </c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M52" s="10">
        <f>IFERROR(IF(TRIM(E52&amp;"")="","",IF(AND(ISNUMBER(FIND(" ",TRIM(E52&amp;""))),ISNUMBER(MATCH(LEFT(TRIM(E52&amp;""),FIND(" ",TRIM(E52&amp;""))-1),코드표!$J$2:$J$101,0)),ISNUMBER(MATCH(TRIM(RIGHT(SUBSTITUTE(TRIM(E52&amp;"")," ",REPT(" ",60)),60)),코드표!$F$2:$F$101,0))),INDEX(코드표!$K$2:$K$101,MATCH(LEFT(TRIM(E52&amp;""),FIND(" ",TRIM(E52&amp;""))-1),코드표!$J$2:$J$101,0))&amp;" "&amp;INDEX(코드표!$G$2:$G$101,MATCH(TRIM(RIGHT(SUBSTITUTE(TRIM(E52&amp;"")," ",REPT(" ",60)),60)),코드표!$F$2:$F$101,0)),"⚠"&amp;TRIM(E52&amp;""))),"⚠"&amp;TRIM(E52&amp;""))</f>
        <v/>
      </c>
      <c r="N52" s="10">
        <f>IFERROR(IF(TRIM(F52&amp;"")="","",IF(AND(ISNUMBER(FIND(" ",TRIM(F52&amp;""))),ISNUMBER(MATCH(LEFT(TRIM(F52&amp;""),FIND(" ",TRIM(F52&amp;""))-1),코드표!$J$2:$J$101,0)),ISNUMBER(MATCH(TRIM(RIGHT(SUBSTITUTE(TRIM(F52&amp;"")," ",REPT(" ",60)),60)),코드표!$F$2:$F$101,0))),INDEX(코드표!$K$2:$K$101,MATCH(LEFT(TRIM(F52&amp;""),FIND(" ",TRIM(F52&amp;""))-1),코드표!$J$2:$J$101,0))&amp;" "&amp;INDEX(코드표!$G$2:$G$101,MATCH(TRIM(RIGHT(SUBSTITUTE(TRIM(F52&amp;"")," ",REPT(" ",60)),60)),코드표!$F$2:$F$101,0)),"⚠"&amp;TRIM(F52&amp;""))),"⚠"&amp;TRIM(F52&amp;""))</f>
        <v/>
      </c>
      <c r="O52" s="10">
        <f>IFERROR(IF(TRIM(G52&amp;"")="","",IF(AND(ISNUMBER(FIND(" ",TRIM(G52&amp;""))),ISNUMBER(MATCH(LEFT(TRIM(G52&amp;""),FIND(" ",TRIM(G52&amp;""))-1),코드표!$J$2:$J$101,0)),ISNUMBER(MATCH(TRIM(RIGHT(SUBSTITUTE(TRIM(G52&amp;"")," ",REPT(" ",60)),60)),코드표!$F$2:$F$101,0))),INDEX(코드표!$K$2:$K$101,MATCH(LEFT(TRIM(G52&amp;""),FIND(" ",TRIM(G52&amp;""))-1),코드표!$J$2:$J$101,0))&amp;" "&amp;INDEX(코드표!$G$2:$G$101,MATCH(TRIM(RIGHT(SUBSTITUTE(TRIM(G52&amp;"")," ",REPT(" ",60)),60)),코드표!$F$2:$F$101,0)),"⚠"&amp;TRIM(G52&amp;""))),"⚠"&amp;TRIM(G52&amp;""))</f>
        <v/>
      </c>
      <c r="P52" s="10">
        <f>IFERROR(IF(TRIM(H52&amp;"")="","",IF(AND(ISNUMBER(FIND(" ",TRIM(H52&amp;""))),ISNUMBER(MATCH(LEFT(TRIM(H52&amp;""),FIND(" ",TRIM(H52&amp;""))-1),코드표!$J$2:$J$101,0)),ISNUMBER(MATCH(TRIM(RIGHT(SUBSTITUTE(TRIM(H52&amp;"")," ",REPT(" ",60)),60)),코드표!$F$2:$F$101,0))),INDEX(코드표!$K$2:$K$101,MATCH(LEFT(TRIM(H52&amp;""),FIND(" ",TRIM(H52&amp;""))-1),코드표!$J$2:$J$101,0))&amp;" "&amp;INDEX(코드표!$G$2:$G$101,MATCH(TRIM(RIGHT(SUBSTITUTE(TRIM(H52&amp;"")," ",REPT(" ",60)),60)),코드표!$F$2:$F$101,0)),"⚠"&amp;TRIM(H52&amp;""))),"⚠"&amp;TRIM(H52&amp;""))</f>
        <v/>
      </c>
      <c r="Q52" s="10">
        <f>IFERROR(IF(TRIM(I52&amp;"")="","",IF(AND(ISNUMBER(FIND(" ",TRIM(I52&amp;""))),ISNUMBER(MATCH(LEFT(TRIM(I52&amp;""),FIND(" ",TRIM(I52&amp;""))-1),코드표!$J$2:$J$101,0)),ISNUMBER(MATCH(TRIM(RIGHT(SUBSTITUTE(TRIM(I52&amp;"")," ",REPT(" ",60)),60)),코드표!$F$2:$F$101,0))),INDEX(코드표!$K$2:$K$101,MATCH(LEFT(TRIM(I52&amp;""),FIND(" ",TRIM(I52&amp;""))-1),코드표!$J$2:$J$101,0))&amp;" "&amp;INDEX(코드표!$G$2:$G$101,MATCH(TRIM(RIGHT(SUBSTITUTE(TRIM(I52&amp;"")," ",REPT(" ",60)),60)),코드표!$F$2:$F$101,0)),"⚠"&amp;TRIM(I52&amp;""))),"⚠"&amp;TRIM(I52&amp;""))</f>
        <v/>
      </c>
      <c r="R52" s="10">
        <f>IFERROR(IF(TRIM(J52&amp;"")="","",IF(AND(ISNUMBER(FIND(" ",TRIM(J52&amp;""))),ISNUMBER(MATCH(LEFT(TRIM(J52&amp;""),FIND(" ",TRIM(J52&amp;""))-1),코드표!$J$2:$J$101,0)),ISNUMBER(MATCH(TRIM(RIGHT(SUBSTITUTE(TRIM(J52&amp;"")," ",REPT(" ",60)),60)),코드표!$F$2:$F$101,0))),INDEX(코드표!$K$2:$K$101,MATCH(LEFT(TRIM(J52&amp;""),FIND(" ",TRIM(J52&amp;""))-1),코드표!$J$2:$J$101,0))&amp;" "&amp;INDEX(코드표!$G$2:$G$101,MATCH(TRIM(RIGHT(SUBSTITUTE(TRIM(J52&amp;"")," ",REPT(" ",60)),60)),코드표!$F$2:$F$101,0)),"⚠"&amp;TRIM(J52&amp;""))),"⚠"&amp;TRIM(J52&amp;""))</f>
        <v/>
      </c>
      <c r="S52" s="11">
        <f>IF(K52="","",IFERROR(IF(AND(ROUND((VALUE(K52&amp;"")-INT(VALUE(K52&amp;"")))*100,0)&gt;=1,ROUND((VALUE(K52&amp;"")-INT(VALUE(K52&amp;"")))*100,0)&lt;=12,INT(VALUE(K52&amp;""))&gt;=1900),DATE(INT(VALUE(K52&amp;"")),ROUND((VALUE(K52&amp;"")-INT(VALUE(K52&amp;"")))*100,0),1),K52&amp;""),K52&amp;""))</f>
        <v/>
      </c>
      <c r="T52" s="10">
        <f>COUNTIF(M52:R52,"⚠*")</f>
        <v/>
      </c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M53" s="10">
        <f>IFERROR(IF(TRIM(E53&amp;"")="","",IF(AND(ISNUMBER(FIND(" ",TRIM(E53&amp;""))),ISNUMBER(MATCH(LEFT(TRIM(E53&amp;""),FIND(" ",TRIM(E53&amp;""))-1),코드표!$J$2:$J$101,0)),ISNUMBER(MATCH(TRIM(RIGHT(SUBSTITUTE(TRIM(E53&amp;"")," ",REPT(" ",60)),60)),코드표!$F$2:$F$101,0))),INDEX(코드표!$K$2:$K$101,MATCH(LEFT(TRIM(E53&amp;""),FIND(" ",TRIM(E53&amp;""))-1),코드표!$J$2:$J$101,0))&amp;" "&amp;INDEX(코드표!$G$2:$G$101,MATCH(TRIM(RIGHT(SUBSTITUTE(TRIM(E53&amp;"")," ",REPT(" ",60)),60)),코드표!$F$2:$F$101,0)),"⚠"&amp;TRIM(E53&amp;""))),"⚠"&amp;TRIM(E53&amp;""))</f>
        <v/>
      </c>
      <c r="N53" s="10">
        <f>IFERROR(IF(TRIM(F53&amp;"")="","",IF(AND(ISNUMBER(FIND(" ",TRIM(F53&amp;""))),ISNUMBER(MATCH(LEFT(TRIM(F53&amp;""),FIND(" ",TRIM(F53&amp;""))-1),코드표!$J$2:$J$101,0)),ISNUMBER(MATCH(TRIM(RIGHT(SUBSTITUTE(TRIM(F53&amp;"")," ",REPT(" ",60)),60)),코드표!$F$2:$F$101,0))),INDEX(코드표!$K$2:$K$101,MATCH(LEFT(TRIM(F53&amp;""),FIND(" ",TRIM(F53&amp;""))-1),코드표!$J$2:$J$101,0))&amp;" "&amp;INDEX(코드표!$G$2:$G$101,MATCH(TRIM(RIGHT(SUBSTITUTE(TRIM(F53&amp;"")," ",REPT(" ",60)),60)),코드표!$F$2:$F$101,0)),"⚠"&amp;TRIM(F53&amp;""))),"⚠"&amp;TRIM(F53&amp;""))</f>
        <v/>
      </c>
      <c r="O53" s="10">
        <f>IFERROR(IF(TRIM(G53&amp;"")="","",IF(AND(ISNUMBER(FIND(" ",TRIM(G53&amp;""))),ISNUMBER(MATCH(LEFT(TRIM(G53&amp;""),FIND(" ",TRIM(G53&amp;""))-1),코드표!$J$2:$J$101,0)),ISNUMBER(MATCH(TRIM(RIGHT(SUBSTITUTE(TRIM(G53&amp;"")," ",REPT(" ",60)),60)),코드표!$F$2:$F$101,0))),INDEX(코드표!$K$2:$K$101,MATCH(LEFT(TRIM(G53&amp;""),FIND(" ",TRIM(G53&amp;""))-1),코드표!$J$2:$J$101,0))&amp;" "&amp;INDEX(코드표!$G$2:$G$101,MATCH(TRIM(RIGHT(SUBSTITUTE(TRIM(G53&amp;"")," ",REPT(" ",60)),60)),코드표!$F$2:$F$101,0)),"⚠"&amp;TRIM(G53&amp;""))),"⚠"&amp;TRIM(G53&amp;""))</f>
        <v/>
      </c>
      <c r="P53" s="10">
        <f>IFERROR(IF(TRIM(H53&amp;"")="","",IF(AND(ISNUMBER(FIND(" ",TRIM(H53&amp;""))),ISNUMBER(MATCH(LEFT(TRIM(H53&amp;""),FIND(" ",TRIM(H53&amp;""))-1),코드표!$J$2:$J$101,0)),ISNUMBER(MATCH(TRIM(RIGHT(SUBSTITUTE(TRIM(H53&amp;"")," ",REPT(" ",60)),60)),코드표!$F$2:$F$101,0))),INDEX(코드표!$K$2:$K$101,MATCH(LEFT(TRIM(H53&amp;""),FIND(" ",TRIM(H53&amp;""))-1),코드표!$J$2:$J$101,0))&amp;" "&amp;INDEX(코드표!$G$2:$G$101,MATCH(TRIM(RIGHT(SUBSTITUTE(TRIM(H53&amp;"")," ",REPT(" ",60)),60)),코드표!$F$2:$F$101,0)),"⚠"&amp;TRIM(H53&amp;""))),"⚠"&amp;TRIM(H53&amp;""))</f>
        <v/>
      </c>
      <c r="Q53" s="10">
        <f>IFERROR(IF(TRIM(I53&amp;"")="","",IF(AND(ISNUMBER(FIND(" ",TRIM(I53&amp;""))),ISNUMBER(MATCH(LEFT(TRIM(I53&amp;""),FIND(" ",TRIM(I53&amp;""))-1),코드표!$J$2:$J$101,0)),ISNUMBER(MATCH(TRIM(RIGHT(SUBSTITUTE(TRIM(I53&amp;"")," ",REPT(" ",60)),60)),코드표!$F$2:$F$101,0))),INDEX(코드표!$K$2:$K$101,MATCH(LEFT(TRIM(I53&amp;""),FIND(" ",TRIM(I53&amp;""))-1),코드표!$J$2:$J$101,0))&amp;" "&amp;INDEX(코드표!$G$2:$G$101,MATCH(TRIM(RIGHT(SUBSTITUTE(TRIM(I53&amp;"")," ",REPT(" ",60)),60)),코드표!$F$2:$F$101,0)),"⚠"&amp;TRIM(I53&amp;""))),"⚠"&amp;TRIM(I53&amp;""))</f>
        <v/>
      </c>
      <c r="R53" s="10">
        <f>IFERROR(IF(TRIM(J53&amp;"")="","",IF(AND(ISNUMBER(FIND(" ",TRIM(J53&amp;""))),ISNUMBER(MATCH(LEFT(TRIM(J53&amp;""),FIND(" ",TRIM(J53&amp;""))-1),코드표!$J$2:$J$101,0)),ISNUMBER(MATCH(TRIM(RIGHT(SUBSTITUTE(TRIM(J53&amp;"")," ",REPT(" ",60)),60)),코드표!$F$2:$F$101,0))),INDEX(코드표!$K$2:$K$101,MATCH(LEFT(TRIM(J53&amp;""),FIND(" ",TRIM(J53&amp;""))-1),코드표!$J$2:$J$101,0))&amp;" "&amp;INDEX(코드표!$G$2:$G$101,MATCH(TRIM(RIGHT(SUBSTITUTE(TRIM(J53&amp;"")," ",REPT(" ",60)),60)),코드표!$F$2:$F$101,0)),"⚠"&amp;TRIM(J53&amp;""))),"⚠"&amp;TRIM(J53&amp;""))</f>
        <v/>
      </c>
      <c r="S53" s="11">
        <f>IF(K53="","",IFERROR(IF(AND(ROUND((VALUE(K53&amp;"")-INT(VALUE(K53&amp;"")))*100,0)&gt;=1,ROUND((VALUE(K53&amp;"")-INT(VALUE(K53&amp;"")))*100,0)&lt;=12,INT(VALUE(K53&amp;""))&gt;=1900),DATE(INT(VALUE(K53&amp;"")),ROUND((VALUE(K53&amp;"")-INT(VALUE(K53&amp;"")))*100,0),1),K53&amp;""),K53&amp;""))</f>
        <v/>
      </c>
      <c r="T53" s="10">
        <f>COUNTIF(M53:R53,"⚠*")</f>
        <v/>
      </c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M54" s="10">
        <f>IFERROR(IF(TRIM(E54&amp;"")="","",IF(AND(ISNUMBER(FIND(" ",TRIM(E54&amp;""))),ISNUMBER(MATCH(LEFT(TRIM(E54&amp;""),FIND(" ",TRIM(E54&amp;""))-1),코드표!$J$2:$J$101,0)),ISNUMBER(MATCH(TRIM(RIGHT(SUBSTITUTE(TRIM(E54&amp;"")," ",REPT(" ",60)),60)),코드표!$F$2:$F$101,0))),INDEX(코드표!$K$2:$K$101,MATCH(LEFT(TRIM(E54&amp;""),FIND(" ",TRIM(E54&amp;""))-1),코드표!$J$2:$J$101,0))&amp;" "&amp;INDEX(코드표!$G$2:$G$101,MATCH(TRIM(RIGHT(SUBSTITUTE(TRIM(E54&amp;"")," ",REPT(" ",60)),60)),코드표!$F$2:$F$101,0)),"⚠"&amp;TRIM(E54&amp;""))),"⚠"&amp;TRIM(E54&amp;""))</f>
        <v/>
      </c>
      <c r="N54" s="10">
        <f>IFERROR(IF(TRIM(F54&amp;"")="","",IF(AND(ISNUMBER(FIND(" ",TRIM(F54&amp;""))),ISNUMBER(MATCH(LEFT(TRIM(F54&amp;""),FIND(" ",TRIM(F54&amp;""))-1),코드표!$J$2:$J$101,0)),ISNUMBER(MATCH(TRIM(RIGHT(SUBSTITUTE(TRIM(F54&amp;"")," ",REPT(" ",60)),60)),코드표!$F$2:$F$101,0))),INDEX(코드표!$K$2:$K$101,MATCH(LEFT(TRIM(F54&amp;""),FIND(" ",TRIM(F54&amp;""))-1),코드표!$J$2:$J$101,0))&amp;" "&amp;INDEX(코드표!$G$2:$G$101,MATCH(TRIM(RIGHT(SUBSTITUTE(TRIM(F54&amp;"")," ",REPT(" ",60)),60)),코드표!$F$2:$F$101,0)),"⚠"&amp;TRIM(F54&amp;""))),"⚠"&amp;TRIM(F54&amp;""))</f>
        <v/>
      </c>
      <c r="O54" s="10">
        <f>IFERROR(IF(TRIM(G54&amp;"")="","",IF(AND(ISNUMBER(FIND(" ",TRIM(G54&amp;""))),ISNUMBER(MATCH(LEFT(TRIM(G54&amp;""),FIND(" ",TRIM(G54&amp;""))-1),코드표!$J$2:$J$101,0)),ISNUMBER(MATCH(TRIM(RIGHT(SUBSTITUTE(TRIM(G54&amp;"")," ",REPT(" ",60)),60)),코드표!$F$2:$F$101,0))),INDEX(코드표!$K$2:$K$101,MATCH(LEFT(TRIM(G54&amp;""),FIND(" ",TRIM(G54&amp;""))-1),코드표!$J$2:$J$101,0))&amp;" "&amp;INDEX(코드표!$G$2:$G$101,MATCH(TRIM(RIGHT(SUBSTITUTE(TRIM(G54&amp;"")," ",REPT(" ",60)),60)),코드표!$F$2:$F$101,0)),"⚠"&amp;TRIM(G54&amp;""))),"⚠"&amp;TRIM(G54&amp;""))</f>
        <v/>
      </c>
      <c r="P54" s="10">
        <f>IFERROR(IF(TRIM(H54&amp;"")="","",IF(AND(ISNUMBER(FIND(" ",TRIM(H54&amp;""))),ISNUMBER(MATCH(LEFT(TRIM(H54&amp;""),FIND(" ",TRIM(H54&amp;""))-1),코드표!$J$2:$J$101,0)),ISNUMBER(MATCH(TRIM(RIGHT(SUBSTITUTE(TRIM(H54&amp;"")," ",REPT(" ",60)),60)),코드표!$F$2:$F$101,0))),INDEX(코드표!$K$2:$K$101,MATCH(LEFT(TRIM(H54&amp;""),FIND(" ",TRIM(H54&amp;""))-1),코드표!$J$2:$J$101,0))&amp;" "&amp;INDEX(코드표!$G$2:$G$101,MATCH(TRIM(RIGHT(SUBSTITUTE(TRIM(H54&amp;"")," ",REPT(" ",60)),60)),코드표!$F$2:$F$101,0)),"⚠"&amp;TRIM(H54&amp;""))),"⚠"&amp;TRIM(H54&amp;""))</f>
        <v/>
      </c>
      <c r="Q54" s="10">
        <f>IFERROR(IF(TRIM(I54&amp;"")="","",IF(AND(ISNUMBER(FIND(" ",TRIM(I54&amp;""))),ISNUMBER(MATCH(LEFT(TRIM(I54&amp;""),FIND(" ",TRIM(I54&amp;""))-1),코드표!$J$2:$J$101,0)),ISNUMBER(MATCH(TRIM(RIGHT(SUBSTITUTE(TRIM(I54&amp;"")," ",REPT(" ",60)),60)),코드표!$F$2:$F$101,0))),INDEX(코드표!$K$2:$K$101,MATCH(LEFT(TRIM(I54&amp;""),FIND(" ",TRIM(I54&amp;""))-1),코드표!$J$2:$J$101,0))&amp;" "&amp;INDEX(코드표!$G$2:$G$101,MATCH(TRIM(RIGHT(SUBSTITUTE(TRIM(I54&amp;"")," ",REPT(" ",60)),60)),코드표!$F$2:$F$101,0)),"⚠"&amp;TRIM(I54&amp;""))),"⚠"&amp;TRIM(I54&amp;""))</f>
        <v/>
      </c>
      <c r="R54" s="10">
        <f>IFERROR(IF(TRIM(J54&amp;"")="","",IF(AND(ISNUMBER(FIND(" ",TRIM(J54&amp;""))),ISNUMBER(MATCH(LEFT(TRIM(J54&amp;""),FIND(" ",TRIM(J54&amp;""))-1),코드표!$J$2:$J$101,0)),ISNUMBER(MATCH(TRIM(RIGHT(SUBSTITUTE(TRIM(J54&amp;"")," ",REPT(" ",60)),60)),코드표!$F$2:$F$101,0))),INDEX(코드표!$K$2:$K$101,MATCH(LEFT(TRIM(J54&amp;""),FIND(" ",TRIM(J54&amp;""))-1),코드표!$J$2:$J$101,0))&amp;" "&amp;INDEX(코드표!$G$2:$G$101,MATCH(TRIM(RIGHT(SUBSTITUTE(TRIM(J54&amp;"")," ",REPT(" ",60)),60)),코드표!$F$2:$F$101,0)),"⚠"&amp;TRIM(J54&amp;""))),"⚠"&amp;TRIM(J54&amp;""))</f>
        <v/>
      </c>
      <c r="S54" s="11">
        <f>IF(K54="","",IFERROR(IF(AND(ROUND((VALUE(K54&amp;"")-INT(VALUE(K54&amp;"")))*100,0)&gt;=1,ROUND((VALUE(K54&amp;"")-INT(VALUE(K54&amp;"")))*100,0)&lt;=12,INT(VALUE(K54&amp;""))&gt;=1900),DATE(INT(VALUE(K54&amp;"")),ROUND((VALUE(K54&amp;"")-INT(VALUE(K54&amp;"")))*100,0),1),K54&amp;""),K54&amp;""))</f>
        <v/>
      </c>
      <c r="T54" s="10">
        <f>COUNTIF(M54:R54,"⚠*")</f>
        <v/>
      </c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M55" s="10">
        <f>IFERROR(IF(TRIM(E55&amp;"")="","",IF(AND(ISNUMBER(FIND(" ",TRIM(E55&amp;""))),ISNUMBER(MATCH(LEFT(TRIM(E55&amp;""),FIND(" ",TRIM(E55&amp;""))-1),코드표!$J$2:$J$101,0)),ISNUMBER(MATCH(TRIM(RIGHT(SUBSTITUTE(TRIM(E55&amp;"")," ",REPT(" ",60)),60)),코드표!$F$2:$F$101,0))),INDEX(코드표!$K$2:$K$101,MATCH(LEFT(TRIM(E55&amp;""),FIND(" ",TRIM(E55&amp;""))-1),코드표!$J$2:$J$101,0))&amp;" "&amp;INDEX(코드표!$G$2:$G$101,MATCH(TRIM(RIGHT(SUBSTITUTE(TRIM(E55&amp;"")," ",REPT(" ",60)),60)),코드표!$F$2:$F$101,0)),"⚠"&amp;TRIM(E55&amp;""))),"⚠"&amp;TRIM(E55&amp;""))</f>
        <v/>
      </c>
      <c r="N55" s="10">
        <f>IFERROR(IF(TRIM(F55&amp;"")="","",IF(AND(ISNUMBER(FIND(" ",TRIM(F55&amp;""))),ISNUMBER(MATCH(LEFT(TRIM(F55&amp;""),FIND(" ",TRIM(F55&amp;""))-1),코드표!$J$2:$J$101,0)),ISNUMBER(MATCH(TRIM(RIGHT(SUBSTITUTE(TRIM(F55&amp;"")," ",REPT(" ",60)),60)),코드표!$F$2:$F$101,0))),INDEX(코드표!$K$2:$K$101,MATCH(LEFT(TRIM(F55&amp;""),FIND(" ",TRIM(F55&amp;""))-1),코드표!$J$2:$J$101,0))&amp;" "&amp;INDEX(코드표!$G$2:$G$101,MATCH(TRIM(RIGHT(SUBSTITUTE(TRIM(F55&amp;"")," ",REPT(" ",60)),60)),코드표!$F$2:$F$101,0)),"⚠"&amp;TRIM(F55&amp;""))),"⚠"&amp;TRIM(F55&amp;""))</f>
        <v/>
      </c>
      <c r="O55" s="10">
        <f>IFERROR(IF(TRIM(G55&amp;"")="","",IF(AND(ISNUMBER(FIND(" ",TRIM(G55&amp;""))),ISNUMBER(MATCH(LEFT(TRIM(G55&amp;""),FIND(" ",TRIM(G55&amp;""))-1),코드표!$J$2:$J$101,0)),ISNUMBER(MATCH(TRIM(RIGHT(SUBSTITUTE(TRIM(G55&amp;"")," ",REPT(" ",60)),60)),코드표!$F$2:$F$101,0))),INDEX(코드표!$K$2:$K$101,MATCH(LEFT(TRIM(G55&amp;""),FIND(" ",TRIM(G55&amp;""))-1),코드표!$J$2:$J$101,0))&amp;" "&amp;INDEX(코드표!$G$2:$G$101,MATCH(TRIM(RIGHT(SUBSTITUTE(TRIM(G55&amp;"")," ",REPT(" ",60)),60)),코드표!$F$2:$F$101,0)),"⚠"&amp;TRIM(G55&amp;""))),"⚠"&amp;TRIM(G55&amp;""))</f>
        <v/>
      </c>
      <c r="P55" s="10">
        <f>IFERROR(IF(TRIM(H55&amp;"")="","",IF(AND(ISNUMBER(FIND(" ",TRIM(H55&amp;""))),ISNUMBER(MATCH(LEFT(TRIM(H55&amp;""),FIND(" ",TRIM(H55&amp;""))-1),코드표!$J$2:$J$101,0)),ISNUMBER(MATCH(TRIM(RIGHT(SUBSTITUTE(TRIM(H55&amp;"")," ",REPT(" ",60)),60)),코드표!$F$2:$F$101,0))),INDEX(코드표!$K$2:$K$101,MATCH(LEFT(TRIM(H55&amp;""),FIND(" ",TRIM(H55&amp;""))-1),코드표!$J$2:$J$101,0))&amp;" "&amp;INDEX(코드표!$G$2:$G$101,MATCH(TRIM(RIGHT(SUBSTITUTE(TRIM(H55&amp;"")," ",REPT(" ",60)),60)),코드표!$F$2:$F$101,0)),"⚠"&amp;TRIM(H55&amp;""))),"⚠"&amp;TRIM(H55&amp;""))</f>
        <v/>
      </c>
      <c r="Q55" s="10">
        <f>IFERROR(IF(TRIM(I55&amp;"")="","",IF(AND(ISNUMBER(FIND(" ",TRIM(I55&amp;""))),ISNUMBER(MATCH(LEFT(TRIM(I55&amp;""),FIND(" ",TRIM(I55&amp;""))-1),코드표!$J$2:$J$101,0)),ISNUMBER(MATCH(TRIM(RIGHT(SUBSTITUTE(TRIM(I55&amp;"")," ",REPT(" ",60)),60)),코드표!$F$2:$F$101,0))),INDEX(코드표!$K$2:$K$101,MATCH(LEFT(TRIM(I55&amp;""),FIND(" ",TRIM(I55&amp;""))-1),코드표!$J$2:$J$101,0))&amp;" "&amp;INDEX(코드표!$G$2:$G$101,MATCH(TRIM(RIGHT(SUBSTITUTE(TRIM(I55&amp;"")," ",REPT(" ",60)),60)),코드표!$F$2:$F$101,0)),"⚠"&amp;TRIM(I55&amp;""))),"⚠"&amp;TRIM(I55&amp;""))</f>
        <v/>
      </c>
      <c r="R55" s="10">
        <f>IFERROR(IF(TRIM(J55&amp;"")="","",IF(AND(ISNUMBER(FIND(" ",TRIM(J55&amp;""))),ISNUMBER(MATCH(LEFT(TRIM(J55&amp;""),FIND(" ",TRIM(J55&amp;""))-1),코드표!$J$2:$J$101,0)),ISNUMBER(MATCH(TRIM(RIGHT(SUBSTITUTE(TRIM(J55&amp;"")," ",REPT(" ",60)),60)),코드표!$F$2:$F$101,0))),INDEX(코드표!$K$2:$K$101,MATCH(LEFT(TRIM(J55&amp;""),FIND(" ",TRIM(J55&amp;""))-1),코드표!$J$2:$J$101,0))&amp;" "&amp;INDEX(코드표!$G$2:$G$101,MATCH(TRIM(RIGHT(SUBSTITUTE(TRIM(J55&amp;"")," ",REPT(" ",60)),60)),코드표!$F$2:$F$101,0)),"⚠"&amp;TRIM(J55&amp;""))),"⚠"&amp;TRIM(J55&amp;""))</f>
        <v/>
      </c>
      <c r="S55" s="11">
        <f>IF(K55="","",IFERROR(IF(AND(ROUND((VALUE(K55&amp;"")-INT(VALUE(K55&amp;"")))*100,0)&gt;=1,ROUND((VALUE(K55&amp;"")-INT(VALUE(K55&amp;"")))*100,0)&lt;=12,INT(VALUE(K55&amp;""))&gt;=1900),DATE(INT(VALUE(K55&amp;"")),ROUND((VALUE(K55&amp;"")-INT(VALUE(K55&amp;"")))*100,0),1),K55&amp;""),K55&amp;""))</f>
        <v/>
      </c>
      <c r="T55" s="10">
        <f>COUNTIF(M55:R55,"⚠*")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M56" s="10">
        <f>IFERROR(IF(TRIM(E56&amp;"")="","",IF(AND(ISNUMBER(FIND(" ",TRIM(E56&amp;""))),ISNUMBER(MATCH(LEFT(TRIM(E56&amp;""),FIND(" ",TRIM(E56&amp;""))-1),코드표!$J$2:$J$101,0)),ISNUMBER(MATCH(TRIM(RIGHT(SUBSTITUTE(TRIM(E56&amp;"")," ",REPT(" ",60)),60)),코드표!$F$2:$F$101,0))),INDEX(코드표!$K$2:$K$101,MATCH(LEFT(TRIM(E56&amp;""),FIND(" ",TRIM(E56&amp;""))-1),코드표!$J$2:$J$101,0))&amp;" "&amp;INDEX(코드표!$G$2:$G$101,MATCH(TRIM(RIGHT(SUBSTITUTE(TRIM(E56&amp;"")," ",REPT(" ",60)),60)),코드표!$F$2:$F$101,0)),"⚠"&amp;TRIM(E56&amp;""))),"⚠"&amp;TRIM(E56&amp;""))</f>
        <v/>
      </c>
      <c r="N56" s="10">
        <f>IFERROR(IF(TRIM(F56&amp;"")="","",IF(AND(ISNUMBER(FIND(" ",TRIM(F56&amp;""))),ISNUMBER(MATCH(LEFT(TRIM(F56&amp;""),FIND(" ",TRIM(F56&amp;""))-1),코드표!$J$2:$J$101,0)),ISNUMBER(MATCH(TRIM(RIGHT(SUBSTITUTE(TRIM(F56&amp;"")," ",REPT(" ",60)),60)),코드표!$F$2:$F$101,0))),INDEX(코드표!$K$2:$K$101,MATCH(LEFT(TRIM(F56&amp;""),FIND(" ",TRIM(F56&amp;""))-1),코드표!$J$2:$J$101,0))&amp;" "&amp;INDEX(코드표!$G$2:$G$101,MATCH(TRIM(RIGHT(SUBSTITUTE(TRIM(F56&amp;"")," ",REPT(" ",60)),60)),코드표!$F$2:$F$101,0)),"⚠"&amp;TRIM(F56&amp;""))),"⚠"&amp;TRIM(F56&amp;""))</f>
        <v/>
      </c>
      <c r="O56" s="10">
        <f>IFERROR(IF(TRIM(G56&amp;"")="","",IF(AND(ISNUMBER(FIND(" ",TRIM(G56&amp;""))),ISNUMBER(MATCH(LEFT(TRIM(G56&amp;""),FIND(" ",TRIM(G56&amp;""))-1),코드표!$J$2:$J$101,0)),ISNUMBER(MATCH(TRIM(RIGHT(SUBSTITUTE(TRIM(G56&amp;"")," ",REPT(" ",60)),60)),코드표!$F$2:$F$101,0))),INDEX(코드표!$K$2:$K$101,MATCH(LEFT(TRIM(G56&amp;""),FIND(" ",TRIM(G56&amp;""))-1),코드표!$J$2:$J$101,0))&amp;" "&amp;INDEX(코드표!$G$2:$G$101,MATCH(TRIM(RIGHT(SUBSTITUTE(TRIM(G56&amp;"")," ",REPT(" ",60)),60)),코드표!$F$2:$F$101,0)),"⚠"&amp;TRIM(G56&amp;""))),"⚠"&amp;TRIM(G56&amp;""))</f>
        <v/>
      </c>
      <c r="P56" s="10">
        <f>IFERROR(IF(TRIM(H56&amp;"")="","",IF(AND(ISNUMBER(FIND(" ",TRIM(H56&amp;""))),ISNUMBER(MATCH(LEFT(TRIM(H56&amp;""),FIND(" ",TRIM(H56&amp;""))-1),코드표!$J$2:$J$101,0)),ISNUMBER(MATCH(TRIM(RIGHT(SUBSTITUTE(TRIM(H56&amp;"")," ",REPT(" ",60)),60)),코드표!$F$2:$F$101,0))),INDEX(코드표!$K$2:$K$101,MATCH(LEFT(TRIM(H56&amp;""),FIND(" ",TRIM(H56&amp;""))-1),코드표!$J$2:$J$101,0))&amp;" "&amp;INDEX(코드표!$G$2:$G$101,MATCH(TRIM(RIGHT(SUBSTITUTE(TRIM(H56&amp;"")," ",REPT(" ",60)),60)),코드표!$F$2:$F$101,0)),"⚠"&amp;TRIM(H56&amp;""))),"⚠"&amp;TRIM(H56&amp;""))</f>
        <v/>
      </c>
      <c r="Q56" s="10">
        <f>IFERROR(IF(TRIM(I56&amp;"")="","",IF(AND(ISNUMBER(FIND(" ",TRIM(I56&amp;""))),ISNUMBER(MATCH(LEFT(TRIM(I56&amp;""),FIND(" ",TRIM(I56&amp;""))-1),코드표!$J$2:$J$101,0)),ISNUMBER(MATCH(TRIM(RIGHT(SUBSTITUTE(TRIM(I56&amp;"")," ",REPT(" ",60)),60)),코드표!$F$2:$F$101,0))),INDEX(코드표!$K$2:$K$101,MATCH(LEFT(TRIM(I56&amp;""),FIND(" ",TRIM(I56&amp;""))-1),코드표!$J$2:$J$101,0))&amp;" "&amp;INDEX(코드표!$G$2:$G$101,MATCH(TRIM(RIGHT(SUBSTITUTE(TRIM(I56&amp;"")," ",REPT(" ",60)),60)),코드표!$F$2:$F$101,0)),"⚠"&amp;TRIM(I56&amp;""))),"⚠"&amp;TRIM(I56&amp;""))</f>
        <v/>
      </c>
      <c r="R56" s="10">
        <f>IFERROR(IF(TRIM(J56&amp;"")="","",IF(AND(ISNUMBER(FIND(" ",TRIM(J56&amp;""))),ISNUMBER(MATCH(LEFT(TRIM(J56&amp;""),FIND(" ",TRIM(J56&amp;""))-1),코드표!$J$2:$J$101,0)),ISNUMBER(MATCH(TRIM(RIGHT(SUBSTITUTE(TRIM(J56&amp;"")," ",REPT(" ",60)),60)),코드표!$F$2:$F$101,0))),INDEX(코드표!$K$2:$K$101,MATCH(LEFT(TRIM(J56&amp;""),FIND(" ",TRIM(J56&amp;""))-1),코드표!$J$2:$J$101,0))&amp;" "&amp;INDEX(코드표!$G$2:$G$101,MATCH(TRIM(RIGHT(SUBSTITUTE(TRIM(J56&amp;"")," ",REPT(" ",60)),60)),코드표!$F$2:$F$101,0)),"⚠"&amp;TRIM(J56&amp;""))),"⚠"&amp;TRIM(J56&amp;""))</f>
        <v/>
      </c>
      <c r="S56" s="11">
        <f>IF(K56="","",IFERROR(IF(AND(ROUND((VALUE(K56&amp;"")-INT(VALUE(K56&amp;"")))*100,0)&gt;=1,ROUND((VALUE(K56&amp;"")-INT(VALUE(K56&amp;"")))*100,0)&lt;=12,INT(VALUE(K56&amp;""))&gt;=1900),DATE(INT(VALUE(K56&amp;"")),ROUND((VALUE(K56&amp;"")-INT(VALUE(K56&amp;"")))*100,0),1),K56&amp;""),K56&amp;""))</f>
        <v/>
      </c>
      <c r="T56" s="10">
        <f>COUNTIF(M56:R56,"⚠*")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M57" s="10">
        <f>IFERROR(IF(TRIM(E57&amp;"")="","",IF(AND(ISNUMBER(FIND(" ",TRIM(E57&amp;""))),ISNUMBER(MATCH(LEFT(TRIM(E57&amp;""),FIND(" ",TRIM(E57&amp;""))-1),코드표!$J$2:$J$101,0)),ISNUMBER(MATCH(TRIM(RIGHT(SUBSTITUTE(TRIM(E57&amp;"")," ",REPT(" ",60)),60)),코드표!$F$2:$F$101,0))),INDEX(코드표!$K$2:$K$101,MATCH(LEFT(TRIM(E57&amp;""),FIND(" ",TRIM(E57&amp;""))-1),코드표!$J$2:$J$101,0))&amp;" "&amp;INDEX(코드표!$G$2:$G$101,MATCH(TRIM(RIGHT(SUBSTITUTE(TRIM(E57&amp;"")," ",REPT(" ",60)),60)),코드표!$F$2:$F$101,0)),"⚠"&amp;TRIM(E57&amp;""))),"⚠"&amp;TRIM(E57&amp;""))</f>
        <v/>
      </c>
      <c r="N57" s="10">
        <f>IFERROR(IF(TRIM(F57&amp;"")="","",IF(AND(ISNUMBER(FIND(" ",TRIM(F57&amp;""))),ISNUMBER(MATCH(LEFT(TRIM(F57&amp;""),FIND(" ",TRIM(F57&amp;""))-1),코드표!$J$2:$J$101,0)),ISNUMBER(MATCH(TRIM(RIGHT(SUBSTITUTE(TRIM(F57&amp;"")," ",REPT(" ",60)),60)),코드표!$F$2:$F$101,0))),INDEX(코드표!$K$2:$K$101,MATCH(LEFT(TRIM(F57&amp;""),FIND(" ",TRIM(F57&amp;""))-1),코드표!$J$2:$J$101,0))&amp;" "&amp;INDEX(코드표!$G$2:$G$101,MATCH(TRIM(RIGHT(SUBSTITUTE(TRIM(F57&amp;"")," ",REPT(" ",60)),60)),코드표!$F$2:$F$101,0)),"⚠"&amp;TRIM(F57&amp;""))),"⚠"&amp;TRIM(F57&amp;""))</f>
        <v/>
      </c>
      <c r="O57" s="10">
        <f>IFERROR(IF(TRIM(G57&amp;"")="","",IF(AND(ISNUMBER(FIND(" ",TRIM(G57&amp;""))),ISNUMBER(MATCH(LEFT(TRIM(G57&amp;""),FIND(" ",TRIM(G57&amp;""))-1),코드표!$J$2:$J$101,0)),ISNUMBER(MATCH(TRIM(RIGHT(SUBSTITUTE(TRIM(G57&amp;"")," ",REPT(" ",60)),60)),코드표!$F$2:$F$101,0))),INDEX(코드표!$K$2:$K$101,MATCH(LEFT(TRIM(G57&amp;""),FIND(" ",TRIM(G57&amp;""))-1),코드표!$J$2:$J$101,0))&amp;" "&amp;INDEX(코드표!$G$2:$G$101,MATCH(TRIM(RIGHT(SUBSTITUTE(TRIM(G57&amp;"")," ",REPT(" ",60)),60)),코드표!$F$2:$F$101,0)),"⚠"&amp;TRIM(G57&amp;""))),"⚠"&amp;TRIM(G57&amp;""))</f>
        <v/>
      </c>
      <c r="P57" s="10">
        <f>IFERROR(IF(TRIM(H57&amp;"")="","",IF(AND(ISNUMBER(FIND(" ",TRIM(H57&amp;""))),ISNUMBER(MATCH(LEFT(TRIM(H57&amp;""),FIND(" ",TRIM(H57&amp;""))-1),코드표!$J$2:$J$101,0)),ISNUMBER(MATCH(TRIM(RIGHT(SUBSTITUTE(TRIM(H57&amp;"")," ",REPT(" ",60)),60)),코드표!$F$2:$F$101,0))),INDEX(코드표!$K$2:$K$101,MATCH(LEFT(TRIM(H57&amp;""),FIND(" ",TRIM(H57&amp;""))-1),코드표!$J$2:$J$101,0))&amp;" "&amp;INDEX(코드표!$G$2:$G$101,MATCH(TRIM(RIGHT(SUBSTITUTE(TRIM(H57&amp;"")," ",REPT(" ",60)),60)),코드표!$F$2:$F$101,0)),"⚠"&amp;TRIM(H57&amp;""))),"⚠"&amp;TRIM(H57&amp;""))</f>
        <v/>
      </c>
      <c r="Q57" s="10">
        <f>IFERROR(IF(TRIM(I57&amp;"")="","",IF(AND(ISNUMBER(FIND(" ",TRIM(I57&amp;""))),ISNUMBER(MATCH(LEFT(TRIM(I57&amp;""),FIND(" ",TRIM(I57&amp;""))-1),코드표!$J$2:$J$101,0)),ISNUMBER(MATCH(TRIM(RIGHT(SUBSTITUTE(TRIM(I57&amp;"")," ",REPT(" ",60)),60)),코드표!$F$2:$F$101,0))),INDEX(코드표!$K$2:$K$101,MATCH(LEFT(TRIM(I57&amp;""),FIND(" ",TRIM(I57&amp;""))-1),코드표!$J$2:$J$101,0))&amp;" "&amp;INDEX(코드표!$G$2:$G$101,MATCH(TRIM(RIGHT(SUBSTITUTE(TRIM(I57&amp;"")," ",REPT(" ",60)),60)),코드표!$F$2:$F$101,0)),"⚠"&amp;TRIM(I57&amp;""))),"⚠"&amp;TRIM(I57&amp;""))</f>
        <v/>
      </c>
      <c r="R57" s="10">
        <f>IFERROR(IF(TRIM(J57&amp;"")="","",IF(AND(ISNUMBER(FIND(" ",TRIM(J57&amp;""))),ISNUMBER(MATCH(LEFT(TRIM(J57&amp;""),FIND(" ",TRIM(J57&amp;""))-1),코드표!$J$2:$J$101,0)),ISNUMBER(MATCH(TRIM(RIGHT(SUBSTITUTE(TRIM(J57&amp;"")," ",REPT(" ",60)),60)),코드표!$F$2:$F$101,0))),INDEX(코드표!$K$2:$K$101,MATCH(LEFT(TRIM(J57&amp;""),FIND(" ",TRIM(J57&amp;""))-1),코드표!$J$2:$J$101,0))&amp;" "&amp;INDEX(코드표!$G$2:$G$101,MATCH(TRIM(RIGHT(SUBSTITUTE(TRIM(J57&amp;"")," ",REPT(" ",60)),60)),코드표!$F$2:$F$101,0)),"⚠"&amp;TRIM(J57&amp;""))),"⚠"&amp;TRIM(J57&amp;""))</f>
        <v/>
      </c>
      <c r="S57" s="11">
        <f>IF(K57="","",IFERROR(IF(AND(ROUND((VALUE(K57&amp;"")-INT(VALUE(K57&amp;"")))*100,0)&gt;=1,ROUND((VALUE(K57&amp;"")-INT(VALUE(K57&amp;"")))*100,0)&lt;=12,INT(VALUE(K57&amp;""))&gt;=1900),DATE(INT(VALUE(K57&amp;"")),ROUND((VALUE(K57&amp;"")-INT(VALUE(K57&amp;"")))*100,0),1),K57&amp;""),K57&amp;""))</f>
        <v/>
      </c>
      <c r="T57" s="10">
        <f>COUNTIF(M57:R57,"⚠*")</f>
        <v/>
      </c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M58" s="10">
        <f>IFERROR(IF(TRIM(E58&amp;"")="","",IF(AND(ISNUMBER(FIND(" ",TRIM(E58&amp;""))),ISNUMBER(MATCH(LEFT(TRIM(E58&amp;""),FIND(" ",TRIM(E58&amp;""))-1),코드표!$J$2:$J$101,0)),ISNUMBER(MATCH(TRIM(RIGHT(SUBSTITUTE(TRIM(E58&amp;"")," ",REPT(" ",60)),60)),코드표!$F$2:$F$101,0))),INDEX(코드표!$K$2:$K$101,MATCH(LEFT(TRIM(E58&amp;""),FIND(" ",TRIM(E58&amp;""))-1),코드표!$J$2:$J$101,0))&amp;" "&amp;INDEX(코드표!$G$2:$G$101,MATCH(TRIM(RIGHT(SUBSTITUTE(TRIM(E58&amp;"")," ",REPT(" ",60)),60)),코드표!$F$2:$F$101,0)),"⚠"&amp;TRIM(E58&amp;""))),"⚠"&amp;TRIM(E58&amp;""))</f>
        <v/>
      </c>
      <c r="N58" s="10">
        <f>IFERROR(IF(TRIM(F58&amp;"")="","",IF(AND(ISNUMBER(FIND(" ",TRIM(F58&amp;""))),ISNUMBER(MATCH(LEFT(TRIM(F58&amp;""),FIND(" ",TRIM(F58&amp;""))-1),코드표!$J$2:$J$101,0)),ISNUMBER(MATCH(TRIM(RIGHT(SUBSTITUTE(TRIM(F58&amp;"")," ",REPT(" ",60)),60)),코드표!$F$2:$F$101,0))),INDEX(코드표!$K$2:$K$101,MATCH(LEFT(TRIM(F58&amp;""),FIND(" ",TRIM(F58&amp;""))-1),코드표!$J$2:$J$101,0))&amp;" "&amp;INDEX(코드표!$G$2:$G$101,MATCH(TRIM(RIGHT(SUBSTITUTE(TRIM(F58&amp;"")," ",REPT(" ",60)),60)),코드표!$F$2:$F$101,0)),"⚠"&amp;TRIM(F58&amp;""))),"⚠"&amp;TRIM(F58&amp;""))</f>
        <v/>
      </c>
      <c r="O58" s="10">
        <f>IFERROR(IF(TRIM(G58&amp;"")="","",IF(AND(ISNUMBER(FIND(" ",TRIM(G58&amp;""))),ISNUMBER(MATCH(LEFT(TRIM(G58&amp;""),FIND(" ",TRIM(G58&amp;""))-1),코드표!$J$2:$J$101,0)),ISNUMBER(MATCH(TRIM(RIGHT(SUBSTITUTE(TRIM(G58&amp;"")," ",REPT(" ",60)),60)),코드표!$F$2:$F$101,0))),INDEX(코드표!$K$2:$K$101,MATCH(LEFT(TRIM(G58&amp;""),FIND(" ",TRIM(G58&amp;""))-1),코드표!$J$2:$J$101,0))&amp;" "&amp;INDEX(코드표!$G$2:$G$101,MATCH(TRIM(RIGHT(SUBSTITUTE(TRIM(G58&amp;"")," ",REPT(" ",60)),60)),코드표!$F$2:$F$101,0)),"⚠"&amp;TRIM(G58&amp;""))),"⚠"&amp;TRIM(G58&amp;""))</f>
        <v/>
      </c>
      <c r="P58" s="10">
        <f>IFERROR(IF(TRIM(H58&amp;"")="","",IF(AND(ISNUMBER(FIND(" ",TRIM(H58&amp;""))),ISNUMBER(MATCH(LEFT(TRIM(H58&amp;""),FIND(" ",TRIM(H58&amp;""))-1),코드표!$J$2:$J$101,0)),ISNUMBER(MATCH(TRIM(RIGHT(SUBSTITUTE(TRIM(H58&amp;"")," ",REPT(" ",60)),60)),코드표!$F$2:$F$101,0))),INDEX(코드표!$K$2:$K$101,MATCH(LEFT(TRIM(H58&amp;""),FIND(" ",TRIM(H58&amp;""))-1),코드표!$J$2:$J$101,0))&amp;" "&amp;INDEX(코드표!$G$2:$G$101,MATCH(TRIM(RIGHT(SUBSTITUTE(TRIM(H58&amp;"")," ",REPT(" ",60)),60)),코드표!$F$2:$F$101,0)),"⚠"&amp;TRIM(H58&amp;""))),"⚠"&amp;TRIM(H58&amp;""))</f>
        <v/>
      </c>
      <c r="Q58" s="10">
        <f>IFERROR(IF(TRIM(I58&amp;"")="","",IF(AND(ISNUMBER(FIND(" ",TRIM(I58&amp;""))),ISNUMBER(MATCH(LEFT(TRIM(I58&amp;""),FIND(" ",TRIM(I58&amp;""))-1),코드표!$J$2:$J$101,0)),ISNUMBER(MATCH(TRIM(RIGHT(SUBSTITUTE(TRIM(I58&amp;"")," ",REPT(" ",60)),60)),코드표!$F$2:$F$101,0))),INDEX(코드표!$K$2:$K$101,MATCH(LEFT(TRIM(I58&amp;""),FIND(" ",TRIM(I58&amp;""))-1),코드표!$J$2:$J$101,0))&amp;" "&amp;INDEX(코드표!$G$2:$G$101,MATCH(TRIM(RIGHT(SUBSTITUTE(TRIM(I58&amp;"")," ",REPT(" ",60)),60)),코드표!$F$2:$F$101,0)),"⚠"&amp;TRIM(I58&amp;""))),"⚠"&amp;TRIM(I58&amp;""))</f>
        <v/>
      </c>
      <c r="R58" s="10">
        <f>IFERROR(IF(TRIM(J58&amp;"")="","",IF(AND(ISNUMBER(FIND(" ",TRIM(J58&amp;""))),ISNUMBER(MATCH(LEFT(TRIM(J58&amp;""),FIND(" ",TRIM(J58&amp;""))-1),코드표!$J$2:$J$101,0)),ISNUMBER(MATCH(TRIM(RIGHT(SUBSTITUTE(TRIM(J58&amp;"")," ",REPT(" ",60)),60)),코드표!$F$2:$F$101,0))),INDEX(코드표!$K$2:$K$101,MATCH(LEFT(TRIM(J58&amp;""),FIND(" ",TRIM(J58&amp;""))-1),코드표!$J$2:$J$101,0))&amp;" "&amp;INDEX(코드표!$G$2:$G$101,MATCH(TRIM(RIGHT(SUBSTITUTE(TRIM(J58&amp;"")," ",REPT(" ",60)),60)),코드표!$F$2:$F$101,0)),"⚠"&amp;TRIM(J58&amp;""))),"⚠"&amp;TRIM(J58&amp;""))</f>
        <v/>
      </c>
      <c r="S58" s="11">
        <f>IF(K58="","",IFERROR(IF(AND(ROUND((VALUE(K58&amp;"")-INT(VALUE(K58&amp;"")))*100,0)&gt;=1,ROUND((VALUE(K58&amp;"")-INT(VALUE(K58&amp;"")))*100,0)&lt;=12,INT(VALUE(K58&amp;""))&gt;=1900),DATE(INT(VALUE(K58&amp;"")),ROUND((VALUE(K58&amp;"")-INT(VALUE(K58&amp;"")))*100,0),1),K58&amp;""),K58&amp;""))</f>
        <v/>
      </c>
      <c r="T58" s="10">
        <f>COUNTIF(M58:R58,"⚠*")</f>
        <v/>
      </c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M59" s="10">
        <f>IFERROR(IF(TRIM(E59&amp;"")="","",IF(AND(ISNUMBER(FIND(" ",TRIM(E59&amp;""))),ISNUMBER(MATCH(LEFT(TRIM(E59&amp;""),FIND(" ",TRIM(E59&amp;""))-1),코드표!$J$2:$J$101,0)),ISNUMBER(MATCH(TRIM(RIGHT(SUBSTITUTE(TRIM(E59&amp;"")," ",REPT(" ",60)),60)),코드표!$F$2:$F$101,0))),INDEX(코드표!$K$2:$K$101,MATCH(LEFT(TRIM(E59&amp;""),FIND(" ",TRIM(E59&amp;""))-1),코드표!$J$2:$J$101,0))&amp;" "&amp;INDEX(코드표!$G$2:$G$101,MATCH(TRIM(RIGHT(SUBSTITUTE(TRIM(E59&amp;"")," ",REPT(" ",60)),60)),코드표!$F$2:$F$101,0)),"⚠"&amp;TRIM(E59&amp;""))),"⚠"&amp;TRIM(E59&amp;""))</f>
        <v/>
      </c>
      <c r="N59" s="10">
        <f>IFERROR(IF(TRIM(F59&amp;"")="","",IF(AND(ISNUMBER(FIND(" ",TRIM(F59&amp;""))),ISNUMBER(MATCH(LEFT(TRIM(F59&amp;""),FIND(" ",TRIM(F59&amp;""))-1),코드표!$J$2:$J$101,0)),ISNUMBER(MATCH(TRIM(RIGHT(SUBSTITUTE(TRIM(F59&amp;"")," ",REPT(" ",60)),60)),코드표!$F$2:$F$101,0))),INDEX(코드표!$K$2:$K$101,MATCH(LEFT(TRIM(F59&amp;""),FIND(" ",TRIM(F59&amp;""))-1),코드표!$J$2:$J$101,0))&amp;" "&amp;INDEX(코드표!$G$2:$G$101,MATCH(TRIM(RIGHT(SUBSTITUTE(TRIM(F59&amp;"")," ",REPT(" ",60)),60)),코드표!$F$2:$F$101,0)),"⚠"&amp;TRIM(F59&amp;""))),"⚠"&amp;TRIM(F59&amp;""))</f>
        <v/>
      </c>
      <c r="O59" s="10">
        <f>IFERROR(IF(TRIM(G59&amp;"")="","",IF(AND(ISNUMBER(FIND(" ",TRIM(G59&amp;""))),ISNUMBER(MATCH(LEFT(TRIM(G59&amp;""),FIND(" ",TRIM(G59&amp;""))-1),코드표!$J$2:$J$101,0)),ISNUMBER(MATCH(TRIM(RIGHT(SUBSTITUTE(TRIM(G59&amp;"")," ",REPT(" ",60)),60)),코드표!$F$2:$F$101,0))),INDEX(코드표!$K$2:$K$101,MATCH(LEFT(TRIM(G59&amp;""),FIND(" ",TRIM(G59&amp;""))-1),코드표!$J$2:$J$101,0))&amp;" "&amp;INDEX(코드표!$G$2:$G$101,MATCH(TRIM(RIGHT(SUBSTITUTE(TRIM(G59&amp;"")," ",REPT(" ",60)),60)),코드표!$F$2:$F$101,0)),"⚠"&amp;TRIM(G59&amp;""))),"⚠"&amp;TRIM(G59&amp;""))</f>
        <v/>
      </c>
      <c r="P59" s="10">
        <f>IFERROR(IF(TRIM(H59&amp;"")="","",IF(AND(ISNUMBER(FIND(" ",TRIM(H59&amp;""))),ISNUMBER(MATCH(LEFT(TRIM(H59&amp;""),FIND(" ",TRIM(H59&amp;""))-1),코드표!$J$2:$J$101,0)),ISNUMBER(MATCH(TRIM(RIGHT(SUBSTITUTE(TRIM(H59&amp;"")," ",REPT(" ",60)),60)),코드표!$F$2:$F$101,0))),INDEX(코드표!$K$2:$K$101,MATCH(LEFT(TRIM(H59&amp;""),FIND(" ",TRIM(H59&amp;""))-1),코드표!$J$2:$J$101,0))&amp;" "&amp;INDEX(코드표!$G$2:$G$101,MATCH(TRIM(RIGHT(SUBSTITUTE(TRIM(H59&amp;"")," ",REPT(" ",60)),60)),코드표!$F$2:$F$101,0)),"⚠"&amp;TRIM(H59&amp;""))),"⚠"&amp;TRIM(H59&amp;""))</f>
        <v/>
      </c>
      <c r="Q59" s="10">
        <f>IFERROR(IF(TRIM(I59&amp;"")="","",IF(AND(ISNUMBER(FIND(" ",TRIM(I59&amp;""))),ISNUMBER(MATCH(LEFT(TRIM(I59&amp;""),FIND(" ",TRIM(I59&amp;""))-1),코드표!$J$2:$J$101,0)),ISNUMBER(MATCH(TRIM(RIGHT(SUBSTITUTE(TRIM(I59&amp;"")," ",REPT(" ",60)),60)),코드표!$F$2:$F$101,0))),INDEX(코드표!$K$2:$K$101,MATCH(LEFT(TRIM(I59&amp;""),FIND(" ",TRIM(I59&amp;""))-1),코드표!$J$2:$J$101,0))&amp;" "&amp;INDEX(코드표!$G$2:$G$101,MATCH(TRIM(RIGHT(SUBSTITUTE(TRIM(I59&amp;"")," ",REPT(" ",60)),60)),코드표!$F$2:$F$101,0)),"⚠"&amp;TRIM(I59&amp;""))),"⚠"&amp;TRIM(I59&amp;""))</f>
        <v/>
      </c>
      <c r="R59" s="10">
        <f>IFERROR(IF(TRIM(J59&amp;"")="","",IF(AND(ISNUMBER(FIND(" ",TRIM(J59&amp;""))),ISNUMBER(MATCH(LEFT(TRIM(J59&amp;""),FIND(" ",TRIM(J59&amp;""))-1),코드표!$J$2:$J$101,0)),ISNUMBER(MATCH(TRIM(RIGHT(SUBSTITUTE(TRIM(J59&amp;"")," ",REPT(" ",60)),60)),코드표!$F$2:$F$101,0))),INDEX(코드표!$K$2:$K$101,MATCH(LEFT(TRIM(J59&amp;""),FIND(" ",TRIM(J59&amp;""))-1),코드표!$J$2:$J$101,0))&amp;" "&amp;INDEX(코드표!$G$2:$G$101,MATCH(TRIM(RIGHT(SUBSTITUTE(TRIM(J59&amp;"")," ",REPT(" ",60)),60)),코드표!$F$2:$F$101,0)),"⚠"&amp;TRIM(J59&amp;""))),"⚠"&amp;TRIM(J59&amp;""))</f>
        <v/>
      </c>
      <c r="S59" s="11">
        <f>IF(K59="","",IFERROR(IF(AND(ROUND((VALUE(K59&amp;"")-INT(VALUE(K59&amp;"")))*100,0)&gt;=1,ROUND((VALUE(K59&amp;"")-INT(VALUE(K59&amp;"")))*100,0)&lt;=12,INT(VALUE(K59&amp;""))&gt;=1900),DATE(INT(VALUE(K59&amp;"")),ROUND((VALUE(K59&amp;"")-INT(VALUE(K59&amp;"")))*100,0),1),K59&amp;""),K59&amp;""))</f>
        <v/>
      </c>
      <c r="T59" s="10">
        <f>COUNTIF(M59:R59,"⚠*")</f>
        <v/>
      </c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M60" s="10">
        <f>IFERROR(IF(TRIM(E60&amp;"")="","",IF(AND(ISNUMBER(FIND(" ",TRIM(E60&amp;""))),ISNUMBER(MATCH(LEFT(TRIM(E60&amp;""),FIND(" ",TRIM(E60&amp;""))-1),코드표!$J$2:$J$101,0)),ISNUMBER(MATCH(TRIM(RIGHT(SUBSTITUTE(TRIM(E60&amp;"")," ",REPT(" ",60)),60)),코드표!$F$2:$F$101,0))),INDEX(코드표!$K$2:$K$101,MATCH(LEFT(TRIM(E60&amp;""),FIND(" ",TRIM(E60&amp;""))-1),코드표!$J$2:$J$101,0))&amp;" "&amp;INDEX(코드표!$G$2:$G$101,MATCH(TRIM(RIGHT(SUBSTITUTE(TRIM(E60&amp;"")," ",REPT(" ",60)),60)),코드표!$F$2:$F$101,0)),"⚠"&amp;TRIM(E60&amp;""))),"⚠"&amp;TRIM(E60&amp;""))</f>
        <v/>
      </c>
      <c r="N60" s="10">
        <f>IFERROR(IF(TRIM(F60&amp;"")="","",IF(AND(ISNUMBER(FIND(" ",TRIM(F60&amp;""))),ISNUMBER(MATCH(LEFT(TRIM(F60&amp;""),FIND(" ",TRIM(F60&amp;""))-1),코드표!$J$2:$J$101,0)),ISNUMBER(MATCH(TRIM(RIGHT(SUBSTITUTE(TRIM(F60&amp;"")," ",REPT(" ",60)),60)),코드표!$F$2:$F$101,0))),INDEX(코드표!$K$2:$K$101,MATCH(LEFT(TRIM(F60&amp;""),FIND(" ",TRIM(F60&amp;""))-1),코드표!$J$2:$J$101,0))&amp;" "&amp;INDEX(코드표!$G$2:$G$101,MATCH(TRIM(RIGHT(SUBSTITUTE(TRIM(F60&amp;"")," ",REPT(" ",60)),60)),코드표!$F$2:$F$101,0)),"⚠"&amp;TRIM(F60&amp;""))),"⚠"&amp;TRIM(F60&amp;""))</f>
        <v/>
      </c>
      <c r="O60" s="10">
        <f>IFERROR(IF(TRIM(G60&amp;"")="","",IF(AND(ISNUMBER(FIND(" ",TRIM(G60&amp;""))),ISNUMBER(MATCH(LEFT(TRIM(G60&amp;""),FIND(" ",TRIM(G60&amp;""))-1),코드표!$J$2:$J$101,0)),ISNUMBER(MATCH(TRIM(RIGHT(SUBSTITUTE(TRIM(G60&amp;"")," ",REPT(" ",60)),60)),코드표!$F$2:$F$101,0))),INDEX(코드표!$K$2:$K$101,MATCH(LEFT(TRIM(G60&amp;""),FIND(" ",TRIM(G60&amp;""))-1),코드표!$J$2:$J$101,0))&amp;" "&amp;INDEX(코드표!$G$2:$G$101,MATCH(TRIM(RIGHT(SUBSTITUTE(TRIM(G60&amp;"")," ",REPT(" ",60)),60)),코드표!$F$2:$F$101,0)),"⚠"&amp;TRIM(G60&amp;""))),"⚠"&amp;TRIM(G60&amp;""))</f>
        <v/>
      </c>
      <c r="P60" s="10">
        <f>IFERROR(IF(TRIM(H60&amp;"")="","",IF(AND(ISNUMBER(FIND(" ",TRIM(H60&amp;""))),ISNUMBER(MATCH(LEFT(TRIM(H60&amp;""),FIND(" ",TRIM(H60&amp;""))-1),코드표!$J$2:$J$101,0)),ISNUMBER(MATCH(TRIM(RIGHT(SUBSTITUTE(TRIM(H60&amp;"")," ",REPT(" ",60)),60)),코드표!$F$2:$F$101,0))),INDEX(코드표!$K$2:$K$101,MATCH(LEFT(TRIM(H60&amp;""),FIND(" ",TRIM(H60&amp;""))-1),코드표!$J$2:$J$101,0))&amp;" "&amp;INDEX(코드표!$G$2:$G$101,MATCH(TRIM(RIGHT(SUBSTITUTE(TRIM(H60&amp;"")," ",REPT(" ",60)),60)),코드표!$F$2:$F$101,0)),"⚠"&amp;TRIM(H60&amp;""))),"⚠"&amp;TRIM(H60&amp;""))</f>
        <v/>
      </c>
      <c r="Q60" s="10">
        <f>IFERROR(IF(TRIM(I60&amp;"")="","",IF(AND(ISNUMBER(FIND(" ",TRIM(I60&amp;""))),ISNUMBER(MATCH(LEFT(TRIM(I60&amp;""),FIND(" ",TRIM(I60&amp;""))-1),코드표!$J$2:$J$101,0)),ISNUMBER(MATCH(TRIM(RIGHT(SUBSTITUTE(TRIM(I60&amp;"")," ",REPT(" ",60)),60)),코드표!$F$2:$F$101,0))),INDEX(코드표!$K$2:$K$101,MATCH(LEFT(TRIM(I60&amp;""),FIND(" ",TRIM(I60&amp;""))-1),코드표!$J$2:$J$101,0))&amp;" "&amp;INDEX(코드표!$G$2:$G$101,MATCH(TRIM(RIGHT(SUBSTITUTE(TRIM(I60&amp;"")," ",REPT(" ",60)),60)),코드표!$F$2:$F$101,0)),"⚠"&amp;TRIM(I60&amp;""))),"⚠"&amp;TRIM(I60&amp;""))</f>
        <v/>
      </c>
      <c r="R60" s="10">
        <f>IFERROR(IF(TRIM(J60&amp;"")="","",IF(AND(ISNUMBER(FIND(" ",TRIM(J60&amp;""))),ISNUMBER(MATCH(LEFT(TRIM(J60&amp;""),FIND(" ",TRIM(J60&amp;""))-1),코드표!$J$2:$J$101,0)),ISNUMBER(MATCH(TRIM(RIGHT(SUBSTITUTE(TRIM(J60&amp;"")," ",REPT(" ",60)),60)),코드표!$F$2:$F$101,0))),INDEX(코드표!$K$2:$K$101,MATCH(LEFT(TRIM(J60&amp;""),FIND(" ",TRIM(J60&amp;""))-1),코드표!$J$2:$J$101,0))&amp;" "&amp;INDEX(코드표!$G$2:$G$101,MATCH(TRIM(RIGHT(SUBSTITUTE(TRIM(J60&amp;"")," ",REPT(" ",60)),60)),코드표!$F$2:$F$101,0)),"⚠"&amp;TRIM(J60&amp;""))),"⚠"&amp;TRIM(J60&amp;""))</f>
        <v/>
      </c>
      <c r="S60" s="11">
        <f>IF(K60="","",IFERROR(IF(AND(ROUND((VALUE(K60&amp;"")-INT(VALUE(K60&amp;"")))*100,0)&gt;=1,ROUND((VALUE(K60&amp;"")-INT(VALUE(K60&amp;"")))*100,0)&lt;=12,INT(VALUE(K60&amp;""))&gt;=1900),DATE(INT(VALUE(K60&amp;"")),ROUND((VALUE(K60&amp;"")-INT(VALUE(K60&amp;"")))*100,0),1),K60&amp;""),K60&amp;""))</f>
        <v/>
      </c>
      <c r="T60" s="10">
        <f>COUNTIF(M60:R60,"⚠*")</f>
        <v/>
      </c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M61" s="10">
        <f>IFERROR(IF(TRIM(E61&amp;"")="","",IF(AND(ISNUMBER(FIND(" ",TRIM(E61&amp;""))),ISNUMBER(MATCH(LEFT(TRIM(E61&amp;""),FIND(" ",TRIM(E61&amp;""))-1),코드표!$J$2:$J$101,0)),ISNUMBER(MATCH(TRIM(RIGHT(SUBSTITUTE(TRIM(E61&amp;"")," ",REPT(" ",60)),60)),코드표!$F$2:$F$101,0))),INDEX(코드표!$K$2:$K$101,MATCH(LEFT(TRIM(E61&amp;""),FIND(" ",TRIM(E61&amp;""))-1),코드표!$J$2:$J$101,0))&amp;" "&amp;INDEX(코드표!$G$2:$G$101,MATCH(TRIM(RIGHT(SUBSTITUTE(TRIM(E61&amp;"")," ",REPT(" ",60)),60)),코드표!$F$2:$F$101,0)),"⚠"&amp;TRIM(E61&amp;""))),"⚠"&amp;TRIM(E61&amp;""))</f>
        <v/>
      </c>
      <c r="N61" s="10">
        <f>IFERROR(IF(TRIM(F61&amp;"")="","",IF(AND(ISNUMBER(FIND(" ",TRIM(F61&amp;""))),ISNUMBER(MATCH(LEFT(TRIM(F61&amp;""),FIND(" ",TRIM(F61&amp;""))-1),코드표!$J$2:$J$101,0)),ISNUMBER(MATCH(TRIM(RIGHT(SUBSTITUTE(TRIM(F61&amp;"")," ",REPT(" ",60)),60)),코드표!$F$2:$F$101,0))),INDEX(코드표!$K$2:$K$101,MATCH(LEFT(TRIM(F61&amp;""),FIND(" ",TRIM(F61&amp;""))-1),코드표!$J$2:$J$101,0))&amp;" "&amp;INDEX(코드표!$G$2:$G$101,MATCH(TRIM(RIGHT(SUBSTITUTE(TRIM(F61&amp;"")," ",REPT(" ",60)),60)),코드표!$F$2:$F$101,0)),"⚠"&amp;TRIM(F61&amp;""))),"⚠"&amp;TRIM(F61&amp;""))</f>
        <v/>
      </c>
      <c r="O61" s="10">
        <f>IFERROR(IF(TRIM(G61&amp;"")="","",IF(AND(ISNUMBER(FIND(" ",TRIM(G61&amp;""))),ISNUMBER(MATCH(LEFT(TRIM(G61&amp;""),FIND(" ",TRIM(G61&amp;""))-1),코드표!$J$2:$J$101,0)),ISNUMBER(MATCH(TRIM(RIGHT(SUBSTITUTE(TRIM(G61&amp;"")," ",REPT(" ",60)),60)),코드표!$F$2:$F$101,0))),INDEX(코드표!$K$2:$K$101,MATCH(LEFT(TRIM(G61&amp;""),FIND(" ",TRIM(G61&amp;""))-1),코드표!$J$2:$J$101,0))&amp;" "&amp;INDEX(코드표!$G$2:$G$101,MATCH(TRIM(RIGHT(SUBSTITUTE(TRIM(G61&amp;"")," ",REPT(" ",60)),60)),코드표!$F$2:$F$101,0)),"⚠"&amp;TRIM(G61&amp;""))),"⚠"&amp;TRIM(G61&amp;""))</f>
        <v/>
      </c>
      <c r="P61" s="10">
        <f>IFERROR(IF(TRIM(H61&amp;"")="","",IF(AND(ISNUMBER(FIND(" ",TRIM(H61&amp;""))),ISNUMBER(MATCH(LEFT(TRIM(H61&amp;""),FIND(" ",TRIM(H61&amp;""))-1),코드표!$J$2:$J$101,0)),ISNUMBER(MATCH(TRIM(RIGHT(SUBSTITUTE(TRIM(H61&amp;"")," ",REPT(" ",60)),60)),코드표!$F$2:$F$101,0))),INDEX(코드표!$K$2:$K$101,MATCH(LEFT(TRIM(H61&amp;""),FIND(" ",TRIM(H61&amp;""))-1),코드표!$J$2:$J$101,0))&amp;" "&amp;INDEX(코드표!$G$2:$G$101,MATCH(TRIM(RIGHT(SUBSTITUTE(TRIM(H61&amp;"")," ",REPT(" ",60)),60)),코드표!$F$2:$F$101,0)),"⚠"&amp;TRIM(H61&amp;""))),"⚠"&amp;TRIM(H61&amp;""))</f>
        <v/>
      </c>
      <c r="Q61" s="10">
        <f>IFERROR(IF(TRIM(I61&amp;"")="","",IF(AND(ISNUMBER(FIND(" ",TRIM(I61&amp;""))),ISNUMBER(MATCH(LEFT(TRIM(I61&amp;""),FIND(" ",TRIM(I61&amp;""))-1),코드표!$J$2:$J$101,0)),ISNUMBER(MATCH(TRIM(RIGHT(SUBSTITUTE(TRIM(I61&amp;"")," ",REPT(" ",60)),60)),코드표!$F$2:$F$101,0))),INDEX(코드표!$K$2:$K$101,MATCH(LEFT(TRIM(I61&amp;""),FIND(" ",TRIM(I61&amp;""))-1),코드표!$J$2:$J$101,0))&amp;" "&amp;INDEX(코드표!$G$2:$G$101,MATCH(TRIM(RIGHT(SUBSTITUTE(TRIM(I61&amp;"")," ",REPT(" ",60)),60)),코드표!$F$2:$F$101,0)),"⚠"&amp;TRIM(I61&amp;""))),"⚠"&amp;TRIM(I61&amp;""))</f>
        <v/>
      </c>
      <c r="R61" s="10">
        <f>IFERROR(IF(TRIM(J61&amp;"")="","",IF(AND(ISNUMBER(FIND(" ",TRIM(J61&amp;""))),ISNUMBER(MATCH(LEFT(TRIM(J61&amp;""),FIND(" ",TRIM(J61&amp;""))-1),코드표!$J$2:$J$101,0)),ISNUMBER(MATCH(TRIM(RIGHT(SUBSTITUTE(TRIM(J61&amp;"")," ",REPT(" ",60)),60)),코드표!$F$2:$F$101,0))),INDEX(코드표!$K$2:$K$101,MATCH(LEFT(TRIM(J61&amp;""),FIND(" ",TRIM(J61&amp;""))-1),코드표!$J$2:$J$101,0))&amp;" "&amp;INDEX(코드표!$G$2:$G$101,MATCH(TRIM(RIGHT(SUBSTITUTE(TRIM(J61&amp;"")," ",REPT(" ",60)),60)),코드표!$F$2:$F$101,0)),"⚠"&amp;TRIM(J61&amp;""))),"⚠"&amp;TRIM(J61&amp;""))</f>
        <v/>
      </c>
      <c r="S61" s="11">
        <f>IF(K61="","",IFERROR(IF(AND(ROUND((VALUE(K61&amp;"")-INT(VALUE(K61&amp;"")))*100,0)&gt;=1,ROUND((VALUE(K61&amp;"")-INT(VALUE(K61&amp;"")))*100,0)&lt;=12,INT(VALUE(K61&amp;""))&gt;=1900),DATE(INT(VALUE(K61&amp;"")),ROUND((VALUE(K61&amp;"")-INT(VALUE(K61&amp;"")))*100,0),1),K61&amp;""),K61&amp;""))</f>
        <v/>
      </c>
      <c r="T61" s="10">
        <f>COUNTIF(M61:R61,"⚠*")</f>
        <v/>
      </c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M62" s="10">
        <f>IFERROR(IF(TRIM(E62&amp;"")="","",IF(AND(ISNUMBER(FIND(" ",TRIM(E62&amp;""))),ISNUMBER(MATCH(LEFT(TRIM(E62&amp;""),FIND(" ",TRIM(E62&amp;""))-1),코드표!$J$2:$J$101,0)),ISNUMBER(MATCH(TRIM(RIGHT(SUBSTITUTE(TRIM(E62&amp;"")," ",REPT(" ",60)),60)),코드표!$F$2:$F$101,0))),INDEX(코드표!$K$2:$K$101,MATCH(LEFT(TRIM(E62&amp;""),FIND(" ",TRIM(E62&amp;""))-1),코드표!$J$2:$J$101,0))&amp;" "&amp;INDEX(코드표!$G$2:$G$101,MATCH(TRIM(RIGHT(SUBSTITUTE(TRIM(E62&amp;"")," ",REPT(" ",60)),60)),코드표!$F$2:$F$101,0)),"⚠"&amp;TRIM(E62&amp;""))),"⚠"&amp;TRIM(E62&amp;""))</f>
        <v/>
      </c>
      <c r="N62" s="10">
        <f>IFERROR(IF(TRIM(F62&amp;"")="","",IF(AND(ISNUMBER(FIND(" ",TRIM(F62&amp;""))),ISNUMBER(MATCH(LEFT(TRIM(F62&amp;""),FIND(" ",TRIM(F62&amp;""))-1),코드표!$J$2:$J$101,0)),ISNUMBER(MATCH(TRIM(RIGHT(SUBSTITUTE(TRIM(F62&amp;"")," ",REPT(" ",60)),60)),코드표!$F$2:$F$101,0))),INDEX(코드표!$K$2:$K$101,MATCH(LEFT(TRIM(F62&amp;""),FIND(" ",TRIM(F62&amp;""))-1),코드표!$J$2:$J$101,0))&amp;" "&amp;INDEX(코드표!$G$2:$G$101,MATCH(TRIM(RIGHT(SUBSTITUTE(TRIM(F62&amp;"")," ",REPT(" ",60)),60)),코드표!$F$2:$F$101,0)),"⚠"&amp;TRIM(F62&amp;""))),"⚠"&amp;TRIM(F62&amp;""))</f>
        <v/>
      </c>
      <c r="O62" s="10">
        <f>IFERROR(IF(TRIM(G62&amp;"")="","",IF(AND(ISNUMBER(FIND(" ",TRIM(G62&amp;""))),ISNUMBER(MATCH(LEFT(TRIM(G62&amp;""),FIND(" ",TRIM(G62&amp;""))-1),코드표!$J$2:$J$101,0)),ISNUMBER(MATCH(TRIM(RIGHT(SUBSTITUTE(TRIM(G62&amp;"")," ",REPT(" ",60)),60)),코드표!$F$2:$F$101,0))),INDEX(코드표!$K$2:$K$101,MATCH(LEFT(TRIM(G62&amp;""),FIND(" ",TRIM(G62&amp;""))-1),코드표!$J$2:$J$101,0))&amp;" "&amp;INDEX(코드표!$G$2:$G$101,MATCH(TRIM(RIGHT(SUBSTITUTE(TRIM(G62&amp;"")," ",REPT(" ",60)),60)),코드표!$F$2:$F$101,0)),"⚠"&amp;TRIM(G62&amp;""))),"⚠"&amp;TRIM(G62&amp;""))</f>
        <v/>
      </c>
      <c r="P62" s="10">
        <f>IFERROR(IF(TRIM(H62&amp;"")="","",IF(AND(ISNUMBER(FIND(" ",TRIM(H62&amp;""))),ISNUMBER(MATCH(LEFT(TRIM(H62&amp;""),FIND(" ",TRIM(H62&amp;""))-1),코드표!$J$2:$J$101,0)),ISNUMBER(MATCH(TRIM(RIGHT(SUBSTITUTE(TRIM(H62&amp;"")," ",REPT(" ",60)),60)),코드표!$F$2:$F$101,0))),INDEX(코드표!$K$2:$K$101,MATCH(LEFT(TRIM(H62&amp;""),FIND(" ",TRIM(H62&amp;""))-1),코드표!$J$2:$J$101,0))&amp;" "&amp;INDEX(코드표!$G$2:$G$101,MATCH(TRIM(RIGHT(SUBSTITUTE(TRIM(H62&amp;"")," ",REPT(" ",60)),60)),코드표!$F$2:$F$101,0)),"⚠"&amp;TRIM(H62&amp;""))),"⚠"&amp;TRIM(H62&amp;""))</f>
        <v/>
      </c>
      <c r="Q62" s="10">
        <f>IFERROR(IF(TRIM(I62&amp;"")="","",IF(AND(ISNUMBER(FIND(" ",TRIM(I62&amp;""))),ISNUMBER(MATCH(LEFT(TRIM(I62&amp;""),FIND(" ",TRIM(I62&amp;""))-1),코드표!$J$2:$J$101,0)),ISNUMBER(MATCH(TRIM(RIGHT(SUBSTITUTE(TRIM(I62&amp;"")," ",REPT(" ",60)),60)),코드표!$F$2:$F$101,0))),INDEX(코드표!$K$2:$K$101,MATCH(LEFT(TRIM(I62&amp;""),FIND(" ",TRIM(I62&amp;""))-1),코드표!$J$2:$J$101,0))&amp;" "&amp;INDEX(코드표!$G$2:$G$101,MATCH(TRIM(RIGHT(SUBSTITUTE(TRIM(I62&amp;"")," ",REPT(" ",60)),60)),코드표!$F$2:$F$101,0)),"⚠"&amp;TRIM(I62&amp;""))),"⚠"&amp;TRIM(I62&amp;""))</f>
        <v/>
      </c>
      <c r="R62" s="10">
        <f>IFERROR(IF(TRIM(J62&amp;"")="","",IF(AND(ISNUMBER(FIND(" ",TRIM(J62&amp;""))),ISNUMBER(MATCH(LEFT(TRIM(J62&amp;""),FIND(" ",TRIM(J62&amp;""))-1),코드표!$J$2:$J$101,0)),ISNUMBER(MATCH(TRIM(RIGHT(SUBSTITUTE(TRIM(J62&amp;"")," ",REPT(" ",60)),60)),코드표!$F$2:$F$101,0))),INDEX(코드표!$K$2:$K$101,MATCH(LEFT(TRIM(J62&amp;""),FIND(" ",TRIM(J62&amp;""))-1),코드표!$J$2:$J$101,0))&amp;" "&amp;INDEX(코드표!$G$2:$G$101,MATCH(TRIM(RIGHT(SUBSTITUTE(TRIM(J62&amp;"")," ",REPT(" ",60)),60)),코드표!$F$2:$F$101,0)),"⚠"&amp;TRIM(J62&amp;""))),"⚠"&amp;TRIM(J62&amp;""))</f>
        <v/>
      </c>
      <c r="S62" s="11">
        <f>IF(K62="","",IFERROR(IF(AND(ROUND((VALUE(K62&amp;"")-INT(VALUE(K62&amp;"")))*100,0)&gt;=1,ROUND((VALUE(K62&amp;"")-INT(VALUE(K62&amp;"")))*100,0)&lt;=12,INT(VALUE(K62&amp;""))&gt;=1900),DATE(INT(VALUE(K62&amp;"")),ROUND((VALUE(K62&amp;"")-INT(VALUE(K62&amp;"")))*100,0),1),K62&amp;""),K62&amp;""))</f>
        <v/>
      </c>
      <c r="T62" s="10">
        <f>COUNTIF(M62:R62,"⚠*")</f>
        <v/>
      </c>
    </row>
  </sheetData>
  <mergeCells count="1">
    <mergeCell ref="B1:K1"/>
  </mergeCells>
  <conditionalFormatting sqref="E3:J62">
    <cfRule type="expression" priority="1" dxfId="0">
      <formula>LEFT(M3,1)="⚠"</formula>
    </cfRule>
  </conditionalFormatting>
  <conditionalFormatting sqref="M3:R62">
    <cfRule type="expression" priority="2" dxfId="1">
      <formula>LEFT(M3,1)="⚠"</formula>
    </cfRule>
  </conditionalFormatting>
  <dataValidations count="1">
    <dataValidation sqref="E3:J62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코드표' 시트에 추가한 뒤 다시 입력하세요." type="custom" errorStyle="stop">
      <formula1>AND(ISNUMBER(FIND(" ",TRIM(E3))),ISNUMBER(MATCH(LEFT(TRIM(E3),FIND(" ",TRIM(E3))-1),INDIRECT("코드표!$J$2:$J$101"),0)),ISNUMBER(MATCH(TRIM(RIGHT(SUBSTITUTE(TRIM(E3)," ",REPT(" ",60)),60)),INDIRECT("코드표!$F$2:$F$101"),0)))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3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4" customWidth="1" min="4" max="4"/>
    <col width="9" customWidth="1" min="5" max="5"/>
    <col width="10" customWidth="1" min="6" max="6"/>
    <col width="11" customWidth="1" min="7" max="7"/>
    <col width="12" customWidth="1" min="8" max="8"/>
    <col width="12" customWidth="1" min="9" max="9"/>
    <col width="9" customWidth="1" min="10" max="10"/>
    <col width="16" customWidth="1" min="11" max="11"/>
    <col width="14" customWidth="1" min="12" max="12"/>
    <col width="14" customWidth="1" min="13" max="13"/>
    <col width="20" customWidth="1" min="14" max="14"/>
    <col width="30" customWidth="1" min="15" max="15"/>
    <col width="3" customWidth="1" min="16" max="16"/>
    <col width="12" customWidth="1" min="17" max="17"/>
    <col width="12" customWidth="1" min="18" max="18"/>
    <col width="13" customWidth="1" min="19" max="19"/>
    <col width="11" customWidth="1" min="20" max="20"/>
    <col width="15" customWidth="1" min="21" max="21"/>
    <col width="9" customWidth="1" min="22" max="22"/>
    <col width="11" customWidth="1" min="23" max="23"/>
    <col width="10" customWidth="1" min="24" max="24"/>
    <col width="16" customWidth="1" min="25" max="25"/>
    <col width="14" customWidth="1" min="26" max="26"/>
    <col width="22" customWidth="1" min="27" max="27"/>
    <col width="12" customWidth="1" min="28" max="28"/>
    <col width="12" customWidth="1" min="29" max="29"/>
    <col width="12" customWidth="1" min="30" max="30"/>
    <col width="14" customWidth="1" min="31" max="31"/>
  </cols>
  <sheetData>
    <row r="1">
      <c r="A1" s="12" t="inlineStr">
        <is>
          <t>연번</t>
        </is>
      </c>
      <c r="B1" s="12" t="inlineStr">
        <is>
          <t>모병원명</t>
        </is>
      </c>
      <c r="C1" s="12" t="inlineStr">
        <is>
          <t>수련
종별
(I/R)</t>
        </is>
      </c>
      <c r="D1" s="12" t="inlineStr">
        <is>
          <t>수련
과목</t>
        </is>
      </c>
      <c r="E1" s="12" t="inlineStr">
        <is>
          <t>연차</t>
        </is>
      </c>
      <c r="F1" s="12" t="inlineStr">
        <is>
          <t>성명</t>
        </is>
      </c>
      <c r="G1" s="12" t="inlineStr">
        <is>
          <t>전공의
등록번호</t>
        </is>
      </c>
      <c r="H1" s="12" t="inlineStr">
        <is>
          <t>파견시작일</t>
        </is>
      </c>
      <c r="I1" s="12" t="inlineStr">
        <is>
          <t>파견종료일</t>
        </is>
      </c>
      <c r="J1" s="12" t="inlineStr">
        <is>
          <t>파견일수</t>
        </is>
      </c>
      <c r="K1" s="12" t="inlineStr">
        <is>
          <t>파견병원</t>
        </is>
      </c>
      <c r="L1" s="12" t="inlineStr">
        <is>
          <t>파견
과목</t>
        </is>
      </c>
      <c r="M1" s="12" t="inlineStr">
        <is>
          <t>파견근거
(모자/통합수련)</t>
        </is>
      </c>
      <c r="N1" s="12" t="inlineStr">
        <is>
          <t>비고</t>
        </is>
      </c>
      <c r="Q1" s="8" t="inlineStr">
        <is>
          <t>↓ 자동 계산 (수정 금지) — 병원/과목은 코드표 기준으로 통일, 인식 불가는 ⚠ 표시</t>
        </is>
      </c>
    </row>
    <row r="2">
      <c r="A2" s="13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</row>
    <row r="3" ht="30" customHeight="1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Q3" s="9" t="inlineStr">
        <is>
          <t>키(등록번호)</t>
        </is>
      </c>
      <c r="R3" s="9" t="inlineStr">
        <is>
          <t>모병원(정규화)</t>
        </is>
      </c>
      <c r="S3" s="9" t="inlineStr">
        <is>
          <t>파견병원(정규화)</t>
        </is>
      </c>
      <c r="T3" s="9" t="inlineStr">
        <is>
          <t>파견근거(정규화)</t>
        </is>
      </c>
      <c r="U3" s="9" t="inlineStr">
        <is>
          <t>파견과목(정규화)</t>
        </is>
      </c>
      <c r="V3" s="9" t="inlineStr">
        <is>
          <t>파견일수(계산)</t>
        </is>
      </c>
      <c r="W3" s="9" t="inlineStr">
        <is>
          <t>급여기준월 겹침일수</t>
        </is>
      </c>
      <c r="X3" s="9" t="inlineStr">
        <is>
          <t>상태</t>
        </is>
      </c>
      <c r="Y3" s="9" t="inlineStr">
        <is>
          <t>키|상태</t>
        </is>
      </c>
      <c r="Z3" s="9" t="inlineStr">
        <is>
          <t>키|기준월</t>
        </is>
      </c>
      <c r="AA3" s="9" t="inlineStr">
        <is>
          <t>입력 오류</t>
        </is>
      </c>
      <c r="AB3" s="9" t="inlineStr">
        <is>
          <t>비고 다기관 시작</t>
        </is>
      </c>
      <c r="AC3" s="9" t="inlineStr">
        <is>
          <t>비고 다기관 종료</t>
        </is>
      </c>
      <c r="AD3" s="9" t="inlineStr">
        <is>
          <t>비고 다기관 기준월 겹침일수</t>
        </is>
      </c>
      <c r="AE3" s="9" t="inlineStr">
        <is>
          <t>키|다기관</t>
        </is>
      </c>
    </row>
    <row r="4">
      <c r="A4" s="15">
        <f>IF(F4="","",ROW()-3)</f>
        <v/>
      </c>
      <c r="B4" s="5" t="inlineStr">
        <is>
          <t>한양대학교병원</t>
        </is>
      </c>
      <c r="C4" s="15" t="inlineStr">
        <is>
          <t>R</t>
        </is>
      </c>
      <c r="D4" s="5" t="inlineStr">
        <is>
          <t>내과</t>
        </is>
      </c>
      <c r="E4" s="15" t="n">
        <v>3</v>
      </c>
      <c r="F4" s="5" t="inlineStr">
        <is>
          <t>박ㅇㅇ</t>
        </is>
      </c>
      <c r="G4" s="6" t="inlineStr">
        <is>
          <t>21-1111</t>
        </is>
      </c>
      <c r="H4" s="16" t="n">
        <v>46144</v>
      </c>
      <c r="I4" s="16" t="n">
        <v>46265</v>
      </c>
      <c r="J4" s="15">
        <f>IF(AND(ISNUMBER(H4),ISNUMBER(I4)),I4-H4+1,"")</f>
        <v/>
      </c>
      <c r="K4" s="5" t="inlineStr">
        <is>
          <t>한양대구리병원</t>
        </is>
      </c>
      <c r="L4" s="5" t="inlineStr">
        <is>
          <t>내과</t>
        </is>
      </c>
      <c r="M4" s="5" t="inlineStr">
        <is>
          <t>모자</t>
        </is>
      </c>
      <c r="N4" s="5" t="n"/>
      <c r="O4" s="5" t="inlineStr">
        <is>
          <t>2026.09.01-2026.09.30 다기관 파견</t>
        </is>
      </c>
      <c r="Q4" s="10">
        <f>IF(TRIM(G4&amp;"")="","",TRIM(G4&amp;""))</f>
        <v/>
      </c>
      <c r="R4" s="10">
        <f>IF(TRIM(B4&amp;"")="","",IFERROR(INDEX(코드표!$K$2:$K$101,MATCH(TRIM(B4&amp;""),코드표!$J$2:$J$101,0)),"⚠"&amp;TRIM(B4&amp;"")))</f>
        <v/>
      </c>
      <c r="S4" s="10">
        <f>IF(TRIM(K4&amp;"")="","",IFERROR(INDEX(코드표!$K$2:$K$101,MATCH(TRIM(K4&amp;""),코드표!$J$2:$J$101,0)),"⚠"&amp;TRIM(K4&amp;"")))</f>
        <v/>
      </c>
      <c r="T4" s="10">
        <f>IF(TRIM(M4&amp;"")="","",IF(ISNUMBER(MATCH(TRIM(M4&amp;""),코드표!$C$2:$C$11,0)),TRIM(M4&amp;""),"⚠"&amp;TRIM(M4&amp;"")))</f>
        <v/>
      </c>
      <c r="U4" s="10">
        <f>IF(TRIM(L4&amp;"")="","",IFERROR(INDEX(코드표!$G$2:$G$101,MATCH(TRIM(L4&amp;""),코드표!$F$2:$F$101,0)),"⚠"&amp;TRIM(L4&amp;"")))</f>
        <v/>
      </c>
      <c r="V4" s="10">
        <f>IF(AND(ISNUMBER(H4),ISNUMBER(I4)),I4-H4+1,"")</f>
        <v/>
      </c>
      <c r="W4" s="17">
        <f>IF(ISNUMBER(H4),MAX(0,MIN(IF(ISNUMBER(I4),I4,EOMONTH(요약!$B$3,0)),EOMONTH(요약!$B$3,0))-MAX(H4,요약!$B$3)+1),0)</f>
        <v/>
      </c>
      <c r="X4" s="10">
        <f>IF(OR(NOT(ISNUMBER(H4)),Q4=""),"",IF(TODAY()&lt;H4,"파견예정",IF(AND(ISNUMBER(I4),TODAY()&gt;I4),"파견종료","파견중")))</f>
        <v/>
      </c>
      <c r="Y4" s="10">
        <f>IF(OR(Q4="",X4=""),"",Q4&amp;"|"&amp;X4)</f>
        <v/>
      </c>
      <c r="Z4" s="10">
        <f>IF(AND(Q4&lt;&gt;"",W4&gt;0),Q4&amp;"|월","")</f>
        <v/>
      </c>
      <c r="AA4" s="10">
        <f>IF(COUNTA(B4:N4)=0,"",IF(Q4="","등록번호 없음",IF(LEFT(R4,1)="⚠","모병원명 미등록",IF(S4="","파견병원 입력",IF(LEFT(S4,1)="⚠","파견병원명 미등록",IF(LEFT(U4,1)="⚠","파견과목 미등록",IF(OR(T4="",LEFT(T4,1)="⚠"),"파견근거 확인",IF(NOT(AND(ISNUMBER(H4),ISNUMBER(I4))),"날짜 형식/누락",IF(I4&lt;H4,"종료일&lt;시작일","")))))))))</f>
        <v/>
      </c>
      <c r="AB4" s="11">
        <f>IF(ISNUMBER(SEARCH("다기관",TRIM(N4&amp;" "&amp;O4))),IFERROR(DATE(VALUE(MID(TRIM(N4&amp;" "&amp;O4),1,4)),VALUE(MID(TRIM(N4&amp;" "&amp;O4),6,2)),VALUE(MID(TRIM(N4&amp;" "&amp;O4),9,2))),IF(ISNUMBER(H4),H4,"")),"")</f>
        <v/>
      </c>
      <c r="AC4" s="11">
        <f>IF(ISNUMBER(SEARCH("다기관",TRIM(N4&amp;" "&amp;O4))),IFERROR(DATE(VALUE(MID(TRIM(N4&amp;" "&amp;O4),12,4)),VALUE(MID(TRIM(N4&amp;" "&amp;O4),17,2)),VALUE(MID(TRIM(N4&amp;" "&amp;O4),20,2))),IF(ISNUMBER(I4),I4,"")),"")</f>
        <v/>
      </c>
      <c r="AD4" s="17">
        <f>IF(AND(ISNUMBER(AB4),ISNUMBER(AC4)),MAX(0,MIN(AC4,EOMONTH(요약!$B$3,0))-MAX(AB4,요약!$B$3)+1),0)</f>
        <v/>
      </c>
      <c r="AE4" s="10">
        <f>IF(AND(Q4&lt;&gt;"",ISNUMBER(AB4)),Q4&amp;"|다기관","")</f>
        <v/>
      </c>
    </row>
    <row r="5">
      <c r="A5" s="15">
        <f>IF(F5="","",ROW()-3)</f>
        <v/>
      </c>
      <c r="B5" s="5" t="inlineStr">
        <is>
          <t>한양대학교병원</t>
        </is>
      </c>
      <c r="C5" s="15" t="inlineStr">
        <is>
          <t>R</t>
        </is>
      </c>
      <c r="D5" s="5" t="inlineStr">
        <is>
          <t>내과</t>
        </is>
      </c>
      <c r="E5" s="15" t="n">
        <v>3</v>
      </c>
      <c r="F5" s="5" t="inlineStr">
        <is>
          <t>박ㅇㅇ</t>
        </is>
      </c>
      <c r="G5" s="6" t="inlineStr">
        <is>
          <t>21-1111</t>
        </is>
      </c>
      <c r="H5" s="16" t="n">
        <v>46296</v>
      </c>
      <c r="I5" s="16" t="n">
        <v>46326</v>
      </c>
      <c r="J5" s="15">
        <f>IF(AND(ISNUMBER(H5),ISNUMBER(I5)),I5-H5+1,"")</f>
        <v/>
      </c>
      <c r="K5" s="5" t="inlineStr">
        <is>
          <t>한양대구리병원</t>
        </is>
      </c>
      <c r="L5" s="5" t="inlineStr">
        <is>
          <t>내과</t>
        </is>
      </c>
      <c r="M5" s="5" t="inlineStr">
        <is>
          <t>모자</t>
        </is>
      </c>
      <c r="N5" s="5" t="n"/>
      <c r="O5" s="5" t="n"/>
      <c r="Q5" s="10">
        <f>IF(TRIM(G5&amp;"")="","",TRIM(G5&amp;""))</f>
        <v/>
      </c>
      <c r="R5" s="10">
        <f>IF(TRIM(B5&amp;"")="","",IFERROR(INDEX(코드표!$K$2:$K$101,MATCH(TRIM(B5&amp;""),코드표!$J$2:$J$101,0)),"⚠"&amp;TRIM(B5&amp;"")))</f>
        <v/>
      </c>
      <c r="S5" s="10">
        <f>IF(TRIM(K5&amp;"")="","",IFERROR(INDEX(코드표!$K$2:$K$101,MATCH(TRIM(K5&amp;""),코드표!$J$2:$J$101,0)),"⚠"&amp;TRIM(K5&amp;"")))</f>
        <v/>
      </c>
      <c r="T5" s="10">
        <f>IF(TRIM(M5&amp;"")="","",IF(ISNUMBER(MATCH(TRIM(M5&amp;""),코드표!$C$2:$C$11,0)),TRIM(M5&amp;""),"⚠"&amp;TRIM(M5&amp;"")))</f>
        <v/>
      </c>
      <c r="U5" s="10">
        <f>IF(TRIM(L5&amp;"")="","",IFERROR(INDEX(코드표!$G$2:$G$101,MATCH(TRIM(L5&amp;""),코드표!$F$2:$F$101,0)),"⚠"&amp;TRIM(L5&amp;"")))</f>
        <v/>
      </c>
      <c r="V5" s="10">
        <f>IF(AND(ISNUMBER(H5),ISNUMBER(I5)),I5-H5+1,"")</f>
        <v/>
      </c>
      <c r="W5" s="17">
        <f>IF(ISNUMBER(H5),MAX(0,MIN(IF(ISNUMBER(I5),I5,EOMONTH(요약!$B$3,0)),EOMONTH(요약!$B$3,0))-MAX(H5,요약!$B$3)+1),0)</f>
        <v/>
      </c>
      <c r="X5" s="10">
        <f>IF(OR(NOT(ISNUMBER(H5)),Q5=""),"",IF(TODAY()&lt;H5,"파견예정",IF(AND(ISNUMBER(I5),TODAY()&gt;I5),"파견종료","파견중")))</f>
        <v/>
      </c>
      <c r="Y5" s="10">
        <f>IF(OR(Q5="",X5=""),"",Q5&amp;"|"&amp;X5)</f>
        <v/>
      </c>
      <c r="Z5" s="10">
        <f>IF(AND(Q5&lt;&gt;"",W5&gt;0),Q5&amp;"|월","")</f>
        <v/>
      </c>
      <c r="AA5" s="10">
        <f>IF(COUNTA(B5:N5)=0,"",IF(Q5="","등록번호 없음",IF(LEFT(R5,1)="⚠","모병원명 미등록",IF(S5="","파견병원 입력",IF(LEFT(S5,1)="⚠","파견병원명 미등록",IF(LEFT(U5,1)="⚠","파견과목 미등록",IF(OR(T5="",LEFT(T5,1)="⚠"),"파견근거 확인",IF(NOT(AND(ISNUMBER(H5),ISNUMBER(I5))),"날짜 형식/누락",IF(I5&lt;H5,"종료일&lt;시작일","")))))))))</f>
        <v/>
      </c>
      <c r="AB5" s="11">
        <f>IF(ISNUMBER(SEARCH("다기관",TRIM(N5&amp;" "&amp;O5))),IFERROR(DATE(VALUE(MID(TRIM(N5&amp;" "&amp;O5),1,4)),VALUE(MID(TRIM(N5&amp;" "&amp;O5),6,2)),VALUE(MID(TRIM(N5&amp;" "&amp;O5),9,2))),IF(ISNUMBER(H5),H5,"")),"")</f>
        <v/>
      </c>
      <c r="AC5" s="11">
        <f>IF(ISNUMBER(SEARCH("다기관",TRIM(N5&amp;" "&amp;O5))),IFERROR(DATE(VALUE(MID(TRIM(N5&amp;" "&amp;O5),12,4)),VALUE(MID(TRIM(N5&amp;" "&amp;O5),17,2)),VALUE(MID(TRIM(N5&amp;" "&amp;O5),20,2))),IF(ISNUMBER(I5),I5,"")),"")</f>
        <v/>
      </c>
      <c r="AD5" s="17">
        <f>IF(AND(ISNUMBER(AB5),ISNUMBER(AC5)),MAX(0,MIN(AC5,EOMONTH(요약!$B$3,0))-MAX(AB5,요약!$B$3)+1),0)</f>
        <v/>
      </c>
      <c r="AE5" s="10">
        <f>IF(AND(Q5&lt;&gt;"",ISNUMBER(AB5)),Q5&amp;"|다기관","")</f>
        <v/>
      </c>
    </row>
    <row r="6">
      <c r="A6" s="15">
        <f>IF(F6="","",ROW()-3)</f>
        <v/>
      </c>
      <c r="B6" s="5" t="inlineStr">
        <is>
          <t>한양대학교병원</t>
        </is>
      </c>
      <c r="C6" s="15" t="inlineStr">
        <is>
          <t>R</t>
        </is>
      </c>
      <c r="D6" s="5" t="inlineStr">
        <is>
          <t>가정의학과</t>
        </is>
      </c>
      <c r="E6" s="15" t="n">
        <v>1</v>
      </c>
      <c r="F6" s="5" t="inlineStr">
        <is>
          <t>김ㅇㅇ</t>
        </is>
      </c>
      <c r="G6" s="6" t="inlineStr">
        <is>
          <t>11-1111</t>
        </is>
      </c>
      <c r="H6" s="16" t="n">
        <v>46316</v>
      </c>
      <c r="I6" s="16" t="n">
        <v>46387</v>
      </c>
      <c r="J6" s="15">
        <f>IF(AND(ISNUMBER(H6),ISNUMBER(I6)),I6-H6+1,"")</f>
        <v/>
      </c>
      <c r="K6" s="5" t="inlineStr">
        <is>
          <t>한양대구리병원</t>
        </is>
      </c>
      <c r="L6" s="5" t="inlineStr">
        <is>
          <t>가정의학과</t>
        </is>
      </c>
      <c r="M6" s="5" t="inlineStr">
        <is>
          <t>통합수련</t>
        </is>
      </c>
      <c r="N6" s="5" t="n"/>
      <c r="O6" s="5" t="n"/>
      <c r="Q6" s="10">
        <f>IF(TRIM(G6&amp;"")="","",TRIM(G6&amp;""))</f>
        <v/>
      </c>
      <c r="R6" s="10">
        <f>IF(TRIM(B6&amp;"")="","",IFERROR(INDEX(코드표!$K$2:$K$101,MATCH(TRIM(B6&amp;""),코드표!$J$2:$J$101,0)),"⚠"&amp;TRIM(B6&amp;"")))</f>
        <v/>
      </c>
      <c r="S6" s="10">
        <f>IF(TRIM(K6&amp;"")="","",IFERROR(INDEX(코드표!$K$2:$K$101,MATCH(TRIM(K6&amp;""),코드표!$J$2:$J$101,0)),"⚠"&amp;TRIM(K6&amp;"")))</f>
        <v/>
      </c>
      <c r="T6" s="10">
        <f>IF(TRIM(M6&amp;"")="","",IF(ISNUMBER(MATCH(TRIM(M6&amp;""),코드표!$C$2:$C$11,0)),TRIM(M6&amp;""),"⚠"&amp;TRIM(M6&amp;"")))</f>
        <v/>
      </c>
      <c r="U6" s="10">
        <f>IF(TRIM(L6&amp;"")="","",IFERROR(INDEX(코드표!$G$2:$G$101,MATCH(TRIM(L6&amp;""),코드표!$F$2:$F$101,0)),"⚠"&amp;TRIM(L6&amp;"")))</f>
        <v/>
      </c>
      <c r="V6" s="10">
        <f>IF(AND(ISNUMBER(H6),ISNUMBER(I6)),I6-H6+1,"")</f>
        <v/>
      </c>
      <c r="W6" s="17">
        <f>IF(ISNUMBER(H6),MAX(0,MIN(IF(ISNUMBER(I6),I6,EOMONTH(요약!$B$3,0)),EOMONTH(요약!$B$3,0))-MAX(H6,요약!$B$3)+1),0)</f>
        <v/>
      </c>
      <c r="X6" s="10">
        <f>IF(OR(NOT(ISNUMBER(H6)),Q6=""),"",IF(TODAY()&lt;H6,"파견예정",IF(AND(ISNUMBER(I6),TODAY()&gt;I6),"파견종료","파견중")))</f>
        <v/>
      </c>
      <c r="Y6" s="10">
        <f>IF(OR(Q6="",X6=""),"",Q6&amp;"|"&amp;X6)</f>
        <v/>
      </c>
      <c r="Z6" s="10">
        <f>IF(AND(Q6&lt;&gt;"",W6&gt;0),Q6&amp;"|월","")</f>
        <v/>
      </c>
      <c r="AA6" s="10">
        <f>IF(COUNTA(B6:N6)=0,"",IF(Q6="","등록번호 없음",IF(LEFT(R6,1)="⚠","모병원명 미등록",IF(S6="","파견병원 입력",IF(LEFT(S6,1)="⚠","파견병원명 미등록",IF(LEFT(U6,1)="⚠","파견과목 미등록",IF(OR(T6="",LEFT(T6,1)="⚠"),"파견근거 확인",IF(NOT(AND(ISNUMBER(H6),ISNUMBER(I6))),"날짜 형식/누락",IF(I6&lt;H6,"종료일&lt;시작일","")))))))))</f>
        <v/>
      </c>
      <c r="AB6" s="11">
        <f>IF(ISNUMBER(SEARCH("다기관",TRIM(N6&amp;" "&amp;O6))),IFERROR(DATE(VALUE(MID(TRIM(N6&amp;" "&amp;O6),1,4)),VALUE(MID(TRIM(N6&amp;" "&amp;O6),6,2)),VALUE(MID(TRIM(N6&amp;" "&amp;O6),9,2))),IF(ISNUMBER(H6),H6,"")),"")</f>
        <v/>
      </c>
      <c r="AC6" s="11">
        <f>IF(ISNUMBER(SEARCH("다기관",TRIM(N6&amp;" "&amp;O6))),IFERROR(DATE(VALUE(MID(TRIM(N6&amp;" "&amp;O6),12,4)),VALUE(MID(TRIM(N6&amp;" "&amp;O6),17,2)),VALUE(MID(TRIM(N6&amp;" "&amp;O6),20,2))),IF(ISNUMBER(I6),I6,"")),"")</f>
        <v/>
      </c>
      <c r="AD6" s="17">
        <f>IF(AND(ISNUMBER(AB6),ISNUMBER(AC6)),MAX(0,MIN(AC6,EOMONTH(요약!$B$3,0))-MAX(AB6,요약!$B$3)+1),0)</f>
        <v/>
      </c>
      <c r="AE6" s="10">
        <f>IF(AND(Q6&lt;&gt;"",ISNUMBER(AB6)),Q6&amp;"|다기관","")</f>
        <v/>
      </c>
    </row>
    <row r="7">
      <c r="A7" s="15">
        <f>IF(F7="","",ROW()-3)</f>
        <v/>
      </c>
      <c r="B7" s="5" t="inlineStr">
        <is>
          <t>한양대학교병원</t>
        </is>
      </c>
      <c r="C7" s="15" t="inlineStr">
        <is>
          <t>R</t>
        </is>
      </c>
      <c r="D7" s="5" t="inlineStr">
        <is>
          <t>내과</t>
        </is>
      </c>
      <c r="E7" s="15" t="n">
        <v>2</v>
      </c>
      <c r="F7" s="5" t="inlineStr">
        <is>
          <t>이ㅇㅇ</t>
        </is>
      </c>
      <c r="G7" s="6" t="inlineStr">
        <is>
          <t>11-1112</t>
        </is>
      </c>
      <c r="H7" s="16" t="n">
        <v>46300</v>
      </c>
      <c r="I7" s="16" t="n">
        <v>46387</v>
      </c>
      <c r="J7" s="15">
        <f>IF(AND(ISNUMBER(H7),ISNUMBER(I7)),I7-H7+1,"")</f>
        <v/>
      </c>
      <c r="K7" s="5" t="inlineStr">
        <is>
          <t>에스중앙병원</t>
        </is>
      </c>
      <c r="L7" s="5" t="inlineStr">
        <is>
          <t>내과</t>
        </is>
      </c>
      <c r="M7" s="5" t="inlineStr">
        <is>
          <t>통합수련</t>
        </is>
      </c>
      <c r="N7" s="5" t="n"/>
      <c r="O7" s="5" t="n"/>
      <c r="Q7" s="10">
        <f>IF(TRIM(G7&amp;"")="","",TRIM(G7&amp;""))</f>
        <v/>
      </c>
      <c r="R7" s="10">
        <f>IF(TRIM(B7&amp;"")="","",IFERROR(INDEX(코드표!$K$2:$K$101,MATCH(TRIM(B7&amp;""),코드표!$J$2:$J$101,0)),"⚠"&amp;TRIM(B7&amp;"")))</f>
        <v/>
      </c>
      <c r="S7" s="10">
        <f>IF(TRIM(K7&amp;"")="","",IFERROR(INDEX(코드표!$K$2:$K$101,MATCH(TRIM(K7&amp;""),코드표!$J$2:$J$101,0)),"⚠"&amp;TRIM(K7&amp;"")))</f>
        <v/>
      </c>
      <c r="T7" s="10">
        <f>IF(TRIM(M7&amp;"")="","",IF(ISNUMBER(MATCH(TRIM(M7&amp;""),코드표!$C$2:$C$11,0)),TRIM(M7&amp;""),"⚠"&amp;TRIM(M7&amp;"")))</f>
        <v/>
      </c>
      <c r="U7" s="10">
        <f>IF(TRIM(L7&amp;"")="","",IFERROR(INDEX(코드표!$G$2:$G$101,MATCH(TRIM(L7&amp;""),코드표!$F$2:$F$101,0)),"⚠"&amp;TRIM(L7&amp;"")))</f>
        <v/>
      </c>
      <c r="V7" s="10">
        <f>IF(AND(ISNUMBER(H7),ISNUMBER(I7)),I7-H7+1,"")</f>
        <v/>
      </c>
      <c r="W7" s="17">
        <f>IF(ISNUMBER(H7),MAX(0,MIN(IF(ISNUMBER(I7),I7,EOMONTH(요약!$B$3,0)),EOMONTH(요약!$B$3,0))-MAX(H7,요약!$B$3)+1),0)</f>
        <v/>
      </c>
      <c r="X7" s="10">
        <f>IF(OR(NOT(ISNUMBER(H7)),Q7=""),"",IF(TODAY()&lt;H7,"파견예정",IF(AND(ISNUMBER(I7),TODAY()&gt;I7),"파견종료","파견중")))</f>
        <v/>
      </c>
      <c r="Y7" s="10">
        <f>IF(OR(Q7="",X7=""),"",Q7&amp;"|"&amp;X7)</f>
        <v/>
      </c>
      <c r="Z7" s="10">
        <f>IF(AND(Q7&lt;&gt;"",W7&gt;0),Q7&amp;"|월","")</f>
        <v/>
      </c>
      <c r="AA7" s="10">
        <f>IF(COUNTA(B7:N7)=0,"",IF(Q7="","등록번호 없음",IF(LEFT(R7,1)="⚠","모병원명 미등록",IF(S7="","파견병원 입력",IF(LEFT(S7,1)="⚠","파견병원명 미등록",IF(LEFT(U7,1)="⚠","파견과목 미등록",IF(OR(T7="",LEFT(T7,1)="⚠"),"파견근거 확인",IF(NOT(AND(ISNUMBER(H7),ISNUMBER(I7))),"날짜 형식/누락",IF(I7&lt;H7,"종료일&lt;시작일","")))))))))</f>
        <v/>
      </c>
      <c r="AB7" s="11">
        <f>IF(ISNUMBER(SEARCH("다기관",TRIM(N7&amp;" "&amp;O7))),IFERROR(DATE(VALUE(MID(TRIM(N7&amp;" "&amp;O7),1,4)),VALUE(MID(TRIM(N7&amp;" "&amp;O7),6,2)),VALUE(MID(TRIM(N7&amp;" "&amp;O7),9,2))),IF(ISNUMBER(H7),H7,"")),"")</f>
        <v/>
      </c>
      <c r="AC7" s="11">
        <f>IF(ISNUMBER(SEARCH("다기관",TRIM(N7&amp;" "&amp;O7))),IFERROR(DATE(VALUE(MID(TRIM(N7&amp;" "&amp;O7),12,4)),VALUE(MID(TRIM(N7&amp;" "&amp;O7),17,2)),VALUE(MID(TRIM(N7&amp;" "&amp;O7),20,2))),IF(ISNUMBER(I7),I7,"")),"")</f>
        <v/>
      </c>
      <c r="AD7" s="17">
        <f>IF(AND(ISNUMBER(AB7),ISNUMBER(AC7)),MAX(0,MIN(AC7,EOMONTH(요약!$B$3,0))-MAX(AB7,요약!$B$3)+1),0)</f>
        <v/>
      </c>
      <c r="AE7" s="10">
        <f>IF(AND(Q7&lt;&gt;"",ISNUMBER(AB7)),Q7&amp;"|다기관","")</f>
        <v/>
      </c>
    </row>
    <row r="8">
      <c r="A8" s="15">
        <f>IF(F8="","",ROW()-3)</f>
        <v/>
      </c>
      <c r="B8" s="5" t="inlineStr">
        <is>
          <t>한양대구리병원</t>
        </is>
      </c>
      <c r="C8" s="15" t="inlineStr">
        <is>
          <t>R</t>
        </is>
      </c>
      <c r="D8" s="5" t="inlineStr">
        <is>
          <t>마취통증의학과</t>
        </is>
      </c>
      <c r="E8" s="15" t="n">
        <v>2</v>
      </c>
      <c r="F8" s="5" t="inlineStr">
        <is>
          <t>정ㅇㅇ</t>
        </is>
      </c>
      <c r="G8" s="6" t="inlineStr">
        <is>
          <t>11-1115</t>
        </is>
      </c>
      <c r="H8" s="16" t="n">
        <v>46313</v>
      </c>
      <c r="I8" s="16" t="n">
        <v>46387</v>
      </c>
      <c r="J8" s="15">
        <f>IF(AND(ISNUMBER(H8),ISNUMBER(I8)),I8-H8+1,"")</f>
        <v/>
      </c>
      <c r="K8" s="5" t="inlineStr">
        <is>
          <t>한양대학교병원</t>
        </is>
      </c>
      <c r="L8" s="5" t="inlineStr">
        <is>
          <t>마취통증의학과</t>
        </is>
      </c>
      <c r="M8" s="5" t="inlineStr">
        <is>
          <t>모자</t>
        </is>
      </c>
      <c r="N8" s="5" t="n"/>
      <c r="O8" s="5" t="n"/>
      <c r="Q8" s="10">
        <f>IF(TRIM(G8&amp;"")="","",TRIM(G8&amp;""))</f>
        <v/>
      </c>
      <c r="R8" s="10">
        <f>IF(TRIM(B8&amp;"")="","",IFERROR(INDEX(코드표!$K$2:$K$101,MATCH(TRIM(B8&amp;""),코드표!$J$2:$J$101,0)),"⚠"&amp;TRIM(B8&amp;"")))</f>
        <v/>
      </c>
      <c r="S8" s="10">
        <f>IF(TRIM(K8&amp;"")="","",IFERROR(INDEX(코드표!$K$2:$K$101,MATCH(TRIM(K8&amp;""),코드표!$J$2:$J$101,0)),"⚠"&amp;TRIM(K8&amp;"")))</f>
        <v/>
      </c>
      <c r="T8" s="10">
        <f>IF(TRIM(M8&amp;"")="","",IF(ISNUMBER(MATCH(TRIM(M8&amp;""),코드표!$C$2:$C$11,0)),TRIM(M8&amp;""),"⚠"&amp;TRIM(M8&amp;"")))</f>
        <v/>
      </c>
      <c r="U8" s="10">
        <f>IF(TRIM(L8&amp;"")="","",IFERROR(INDEX(코드표!$G$2:$G$101,MATCH(TRIM(L8&amp;""),코드표!$F$2:$F$101,0)),"⚠"&amp;TRIM(L8&amp;"")))</f>
        <v/>
      </c>
      <c r="V8" s="10">
        <f>IF(AND(ISNUMBER(H8),ISNUMBER(I8)),I8-H8+1,"")</f>
        <v/>
      </c>
      <c r="W8" s="17">
        <f>IF(ISNUMBER(H8),MAX(0,MIN(IF(ISNUMBER(I8),I8,EOMONTH(요약!$B$3,0)),EOMONTH(요약!$B$3,0))-MAX(H8,요약!$B$3)+1),0)</f>
        <v/>
      </c>
      <c r="X8" s="10">
        <f>IF(OR(NOT(ISNUMBER(H8)),Q8=""),"",IF(TODAY()&lt;H8,"파견예정",IF(AND(ISNUMBER(I8),TODAY()&gt;I8),"파견종료","파견중")))</f>
        <v/>
      </c>
      <c r="Y8" s="10">
        <f>IF(OR(Q8="",X8=""),"",Q8&amp;"|"&amp;X8)</f>
        <v/>
      </c>
      <c r="Z8" s="10">
        <f>IF(AND(Q8&lt;&gt;"",W8&gt;0),Q8&amp;"|월","")</f>
        <v/>
      </c>
      <c r="AA8" s="10">
        <f>IF(COUNTA(B8:N8)=0,"",IF(Q8="","등록번호 없음",IF(LEFT(R8,1)="⚠","모병원명 미등록",IF(S8="","파견병원 입력",IF(LEFT(S8,1)="⚠","파견병원명 미등록",IF(LEFT(U8,1)="⚠","파견과목 미등록",IF(OR(T8="",LEFT(T8,1)="⚠"),"파견근거 확인",IF(NOT(AND(ISNUMBER(H8),ISNUMBER(I8))),"날짜 형식/누락",IF(I8&lt;H8,"종료일&lt;시작일","")))))))))</f>
        <v/>
      </c>
      <c r="AB8" s="11">
        <f>IF(ISNUMBER(SEARCH("다기관",TRIM(N8&amp;" "&amp;O8))),IFERROR(DATE(VALUE(MID(TRIM(N8&amp;" "&amp;O8),1,4)),VALUE(MID(TRIM(N8&amp;" "&amp;O8),6,2)),VALUE(MID(TRIM(N8&amp;" "&amp;O8),9,2))),IF(ISNUMBER(H8),H8,"")),"")</f>
        <v/>
      </c>
      <c r="AC8" s="11">
        <f>IF(ISNUMBER(SEARCH("다기관",TRIM(N8&amp;" "&amp;O8))),IFERROR(DATE(VALUE(MID(TRIM(N8&amp;" "&amp;O8),12,4)),VALUE(MID(TRIM(N8&amp;" "&amp;O8),17,2)),VALUE(MID(TRIM(N8&amp;" "&amp;O8),20,2))),IF(ISNUMBER(I8),I8,"")),"")</f>
        <v/>
      </c>
      <c r="AD8" s="17">
        <f>IF(AND(ISNUMBER(AB8),ISNUMBER(AC8)),MAX(0,MIN(AC8,EOMONTH(요약!$B$3,0))-MAX(AB8,요약!$B$3)+1),0)</f>
        <v/>
      </c>
      <c r="AE8" s="10">
        <f>IF(AND(Q8&lt;&gt;"",ISNUMBER(AB8)),Q8&amp;"|다기관","")</f>
        <v/>
      </c>
    </row>
    <row r="9">
      <c r="A9" s="15">
        <f>IF(F9="","",ROW()-3)</f>
        <v/>
      </c>
      <c r="B9" s="5" t="inlineStr">
        <is>
          <t>한양대학교병원</t>
        </is>
      </c>
      <c r="C9" s="15" t="inlineStr">
        <is>
          <t>R</t>
        </is>
      </c>
      <c r="D9" s="5" t="inlineStr">
        <is>
          <t>산부인과</t>
        </is>
      </c>
      <c r="E9" s="15" t="n">
        <v>3</v>
      </c>
      <c r="F9" s="5" t="inlineStr">
        <is>
          <t>최ㅇㅇ</t>
        </is>
      </c>
      <c r="G9" s="6" t="inlineStr">
        <is>
          <t>11-1114</t>
        </is>
      </c>
      <c r="H9" s="16" t="n">
        <v>46027</v>
      </c>
      <c r="I9" s="16" t="n">
        <v>46112</v>
      </c>
      <c r="J9" s="15">
        <f>IF(AND(ISNUMBER(H9),ISNUMBER(I9)),I9-H9+1,"")</f>
        <v/>
      </c>
      <c r="K9" s="5" t="inlineStr">
        <is>
          <t>창원</t>
        </is>
      </c>
      <c r="L9" s="5" t="inlineStr">
        <is>
          <t>산부인과</t>
        </is>
      </c>
      <c r="M9" s="5" t="inlineStr">
        <is>
          <t>다기관</t>
        </is>
      </c>
      <c r="N9" s="5" t="n"/>
      <c r="O9" s="5" t="n"/>
      <c r="Q9" s="10">
        <f>IF(TRIM(G9&amp;"")="","",TRIM(G9&amp;""))</f>
        <v/>
      </c>
      <c r="R9" s="10">
        <f>IF(TRIM(B9&amp;"")="","",IFERROR(INDEX(코드표!$K$2:$K$101,MATCH(TRIM(B9&amp;""),코드표!$J$2:$J$101,0)),"⚠"&amp;TRIM(B9&amp;"")))</f>
        <v/>
      </c>
      <c r="S9" s="10">
        <f>IF(TRIM(K9&amp;"")="","",IFERROR(INDEX(코드표!$K$2:$K$101,MATCH(TRIM(K9&amp;""),코드표!$J$2:$J$101,0)),"⚠"&amp;TRIM(K9&amp;"")))</f>
        <v/>
      </c>
      <c r="T9" s="10">
        <f>IF(TRIM(M9&amp;"")="","",IF(ISNUMBER(MATCH(TRIM(M9&amp;""),코드표!$C$2:$C$11,0)),TRIM(M9&amp;""),"⚠"&amp;TRIM(M9&amp;"")))</f>
        <v/>
      </c>
      <c r="U9" s="10">
        <f>IF(TRIM(L9&amp;"")="","",IFERROR(INDEX(코드표!$G$2:$G$101,MATCH(TRIM(L9&amp;""),코드표!$F$2:$F$101,0)),"⚠"&amp;TRIM(L9&amp;"")))</f>
        <v/>
      </c>
      <c r="V9" s="10">
        <f>IF(AND(ISNUMBER(H9),ISNUMBER(I9)),I9-H9+1,"")</f>
        <v/>
      </c>
      <c r="W9" s="17">
        <f>IF(ISNUMBER(H9),MAX(0,MIN(IF(ISNUMBER(I9),I9,EOMONTH(요약!$B$3,0)),EOMONTH(요약!$B$3,0))-MAX(H9,요약!$B$3)+1),0)</f>
        <v/>
      </c>
      <c r="X9" s="10">
        <f>IF(OR(NOT(ISNUMBER(H9)),Q9=""),"",IF(TODAY()&lt;H9,"파견예정",IF(AND(ISNUMBER(I9),TODAY()&gt;I9),"파견종료","파견중")))</f>
        <v/>
      </c>
      <c r="Y9" s="10">
        <f>IF(OR(Q9="",X9=""),"",Q9&amp;"|"&amp;X9)</f>
        <v/>
      </c>
      <c r="Z9" s="10">
        <f>IF(AND(Q9&lt;&gt;"",W9&gt;0),Q9&amp;"|월","")</f>
        <v/>
      </c>
      <c r="AA9" s="10">
        <f>IF(COUNTA(B9:N9)=0,"",IF(Q9="","등록번호 없음",IF(LEFT(R9,1)="⚠","모병원명 미등록",IF(S9="","파견병원 입력",IF(LEFT(S9,1)="⚠","파견병원명 미등록",IF(LEFT(U9,1)="⚠","파견과목 미등록",IF(OR(T9="",LEFT(T9,1)="⚠"),"파견근거 확인",IF(NOT(AND(ISNUMBER(H9),ISNUMBER(I9))),"날짜 형식/누락",IF(I9&lt;H9,"종료일&lt;시작일","")))))))))</f>
        <v/>
      </c>
      <c r="AB9" s="11">
        <f>IF(ISNUMBER(SEARCH("다기관",TRIM(N9&amp;" "&amp;O9))),IFERROR(DATE(VALUE(MID(TRIM(N9&amp;" "&amp;O9),1,4)),VALUE(MID(TRIM(N9&amp;" "&amp;O9),6,2)),VALUE(MID(TRIM(N9&amp;" "&amp;O9),9,2))),IF(ISNUMBER(H9),H9,"")),"")</f>
        <v/>
      </c>
      <c r="AC9" s="11">
        <f>IF(ISNUMBER(SEARCH("다기관",TRIM(N9&amp;" "&amp;O9))),IFERROR(DATE(VALUE(MID(TRIM(N9&amp;" "&amp;O9),12,4)),VALUE(MID(TRIM(N9&amp;" "&amp;O9),17,2)),VALUE(MID(TRIM(N9&amp;" "&amp;O9),20,2))),IF(ISNUMBER(I9),I9,"")),"")</f>
        <v/>
      </c>
      <c r="AD9" s="17">
        <f>IF(AND(ISNUMBER(AB9),ISNUMBER(AC9)),MAX(0,MIN(AC9,EOMONTH(요약!$B$3,0))-MAX(AB9,요약!$B$3)+1),0)</f>
        <v/>
      </c>
      <c r="AE9" s="10">
        <f>IF(AND(Q9&lt;&gt;"",ISNUMBER(AB9)),Q9&amp;"|다기관","")</f>
        <v/>
      </c>
    </row>
    <row r="10">
      <c r="A10" s="15">
        <f>IF(F10="","",ROW()-3)</f>
        <v/>
      </c>
      <c r="B10" s="5" t="inlineStr">
        <is>
          <t>한양대구리병원</t>
        </is>
      </c>
      <c r="C10" s="15" t="inlineStr">
        <is>
          <t>I</t>
        </is>
      </c>
      <c r="D10" s="5" t="inlineStr">
        <is>
          <t>인턴</t>
        </is>
      </c>
      <c r="E10" s="15" t="inlineStr">
        <is>
          <t>인턴</t>
        </is>
      </c>
      <c r="F10" s="5" t="inlineStr">
        <is>
          <t>박ㅇㅇ</t>
        </is>
      </c>
      <c r="G10" s="6" t="inlineStr">
        <is>
          <t>22-2224</t>
        </is>
      </c>
      <c r="H10" s="16" t="n">
        <v>46327</v>
      </c>
      <c r="I10" s="16" t="n">
        <v>46356</v>
      </c>
      <c r="J10" s="15">
        <f>IF(AND(ISNUMBER(H10),ISNUMBER(I10)),I10-H10+1,"")</f>
        <v/>
      </c>
      <c r="K10" s="5" t="inlineStr">
        <is>
          <t>한양대학교병원</t>
        </is>
      </c>
      <c r="L10" s="5" t="inlineStr">
        <is>
          <t>응급의학과</t>
        </is>
      </c>
      <c r="M10" s="5" t="inlineStr">
        <is>
          <t>모자</t>
        </is>
      </c>
      <c r="N10" s="5" t="n"/>
      <c r="O10" s="5" t="n"/>
      <c r="Q10" s="10">
        <f>IF(TRIM(G10&amp;"")="","",TRIM(G10&amp;""))</f>
        <v/>
      </c>
      <c r="R10" s="10">
        <f>IF(TRIM(B10&amp;"")="","",IFERROR(INDEX(코드표!$K$2:$K$101,MATCH(TRIM(B10&amp;""),코드표!$J$2:$J$101,0)),"⚠"&amp;TRIM(B10&amp;"")))</f>
        <v/>
      </c>
      <c r="S10" s="10">
        <f>IF(TRIM(K10&amp;"")="","",IFERROR(INDEX(코드표!$K$2:$K$101,MATCH(TRIM(K10&amp;""),코드표!$J$2:$J$101,0)),"⚠"&amp;TRIM(K10&amp;"")))</f>
        <v/>
      </c>
      <c r="T10" s="10">
        <f>IF(TRIM(M10&amp;"")="","",IF(ISNUMBER(MATCH(TRIM(M10&amp;""),코드표!$C$2:$C$11,0)),TRIM(M10&amp;""),"⚠"&amp;TRIM(M10&amp;"")))</f>
        <v/>
      </c>
      <c r="U10" s="10">
        <f>IF(TRIM(L10&amp;"")="","",IFERROR(INDEX(코드표!$G$2:$G$101,MATCH(TRIM(L10&amp;""),코드표!$F$2:$F$101,0)),"⚠"&amp;TRIM(L10&amp;"")))</f>
        <v/>
      </c>
      <c r="V10" s="10">
        <f>IF(AND(ISNUMBER(H10),ISNUMBER(I10)),I10-H10+1,"")</f>
        <v/>
      </c>
      <c r="W10" s="17">
        <f>IF(ISNUMBER(H10),MAX(0,MIN(IF(ISNUMBER(I10),I10,EOMONTH(요약!$B$3,0)),EOMONTH(요약!$B$3,0))-MAX(H10,요약!$B$3)+1),0)</f>
        <v/>
      </c>
      <c r="X10" s="10">
        <f>IF(OR(NOT(ISNUMBER(H10)),Q10=""),"",IF(TODAY()&lt;H10,"파견예정",IF(AND(ISNUMBER(I10),TODAY()&gt;I10),"파견종료","파견중")))</f>
        <v/>
      </c>
      <c r="Y10" s="10">
        <f>IF(OR(Q10="",X10=""),"",Q10&amp;"|"&amp;X10)</f>
        <v/>
      </c>
      <c r="Z10" s="10">
        <f>IF(AND(Q10&lt;&gt;"",W10&gt;0),Q10&amp;"|월","")</f>
        <v/>
      </c>
      <c r="AA10" s="10">
        <f>IF(COUNTA(B10:N10)=0,"",IF(Q10="","등록번호 없음",IF(LEFT(R10,1)="⚠","모병원명 미등록",IF(S10="","파견병원 입력",IF(LEFT(S10,1)="⚠","파견병원명 미등록",IF(LEFT(U10,1)="⚠","파견과목 미등록",IF(OR(T10="",LEFT(T10,1)="⚠"),"파견근거 확인",IF(NOT(AND(ISNUMBER(H10),ISNUMBER(I10))),"날짜 형식/누락",IF(I10&lt;H10,"종료일&lt;시작일","")))))))))</f>
        <v/>
      </c>
      <c r="AB10" s="11">
        <f>IF(ISNUMBER(SEARCH("다기관",TRIM(N10&amp;" "&amp;O10))),IFERROR(DATE(VALUE(MID(TRIM(N10&amp;" "&amp;O10),1,4)),VALUE(MID(TRIM(N10&amp;" "&amp;O10),6,2)),VALUE(MID(TRIM(N10&amp;" "&amp;O10),9,2))),IF(ISNUMBER(H10),H10,"")),"")</f>
        <v/>
      </c>
      <c r="AC10" s="11">
        <f>IF(ISNUMBER(SEARCH("다기관",TRIM(N10&amp;" "&amp;O10))),IFERROR(DATE(VALUE(MID(TRIM(N10&amp;" "&amp;O10),12,4)),VALUE(MID(TRIM(N10&amp;" "&amp;O10),17,2)),VALUE(MID(TRIM(N10&amp;" "&amp;O10),20,2))),IF(ISNUMBER(I10),I10,"")),"")</f>
        <v/>
      </c>
      <c r="AD10" s="17">
        <f>IF(AND(ISNUMBER(AB10),ISNUMBER(AC10)),MAX(0,MIN(AC10,EOMONTH(요약!$B$3,0))-MAX(AB10,요약!$B$3)+1),0)</f>
        <v/>
      </c>
      <c r="AE10" s="10">
        <f>IF(AND(Q10&lt;&gt;"",ISNUMBER(AB10)),Q10&amp;"|다기관","")</f>
        <v/>
      </c>
    </row>
    <row r="11">
      <c r="A11" s="15">
        <f>IF(F11="","",ROW()-3)</f>
        <v/>
      </c>
      <c r="B11" s="5" t="n"/>
      <c r="C11" s="15" t="n"/>
      <c r="D11" s="5" t="n"/>
      <c r="E11" s="15" t="n"/>
      <c r="F11" s="5" t="n"/>
      <c r="G11" s="6" t="n"/>
      <c r="H11" s="16" t="n"/>
      <c r="I11" s="16" t="n"/>
      <c r="J11" s="15">
        <f>IF(AND(ISNUMBER(H11),ISNUMBER(I11)),I11-H11+1,"")</f>
        <v/>
      </c>
      <c r="K11" s="5" t="n"/>
      <c r="L11" s="5" t="n"/>
      <c r="M11" s="5" t="n"/>
      <c r="N11" s="5" t="n"/>
      <c r="O11" s="5" t="n"/>
      <c r="Q11" s="10">
        <f>IF(TRIM(G11&amp;"")="","",TRIM(G11&amp;""))</f>
        <v/>
      </c>
      <c r="R11" s="10">
        <f>IF(TRIM(B11&amp;"")="","",IFERROR(INDEX(코드표!$K$2:$K$101,MATCH(TRIM(B11&amp;""),코드표!$J$2:$J$101,0)),"⚠"&amp;TRIM(B11&amp;"")))</f>
        <v/>
      </c>
      <c r="S11" s="10">
        <f>IF(TRIM(K11&amp;"")="","",IFERROR(INDEX(코드표!$K$2:$K$101,MATCH(TRIM(K11&amp;""),코드표!$J$2:$J$101,0)),"⚠"&amp;TRIM(K11&amp;"")))</f>
        <v/>
      </c>
      <c r="T11" s="10">
        <f>IF(TRIM(M11&amp;"")="","",IF(ISNUMBER(MATCH(TRIM(M11&amp;""),코드표!$C$2:$C$11,0)),TRIM(M11&amp;""),"⚠"&amp;TRIM(M11&amp;"")))</f>
        <v/>
      </c>
      <c r="U11" s="10">
        <f>IF(TRIM(L11&amp;"")="","",IFERROR(INDEX(코드표!$G$2:$G$101,MATCH(TRIM(L11&amp;""),코드표!$F$2:$F$101,0)),"⚠"&amp;TRIM(L11&amp;"")))</f>
        <v/>
      </c>
      <c r="V11" s="10">
        <f>IF(AND(ISNUMBER(H11),ISNUMBER(I11)),I11-H11+1,"")</f>
        <v/>
      </c>
      <c r="W11" s="17">
        <f>IF(ISNUMBER(H11),MAX(0,MIN(IF(ISNUMBER(I11),I11,EOMONTH(요약!$B$3,0)),EOMONTH(요약!$B$3,0))-MAX(H11,요약!$B$3)+1),0)</f>
        <v/>
      </c>
      <c r="X11" s="10">
        <f>IF(OR(NOT(ISNUMBER(H11)),Q11=""),"",IF(TODAY()&lt;H11,"파견예정",IF(AND(ISNUMBER(I11),TODAY()&gt;I11),"파견종료","파견중")))</f>
        <v/>
      </c>
      <c r="Y11" s="10">
        <f>IF(OR(Q11="",X11=""),"",Q11&amp;"|"&amp;X11)</f>
        <v/>
      </c>
      <c r="Z11" s="10">
        <f>IF(AND(Q11&lt;&gt;"",W11&gt;0),Q11&amp;"|월","")</f>
        <v/>
      </c>
      <c r="AA11" s="10">
        <f>IF(COUNTA(B11:N11)=0,"",IF(Q11="","등록번호 없음",IF(LEFT(R11,1)="⚠","모병원명 미등록",IF(S11="","파견병원 입력",IF(LEFT(S11,1)="⚠","파견병원명 미등록",IF(LEFT(U11,1)="⚠","파견과목 미등록",IF(OR(T11="",LEFT(T11,1)="⚠"),"파견근거 확인",IF(NOT(AND(ISNUMBER(H11),ISNUMBER(I11))),"날짜 형식/누락",IF(I11&lt;H11,"종료일&lt;시작일","")))))))))</f>
        <v/>
      </c>
      <c r="AB11" s="11">
        <f>IF(ISNUMBER(SEARCH("다기관",TRIM(N11&amp;" "&amp;O11))),IFERROR(DATE(VALUE(MID(TRIM(N11&amp;" "&amp;O11),1,4)),VALUE(MID(TRIM(N11&amp;" "&amp;O11),6,2)),VALUE(MID(TRIM(N11&amp;" "&amp;O11),9,2))),IF(ISNUMBER(H11),H11,"")),"")</f>
        <v/>
      </c>
      <c r="AC11" s="11">
        <f>IF(ISNUMBER(SEARCH("다기관",TRIM(N11&amp;" "&amp;O11))),IFERROR(DATE(VALUE(MID(TRIM(N11&amp;" "&amp;O11),12,4)),VALUE(MID(TRIM(N11&amp;" "&amp;O11),17,2)),VALUE(MID(TRIM(N11&amp;" "&amp;O11),20,2))),IF(ISNUMBER(I11),I11,"")),"")</f>
        <v/>
      </c>
      <c r="AD11" s="17">
        <f>IF(AND(ISNUMBER(AB11),ISNUMBER(AC11)),MAX(0,MIN(AC11,EOMONTH(요약!$B$3,0))-MAX(AB11,요약!$B$3)+1),0)</f>
        <v/>
      </c>
      <c r="AE11" s="10">
        <f>IF(AND(Q11&lt;&gt;"",ISNUMBER(AB11)),Q11&amp;"|다기관","")</f>
        <v/>
      </c>
    </row>
    <row r="12">
      <c r="A12" s="15">
        <f>IF(F12="","",ROW()-3)</f>
        <v/>
      </c>
      <c r="B12" s="5" t="n"/>
      <c r="C12" s="15" t="n"/>
      <c r="D12" s="5" t="n"/>
      <c r="E12" s="15" t="n"/>
      <c r="F12" s="5" t="n"/>
      <c r="G12" s="6" t="n"/>
      <c r="H12" s="16" t="n"/>
      <c r="I12" s="16" t="n"/>
      <c r="J12" s="15">
        <f>IF(AND(ISNUMBER(H12),ISNUMBER(I12)),I12-H12+1,"")</f>
        <v/>
      </c>
      <c r="K12" s="5" t="n"/>
      <c r="L12" s="5" t="n"/>
      <c r="M12" s="5" t="n"/>
      <c r="N12" s="5" t="n"/>
      <c r="O12" s="5" t="n"/>
      <c r="Q12" s="10">
        <f>IF(TRIM(G12&amp;"")="","",TRIM(G12&amp;""))</f>
        <v/>
      </c>
      <c r="R12" s="10">
        <f>IF(TRIM(B12&amp;"")="","",IFERROR(INDEX(코드표!$K$2:$K$101,MATCH(TRIM(B12&amp;""),코드표!$J$2:$J$101,0)),"⚠"&amp;TRIM(B12&amp;"")))</f>
        <v/>
      </c>
      <c r="S12" s="10">
        <f>IF(TRIM(K12&amp;"")="","",IFERROR(INDEX(코드표!$K$2:$K$101,MATCH(TRIM(K12&amp;""),코드표!$J$2:$J$101,0)),"⚠"&amp;TRIM(K12&amp;"")))</f>
        <v/>
      </c>
      <c r="T12" s="10">
        <f>IF(TRIM(M12&amp;"")="","",IF(ISNUMBER(MATCH(TRIM(M12&amp;""),코드표!$C$2:$C$11,0)),TRIM(M12&amp;""),"⚠"&amp;TRIM(M12&amp;"")))</f>
        <v/>
      </c>
      <c r="U12" s="10">
        <f>IF(TRIM(L12&amp;"")="","",IFERROR(INDEX(코드표!$G$2:$G$101,MATCH(TRIM(L12&amp;""),코드표!$F$2:$F$101,0)),"⚠"&amp;TRIM(L12&amp;"")))</f>
        <v/>
      </c>
      <c r="V12" s="10">
        <f>IF(AND(ISNUMBER(H12),ISNUMBER(I12)),I12-H12+1,"")</f>
        <v/>
      </c>
      <c r="W12" s="17">
        <f>IF(ISNUMBER(H12),MAX(0,MIN(IF(ISNUMBER(I12),I12,EOMONTH(요약!$B$3,0)),EOMONTH(요약!$B$3,0))-MAX(H12,요약!$B$3)+1),0)</f>
        <v/>
      </c>
      <c r="X12" s="10">
        <f>IF(OR(NOT(ISNUMBER(H12)),Q12=""),"",IF(TODAY()&lt;H12,"파견예정",IF(AND(ISNUMBER(I12),TODAY()&gt;I12),"파견종료","파견중")))</f>
        <v/>
      </c>
      <c r="Y12" s="10">
        <f>IF(OR(Q12="",X12=""),"",Q12&amp;"|"&amp;X12)</f>
        <v/>
      </c>
      <c r="Z12" s="10">
        <f>IF(AND(Q12&lt;&gt;"",W12&gt;0),Q12&amp;"|월","")</f>
        <v/>
      </c>
      <c r="AA12" s="10">
        <f>IF(COUNTA(B12:N12)=0,"",IF(Q12="","등록번호 없음",IF(LEFT(R12,1)="⚠","모병원명 미등록",IF(S12="","파견병원 입력",IF(LEFT(S12,1)="⚠","파견병원명 미등록",IF(LEFT(U12,1)="⚠","파견과목 미등록",IF(OR(T12="",LEFT(T12,1)="⚠"),"파견근거 확인",IF(NOT(AND(ISNUMBER(H12),ISNUMBER(I12))),"날짜 형식/누락",IF(I12&lt;H12,"종료일&lt;시작일","")))))))))</f>
        <v/>
      </c>
      <c r="AB12" s="11">
        <f>IF(ISNUMBER(SEARCH("다기관",TRIM(N12&amp;" "&amp;O12))),IFERROR(DATE(VALUE(MID(TRIM(N12&amp;" "&amp;O12),1,4)),VALUE(MID(TRIM(N12&amp;" "&amp;O12),6,2)),VALUE(MID(TRIM(N12&amp;" "&amp;O12),9,2))),IF(ISNUMBER(H12),H12,"")),"")</f>
        <v/>
      </c>
      <c r="AC12" s="11">
        <f>IF(ISNUMBER(SEARCH("다기관",TRIM(N12&amp;" "&amp;O12))),IFERROR(DATE(VALUE(MID(TRIM(N12&amp;" "&amp;O12),12,4)),VALUE(MID(TRIM(N12&amp;" "&amp;O12),17,2)),VALUE(MID(TRIM(N12&amp;" "&amp;O12),20,2))),IF(ISNUMBER(I12),I12,"")),"")</f>
        <v/>
      </c>
      <c r="AD12" s="17">
        <f>IF(AND(ISNUMBER(AB12),ISNUMBER(AC12)),MAX(0,MIN(AC12,EOMONTH(요약!$B$3,0))-MAX(AB12,요약!$B$3)+1),0)</f>
        <v/>
      </c>
      <c r="AE12" s="10">
        <f>IF(AND(Q12&lt;&gt;"",ISNUMBER(AB12)),Q12&amp;"|다기관","")</f>
        <v/>
      </c>
    </row>
    <row r="13">
      <c r="A13" s="15">
        <f>IF(F13="","",ROW()-3)</f>
        <v/>
      </c>
      <c r="B13" s="5" t="n"/>
      <c r="C13" s="15" t="n"/>
      <c r="D13" s="5" t="n"/>
      <c r="E13" s="15" t="n"/>
      <c r="F13" s="5" t="n"/>
      <c r="G13" s="6" t="n"/>
      <c r="H13" s="16" t="n"/>
      <c r="I13" s="16" t="n"/>
      <c r="J13" s="15">
        <f>IF(AND(ISNUMBER(H13),ISNUMBER(I13)),I13-H13+1,"")</f>
        <v/>
      </c>
      <c r="K13" s="5" t="n"/>
      <c r="L13" s="5" t="n"/>
      <c r="M13" s="5" t="n"/>
      <c r="N13" s="5" t="n"/>
      <c r="O13" s="5" t="n"/>
      <c r="Q13" s="10">
        <f>IF(TRIM(G13&amp;"")="","",TRIM(G13&amp;""))</f>
        <v/>
      </c>
      <c r="R13" s="10">
        <f>IF(TRIM(B13&amp;"")="","",IFERROR(INDEX(코드표!$K$2:$K$101,MATCH(TRIM(B13&amp;""),코드표!$J$2:$J$101,0)),"⚠"&amp;TRIM(B13&amp;"")))</f>
        <v/>
      </c>
      <c r="S13" s="10">
        <f>IF(TRIM(K13&amp;"")="","",IFERROR(INDEX(코드표!$K$2:$K$101,MATCH(TRIM(K13&amp;""),코드표!$J$2:$J$101,0)),"⚠"&amp;TRIM(K13&amp;"")))</f>
        <v/>
      </c>
      <c r="T13" s="10">
        <f>IF(TRIM(M13&amp;"")="","",IF(ISNUMBER(MATCH(TRIM(M13&amp;""),코드표!$C$2:$C$11,0)),TRIM(M13&amp;""),"⚠"&amp;TRIM(M13&amp;"")))</f>
        <v/>
      </c>
      <c r="U13" s="10">
        <f>IF(TRIM(L13&amp;"")="","",IFERROR(INDEX(코드표!$G$2:$G$101,MATCH(TRIM(L13&amp;""),코드표!$F$2:$F$101,0)),"⚠"&amp;TRIM(L13&amp;"")))</f>
        <v/>
      </c>
      <c r="V13" s="10">
        <f>IF(AND(ISNUMBER(H13),ISNUMBER(I13)),I13-H13+1,"")</f>
        <v/>
      </c>
      <c r="W13" s="17">
        <f>IF(ISNUMBER(H13),MAX(0,MIN(IF(ISNUMBER(I13),I13,EOMONTH(요약!$B$3,0)),EOMONTH(요약!$B$3,0))-MAX(H13,요약!$B$3)+1),0)</f>
        <v/>
      </c>
      <c r="X13" s="10">
        <f>IF(OR(NOT(ISNUMBER(H13)),Q13=""),"",IF(TODAY()&lt;H13,"파견예정",IF(AND(ISNUMBER(I13),TODAY()&gt;I13),"파견종료","파견중")))</f>
        <v/>
      </c>
      <c r="Y13" s="10">
        <f>IF(OR(Q13="",X13=""),"",Q13&amp;"|"&amp;X13)</f>
        <v/>
      </c>
      <c r="Z13" s="10">
        <f>IF(AND(Q13&lt;&gt;"",W13&gt;0),Q13&amp;"|월","")</f>
        <v/>
      </c>
      <c r="AA13" s="10">
        <f>IF(COUNTA(B13:N13)=0,"",IF(Q13="","등록번호 없음",IF(LEFT(R13,1)="⚠","모병원명 미등록",IF(S13="","파견병원 입력",IF(LEFT(S13,1)="⚠","파견병원명 미등록",IF(LEFT(U13,1)="⚠","파견과목 미등록",IF(OR(T13="",LEFT(T13,1)="⚠"),"파견근거 확인",IF(NOT(AND(ISNUMBER(H13),ISNUMBER(I13))),"날짜 형식/누락",IF(I13&lt;H13,"종료일&lt;시작일","")))))))))</f>
        <v/>
      </c>
      <c r="AB13" s="11">
        <f>IF(ISNUMBER(SEARCH("다기관",TRIM(N13&amp;" "&amp;O13))),IFERROR(DATE(VALUE(MID(TRIM(N13&amp;" "&amp;O13),1,4)),VALUE(MID(TRIM(N13&amp;" "&amp;O13),6,2)),VALUE(MID(TRIM(N13&amp;" "&amp;O13),9,2))),IF(ISNUMBER(H13),H13,"")),"")</f>
        <v/>
      </c>
      <c r="AC13" s="11">
        <f>IF(ISNUMBER(SEARCH("다기관",TRIM(N13&amp;" "&amp;O13))),IFERROR(DATE(VALUE(MID(TRIM(N13&amp;" "&amp;O13),12,4)),VALUE(MID(TRIM(N13&amp;" "&amp;O13),17,2)),VALUE(MID(TRIM(N13&amp;" "&amp;O13),20,2))),IF(ISNUMBER(I13),I13,"")),"")</f>
        <v/>
      </c>
      <c r="AD13" s="17">
        <f>IF(AND(ISNUMBER(AB13),ISNUMBER(AC13)),MAX(0,MIN(AC13,EOMONTH(요약!$B$3,0))-MAX(AB13,요약!$B$3)+1),0)</f>
        <v/>
      </c>
      <c r="AE13" s="10">
        <f>IF(AND(Q13&lt;&gt;"",ISNUMBER(AB13)),Q13&amp;"|다기관","")</f>
        <v/>
      </c>
    </row>
    <row r="14">
      <c r="A14" s="15">
        <f>IF(F14="","",ROW()-3)</f>
        <v/>
      </c>
      <c r="B14" s="5" t="n"/>
      <c r="C14" s="15" t="n"/>
      <c r="D14" s="5" t="n"/>
      <c r="E14" s="15" t="n"/>
      <c r="F14" s="5" t="n"/>
      <c r="G14" s="6" t="n"/>
      <c r="H14" s="16" t="n"/>
      <c r="I14" s="16" t="n"/>
      <c r="J14" s="15">
        <f>IF(AND(ISNUMBER(H14),ISNUMBER(I14)),I14-H14+1,"")</f>
        <v/>
      </c>
      <c r="K14" s="5" t="n"/>
      <c r="L14" s="5" t="n"/>
      <c r="M14" s="5" t="n"/>
      <c r="N14" s="5" t="n"/>
      <c r="O14" s="5" t="n"/>
      <c r="Q14" s="10">
        <f>IF(TRIM(G14&amp;"")="","",TRIM(G14&amp;""))</f>
        <v/>
      </c>
      <c r="R14" s="10">
        <f>IF(TRIM(B14&amp;"")="","",IFERROR(INDEX(코드표!$K$2:$K$101,MATCH(TRIM(B14&amp;""),코드표!$J$2:$J$101,0)),"⚠"&amp;TRIM(B14&amp;"")))</f>
        <v/>
      </c>
      <c r="S14" s="10">
        <f>IF(TRIM(K14&amp;"")="","",IFERROR(INDEX(코드표!$K$2:$K$101,MATCH(TRIM(K14&amp;""),코드표!$J$2:$J$101,0)),"⚠"&amp;TRIM(K14&amp;"")))</f>
        <v/>
      </c>
      <c r="T14" s="10">
        <f>IF(TRIM(M14&amp;"")="","",IF(ISNUMBER(MATCH(TRIM(M14&amp;""),코드표!$C$2:$C$11,0)),TRIM(M14&amp;""),"⚠"&amp;TRIM(M14&amp;"")))</f>
        <v/>
      </c>
      <c r="U14" s="10">
        <f>IF(TRIM(L14&amp;"")="","",IFERROR(INDEX(코드표!$G$2:$G$101,MATCH(TRIM(L14&amp;""),코드표!$F$2:$F$101,0)),"⚠"&amp;TRIM(L14&amp;"")))</f>
        <v/>
      </c>
      <c r="V14" s="10">
        <f>IF(AND(ISNUMBER(H14),ISNUMBER(I14)),I14-H14+1,"")</f>
        <v/>
      </c>
      <c r="W14" s="17">
        <f>IF(ISNUMBER(H14),MAX(0,MIN(IF(ISNUMBER(I14),I14,EOMONTH(요약!$B$3,0)),EOMONTH(요약!$B$3,0))-MAX(H14,요약!$B$3)+1),0)</f>
        <v/>
      </c>
      <c r="X14" s="10">
        <f>IF(OR(NOT(ISNUMBER(H14)),Q14=""),"",IF(TODAY()&lt;H14,"파견예정",IF(AND(ISNUMBER(I14),TODAY()&gt;I14),"파견종료","파견중")))</f>
        <v/>
      </c>
      <c r="Y14" s="10">
        <f>IF(OR(Q14="",X14=""),"",Q14&amp;"|"&amp;X14)</f>
        <v/>
      </c>
      <c r="Z14" s="10">
        <f>IF(AND(Q14&lt;&gt;"",W14&gt;0),Q14&amp;"|월","")</f>
        <v/>
      </c>
      <c r="AA14" s="10">
        <f>IF(COUNTA(B14:N14)=0,"",IF(Q14="","등록번호 없음",IF(LEFT(R14,1)="⚠","모병원명 미등록",IF(S14="","파견병원 입력",IF(LEFT(S14,1)="⚠","파견병원명 미등록",IF(LEFT(U14,1)="⚠","파견과목 미등록",IF(OR(T14="",LEFT(T14,1)="⚠"),"파견근거 확인",IF(NOT(AND(ISNUMBER(H14),ISNUMBER(I14))),"날짜 형식/누락",IF(I14&lt;H14,"종료일&lt;시작일","")))))))))</f>
        <v/>
      </c>
      <c r="AB14" s="11">
        <f>IF(ISNUMBER(SEARCH("다기관",TRIM(N14&amp;" "&amp;O14))),IFERROR(DATE(VALUE(MID(TRIM(N14&amp;" "&amp;O14),1,4)),VALUE(MID(TRIM(N14&amp;" "&amp;O14),6,2)),VALUE(MID(TRIM(N14&amp;" "&amp;O14),9,2))),IF(ISNUMBER(H14),H14,"")),"")</f>
        <v/>
      </c>
      <c r="AC14" s="11">
        <f>IF(ISNUMBER(SEARCH("다기관",TRIM(N14&amp;" "&amp;O14))),IFERROR(DATE(VALUE(MID(TRIM(N14&amp;" "&amp;O14),12,4)),VALUE(MID(TRIM(N14&amp;" "&amp;O14),17,2)),VALUE(MID(TRIM(N14&amp;" "&amp;O14),20,2))),IF(ISNUMBER(I14),I14,"")),"")</f>
        <v/>
      </c>
      <c r="AD14" s="17">
        <f>IF(AND(ISNUMBER(AB14),ISNUMBER(AC14)),MAX(0,MIN(AC14,EOMONTH(요약!$B$3,0))-MAX(AB14,요약!$B$3)+1),0)</f>
        <v/>
      </c>
      <c r="AE14" s="10">
        <f>IF(AND(Q14&lt;&gt;"",ISNUMBER(AB14)),Q14&amp;"|다기관","")</f>
        <v/>
      </c>
    </row>
    <row r="15">
      <c r="A15" s="15">
        <f>IF(F15="","",ROW()-3)</f>
        <v/>
      </c>
      <c r="B15" s="5" t="n"/>
      <c r="C15" s="15" t="n"/>
      <c r="D15" s="5" t="n"/>
      <c r="E15" s="15" t="n"/>
      <c r="F15" s="5" t="n"/>
      <c r="G15" s="6" t="n"/>
      <c r="H15" s="16" t="n"/>
      <c r="I15" s="16" t="n"/>
      <c r="J15" s="15">
        <f>IF(AND(ISNUMBER(H15),ISNUMBER(I15)),I15-H15+1,"")</f>
        <v/>
      </c>
      <c r="K15" s="5" t="n"/>
      <c r="L15" s="5" t="n"/>
      <c r="M15" s="5" t="n"/>
      <c r="N15" s="5" t="n"/>
      <c r="O15" s="5" t="n"/>
      <c r="Q15" s="10">
        <f>IF(TRIM(G15&amp;"")="","",TRIM(G15&amp;""))</f>
        <v/>
      </c>
      <c r="R15" s="10">
        <f>IF(TRIM(B15&amp;"")="","",IFERROR(INDEX(코드표!$K$2:$K$101,MATCH(TRIM(B15&amp;""),코드표!$J$2:$J$101,0)),"⚠"&amp;TRIM(B15&amp;"")))</f>
        <v/>
      </c>
      <c r="S15" s="10">
        <f>IF(TRIM(K15&amp;"")="","",IFERROR(INDEX(코드표!$K$2:$K$101,MATCH(TRIM(K15&amp;""),코드표!$J$2:$J$101,0)),"⚠"&amp;TRIM(K15&amp;"")))</f>
        <v/>
      </c>
      <c r="T15" s="10">
        <f>IF(TRIM(M15&amp;"")="","",IF(ISNUMBER(MATCH(TRIM(M15&amp;""),코드표!$C$2:$C$11,0)),TRIM(M15&amp;""),"⚠"&amp;TRIM(M15&amp;"")))</f>
        <v/>
      </c>
      <c r="U15" s="10">
        <f>IF(TRIM(L15&amp;"")="","",IFERROR(INDEX(코드표!$G$2:$G$101,MATCH(TRIM(L15&amp;""),코드표!$F$2:$F$101,0)),"⚠"&amp;TRIM(L15&amp;"")))</f>
        <v/>
      </c>
      <c r="V15" s="10">
        <f>IF(AND(ISNUMBER(H15),ISNUMBER(I15)),I15-H15+1,"")</f>
        <v/>
      </c>
      <c r="W15" s="17">
        <f>IF(ISNUMBER(H15),MAX(0,MIN(IF(ISNUMBER(I15),I15,EOMONTH(요약!$B$3,0)),EOMONTH(요약!$B$3,0))-MAX(H15,요약!$B$3)+1),0)</f>
        <v/>
      </c>
      <c r="X15" s="10">
        <f>IF(OR(NOT(ISNUMBER(H15)),Q15=""),"",IF(TODAY()&lt;H15,"파견예정",IF(AND(ISNUMBER(I15),TODAY()&gt;I15),"파견종료","파견중")))</f>
        <v/>
      </c>
      <c r="Y15" s="10">
        <f>IF(OR(Q15="",X15=""),"",Q15&amp;"|"&amp;X15)</f>
        <v/>
      </c>
      <c r="Z15" s="10">
        <f>IF(AND(Q15&lt;&gt;"",W15&gt;0),Q15&amp;"|월","")</f>
        <v/>
      </c>
      <c r="AA15" s="10">
        <f>IF(COUNTA(B15:N15)=0,"",IF(Q15="","등록번호 없음",IF(LEFT(R15,1)="⚠","모병원명 미등록",IF(S15="","파견병원 입력",IF(LEFT(S15,1)="⚠","파견병원명 미등록",IF(LEFT(U15,1)="⚠","파견과목 미등록",IF(OR(T15="",LEFT(T15,1)="⚠"),"파견근거 확인",IF(NOT(AND(ISNUMBER(H15),ISNUMBER(I15))),"날짜 형식/누락",IF(I15&lt;H15,"종료일&lt;시작일","")))))))))</f>
        <v/>
      </c>
      <c r="AB15" s="11">
        <f>IF(ISNUMBER(SEARCH("다기관",TRIM(N15&amp;" "&amp;O15))),IFERROR(DATE(VALUE(MID(TRIM(N15&amp;" "&amp;O15),1,4)),VALUE(MID(TRIM(N15&amp;" "&amp;O15),6,2)),VALUE(MID(TRIM(N15&amp;" "&amp;O15),9,2))),IF(ISNUMBER(H15),H15,"")),"")</f>
        <v/>
      </c>
      <c r="AC15" s="11">
        <f>IF(ISNUMBER(SEARCH("다기관",TRIM(N15&amp;" "&amp;O15))),IFERROR(DATE(VALUE(MID(TRIM(N15&amp;" "&amp;O15),12,4)),VALUE(MID(TRIM(N15&amp;" "&amp;O15),17,2)),VALUE(MID(TRIM(N15&amp;" "&amp;O15),20,2))),IF(ISNUMBER(I15),I15,"")),"")</f>
        <v/>
      </c>
      <c r="AD15" s="17">
        <f>IF(AND(ISNUMBER(AB15),ISNUMBER(AC15)),MAX(0,MIN(AC15,EOMONTH(요약!$B$3,0))-MAX(AB15,요약!$B$3)+1),0)</f>
        <v/>
      </c>
      <c r="AE15" s="10">
        <f>IF(AND(Q15&lt;&gt;"",ISNUMBER(AB15)),Q15&amp;"|다기관","")</f>
        <v/>
      </c>
    </row>
    <row r="16">
      <c r="A16" s="15">
        <f>IF(F16="","",ROW()-3)</f>
        <v/>
      </c>
      <c r="B16" s="5" t="n"/>
      <c r="C16" s="15" t="n"/>
      <c r="D16" s="5" t="n"/>
      <c r="E16" s="15" t="n"/>
      <c r="F16" s="5" t="n"/>
      <c r="G16" s="6" t="n"/>
      <c r="H16" s="16" t="n"/>
      <c r="I16" s="16" t="n"/>
      <c r="J16" s="15">
        <f>IF(AND(ISNUMBER(H16),ISNUMBER(I16)),I16-H16+1,"")</f>
        <v/>
      </c>
      <c r="K16" s="5" t="n"/>
      <c r="L16" s="5" t="n"/>
      <c r="M16" s="5" t="n"/>
      <c r="N16" s="5" t="n"/>
      <c r="O16" s="5" t="n"/>
      <c r="Q16" s="10">
        <f>IF(TRIM(G16&amp;"")="","",TRIM(G16&amp;""))</f>
        <v/>
      </c>
      <c r="R16" s="10">
        <f>IF(TRIM(B16&amp;"")="","",IFERROR(INDEX(코드표!$K$2:$K$101,MATCH(TRIM(B16&amp;""),코드표!$J$2:$J$101,0)),"⚠"&amp;TRIM(B16&amp;"")))</f>
        <v/>
      </c>
      <c r="S16" s="10">
        <f>IF(TRIM(K16&amp;"")="","",IFERROR(INDEX(코드표!$K$2:$K$101,MATCH(TRIM(K16&amp;""),코드표!$J$2:$J$101,0)),"⚠"&amp;TRIM(K16&amp;"")))</f>
        <v/>
      </c>
      <c r="T16" s="10">
        <f>IF(TRIM(M16&amp;"")="","",IF(ISNUMBER(MATCH(TRIM(M16&amp;""),코드표!$C$2:$C$11,0)),TRIM(M16&amp;""),"⚠"&amp;TRIM(M16&amp;"")))</f>
        <v/>
      </c>
      <c r="U16" s="10">
        <f>IF(TRIM(L16&amp;"")="","",IFERROR(INDEX(코드표!$G$2:$G$101,MATCH(TRIM(L16&amp;""),코드표!$F$2:$F$101,0)),"⚠"&amp;TRIM(L16&amp;"")))</f>
        <v/>
      </c>
      <c r="V16" s="10">
        <f>IF(AND(ISNUMBER(H16),ISNUMBER(I16)),I16-H16+1,"")</f>
        <v/>
      </c>
      <c r="W16" s="17">
        <f>IF(ISNUMBER(H16),MAX(0,MIN(IF(ISNUMBER(I16),I16,EOMONTH(요약!$B$3,0)),EOMONTH(요약!$B$3,0))-MAX(H16,요약!$B$3)+1),0)</f>
        <v/>
      </c>
      <c r="X16" s="10">
        <f>IF(OR(NOT(ISNUMBER(H16)),Q16=""),"",IF(TODAY()&lt;H16,"파견예정",IF(AND(ISNUMBER(I16),TODAY()&gt;I16),"파견종료","파견중")))</f>
        <v/>
      </c>
      <c r="Y16" s="10">
        <f>IF(OR(Q16="",X16=""),"",Q16&amp;"|"&amp;X16)</f>
        <v/>
      </c>
      <c r="Z16" s="10">
        <f>IF(AND(Q16&lt;&gt;"",W16&gt;0),Q16&amp;"|월","")</f>
        <v/>
      </c>
      <c r="AA16" s="10">
        <f>IF(COUNTA(B16:N16)=0,"",IF(Q16="","등록번호 없음",IF(LEFT(R16,1)="⚠","모병원명 미등록",IF(S16="","파견병원 입력",IF(LEFT(S16,1)="⚠","파견병원명 미등록",IF(LEFT(U16,1)="⚠","파견과목 미등록",IF(OR(T16="",LEFT(T16,1)="⚠"),"파견근거 확인",IF(NOT(AND(ISNUMBER(H16),ISNUMBER(I16))),"날짜 형식/누락",IF(I16&lt;H16,"종료일&lt;시작일","")))))))))</f>
        <v/>
      </c>
      <c r="AB16" s="11">
        <f>IF(ISNUMBER(SEARCH("다기관",TRIM(N16&amp;" "&amp;O16))),IFERROR(DATE(VALUE(MID(TRIM(N16&amp;" "&amp;O16),1,4)),VALUE(MID(TRIM(N16&amp;" "&amp;O16),6,2)),VALUE(MID(TRIM(N16&amp;" "&amp;O16),9,2))),IF(ISNUMBER(H16),H16,"")),"")</f>
        <v/>
      </c>
      <c r="AC16" s="11">
        <f>IF(ISNUMBER(SEARCH("다기관",TRIM(N16&amp;" "&amp;O16))),IFERROR(DATE(VALUE(MID(TRIM(N16&amp;" "&amp;O16),12,4)),VALUE(MID(TRIM(N16&amp;" "&amp;O16),17,2)),VALUE(MID(TRIM(N16&amp;" "&amp;O16),20,2))),IF(ISNUMBER(I16),I16,"")),"")</f>
        <v/>
      </c>
      <c r="AD16" s="17">
        <f>IF(AND(ISNUMBER(AB16),ISNUMBER(AC16)),MAX(0,MIN(AC16,EOMONTH(요약!$B$3,0))-MAX(AB16,요약!$B$3)+1),0)</f>
        <v/>
      </c>
      <c r="AE16" s="10">
        <f>IF(AND(Q16&lt;&gt;"",ISNUMBER(AB16)),Q16&amp;"|다기관","")</f>
        <v/>
      </c>
    </row>
    <row r="17">
      <c r="A17" s="15">
        <f>IF(F17="","",ROW()-3)</f>
        <v/>
      </c>
      <c r="B17" s="5" t="n"/>
      <c r="C17" s="15" t="n"/>
      <c r="D17" s="5" t="n"/>
      <c r="E17" s="15" t="n"/>
      <c r="F17" s="5" t="n"/>
      <c r="G17" s="6" t="n"/>
      <c r="H17" s="16" t="n"/>
      <c r="I17" s="16" t="n"/>
      <c r="J17" s="15">
        <f>IF(AND(ISNUMBER(H17),ISNUMBER(I17)),I17-H17+1,"")</f>
        <v/>
      </c>
      <c r="K17" s="5" t="n"/>
      <c r="L17" s="5" t="n"/>
      <c r="M17" s="5" t="n"/>
      <c r="N17" s="5" t="n"/>
      <c r="O17" s="5" t="n"/>
      <c r="Q17" s="10">
        <f>IF(TRIM(G17&amp;"")="","",TRIM(G17&amp;""))</f>
        <v/>
      </c>
      <c r="R17" s="10">
        <f>IF(TRIM(B17&amp;"")="","",IFERROR(INDEX(코드표!$K$2:$K$101,MATCH(TRIM(B17&amp;""),코드표!$J$2:$J$101,0)),"⚠"&amp;TRIM(B17&amp;"")))</f>
        <v/>
      </c>
      <c r="S17" s="10">
        <f>IF(TRIM(K17&amp;"")="","",IFERROR(INDEX(코드표!$K$2:$K$101,MATCH(TRIM(K17&amp;""),코드표!$J$2:$J$101,0)),"⚠"&amp;TRIM(K17&amp;"")))</f>
        <v/>
      </c>
      <c r="T17" s="10">
        <f>IF(TRIM(M17&amp;"")="","",IF(ISNUMBER(MATCH(TRIM(M17&amp;""),코드표!$C$2:$C$11,0)),TRIM(M17&amp;""),"⚠"&amp;TRIM(M17&amp;"")))</f>
        <v/>
      </c>
      <c r="U17" s="10">
        <f>IF(TRIM(L17&amp;"")="","",IFERROR(INDEX(코드표!$G$2:$G$101,MATCH(TRIM(L17&amp;""),코드표!$F$2:$F$101,0)),"⚠"&amp;TRIM(L17&amp;"")))</f>
        <v/>
      </c>
      <c r="V17" s="10">
        <f>IF(AND(ISNUMBER(H17),ISNUMBER(I17)),I17-H17+1,"")</f>
        <v/>
      </c>
      <c r="W17" s="17">
        <f>IF(ISNUMBER(H17),MAX(0,MIN(IF(ISNUMBER(I17),I17,EOMONTH(요약!$B$3,0)),EOMONTH(요약!$B$3,0))-MAX(H17,요약!$B$3)+1),0)</f>
        <v/>
      </c>
      <c r="X17" s="10">
        <f>IF(OR(NOT(ISNUMBER(H17)),Q17=""),"",IF(TODAY()&lt;H17,"파견예정",IF(AND(ISNUMBER(I17),TODAY()&gt;I17),"파견종료","파견중")))</f>
        <v/>
      </c>
      <c r="Y17" s="10">
        <f>IF(OR(Q17="",X17=""),"",Q17&amp;"|"&amp;X17)</f>
        <v/>
      </c>
      <c r="Z17" s="10">
        <f>IF(AND(Q17&lt;&gt;"",W17&gt;0),Q17&amp;"|월","")</f>
        <v/>
      </c>
      <c r="AA17" s="10">
        <f>IF(COUNTA(B17:N17)=0,"",IF(Q17="","등록번호 없음",IF(LEFT(R17,1)="⚠","모병원명 미등록",IF(S17="","파견병원 입력",IF(LEFT(S17,1)="⚠","파견병원명 미등록",IF(LEFT(U17,1)="⚠","파견과목 미등록",IF(OR(T17="",LEFT(T17,1)="⚠"),"파견근거 확인",IF(NOT(AND(ISNUMBER(H17),ISNUMBER(I17))),"날짜 형식/누락",IF(I17&lt;H17,"종료일&lt;시작일","")))))))))</f>
        <v/>
      </c>
      <c r="AB17" s="11">
        <f>IF(ISNUMBER(SEARCH("다기관",TRIM(N17&amp;" "&amp;O17))),IFERROR(DATE(VALUE(MID(TRIM(N17&amp;" "&amp;O17),1,4)),VALUE(MID(TRIM(N17&amp;" "&amp;O17),6,2)),VALUE(MID(TRIM(N17&amp;" "&amp;O17),9,2))),IF(ISNUMBER(H17),H17,"")),"")</f>
        <v/>
      </c>
      <c r="AC17" s="11">
        <f>IF(ISNUMBER(SEARCH("다기관",TRIM(N17&amp;" "&amp;O17))),IFERROR(DATE(VALUE(MID(TRIM(N17&amp;" "&amp;O17),12,4)),VALUE(MID(TRIM(N17&amp;" "&amp;O17),17,2)),VALUE(MID(TRIM(N17&amp;" "&amp;O17),20,2))),IF(ISNUMBER(I17),I17,"")),"")</f>
        <v/>
      </c>
      <c r="AD17" s="17">
        <f>IF(AND(ISNUMBER(AB17),ISNUMBER(AC17)),MAX(0,MIN(AC17,EOMONTH(요약!$B$3,0))-MAX(AB17,요약!$B$3)+1),0)</f>
        <v/>
      </c>
      <c r="AE17" s="10">
        <f>IF(AND(Q17&lt;&gt;"",ISNUMBER(AB17)),Q17&amp;"|다기관","")</f>
        <v/>
      </c>
    </row>
    <row r="18">
      <c r="A18" s="15">
        <f>IF(F18="","",ROW()-3)</f>
        <v/>
      </c>
      <c r="B18" s="5" t="n"/>
      <c r="C18" s="15" t="n"/>
      <c r="D18" s="5" t="n"/>
      <c r="E18" s="15" t="n"/>
      <c r="F18" s="5" t="n"/>
      <c r="G18" s="6" t="n"/>
      <c r="H18" s="16" t="n"/>
      <c r="I18" s="16" t="n"/>
      <c r="J18" s="15">
        <f>IF(AND(ISNUMBER(H18),ISNUMBER(I18)),I18-H18+1,"")</f>
        <v/>
      </c>
      <c r="K18" s="5" t="n"/>
      <c r="L18" s="5" t="n"/>
      <c r="M18" s="5" t="n"/>
      <c r="N18" s="5" t="n"/>
      <c r="O18" s="5" t="n"/>
      <c r="Q18" s="10">
        <f>IF(TRIM(G18&amp;"")="","",TRIM(G18&amp;""))</f>
        <v/>
      </c>
      <c r="R18" s="10">
        <f>IF(TRIM(B18&amp;"")="","",IFERROR(INDEX(코드표!$K$2:$K$101,MATCH(TRIM(B18&amp;""),코드표!$J$2:$J$101,0)),"⚠"&amp;TRIM(B18&amp;"")))</f>
        <v/>
      </c>
      <c r="S18" s="10">
        <f>IF(TRIM(K18&amp;"")="","",IFERROR(INDEX(코드표!$K$2:$K$101,MATCH(TRIM(K18&amp;""),코드표!$J$2:$J$101,0)),"⚠"&amp;TRIM(K18&amp;"")))</f>
        <v/>
      </c>
      <c r="T18" s="10">
        <f>IF(TRIM(M18&amp;"")="","",IF(ISNUMBER(MATCH(TRIM(M18&amp;""),코드표!$C$2:$C$11,0)),TRIM(M18&amp;""),"⚠"&amp;TRIM(M18&amp;"")))</f>
        <v/>
      </c>
      <c r="U18" s="10">
        <f>IF(TRIM(L18&amp;"")="","",IFERROR(INDEX(코드표!$G$2:$G$101,MATCH(TRIM(L18&amp;""),코드표!$F$2:$F$101,0)),"⚠"&amp;TRIM(L18&amp;"")))</f>
        <v/>
      </c>
      <c r="V18" s="10">
        <f>IF(AND(ISNUMBER(H18),ISNUMBER(I18)),I18-H18+1,"")</f>
        <v/>
      </c>
      <c r="W18" s="17">
        <f>IF(ISNUMBER(H18),MAX(0,MIN(IF(ISNUMBER(I18),I18,EOMONTH(요약!$B$3,0)),EOMONTH(요약!$B$3,0))-MAX(H18,요약!$B$3)+1),0)</f>
        <v/>
      </c>
      <c r="X18" s="10">
        <f>IF(OR(NOT(ISNUMBER(H18)),Q18=""),"",IF(TODAY()&lt;H18,"파견예정",IF(AND(ISNUMBER(I18),TODAY()&gt;I18),"파견종료","파견중")))</f>
        <v/>
      </c>
      <c r="Y18" s="10">
        <f>IF(OR(Q18="",X18=""),"",Q18&amp;"|"&amp;X18)</f>
        <v/>
      </c>
      <c r="Z18" s="10">
        <f>IF(AND(Q18&lt;&gt;"",W18&gt;0),Q18&amp;"|월","")</f>
        <v/>
      </c>
      <c r="AA18" s="10">
        <f>IF(COUNTA(B18:N18)=0,"",IF(Q18="","등록번호 없음",IF(LEFT(R18,1)="⚠","모병원명 미등록",IF(S18="","파견병원 입력",IF(LEFT(S18,1)="⚠","파견병원명 미등록",IF(LEFT(U18,1)="⚠","파견과목 미등록",IF(OR(T18="",LEFT(T18,1)="⚠"),"파견근거 확인",IF(NOT(AND(ISNUMBER(H18),ISNUMBER(I18))),"날짜 형식/누락",IF(I18&lt;H18,"종료일&lt;시작일","")))))))))</f>
        <v/>
      </c>
      <c r="AB18" s="11">
        <f>IF(ISNUMBER(SEARCH("다기관",TRIM(N18&amp;" "&amp;O18))),IFERROR(DATE(VALUE(MID(TRIM(N18&amp;" "&amp;O18),1,4)),VALUE(MID(TRIM(N18&amp;" "&amp;O18),6,2)),VALUE(MID(TRIM(N18&amp;" "&amp;O18),9,2))),IF(ISNUMBER(H18),H18,"")),"")</f>
        <v/>
      </c>
      <c r="AC18" s="11">
        <f>IF(ISNUMBER(SEARCH("다기관",TRIM(N18&amp;" "&amp;O18))),IFERROR(DATE(VALUE(MID(TRIM(N18&amp;" "&amp;O18),12,4)),VALUE(MID(TRIM(N18&amp;" "&amp;O18),17,2)),VALUE(MID(TRIM(N18&amp;" "&amp;O18),20,2))),IF(ISNUMBER(I18),I18,"")),"")</f>
        <v/>
      </c>
      <c r="AD18" s="17">
        <f>IF(AND(ISNUMBER(AB18),ISNUMBER(AC18)),MAX(0,MIN(AC18,EOMONTH(요약!$B$3,0))-MAX(AB18,요약!$B$3)+1),0)</f>
        <v/>
      </c>
      <c r="AE18" s="10">
        <f>IF(AND(Q18&lt;&gt;"",ISNUMBER(AB18)),Q18&amp;"|다기관","")</f>
        <v/>
      </c>
    </row>
    <row r="19">
      <c r="A19" s="15">
        <f>IF(F19="","",ROW()-3)</f>
        <v/>
      </c>
      <c r="B19" s="5" t="n"/>
      <c r="C19" s="15" t="n"/>
      <c r="D19" s="5" t="n"/>
      <c r="E19" s="15" t="n"/>
      <c r="F19" s="5" t="n"/>
      <c r="G19" s="6" t="n"/>
      <c r="H19" s="16" t="n"/>
      <c r="I19" s="16" t="n"/>
      <c r="J19" s="15">
        <f>IF(AND(ISNUMBER(H19),ISNUMBER(I19)),I19-H19+1,"")</f>
        <v/>
      </c>
      <c r="K19" s="5" t="n"/>
      <c r="L19" s="5" t="n"/>
      <c r="M19" s="5" t="n"/>
      <c r="N19" s="5" t="n"/>
      <c r="O19" s="5" t="n"/>
      <c r="Q19" s="10">
        <f>IF(TRIM(G19&amp;"")="","",TRIM(G19&amp;""))</f>
        <v/>
      </c>
      <c r="R19" s="10">
        <f>IF(TRIM(B19&amp;"")="","",IFERROR(INDEX(코드표!$K$2:$K$101,MATCH(TRIM(B19&amp;""),코드표!$J$2:$J$101,0)),"⚠"&amp;TRIM(B19&amp;"")))</f>
        <v/>
      </c>
      <c r="S19" s="10">
        <f>IF(TRIM(K19&amp;"")="","",IFERROR(INDEX(코드표!$K$2:$K$101,MATCH(TRIM(K19&amp;""),코드표!$J$2:$J$101,0)),"⚠"&amp;TRIM(K19&amp;"")))</f>
        <v/>
      </c>
      <c r="T19" s="10">
        <f>IF(TRIM(M19&amp;"")="","",IF(ISNUMBER(MATCH(TRIM(M19&amp;""),코드표!$C$2:$C$11,0)),TRIM(M19&amp;""),"⚠"&amp;TRIM(M19&amp;"")))</f>
        <v/>
      </c>
      <c r="U19" s="10">
        <f>IF(TRIM(L19&amp;"")="","",IFERROR(INDEX(코드표!$G$2:$G$101,MATCH(TRIM(L19&amp;""),코드표!$F$2:$F$101,0)),"⚠"&amp;TRIM(L19&amp;"")))</f>
        <v/>
      </c>
      <c r="V19" s="10">
        <f>IF(AND(ISNUMBER(H19),ISNUMBER(I19)),I19-H19+1,"")</f>
        <v/>
      </c>
      <c r="W19" s="17">
        <f>IF(ISNUMBER(H19),MAX(0,MIN(IF(ISNUMBER(I19),I19,EOMONTH(요약!$B$3,0)),EOMONTH(요약!$B$3,0))-MAX(H19,요약!$B$3)+1),0)</f>
        <v/>
      </c>
      <c r="X19" s="10">
        <f>IF(OR(NOT(ISNUMBER(H19)),Q19=""),"",IF(TODAY()&lt;H19,"파견예정",IF(AND(ISNUMBER(I19),TODAY()&gt;I19),"파견종료","파견중")))</f>
        <v/>
      </c>
      <c r="Y19" s="10">
        <f>IF(OR(Q19="",X19=""),"",Q19&amp;"|"&amp;X19)</f>
        <v/>
      </c>
      <c r="Z19" s="10">
        <f>IF(AND(Q19&lt;&gt;"",W19&gt;0),Q19&amp;"|월","")</f>
        <v/>
      </c>
      <c r="AA19" s="10">
        <f>IF(COUNTA(B19:N19)=0,"",IF(Q19="","등록번호 없음",IF(LEFT(R19,1)="⚠","모병원명 미등록",IF(S19="","파견병원 입력",IF(LEFT(S19,1)="⚠","파견병원명 미등록",IF(LEFT(U19,1)="⚠","파견과목 미등록",IF(OR(T19="",LEFT(T19,1)="⚠"),"파견근거 확인",IF(NOT(AND(ISNUMBER(H19),ISNUMBER(I19))),"날짜 형식/누락",IF(I19&lt;H19,"종료일&lt;시작일","")))))))))</f>
        <v/>
      </c>
      <c r="AB19" s="11">
        <f>IF(ISNUMBER(SEARCH("다기관",TRIM(N19&amp;" "&amp;O19))),IFERROR(DATE(VALUE(MID(TRIM(N19&amp;" "&amp;O19),1,4)),VALUE(MID(TRIM(N19&amp;" "&amp;O19),6,2)),VALUE(MID(TRIM(N19&amp;" "&amp;O19),9,2))),IF(ISNUMBER(H19),H19,"")),"")</f>
        <v/>
      </c>
      <c r="AC19" s="11">
        <f>IF(ISNUMBER(SEARCH("다기관",TRIM(N19&amp;" "&amp;O19))),IFERROR(DATE(VALUE(MID(TRIM(N19&amp;" "&amp;O19),12,4)),VALUE(MID(TRIM(N19&amp;" "&amp;O19),17,2)),VALUE(MID(TRIM(N19&amp;" "&amp;O19),20,2))),IF(ISNUMBER(I19),I19,"")),"")</f>
        <v/>
      </c>
      <c r="AD19" s="17">
        <f>IF(AND(ISNUMBER(AB19),ISNUMBER(AC19)),MAX(0,MIN(AC19,EOMONTH(요약!$B$3,0))-MAX(AB19,요약!$B$3)+1),0)</f>
        <v/>
      </c>
      <c r="AE19" s="10">
        <f>IF(AND(Q19&lt;&gt;"",ISNUMBER(AB19)),Q19&amp;"|다기관","")</f>
        <v/>
      </c>
    </row>
    <row r="20">
      <c r="A20" s="15">
        <f>IF(F20="","",ROW()-3)</f>
        <v/>
      </c>
      <c r="B20" s="5" t="n"/>
      <c r="C20" s="15" t="n"/>
      <c r="D20" s="5" t="n"/>
      <c r="E20" s="15" t="n"/>
      <c r="F20" s="5" t="n"/>
      <c r="G20" s="6" t="n"/>
      <c r="H20" s="16" t="n"/>
      <c r="I20" s="16" t="n"/>
      <c r="J20" s="15">
        <f>IF(AND(ISNUMBER(H20),ISNUMBER(I20)),I20-H20+1,"")</f>
        <v/>
      </c>
      <c r="K20" s="5" t="n"/>
      <c r="L20" s="5" t="n"/>
      <c r="M20" s="5" t="n"/>
      <c r="N20" s="5" t="n"/>
      <c r="O20" s="5" t="n"/>
      <c r="Q20" s="10">
        <f>IF(TRIM(G20&amp;"")="","",TRIM(G20&amp;""))</f>
        <v/>
      </c>
      <c r="R20" s="10">
        <f>IF(TRIM(B20&amp;"")="","",IFERROR(INDEX(코드표!$K$2:$K$101,MATCH(TRIM(B20&amp;""),코드표!$J$2:$J$101,0)),"⚠"&amp;TRIM(B20&amp;"")))</f>
        <v/>
      </c>
      <c r="S20" s="10">
        <f>IF(TRIM(K20&amp;"")="","",IFERROR(INDEX(코드표!$K$2:$K$101,MATCH(TRIM(K20&amp;""),코드표!$J$2:$J$101,0)),"⚠"&amp;TRIM(K20&amp;"")))</f>
        <v/>
      </c>
      <c r="T20" s="10">
        <f>IF(TRIM(M20&amp;"")="","",IF(ISNUMBER(MATCH(TRIM(M20&amp;""),코드표!$C$2:$C$11,0)),TRIM(M20&amp;""),"⚠"&amp;TRIM(M20&amp;"")))</f>
        <v/>
      </c>
      <c r="U20" s="10">
        <f>IF(TRIM(L20&amp;"")="","",IFERROR(INDEX(코드표!$G$2:$G$101,MATCH(TRIM(L20&amp;""),코드표!$F$2:$F$101,0)),"⚠"&amp;TRIM(L20&amp;"")))</f>
        <v/>
      </c>
      <c r="V20" s="10">
        <f>IF(AND(ISNUMBER(H20),ISNUMBER(I20)),I20-H20+1,"")</f>
        <v/>
      </c>
      <c r="W20" s="17">
        <f>IF(ISNUMBER(H20),MAX(0,MIN(IF(ISNUMBER(I20),I20,EOMONTH(요약!$B$3,0)),EOMONTH(요약!$B$3,0))-MAX(H20,요약!$B$3)+1),0)</f>
        <v/>
      </c>
      <c r="X20" s="10">
        <f>IF(OR(NOT(ISNUMBER(H20)),Q20=""),"",IF(TODAY()&lt;H20,"파견예정",IF(AND(ISNUMBER(I20),TODAY()&gt;I20),"파견종료","파견중")))</f>
        <v/>
      </c>
      <c r="Y20" s="10">
        <f>IF(OR(Q20="",X20=""),"",Q20&amp;"|"&amp;X20)</f>
        <v/>
      </c>
      <c r="Z20" s="10">
        <f>IF(AND(Q20&lt;&gt;"",W20&gt;0),Q20&amp;"|월","")</f>
        <v/>
      </c>
      <c r="AA20" s="10">
        <f>IF(COUNTA(B20:N20)=0,"",IF(Q20="","등록번호 없음",IF(LEFT(R20,1)="⚠","모병원명 미등록",IF(S20="","파견병원 입력",IF(LEFT(S20,1)="⚠","파견병원명 미등록",IF(LEFT(U20,1)="⚠","파견과목 미등록",IF(OR(T20="",LEFT(T20,1)="⚠"),"파견근거 확인",IF(NOT(AND(ISNUMBER(H20),ISNUMBER(I20))),"날짜 형식/누락",IF(I20&lt;H20,"종료일&lt;시작일","")))))))))</f>
        <v/>
      </c>
      <c r="AB20" s="11">
        <f>IF(ISNUMBER(SEARCH("다기관",TRIM(N20&amp;" "&amp;O20))),IFERROR(DATE(VALUE(MID(TRIM(N20&amp;" "&amp;O20),1,4)),VALUE(MID(TRIM(N20&amp;" "&amp;O20),6,2)),VALUE(MID(TRIM(N20&amp;" "&amp;O20),9,2))),IF(ISNUMBER(H20),H20,"")),"")</f>
        <v/>
      </c>
      <c r="AC20" s="11">
        <f>IF(ISNUMBER(SEARCH("다기관",TRIM(N20&amp;" "&amp;O20))),IFERROR(DATE(VALUE(MID(TRIM(N20&amp;" "&amp;O20),12,4)),VALUE(MID(TRIM(N20&amp;" "&amp;O20),17,2)),VALUE(MID(TRIM(N20&amp;" "&amp;O20),20,2))),IF(ISNUMBER(I20),I20,"")),"")</f>
        <v/>
      </c>
      <c r="AD20" s="17">
        <f>IF(AND(ISNUMBER(AB20),ISNUMBER(AC20)),MAX(0,MIN(AC20,EOMONTH(요약!$B$3,0))-MAX(AB20,요약!$B$3)+1),0)</f>
        <v/>
      </c>
      <c r="AE20" s="10">
        <f>IF(AND(Q20&lt;&gt;"",ISNUMBER(AB20)),Q20&amp;"|다기관","")</f>
        <v/>
      </c>
    </row>
    <row r="21">
      <c r="A21" s="15">
        <f>IF(F21="","",ROW()-3)</f>
        <v/>
      </c>
      <c r="B21" s="5" t="n"/>
      <c r="C21" s="15" t="n"/>
      <c r="D21" s="5" t="n"/>
      <c r="E21" s="15" t="n"/>
      <c r="F21" s="5" t="n"/>
      <c r="G21" s="6" t="n"/>
      <c r="H21" s="16" t="n"/>
      <c r="I21" s="16" t="n"/>
      <c r="J21" s="15">
        <f>IF(AND(ISNUMBER(H21),ISNUMBER(I21)),I21-H21+1,"")</f>
        <v/>
      </c>
      <c r="K21" s="5" t="n"/>
      <c r="L21" s="5" t="n"/>
      <c r="M21" s="5" t="n"/>
      <c r="N21" s="5" t="n"/>
      <c r="O21" s="5" t="n"/>
      <c r="Q21" s="10">
        <f>IF(TRIM(G21&amp;"")="","",TRIM(G21&amp;""))</f>
        <v/>
      </c>
      <c r="R21" s="10">
        <f>IF(TRIM(B21&amp;"")="","",IFERROR(INDEX(코드표!$K$2:$K$101,MATCH(TRIM(B21&amp;""),코드표!$J$2:$J$101,0)),"⚠"&amp;TRIM(B21&amp;"")))</f>
        <v/>
      </c>
      <c r="S21" s="10">
        <f>IF(TRIM(K21&amp;"")="","",IFERROR(INDEX(코드표!$K$2:$K$101,MATCH(TRIM(K21&amp;""),코드표!$J$2:$J$101,0)),"⚠"&amp;TRIM(K21&amp;"")))</f>
        <v/>
      </c>
      <c r="T21" s="10">
        <f>IF(TRIM(M21&amp;"")="","",IF(ISNUMBER(MATCH(TRIM(M21&amp;""),코드표!$C$2:$C$11,0)),TRIM(M21&amp;""),"⚠"&amp;TRIM(M21&amp;"")))</f>
        <v/>
      </c>
      <c r="U21" s="10">
        <f>IF(TRIM(L21&amp;"")="","",IFERROR(INDEX(코드표!$G$2:$G$101,MATCH(TRIM(L21&amp;""),코드표!$F$2:$F$101,0)),"⚠"&amp;TRIM(L21&amp;"")))</f>
        <v/>
      </c>
      <c r="V21" s="10">
        <f>IF(AND(ISNUMBER(H21),ISNUMBER(I21)),I21-H21+1,"")</f>
        <v/>
      </c>
      <c r="W21" s="17">
        <f>IF(ISNUMBER(H21),MAX(0,MIN(IF(ISNUMBER(I21),I21,EOMONTH(요약!$B$3,0)),EOMONTH(요약!$B$3,0))-MAX(H21,요약!$B$3)+1),0)</f>
        <v/>
      </c>
      <c r="X21" s="10">
        <f>IF(OR(NOT(ISNUMBER(H21)),Q21=""),"",IF(TODAY()&lt;H21,"파견예정",IF(AND(ISNUMBER(I21),TODAY()&gt;I21),"파견종료","파견중")))</f>
        <v/>
      </c>
      <c r="Y21" s="10">
        <f>IF(OR(Q21="",X21=""),"",Q21&amp;"|"&amp;X21)</f>
        <v/>
      </c>
      <c r="Z21" s="10">
        <f>IF(AND(Q21&lt;&gt;"",W21&gt;0),Q21&amp;"|월","")</f>
        <v/>
      </c>
      <c r="AA21" s="10">
        <f>IF(COUNTA(B21:N21)=0,"",IF(Q21="","등록번호 없음",IF(LEFT(R21,1)="⚠","모병원명 미등록",IF(S21="","파견병원 입력",IF(LEFT(S21,1)="⚠","파견병원명 미등록",IF(LEFT(U21,1)="⚠","파견과목 미등록",IF(OR(T21="",LEFT(T21,1)="⚠"),"파견근거 확인",IF(NOT(AND(ISNUMBER(H21),ISNUMBER(I21))),"날짜 형식/누락",IF(I21&lt;H21,"종료일&lt;시작일","")))))))))</f>
        <v/>
      </c>
      <c r="AB21" s="11">
        <f>IF(ISNUMBER(SEARCH("다기관",TRIM(N21&amp;" "&amp;O21))),IFERROR(DATE(VALUE(MID(TRIM(N21&amp;" "&amp;O21),1,4)),VALUE(MID(TRIM(N21&amp;" "&amp;O21),6,2)),VALUE(MID(TRIM(N21&amp;" "&amp;O21),9,2))),IF(ISNUMBER(H21),H21,"")),"")</f>
        <v/>
      </c>
      <c r="AC21" s="11">
        <f>IF(ISNUMBER(SEARCH("다기관",TRIM(N21&amp;" "&amp;O21))),IFERROR(DATE(VALUE(MID(TRIM(N21&amp;" "&amp;O21),12,4)),VALUE(MID(TRIM(N21&amp;" "&amp;O21),17,2)),VALUE(MID(TRIM(N21&amp;" "&amp;O21),20,2))),IF(ISNUMBER(I21),I21,"")),"")</f>
        <v/>
      </c>
      <c r="AD21" s="17">
        <f>IF(AND(ISNUMBER(AB21),ISNUMBER(AC21)),MAX(0,MIN(AC21,EOMONTH(요약!$B$3,0))-MAX(AB21,요약!$B$3)+1),0)</f>
        <v/>
      </c>
      <c r="AE21" s="10">
        <f>IF(AND(Q21&lt;&gt;"",ISNUMBER(AB21)),Q21&amp;"|다기관","")</f>
        <v/>
      </c>
    </row>
    <row r="22">
      <c r="A22" s="15">
        <f>IF(F22="","",ROW()-3)</f>
        <v/>
      </c>
      <c r="B22" s="5" t="n"/>
      <c r="C22" s="15" t="n"/>
      <c r="D22" s="5" t="n"/>
      <c r="E22" s="15" t="n"/>
      <c r="F22" s="5" t="n"/>
      <c r="G22" s="6" t="n"/>
      <c r="H22" s="16" t="n"/>
      <c r="I22" s="16" t="n"/>
      <c r="J22" s="15">
        <f>IF(AND(ISNUMBER(H22),ISNUMBER(I22)),I22-H22+1,"")</f>
        <v/>
      </c>
      <c r="K22" s="5" t="n"/>
      <c r="L22" s="5" t="n"/>
      <c r="M22" s="5" t="n"/>
      <c r="N22" s="5" t="n"/>
      <c r="O22" s="5" t="n"/>
      <c r="Q22" s="10">
        <f>IF(TRIM(G22&amp;"")="","",TRIM(G22&amp;""))</f>
        <v/>
      </c>
      <c r="R22" s="10">
        <f>IF(TRIM(B22&amp;"")="","",IFERROR(INDEX(코드표!$K$2:$K$101,MATCH(TRIM(B22&amp;""),코드표!$J$2:$J$101,0)),"⚠"&amp;TRIM(B22&amp;"")))</f>
        <v/>
      </c>
      <c r="S22" s="10">
        <f>IF(TRIM(K22&amp;"")="","",IFERROR(INDEX(코드표!$K$2:$K$101,MATCH(TRIM(K22&amp;""),코드표!$J$2:$J$101,0)),"⚠"&amp;TRIM(K22&amp;"")))</f>
        <v/>
      </c>
      <c r="T22" s="10">
        <f>IF(TRIM(M22&amp;"")="","",IF(ISNUMBER(MATCH(TRIM(M22&amp;""),코드표!$C$2:$C$11,0)),TRIM(M22&amp;""),"⚠"&amp;TRIM(M22&amp;"")))</f>
        <v/>
      </c>
      <c r="U22" s="10">
        <f>IF(TRIM(L22&amp;"")="","",IFERROR(INDEX(코드표!$G$2:$G$101,MATCH(TRIM(L22&amp;""),코드표!$F$2:$F$101,0)),"⚠"&amp;TRIM(L22&amp;"")))</f>
        <v/>
      </c>
      <c r="V22" s="10">
        <f>IF(AND(ISNUMBER(H22),ISNUMBER(I22)),I22-H22+1,"")</f>
        <v/>
      </c>
      <c r="W22" s="17">
        <f>IF(ISNUMBER(H22),MAX(0,MIN(IF(ISNUMBER(I22),I22,EOMONTH(요약!$B$3,0)),EOMONTH(요약!$B$3,0))-MAX(H22,요약!$B$3)+1),0)</f>
        <v/>
      </c>
      <c r="X22" s="10">
        <f>IF(OR(NOT(ISNUMBER(H22)),Q22=""),"",IF(TODAY()&lt;H22,"파견예정",IF(AND(ISNUMBER(I22),TODAY()&gt;I22),"파견종료","파견중")))</f>
        <v/>
      </c>
      <c r="Y22" s="10">
        <f>IF(OR(Q22="",X22=""),"",Q22&amp;"|"&amp;X22)</f>
        <v/>
      </c>
      <c r="Z22" s="10">
        <f>IF(AND(Q22&lt;&gt;"",W22&gt;0),Q22&amp;"|월","")</f>
        <v/>
      </c>
      <c r="AA22" s="10">
        <f>IF(COUNTA(B22:N22)=0,"",IF(Q22="","등록번호 없음",IF(LEFT(R22,1)="⚠","모병원명 미등록",IF(S22="","파견병원 입력",IF(LEFT(S22,1)="⚠","파견병원명 미등록",IF(LEFT(U22,1)="⚠","파견과목 미등록",IF(OR(T22="",LEFT(T22,1)="⚠"),"파견근거 확인",IF(NOT(AND(ISNUMBER(H22),ISNUMBER(I22))),"날짜 형식/누락",IF(I22&lt;H22,"종료일&lt;시작일","")))))))))</f>
        <v/>
      </c>
      <c r="AB22" s="11">
        <f>IF(ISNUMBER(SEARCH("다기관",TRIM(N22&amp;" "&amp;O22))),IFERROR(DATE(VALUE(MID(TRIM(N22&amp;" "&amp;O22),1,4)),VALUE(MID(TRIM(N22&amp;" "&amp;O22),6,2)),VALUE(MID(TRIM(N22&amp;" "&amp;O22),9,2))),IF(ISNUMBER(H22),H22,"")),"")</f>
        <v/>
      </c>
      <c r="AC22" s="11">
        <f>IF(ISNUMBER(SEARCH("다기관",TRIM(N22&amp;" "&amp;O22))),IFERROR(DATE(VALUE(MID(TRIM(N22&amp;" "&amp;O22),12,4)),VALUE(MID(TRIM(N22&amp;" "&amp;O22),17,2)),VALUE(MID(TRIM(N22&amp;" "&amp;O22),20,2))),IF(ISNUMBER(I22),I22,"")),"")</f>
        <v/>
      </c>
      <c r="AD22" s="17">
        <f>IF(AND(ISNUMBER(AB22),ISNUMBER(AC22)),MAX(0,MIN(AC22,EOMONTH(요약!$B$3,0))-MAX(AB22,요약!$B$3)+1),0)</f>
        <v/>
      </c>
      <c r="AE22" s="10">
        <f>IF(AND(Q22&lt;&gt;"",ISNUMBER(AB22)),Q22&amp;"|다기관","")</f>
        <v/>
      </c>
    </row>
    <row r="23">
      <c r="A23" s="15">
        <f>IF(F23="","",ROW()-3)</f>
        <v/>
      </c>
      <c r="B23" s="5" t="n"/>
      <c r="C23" s="15" t="n"/>
      <c r="D23" s="5" t="n"/>
      <c r="E23" s="15" t="n"/>
      <c r="F23" s="5" t="n"/>
      <c r="G23" s="6" t="n"/>
      <c r="H23" s="16" t="n"/>
      <c r="I23" s="16" t="n"/>
      <c r="J23" s="15">
        <f>IF(AND(ISNUMBER(H23),ISNUMBER(I23)),I23-H23+1,"")</f>
        <v/>
      </c>
      <c r="K23" s="5" t="n"/>
      <c r="L23" s="5" t="n"/>
      <c r="M23" s="5" t="n"/>
      <c r="N23" s="5" t="n"/>
      <c r="O23" s="5" t="n"/>
      <c r="Q23" s="10">
        <f>IF(TRIM(G23&amp;"")="","",TRIM(G23&amp;""))</f>
        <v/>
      </c>
      <c r="R23" s="10">
        <f>IF(TRIM(B23&amp;"")="","",IFERROR(INDEX(코드표!$K$2:$K$101,MATCH(TRIM(B23&amp;""),코드표!$J$2:$J$101,0)),"⚠"&amp;TRIM(B23&amp;"")))</f>
        <v/>
      </c>
      <c r="S23" s="10">
        <f>IF(TRIM(K23&amp;"")="","",IFERROR(INDEX(코드표!$K$2:$K$101,MATCH(TRIM(K23&amp;""),코드표!$J$2:$J$101,0)),"⚠"&amp;TRIM(K23&amp;"")))</f>
        <v/>
      </c>
      <c r="T23" s="10">
        <f>IF(TRIM(M23&amp;"")="","",IF(ISNUMBER(MATCH(TRIM(M23&amp;""),코드표!$C$2:$C$11,0)),TRIM(M23&amp;""),"⚠"&amp;TRIM(M23&amp;"")))</f>
        <v/>
      </c>
      <c r="U23" s="10">
        <f>IF(TRIM(L23&amp;"")="","",IFERROR(INDEX(코드표!$G$2:$G$101,MATCH(TRIM(L23&amp;""),코드표!$F$2:$F$101,0)),"⚠"&amp;TRIM(L23&amp;"")))</f>
        <v/>
      </c>
      <c r="V23" s="10">
        <f>IF(AND(ISNUMBER(H23),ISNUMBER(I23)),I23-H23+1,"")</f>
        <v/>
      </c>
      <c r="W23" s="17">
        <f>IF(ISNUMBER(H23),MAX(0,MIN(IF(ISNUMBER(I23),I23,EOMONTH(요약!$B$3,0)),EOMONTH(요약!$B$3,0))-MAX(H23,요약!$B$3)+1),0)</f>
        <v/>
      </c>
      <c r="X23" s="10">
        <f>IF(OR(NOT(ISNUMBER(H23)),Q23=""),"",IF(TODAY()&lt;H23,"파견예정",IF(AND(ISNUMBER(I23),TODAY()&gt;I23),"파견종료","파견중")))</f>
        <v/>
      </c>
      <c r="Y23" s="10">
        <f>IF(OR(Q23="",X23=""),"",Q23&amp;"|"&amp;X23)</f>
        <v/>
      </c>
      <c r="Z23" s="10">
        <f>IF(AND(Q23&lt;&gt;"",W23&gt;0),Q23&amp;"|월","")</f>
        <v/>
      </c>
      <c r="AA23" s="10">
        <f>IF(COUNTA(B23:N23)=0,"",IF(Q23="","등록번호 없음",IF(LEFT(R23,1)="⚠","모병원명 미등록",IF(S23="","파견병원 입력",IF(LEFT(S23,1)="⚠","파견병원명 미등록",IF(LEFT(U23,1)="⚠","파견과목 미등록",IF(OR(T23="",LEFT(T23,1)="⚠"),"파견근거 확인",IF(NOT(AND(ISNUMBER(H23),ISNUMBER(I23))),"날짜 형식/누락",IF(I23&lt;H23,"종료일&lt;시작일","")))))))))</f>
        <v/>
      </c>
      <c r="AB23" s="11">
        <f>IF(ISNUMBER(SEARCH("다기관",TRIM(N23&amp;" "&amp;O23))),IFERROR(DATE(VALUE(MID(TRIM(N23&amp;" "&amp;O23),1,4)),VALUE(MID(TRIM(N23&amp;" "&amp;O23),6,2)),VALUE(MID(TRIM(N23&amp;" "&amp;O23),9,2))),IF(ISNUMBER(H23),H23,"")),"")</f>
        <v/>
      </c>
      <c r="AC23" s="11">
        <f>IF(ISNUMBER(SEARCH("다기관",TRIM(N23&amp;" "&amp;O23))),IFERROR(DATE(VALUE(MID(TRIM(N23&amp;" "&amp;O23),12,4)),VALUE(MID(TRIM(N23&amp;" "&amp;O23),17,2)),VALUE(MID(TRIM(N23&amp;" "&amp;O23),20,2))),IF(ISNUMBER(I23),I23,"")),"")</f>
        <v/>
      </c>
      <c r="AD23" s="17">
        <f>IF(AND(ISNUMBER(AB23),ISNUMBER(AC23)),MAX(0,MIN(AC23,EOMONTH(요약!$B$3,0))-MAX(AB23,요약!$B$3)+1),0)</f>
        <v/>
      </c>
      <c r="AE23" s="10">
        <f>IF(AND(Q23&lt;&gt;"",ISNUMBER(AB23)),Q23&amp;"|다기관","")</f>
        <v/>
      </c>
    </row>
    <row r="24">
      <c r="A24" s="15">
        <f>IF(F24="","",ROW()-3)</f>
        <v/>
      </c>
      <c r="B24" s="5" t="n"/>
      <c r="C24" s="15" t="n"/>
      <c r="D24" s="5" t="n"/>
      <c r="E24" s="15" t="n"/>
      <c r="F24" s="5" t="n"/>
      <c r="G24" s="6" t="n"/>
      <c r="H24" s="16" t="n"/>
      <c r="I24" s="16" t="n"/>
      <c r="J24" s="15">
        <f>IF(AND(ISNUMBER(H24),ISNUMBER(I24)),I24-H24+1,"")</f>
        <v/>
      </c>
      <c r="K24" s="5" t="n"/>
      <c r="L24" s="5" t="n"/>
      <c r="M24" s="5" t="n"/>
      <c r="N24" s="5" t="n"/>
      <c r="O24" s="5" t="n"/>
      <c r="Q24" s="10">
        <f>IF(TRIM(G24&amp;"")="","",TRIM(G24&amp;""))</f>
        <v/>
      </c>
      <c r="R24" s="10">
        <f>IF(TRIM(B24&amp;"")="","",IFERROR(INDEX(코드표!$K$2:$K$101,MATCH(TRIM(B24&amp;""),코드표!$J$2:$J$101,0)),"⚠"&amp;TRIM(B24&amp;"")))</f>
        <v/>
      </c>
      <c r="S24" s="10">
        <f>IF(TRIM(K24&amp;"")="","",IFERROR(INDEX(코드표!$K$2:$K$101,MATCH(TRIM(K24&amp;""),코드표!$J$2:$J$101,0)),"⚠"&amp;TRIM(K24&amp;"")))</f>
        <v/>
      </c>
      <c r="T24" s="10">
        <f>IF(TRIM(M24&amp;"")="","",IF(ISNUMBER(MATCH(TRIM(M24&amp;""),코드표!$C$2:$C$11,0)),TRIM(M24&amp;""),"⚠"&amp;TRIM(M24&amp;"")))</f>
        <v/>
      </c>
      <c r="U24" s="10">
        <f>IF(TRIM(L24&amp;"")="","",IFERROR(INDEX(코드표!$G$2:$G$101,MATCH(TRIM(L24&amp;""),코드표!$F$2:$F$101,0)),"⚠"&amp;TRIM(L24&amp;"")))</f>
        <v/>
      </c>
      <c r="V24" s="10">
        <f>IF(AND(ISNUMBER(H24),ISNUMBER(I24)),I24-H24+1,"")</f>
        <v/>
      </c>
      <c r="W24" s="17">
        <f>IF(ISNUMBER(H24),MAX(0,MIN(IF(ISNUMBER(I24),I24,EOMONTH(요약!$B$3,0)),EOMONTH(요약!$B$3,0))-MAX(H24,요약!$B$3)+1),0)</f>
        <v/>
      </c>
      <c r="X24" s="10">
        <f>IF(OR(NOT(ISNUMBER(H24)),Q24=""),"",IF(TODAY()&lt;H24,"파견예정",IF(AND(ISNUMBER(I24),TODAY()&gt;I24),"파견종료","파견중")))</f>
        <v/>
      </c>
      <c r="Y24" s="10">
        <f>IF(OR(Q24="",X24=""),"",Q24&amp;"|"&amp;X24)</f>
        <v/>
      </c>
      <c r="Z24" s="10">
        <f>IF(AND(Q24&lt;&gt;"",W24&gt;0),Q24&amp;"|월","")</f>
        <v/>
      </c>
      <c r="AA24" s="10">
        <f>IF(COUNTA(B24:N24)=0,"",IF(Q24="","등록번호 없음",IF(LEFT(R24,1)="⚠","모병원명 미등록",IF(S24="","파견병원 입력",IF(LEFT(S24,1)="⚠","파견병원명 미등록",IF(LEFT(U24,1)="⚠","파견과목 미등록",IF(OR(T24="",LEFT(T24,1)="⚠"),"파견근거 확인",IF(NOT(AND(ISNUMBER(H24),ISNUMBER(I24))),"날짜 형식/누락",IF(I24&lt;H24,"종료일&lt;시작일","")))))))))</f>
        <v/>
      </c>
      <c r="AB24" s="11">
        <f>IF(ISNUMBER(SEARCH("다기관",TRIM(N24&amp;" "&amp;O24))),IFERROR(DATE(VALUE(MID(TRIM(N24&amp;" "&amp;O24),1,4)),VALUE(MID(TRIM(N24&amp;" "&amp;O24),6,2)),VALUE(MID(TRIM(N24&amp;" "&amp;O24),9,2))),IF(ISNUMBER(H24),H24,"")),"")</f>
        <v/>
      </c>
      <c r="AC24" s="11">
        <f>IF(ISNUMBER(SEARCH("다기관",TRIM(N24&amp;" "&amp;O24))),IFERROR(DATE(VALUE(MID(TRIM(N24&amp;" "&amp;O24),12,4)),VALUE(MID(TRIM(N24&amp;" "&amp;O24),17,2)),VALUE(MID(TRIM(N24&amp;" "&amp;O24),20,2))),IF(ISNUMBER(I24),I24,"")),"")</f>
        <v/>
      </c>
      <c r="AD24" s="17">
        <f>IF(AND(ISNUMBER(AB24),ISNUMBER(AC24)),MAX(0,MIN(AC24,EOMONTH(요약!$B$3,0))-MAX(AB24,요약!$B$3)+1),0)</f>
        <v/>
      </c>
      <c r="AE24" s="10">
        <f>IF(AND(Q24&lt;&gt;"",ISNUMBER(AB24)),Q24&amp;"|다기관","")</f>
        <v/>
      </c>
    </row>
    <row r="25">
      <c r="A25" s="15">
        <f>IF(F25="","",ROW()-3)</f>
        <v/>
      </c>
      <c r="B25" s="5" t="n"/>
      <c r="C25" s="15" t="n"/>
      <c r="D25" s="5" t="n"/>
      <c r="E25" s="15" t="n"/>
      <c r="F25" s="5" t="n"/>
      <c r="G25" s="6" t="n"/>
      <c r="H25" s="16" t="n"/>
      <c r="I25" s="16" t="n"/>
      <c r="J25" s="15">
        <f>IF(AND(ISNUMBER(H25),ISNUMBER(I25)),I25-H25+1,"")</f>
        <v/>
      </c>
      <c r="K25" s="5" t="n"/>
      <c r="L25" s="5" t="n"/>
      <c r="M25" s="5" t="n"/>
      <c r="N25" s="5" t="n"/>
      <c r="O25" s="5" t="n"/>
      <c r="Q25" s="10">
        <f>IF(TRIM(G25&amp;"")="","",TRIM(G25&amp;""))</f>
        <v/>
      </c>
      <c r="R25" s="10">
        <f>IF(TRIM(B25&amp;"")="","",IFERROR(INDEX(코드표!$K$2:$K$101,MATCH(TRIM(B25&amp;""),코드표!$J$2:$J$101,0)),"⚠"&amp;TRIM(B25&amp;"")))</f>
        <v/>
      </c>
      <c r="S25" s="10">
        <f>IF(TRIM(K25&amp;"")="","",IFERROR(INDEX(코드표!$K$2:$K$101,MATCH(TRIM(K25&amp;""),코드표!$J$2:$J$101,0)),"⚠"&amp;TRIM(K25&amp;"")))</f>
        <v/>
      </c>
      <c r="T25" s="10">
        <f>IF(TRIM(M25&amp;"")="","",IF(ISNUMBER(MATCH(TRIM(M25&amp;""),코드표!$C$2:$C$11,0)),TRIM(M25&amp;""),"⚠"&amp;TRIM(M25&amp;"")))</f>
        <v/>
      </c>
      <c r="U25" s="10">
        <f>IF(TRIM(L25&amp;"")="","",IFERROR(INDEX(코드표!$G$2:$G$101,MATCH(TRIM(L25&amp;""),코드표!$F$2:$F$101,0)),"⚠"&amp;TRIM(L25&amp;"")))</f>
        <v/>
      </c>
      <c r="V25" s="10">
        <f>IF(AND(ISNUMBER(H25),ISNUMBER(I25)),I25-H25+1,"")</f>
        <v/>
      </c>
      <c r="W25" s="17">
        <f>IF(ISNUMBER(H25),MAX(0,MIN(IF(ISNUMBER(I25),I25,EOMONTH(요약!$B$3,0)),EOMONTH(요약!$B$3,0))-MAX(H25,요약!$B$3)+1),0)</f>
        <v/>
      </c>
      <c r="X25" s="10">
        <f>IF(OR(NOT(ISNUMBER(H25)),Q25=""),"",IF(TODAY()&lt;H25,"파견예정",IF(AND(ISNUMBER(I25),TODAY()&gt;I25),"파견종료","파견중")))</f>
        <v/>
      </c>
      <c r="Y25" s="10">
        <f>IF(OR(Q25="",X25=""),"",Q25&amp;"|"&amp;X25)</f>
        <v/>
      </c>
      <c r="Z25" s="10">
        <f>IF(AND(Q25&lt;&gt;"",W25&gt;0),Q25&amp;"|월","")</f>
        <v/>
      </c>
      <c r="AA25" s="10">
        <f>IF(COUNTA(B25:N25)=0,"",IF(Q25="","등록번호 없음",IF(LEFT(R25,1)="⚠","모병원명 미등록",IF(S25="","파견병원 입력",IF(LEFT(S25,1)="⚠","파견병원명 미등록",IF(LEFT(U25,1)="⚠","파견과목 미등록",IF(OR(T25="",LEFT(T25,1)="⚠"),"파견근거 확인",IF(NOT(AND(ISNUMBER(H25),ISNUMBER(I25))),"날짜 형식/누락",IF(I25&lt;H25,"종료일&lt;시작일","")))))))))</f>
        <v/>
      </c>
      <c r="AB25" s="11">
        <f>IF(ISNUMBER(SEARCH("다기관",TRIM(N25&amp;" "&amp;O25))),IFERROR(DATE(VALUE(MID(TRIM(N25&amp;" "&amp;O25),1,4)),VALUE(MID(TRIM(N25&amp;" "&amp;O25),6,2)),VALUE(MID(TRIM(N25&amp;" "&amp;O25),9,2))),IF(ISNUMBER(H25),H25,"")),"")</f>
        <v/>
      </c>
      <c r="AC25" s="11">
        <f>IF(ISNUMBER(SEARCH("다기관",TRIM(N25&amp;" "&amp;O25))),IFERROR(DATE(VALUE(MID(TRIM(N25&amp;" "&amp;O25),12,4)),VALUE(MID(TRIM(N25&amp;" "&amp;O25),17,2)),VALUE(MID(TRIM(N25&amp;" "&amp;O25),20,2))),IF(ISNUMBER(I25),I25,"")),"")</f>
        <v/>
      </c>
      <c r="AD25" s="17">
        <f>IF(AND(ISNUMBER(AB25),ISNUMBER(AC25)),MAX(0,MIN(AC25,EOMONTH(요약!$B$3,0))-MAX(AB25,요약!$B$3)+1),0)</f>
        <v/>
      </c>
      <c r="AE25" s="10">
        <f>IF(AND(Q25&lt;&gt;"",ISNUMBER(AB25)),Q25&amp;"|다기관","")</f>
        <v/>
      </c>
    </row>
    <row r="26">
      <c r="A26" s="15">
        <f>IF(F26="","",ROW()-3)</f>
        <v/>
      </c>
      <c r="B26" s="5" t="n"/>
      <c r="C26" s="15" t="n"/>
      <c r="D26" s="5" t="n"/>
      <c r="E26" s="15" t="n"/>
      <c r="F26" s="5" t="n"/>
      <c r="G26" s="6" t="n"/>
      <c r="H26" s="16" t="n"/>
      <c r="I26" s="16" t="n"/>
      <c r="J26" s="15">
        <f>IF(AND(ISNUMBER(H26),ISNUMBER(I26)),I26-H26+1,"")</f>
        <v/>
      </c>
      <c r="K26" s="5" t="n"/>
      <c r="L26" s="5" t="n"/>
      <c r="M26" s="5" t="n"/>
      <c r="N26" s="5" t="n"/>
      <c r="O26" s="5" t="n"/>
      <c r="Q26" s="10">
        <f>IF(TRIM(G26&amp;"")="","",TRIM(G26&amp;""))</f>
        <v/>
      </c>
      <c r="R26" s="10">
        <f>IF(TRIM(B26&amp;"")="","",IFERROR(INDEX(코드표!$K$2:$K$101,MATCH(TRIM(B26&amp;""),코드표!$J$2:$J$101,0)),"⚠"&amp;TRIM(B26&amp;"")))</f>
        <v/>
      </c>
      <c r="S26" s="10">
        <f>IF(TRIM(K26&amp;"")="","",IFERROR(INDEX(코드표!$K$2:$K$101,MATCH(TRIM(K26&amp;""),코드표!$J$2:$J$101,0)),"⚠"&amp;TRIM(K26&amp;"")))</f>
        <v/>
      </c>
      <c r="T26" s="10">
        <f>IF(TRIM(M26&amp;"")="","",IF(ISNUMBER(MATCH(TRIM(M26&amp;""),코드표!$C$2:$C$11,0)),TRIM(M26&amp;""),"⚠"&amp;TRIM(M26&amp;"")))</f>
        <v/>
      </c>
      <c r="U26" s="10">
        <f>IF(TRIM(L26&amp;"")="","",IFERROR(INDEX(코드표!$G$2:$G$101,MATCH(TRIM(L26&amp;""),코드표!$F$2:$F$101,0)),"⚠"&amp;TRIM(L26&amp;"")))</f>
        <v/>
      </c>
      <c r="V26" s="10">
        <f>IF(AND(ISNUMBER(H26),ISNUMBER(I26)),I26-H26+1,"")</f>
        <v/>
      </c>
      <c r="W26" s="17">
        <f>IF(ISNUMBER(H26),MAX(0,MIN(IF(ISNUMBER(I26),I26,EOMONTH(요약!$B$3,0)),EOMONTH(요약!$B$3,0))-MAX(H26,요약!$B$3)+1),0)</f>
        <v/>
      </c>
      <c r="X26" s="10">
        <f>IF(OR(NOT(ISNUMBER(H26)),Q26=""),"",IF(TODAY()&lt;H26,"파견예정",IF(AND(ISNUMBER(I26),TODAY()&gt;I26),"파견종료","파견중")))</f>
        <v/>
      </c>
      <c r="Y26" s="10">
        <f>IF(OR(Q26="",X26=""),"",Q26&amp;"|"&amp;X26)</f>
        <v/>
      </c>
      <c r="Z26" s="10">
        <f>IF(AND(Q26&lt;&gt;"",W26&gt;0),Q26&amp;"|월","")</f>
        <v/>
      </c>
      <c r="AA26" s="10">
        <f>IF(COUNTA(B26:N26)=0,"",IF(Q26="","등록번호 없음",IF(LEFT(R26,1)="⚠","모병원명 미등록",IF(S26="","파견병원 입력",IF(LEFT(S26,1)="⚠","파견병원명 미등록",IF(LEFT(U26,1)="⚠","파견과목 미등록",IF(OR(T26="",LEFT(T26,1)="⚠"),"파견근거 확인",IF(NOT(AND(ISNUMBER(H26),ISNUMBER(I26))),"날짜 형식/누락",IF(I26&lt;H26,"종료일&lt;시작일","")))))))))</f>
        <v/>
      </c>
      <c r="AB26" s="11">
        <f>IF(ISNUMBER(SEARCH("다기관",TRIM(N26&amp;" "&amp;O26))),IFERROR(DATE(VALUE(MID(TRIM(N26&amp;" "&amp;O26),1,4)),VALUE(MID(TRIM(N26&amp;" "&amp;O26),6,2)),VALUE(MID(TRIM(N26&amp;" "&amp;O26),9,2))),IF(ISNUMBER(H26),H26,"")),"")</f>
        <v/>
      </c>
      <c r="AC26" s="11">
        <f>IF(ISNUMBER(SEARCH("다기관",TRIM(N26&amp;" "&amp;O26))),IFERROR(DATE(VALUE(MID(TRIM(N26&amp;" "&amp;O26),12,4)),VALUE(MID(TRIM(N26&amp;" "&amp;O26),17,2)),VALUE(MID(TRIM(N26&amp;" "&amp;O26),20,2))),IF(ISNUMBER(I26),I26,"")),"")</f>
        <v/>
      </c>
      <c r="AD26" s="17">
        <f>IF(AND(ISNUMBER(AB26),ISNUMBER(AC26)),MAX(0,MIN(AC26,EOMONTH(요약!$B$3,0))-MAX(AB26,요약!$B$3)+1),0)</f>
        <v/>
      </c>
      <c r="AE26" s="10">
        <f>IF(AND(Q26&lt;&gt;"",ISNUMBER(AB26)),Q26&amp;"|다기관","")</f>
        <v/>
      </c>
    </row>
    <row r="27">
      <c r="A27" s="15">
        <f>IF(F27="","",ROW()-3)</f>
        <v/>
      </c>
      <c r="B27" s="5" t="n"/>
      <c r="C27" s="15" t="n"/>
      <c r="D27" s="5" t="n"/>
      <c r="E27" s="15" t="n"/>
      <c r="F27" s="5" t="n"/>
      <c r="G27" s="6" t="n"/>
      <c r="H27" s="16" t="n"/>
      <c r="I27" s="16" t="n"/>
      <c r="J27" s="15">
        <f>IF(AND(ISNUMBER(H27),ISNUMBER(I27)),I27-H27+1,"")</f>
        <v/>
      </c>
      <c r="K27" s="5" t="n"/>
      <c r="L27" s="5" t="n"/>
      <c r="M27" s="5" t="n"/>
      <c r="N27" s="5" t="n"/>
      <c r="O27" s="5" t="n"/>
      <c r="Q27" s="10">
        <f>IF(TRIM(G27&amp;"")="","",TRIM(G27&amp;""))</f>
        <v/>
      </c>
      <c r="R27" s="10">
        <f>IF(TRIM(B27&amp;"")="","",IFERROR(INDEX(코드표!$K$2:$K$101,MATCH(TRIM(B27&amp;""),코드표!$J$2:$J$101,0)),"⚠"&amp;TRIM(B27&amp;"")))</f>
        <v/>
      </c>
      <c r="S27" s="10">
        <f>IF(TRIM(K27&amp;"")="","",IFERROR(INDEX(코드표!$K$2:$K$101,MATCH(TRIM(K27&amp;""),코드표!$J$2:$J$101,0)),"⚠"&amp;TRIM(K27&amp;"")))</f>
        <v/>
      </c>
      <c r="T27" s="10">
        <f>IF(TRIM(M27&amp;"")="","",IF(ISNUMBER(MATCH(TRIM(M27&amp;""),코드표!$C$2:$C$11,0)),TRIM(M27&amp;""),"⚠"&amp;TRIM(M27&amp;"")))</f>
        <v/>
      </c>
      <c r="U27" s="10">
        <f>IF(TRIM(L27&amp;"")="","",IFERROR(INDEX(코드표!$G$2:$G$101,MATCH(TRIM(L27&amp;""),코드표!$F$2:$F$101,0)),"⚠"&amp;TRIM(L27&amp;"")))</f>
        <v/>
      </c>
      <c r="V27" s="10">
        <f>IF(AND(ISNUMBER(H27),ISNUMBER(I27)),I27-H27+1,"")</f>
        <v/>
      </c>
      <c r="W27" s="17">
        <f>IF(ISNUMBER(H27),MAX(0,MIN(IF(ISNUMBER(I27),I27,EOMONTH(요약!$B$3,0)),EOMONTH(요약!$B$3,0))-MAX(H27,요약!$B$3)+1),0)</f>
        <v/>
      </c>
      <c r="X27" s="10">
        <f>IF(OR(NOT(ISNUMBER(H27)),Q27=""),"",IF(TODAY()&lt;H27,"파견예정",IF(AND(ISNUMBER(I27),TODAY()&gt;I27),"파견종료","파견중")))</f>
        <v/>
      </c>
      <c r="Y27" s="10">
        <f>IF(OR(Q27="",X27=""),"",Q27&amp;"|"&amp;X27)</f>
        <v/>
      </c>
      <c r="Z27" s="10">
        <f>IF(AND(Q27&lt;&gt;"",W27&gt;0),Q27&amp;"|월","")</f>
        <v/>
      </c>
      <c r="AA27" s="10">
        <f>IF(COUNTA(B27:N27)=0,"",IF(Q27="","등록번호 없음",IF(LEFT(R27,1)="⚠","모병원명 미등록",IF(S27="","파견병원 입력",IF(LEFT(S27,1)="⚠","파견병원명 미등록",IF(LEFT(U27,1)="⚠","파견과목 미등록",IF(OR(T27="",LEFT(T27,1)="⚠"),"파견근거 확인",IF(NOT(AND(ISNUMBER(H27),ISNUMBER(I27))),"날짜 형식/누락",IF(I27&lt;H27,"종료일&lt;시작일","")))))))))</f>
        <v/>
      </c>
      <c r="AB27" s="11">
        <f>IF(ISNUMBER(SEARCH("다기관",TRIM(N27&amp;" "&amp;O27))),IFERROR(DATE(VALUE(MID(TRIM(N27&amp;" "&amp;O27),1,4)),VALUE(MID(TRIM(N27&amp;" "&amp;O27),6,2)),VALUE(MID(TRIM(N27&amp;" "&amp;O27),9,2))),IF(ISNUMBER(H27),H27,"")),"")</f>
        <v/>
      </c>
      <c r="AC27" s="11">
        <f>IF(ISNUMBER(SEARCH("다기관",TRIM(N27&amp;" "&amp;O27))),IFERROR(DATE(VALUE(MID(TRIM(N27&amp;" "&amp;O27),12,4)),VALUE(MID(TRIM(N27&amp;" "&amp;O27),17,2)),VALUE(MID(TRIM(N27&amp;" "&amp;O27),20,2))),IF(ISNUMBER(I27),I27,"")),"")</f>
        <v/>
      </c>
      <c r="AD27" s="17">
        <f>IF(AND(ISNUMBER(AB27),ISNUMBER(AC27)),MAX(0,MIN(AC27,EOMONTH(요약!$B$3,0))-MAX(AB27,요약!$B$3)+1),0)</f>
        <v/>
      </c>
      <c r="AE27" s="10">
        <f>IF(AND(Q27&lt;&gt;"",ISNUMBER(AB27)),Q27&amp;"|다기관","")</f>
        <v/>
      </c>
    </row>
    <row r="28">
      <c r="A28" s="15">
        <f>IF(F28="","",ROW()-3)</f>
        <v/>
      </c>
      <c r="B28" s="5" t="n"/>
      <c r="C28" s="15" t="n"/>
      <c r="D28" s="5" t="n"/>
      <c r="E28" s="15" t="n"/>
      <c r="F28" s="5" t="n"/>
      <c r="G28" s="6" t="n"/>
      <c r="H28" s="16" t="n"/>
      <c r="I28" s="16" t="n"/>
      <c r="J28" s="15">
        <f>IF(AND(ISNUMBER(H28),ISNUMBER(I28)),I28-H28+1,"")</f>
        <v/>
      </c>
      <c r="K28" s="5" t="n"/>
      <c r="L28" s="5" t="n"/>
      <c r="M28" s="5" t="n"/>
      <c r="N28" s="5" t="n"/>
      <c r="O28" s="5" t="n"/>
      <c r="Q28" s="10">
        <f>IF(TRIM(G28&amp;"")="","",TRIM(G28&amp;""))</f>
        <v/>
      </c>
      <c r="R28" s="10">
        <f>IF(TRIM(B28&amp;"")="","",IFERROR(INDEX(코드표!$K$2:$K$101,MATCH(TRIM(B28&amp;""),코드표!$J$2:$J$101,0)),"⚠"&amp;TRIM(B28&amp;"")))</f>
        <v/>
      </c>
      <c r="S28" s="10">
        <f>IF(TRIM(K28&amp;"")="","",IFERROR(INDEX(코드표!$K$2:$K$101,MATCH(TRIM(K28&amp;""),코드표!$J$2:$J$101,0)),"⚠"&amp;TRIM(K28&amp;"")))</f>
        <v/>
      </c>
      <c r="T28" s="10">
        <f>IF(TRIM(M28&amp;"")="","",IF(ISNUMBER(MATCH(TRIM(M28&amp;""),코드표!$C$2:$C$11,0)),TRIM(M28&amp;""),"⚠"&amp;TRIM(M28&amp;"")))</f>
        <v/>
      </c>
      <c r="U28" s="10">
        <f>IF(TRIM(L28&amp;"")="","",IFERROR(INDEX(코드표!$G$2:$G$101,MATCH(TRIM(L28&amp;""),코드표!$F$2:$F$101,0)),"⚠"&amp;TRIM(L28&amp;"")))</f>
        <v/>
      </c>
      <c r="V28" s="10">
        <f>IF(AND(ISNUMBER(H28),ISNUMBER(I28)),I28-H28+1,"")</f>
        <v/>
      </c>
      <c r="W28" s="17">
        <f>IF(ISNUMBER(H28),MAX(0,MIN(IF(ISNUMBER(I28),I28,EOMONTH(요약!$B$3,0)),EOMONTH(요약!$B$3,0))-MAX(H28,요약!$B$3)+1),0)</f>
        <v/>
      </c>
      <c r="X28" s="10">
        <f>IF(OR(NOT(ISNUMBER(H28)),Q28=""),"",IF(TODAY()&lt;H28,"파견예정",IF(AND(ISNUMBER(I28),TODAY()&gt;I28),"파견종료","파견중")))</f>
        <v/>
      </c>
      <c r="Y28" s="10">
        <f>IF(OR(Q28="",X28=""),"",Q28&amp;"|"&amp;X28)</f>
        <v/>
      </c>
      <c r="Z28" s="10">
        <f>IF(AND(Q28&lt;&gt;"",W28&gt;0),Q28&amp;"|월","")</f>
        <v/>
      </c>
      <c r="AA28" s="10">
        <f>IF(COUNTA(B28:N28)=0,"",IF(Q28="","등록번호 없음",IF(LEFT(R28,1)="⚠","모병원명 미등록",IF(S28="","파견병원 입력",IF(LEFT(S28,1)="⚠","파견병원명 미등록",IF(LEFT(U28,1)="⚠","파견과목 미등록",IF(OR(T28="",LEFT(T28,1)="⚠"),"파견근거 확인",IF(NOT(AND(ISNUMBER(H28),ISNUMBER(I28))),"날짜 형식/누락",IF(I28&lt;H28,"종료일&lt;시작일","")))))))))</f>
        <v/>
      </c>
      <c r="AB28" s="11">
        <f>IF(ISNUMBER(SEARCH("다기관",TRIM(N28&amp;" "&amp;O28))),IFERROR(DATE(VALUE(MID(TRIM(N28&amp;" "&amp;O28),1,4)),VALUE(MID(TRIM(N28&amp;" "&amp;O28),6,2)),VALUE(MID(TRIM(N28&amp;" "&amp;O28),9,2))),IF(ISNUMBER(H28),H28,"")),"")</f>
        <v/>
      </c>
      <c r="AC28" s="11">
        <f>IF(ISNUMBER(SEARCH("다기관",TRIM(N28&amp;" "&amp;O28))),IFERROR(DATE(VALUE(MID(TRIM(N28&amp;" "&amp;O28),12,4)),VALUE(MID(TRIM(N28&amp;" "&amp;O28),17,2)),VALUE(MID(TRIM(N28&amp;" "&amp;O28),20,2))),IF(ISNUMBER(I28),I28,"")),"")</f>
        <v/>
      </c>
      <c r="AD28" s="17">
        <f>IF(AND(ISNUMBER(AB28),ISNUMBER(AC28)),MAX(0,MIN(AC28,EOMONTH(요약!$B$3,0))-MAX(AB28,요약!$B$3)+1),0)</f>
        <v/>
      </c>
      <c r="AE28" s="10">
        <f>IF(AND(Q28&lt;&gt;"",ISNUMBER(AB28)),Q28&amp;"|다기관","")</f>
        <v/>
      </c>
    </row>
    <row r="29">
      <c r="A29" s="15">
        <f>IF(F29="","",ROW()-3)</f>
        <v/>
      </c>
      <c r="B29" s="5" t="n"/>
      <c r="C29" s="15" t="n"/>
      <c r="D29" s="5" t="n"/>
      <c r="E29" s="15" t="n"/>
      <c r="F29" s="5" t="n"/>
      <c r="G29" s="6" t="n"/>
      <c r="H29" s="16" t="n"/>
      <c r="I29" s="16" t="n"/>
      <c r="J29" s="15">
        <f>IF(AND(ISNUMBER(H29),ISNUMBER(I29)),I29-H29+1,"")</f>
        <v/>
      </c>
      <c r="K29" s="5" t="n"/>
      <c r="L29" s="5" t="n"/>
      <c r="M29" s="5" t="n"/>
      <c r="N29" s="5" t="n"/>
      <c r="O29" s="5" t="n"/>
      <c r="Q29" s="10">
        <f>IF(TRIM(G29&amp;"")="","",TRIM(G29&amp;""))</f>
        <v/>
      </c>
      <c r="R29" s="10">
        <f>IF(TRIM(B29&amp;"")="","",IFERROR(INDEX(코드표!$K$2:$K$101,MATCH(TRIM(B29&amp;""),코드표!$J$2:$J$101,0)),"⚠"&amp;TRIM(B29&amp;"")))</f>
        <v/>
      </c>
      <c r="S29" s="10">
        <f>IF(TRIM(K29&amp;"")="","",IFERROR(INDEX(코드표!$K$2:$K$101,MATCH(TRIM(K29&amp;""),코드표!$J$2:$J$101,0)),"⚠"&amp;TRIM(K29&amp;"")))</f>
        <v/>
      </c>
      <c r="T29" s="10">
        <f>IF(TRIM(M29&amp;"")="","",IF(ISNUMBER(MATCH(TRIM(M29&amp;""),코드표!$C$2:$C$11,0)),TRIM(M29&amp;""),"⚠"&amp;TRIM(M29&amp;"")))</f>
        <v/>
      </c>
      <c r="U29" s="10">
        <f>IF(TRIM(L29&amp;"")="","",IFERROR(INDEX(코드표!$G$2:$G$101,MATCH(TRIM(L29&amp;""),코드표!$F$2:$F$101,0)),"⚠"&amp;TRIM(L29&amp;"")))</f>
        <v/>
      </c>
      <c r="V29" s="10">
        <f>IF(AND(ISNUMBER(H29),ISNUMBER(I29)),I29-H29+1,"")</f>
        <v/>
      </c>
      <c r="W29" s="17">
        <f>IF(ISNUMBER(H29),MAX(0,MIN(IF(ISNUMBER(I29),I29,EOMONTH(요약!$B$3,0)),EOMONTH(요약!$B$3,0))-MAX(H29,요약!$B$3)+1),0)</f>
        <v/>
      </c>
      <c r="X29" s="10">
        <f>IF(OR(NOT(ISNUMBER(H29)),Q29=""),"",IF(TODAY()&lt;H29,"파견예정",IF(AND(ISNUMBER(I29),TODAY()&gt;I29),"파견종료","파견중")))</f>
        <v/>
      </c>
      <c r="Y29" s="10">
        <f>IF(OR(Q29="",X29=""),"",Q29&amp;"|"&amp;X29)</f>
        <v/>
      </c>
      <c r="Z29" s="10">
        <f>IF(AND(Q29&lt;&gt;"",W29&gt;0),Q29&amp;"|월","")</f>
        <v/>
      </c>
      <c r="AA29" s="10">
        <f>IF(COUNTA(B29:N29)=0,"",IF(Q29="","등록번호 없음",IF(LEFT(R29,1)="⚠","모병원명 미등록",IF(S29="","파견병원 입력",IF(LEFT(S29,1)="⚠","파견병원명 미등록",IF(LEFT(U29,1)="⚠","파견과목 미등록",IF(OR(T29="",LEFT(T29,1)="⚠"),"파견근거 확인",IF(NOT(AND(ISNUMBER(H29),ISNUMBER(I29))),"날짜 형식/누락",IF(I29&lt;H29,"종료일&lt;시작일","")))))))))</f>
        <v/>
      </c>
      <c r="AB29" s="11">
        <f>IF(ISNUMBER(SEARCH("다기관",TRIM(N29&amp;" "&amp;O29))),IFERROR(DATE(VALUE(MID(TRIM(N29&amp;" "&amp;O29),1,4)),VALUE(MID(TRIM(N29&amp;" "&amp;O29),6,2)),VALUE(MID(TRIM(N29&amp;" "&amp;O29),9,2))),IF(ISNUMBER(H29),H29,"")),"")</f>
        <v/>
      </c>
      <c r="AC29" s="11">
        <f>IF(ISNUMBER(SEARCH("다기관",TRIM(N29&amp;" "&amp;O29))),IFERROR(DATE(VALUE(MID(TRIM(N29&amp;" "&amp;O29),12,4)),VALUE(MID(TRIM(N29&amp;" "&amp;O29),17,2)),VALUE(MID(TRIM(N29&amp;" "&amp;O29),20,2))),IF(ISNUMBER(I29),I29,"")),"")</f>
        <v/>
      </c>
      <c r="AD29" s="17">
        <f>IF(AND(ISNUMBER(AB29),ISNUMBER(AC29)),MAX(0,MIN(AC29,EOMONTH(요약!$B$3,0))-MAX(AB29,요약!$B$3)+1),0)</f>
        <v/>
      </c>
      <c r="AE29" s="10">
        <f>IF(AND(Q29&lt;&gt;"",ISNUMBER(AB29)),Q29&amp;"|다기관","")</f>
        <v/>
      </c>
    </row>
    <row r="30">
      <c r="A30" s="15">
        <f>IF(F30="","",ROW()-3)</f>
        <v/>
      </c>
      <c r="B30" s="5" t="n"/>
      <c r="C30" s="15" t="n"/>
      <c r="D30" s="5" t="n"/>
      <c r="E30" s="15" t="n"/>
      <c r="F30" s="5" t="n"/>
      <c r="G30" s="6" t="n"/>
      <c r="H30" s="16" t="n"/>
      <c r="I30" s="16" t="n"/>
      <c r="J30" s="15">
        <f>IF(AND(ISNUMBER(H30),ISNUMBER(I30)),I30-H30+1,"")</f>
        <v/>
      </c>
      <c r="K30" s="5" t="n"/>
      <c r="L30" s="5" t="n"/>
      <c r="M30" s="5" t="n"/>
      <c r="N30" s="5" t="n"/>
      <c r="O30" s="5" t="n"/>
      <c r="Q30" s="10">
        <f>IF(TRIM(G30&amp;"")="","",TRIM(G30&amp;""))</f>
        <v/>
      </c>
      <c r="R30" s="10">
        <f>IF(TRIM(B30&amp;"")="","",IFERROR(INDEX(코드표!$K$2:$K$101,MATCH(TRIM(B30&amp;""),코드표!$J$2:$J$101,0)),"⚠"&amp;TRIM(B30&amp;"")))</f>
        <v/>
      </c>
      <c r="S30" s="10">
        <f>IF(TRIM(K30&amp;"")="","",IFERROR(INDEX(코드표!$K$2:$K$101,MATCH(TRIM(K30&amp;""),코드표!$J$2:$J$101,0)),"⚠"&amp;TRIM(K30&amp;"")))</f>
        <v/>
      </c>
      <c r="T30" s="10">
        <f>IF(TRIM(M30&amp;"")="","",IF(ISNUMBER(MATCH(TRIM(M30&amp;""),코드표!$C$2:$C$11,0)),TRIM(M30&amp;""),"⚠"&amp;TRIM(M30&amp;"")))</f>
        <v/>
      </c>
      <c r="U30" s="10">
        <f>IF(TRIM(L30&amp;"")="","",IFERROR(INDEX(코드표!$G$2:$G$101,MATCH(TRIM(L30&amp;""),코드표!$F$2:$F$101,0)),"⚠"&amp;TRIM(L30&amp;"")))</f>
        <v/>
      </c>
      <c r="V30" s="10">
        <f>IF(AND(ISNUMBER(H30),ISNUMBER(I30)),I30-H30+1,"")</f>
        <v/>
      </c>
      <c r="W30" s="17">
        <f>IF(ISNUMBER(H30),MAX(0,MIN(IF(ISNUMBER(I30),I30,EOMONTH(요약!$B$3,0)),EOMONTH(요약!$B$3,0))-MAX(H30,요약!$B$3)+1),0)</f>
        <v/>
      </c>
      <c r="X30" s="10">
        <f>IF(OR(NOT(ISNUMBER(H30)),Q30=""),"",IF(TODAY()&lt;H30,"파견예정",IF(AND(ISNUMBER(I30),TODAY()&gt;I30),"파견종료","파견중")))</f>
        <v/>
      </c>
      <c r="Y30" s="10">
        <f>IF(OR(Q30="",X30=""),"",Q30&amp;"|"&amp;X30)</f>
        <v/>
      </c>
      <c r="Z30" s="10">
        <f>IF(AND(Q30&lt;&gt;"",W30&gt;0),Q30&amp;"|월","")</f>
        <v/>
      </c>
      <c r="AA30" s="10">
        <f>IF(COUNTA(B30:N30)=0,"",IF(Q30="","등록번호 없음",IF(LEFT(R30,1)="⚠","모병원명 미등록",IF(S30="","파견병원 입력",IF(LEFT(S30,1)="⚠","파견병원명 미등록",IF(LEFT(U30,1)="⚠","파견과목 미등록",IF(OR(T30="",LEFT(T30,1)="⚠"),"파견근거 확인",IF(NOT(AND(ISNUMBER(H30),ISNUMBER(I30))),"날짜 형식/누락",IF(I30&lt;H30,"종료일&lt;시작일","")))))))))</f>
        <v/>
      </c>
      <c r="AB30" s="11">
        <f>IF(ISNUMBER(SEARCH("다기관",TRIM(N30&amp;" "&amp;O30))),IFERROR(DATE(VALUE(MID(TRIM(N30&amp;" "&amp;O30),1,4)),VALUE(MID(TRIM(N30&amp;" "&amp;O30),6,2)),VALUE(MID(TRIM(N30&amp;" "&amp;O30),9,2))),IF(ISNUMBER(H30),H30,"")),"")</f>
        <v/>
      </c>
      <c r="AC30" s="11">
        <f>IF(ISNUMBER(SEARCH("다기관",TRIM(N30&amp;" "&amp;O30))),IFERROR(DATE(VALUE(MID(TRIM(N30&amp;" "&amp;O30),12,4)),VALUE(MID(TRIM(N30&amp;" "&amp;O30),17,2)),VALUE(MID(TRIM(N30&amp;" "&amp;O30),20,2))),IF(ISNUMBER(I30),I30,"")),"")</f>
        <v/>
      </c>
      <c r="AD30" s="17">
        <f>IF(AND(ISNUMBER(AB30),ISNUMBER(AC30)),MAX(0,MIN(AC30,EOMONTH(요약!$B$3,0))-MAX(AB30,요약!$B$3)+1),0)</f>
        <v/>
      </c>
      <c r="AE30" s="10">
        <f>IF(AND(Q30&lt;&gt;"",ISNUMBER(AB30)),Q30&amp;"|다기관","")</f>
        <v/>
      </c>
    </row>
    <row r="31">
      <c r="A31" s="15">
        <f>IF(F31="","",ROW()-3)</f>
        <v/>
      </c>
      <c r="B31" s="5" t="n"/>
      <c r="C31" s="15" t="n"/>
      <c r="D31" s="5" t="n"/>
      <c r="E31" s="15" t="n"/>
      <c r="F31" s="5" t="n"/>
      <c r="G31" s="6" t="n"/>
      <c r="H31" s="16" t="n"/>
      <c r="I31" s="16" t="n"/>
      <c r="J31" s="15">
        <f>IF(AND(ISNUMBER(H31),ISNUMBER(I31)),I31-H31+1,"")</f>
        <v/>
      </c>
      <c r="K31" s="5" t="n"/>
      <c r="L31" s="5" t="n"/>
      <c r="M31" s="5" t="n"/>
      <c r="N31" s="5" t="n"/>
      <c r="O31" s="5" t="n"/>
      <c r="Q31" s="10">
        <f>IF(TRIM(G31&amp;"")="","",TRIM(G31&amp;""))</f>
        <v/>
      </c>
      <c r="R31" s="10">
        <f>IF(TRIM(B31&amp;"")="","",IFERROR(INDEX(코드표!$K$2:$K$101,MATCH(TRIM(B31&amp;""),코드표!$J$2:$J$101,0)),"⚠"&amp;TRIM(B31&amp;"")))</f>
        <v/>
      </c>
      <c r="S31" s="10">
        <f>IF(TRIM(K31&amp;"")="","",IFERROR(INDEX(코드표!$K$2:$K$101,MATCH(TRIM(K31&amp;""),코드표!$J$2:$J$101,0)),"⚠"&amp;TRIM(K31&amp;"")))</f>
        <v/>
      </c>
      <c r="T31" s="10">
        <f>IF(TRIM(M31&amp;"")="","",IF(ISNUMBER(MATCH(TRIM(M31&amp;""),코드표!$C$2:$C$11,0)),TRIM(M31&amp;""),"⚠"&amp;TRIM(M31&amp;"")))</f>
        <v/>
      </c>
      <c r="U31" s="10">
        <f>IF(TRIM(L31&amp;"")="","",IFERROR(INDEX(코드표!$G$2:$G$101,MATCH(TRIM(L31&amp;""),코드표!$F$2:$F$101,0)),"⚠"&amp;TRIM(L31&amp;"")))</f>
        <v/>
      </c>
      <c r="V31" s="10">
        <f>IF(AND(ISNUMBER(H31),ISNUMBER(I31)),I31-H31+1,"")</f>
        <v/>
      </c>
      <c r="W31" s="17">
        <f>IF(ISNUMBER(H31),MAX(0,MIN(IF(ISNUMBER(I31),I31,EOMONTH(요약!$B$3,0)),EOMONTH(요약!$B$3,0))-MAX(H31,요약!$B$3)+1),0)</f>
        <v/>
      </c>
      <c r="X31" s="10">
        <f>IF(OR(NOT(ISNUMBER(H31)),Q31=""),"",IF(TODAY()&lt;H31,"파견예정",IF(AND(ISNUMBER(I31),TODAY()&gt;I31),"파견종료","파견중")))</f>
        <v/>
      </c>
      <c r="Y31" s="10">
        <f>IF(OR(Q31="",X31=""),"",Q31&amp;"|"&amp;X31)</f>
        <v/>
      </c>
      <c r="Z31" s="10">
        <f>IF(AND(Q31&lt;&gt;"",W31&gt;0),Q31&amp;"|월","")</f>
        <v/>
      </c>
      <c r="AA31" s="10">
        <f>IF(COUNTA(B31:N31)=0,"",IF(Q31="","등록번호 없음",IF(LEFT(R31,1)="⚠","모병원명 미등록",IF(S31="","파견병원 입력",IF(LEFT(S31,1)="⚠","파견병원명 미등록",IF(LEFT(U31,1)="⚠","파견과목 미등록",IF(OR(T31="",LEFT(T31,1)="⚠"),"파견근거 확인",IF(NOT(AND(ISNUMBER(H31),ISNUMBER(I31))),"날짜 형식/누락",IF(I31&lt;H31,"종료일&lt;시작일","")))))))))</f>
        <v/>
      </c>
      <c r="AB31" s="11">
        <f>IF(ISNUMBER(SEARCH("다기관",TRIM(N31&amp;" "&amp;O31))),IFERROR(DATE(VALUE(MID(TRIM(N31&amp;" "&amp;O31),1,4)),VALUE(MID(TRIM(N31&amp;" "&amp;O31),6,2)),VALUE(MID(TRIM(N31&amp;" "&amp;O31),9,2))),IF(ISNUMBER(H31),H31,"")),"")</f>
        <v/>
      </c>
      <c r="AC31" s="11">
        <f>IF(ISNUMBER(SEARCH("다기관",TRIM(N31&amp;" "&amp;O31))),IFERROR(DATE(VALUE(MID(TRIM(N31&amp;" "&amp;O31),12,4)),VALUE(MID(TRIM(N31&amp;" "&amp;O31),17,2)),VALUE(MID(TRIM(N31&amp;" "&amp;O31),20,2))),IF(ISNUMBER(I31),I31,"")),"")</f>
        <v/>
      </c>
      <c r="AD31" s="17">
        <f>IF(AND(ISNUMBER(AB31),ISNUMBER(AC31)),MAX(0,MIN(AC31,EOMONTH(요약!$B$3,0))-MAX(AB31,요약!$B$3)+1),0)</f>
        <v/>
      </c>
      <c r="AE31" s="10">
        <f>IF(AND(Q31&lt;&gt;"",ISNUMBER(AB31)),Q31&amp;"|다기관","")</f>
        <v/>
      </c>
    </row>
    <row r="32">
      <c r="A32" s="15">
        <f>IF(F32="","",ROW()-3)</f>
        <v/>
      </c>
      <c r="B32" s="5" t="n"/>
      <c r="C32" s="15" t="n"/>
      <c r="D32" s="5" t="n"/>
      <c r="E32" s="15" t="n"/>
      <c r="F32" s="5" t="n"/>
      <c r="G32" s="6" t="n"/>
      <c r="H32" s="16" t="n"/>
      <c r="I32" s="16" t="n"/>
      <c r="J32" s="15">
        <f>IF(AND(ISNUMBER(H32),ISNUMBER(I32)),I32-H32+1,"")</f>
        <v/>
      </c>
      <c r="K32" s="5" t="n"/>
      <c r="L32" s="5" t="n"/>
      <c r="M32" s="5" t="n"/>
      <c r="N32" s="5" t="n"/>
      <c r="O32" s="5" t="n"/>
      <c r="Q32" s="10">
        <f>IF(TRIM(G32&amp;"")="","",TRIM(G32&amp;""))</f>
        <v/>
      </c>
      <c r="R32" s="10">
        <f>IF(TRIM(B32&amp;"")="","",IFERROR(INDEX(코드표!$K$2:$K$101,MATCH(TRIM(B32&amp;""),코드표!$J$2:$J$101,0)),"⚠"&amp;TRIM(B32&amp;"")))</f>
        <v/>
      </c>
      <c r="S32" s="10">
        <f>IF(TRIM(K32&amp;"")="","",IFERROR(INDEX(코드표!$K$2:$K$101,MATCH(TRIM(K32&amp;""),코드표!$J$2:$J$101,0)),"⚠"&amp;TRIM(K32&amp;"")))</f>
        <v/>
      </c>
      <c r="T32" s="10">
        <f>IF(TRIM(M32&amp;"")="","",IF(ISNUMBER(MATCH(TRIM(M32&amp;""),코드표!$C$2:$C$11,0)),TRIM(M32&amp;""),"⚠"&amp;TRIM(M32&amp;"")))</f>
        <v/>
      </c>
      <c r="U32" s="10">
        <f>IF(TRIM(L32&amp;"")="","",IFERROR(INDEX(코드표!$G$2:$G$101,MATCH(TRIM(L32&amp;""),코드표!$F$2:$F$101,0)),"⚠"&amp;TRIM(L32&amp;"")))</f>
        <v/>
      </c>
      <c r="V32" s="10">
        <f>IF(AND(ISNUMBER(H32),ISNUMBER(I32)),I32-H32+1,"")</f>
        <v/>
      </c>
      <c r="W32" s="17">
        <f>IF(ISNUMBER(H32),MAX(0,MIN(IF(ISNUMBER(I32),I32,EOMONTH(요약!$B$3,0)),EOMONTH(요약!$B$3,0))-MAX(H32,요약!$B$3)+1),0)</f>
        <v/>
      </c>
      <c r="X32" s="10">
        <f>IF(OR(NOT(ISNUMBER(H32)),Q32=""),"",IF(TODAY()&lt;H32,"파견예정",IF(AND(ISNUMBER(I32),TODAY()&gt;I32),"파견종료","파견중")))</f>
        <v/>
      </c>
      <c r="Y32" s="10">
        <f>IF(OR(Q32="",X32=""),"",Q32&amp;"|"&amp;X32)</f>
        <v/>
      </c>
      <c r="Z32" s="10">
        <f>IF(AND(Q32&lt;&gt;"",W32&gt;0),Q32&amp;"|월","")</f>
        <v/>
      </c>
      <c r="AA32" s="10">
        <f>IF(COUNTA(B32:N32)=0,"",IF(Q32="","등록번호 없음",IF(LEFT(R32,1)="⚠","모병원명 미등록",IF(S32="","파견병원 입력",IF(LEFT(S32,1)="⚠","파견병원명 미등록",IF(LEFT(U32,1)="⚠","파견과목 미등록",IF(OR(T32="",LEFT(T32,1)="⚠"),"파견근거 확인",IF(NOT(AND(ISNUMBER(H32),ISNUMBER(I32))),"날짜 형식/누락",IF(I32&lt;H32,"종료일&lt;시작일","")))))))))</f>
        <v/>
      </c>
      <c r="AB32" s="11">
        <f>IF(ISNUMBER(SEARCH("다기관",TRIM(N32&amp;" "&amp;O32))),IFERROR(DATE(VALUE(MID(TRIM(N32&amp;" "&amp;O32),1,4)),VALUE(MID(TRIM(N32&amp;" "&amp;O32),6,2)),VALUE(MID(TRIM(N32&amp;" "&amp;O32),9,2))),IF(ISNUMBER(H32),H32,"")),"")</f>
        <v/>
      </c>
      <c r="AC32" s="11">
        <f>IF(ISNUMBER(SEARCH("다기관",TRIM(N32&amp;" "&amp;O32))),IFERROR(DATE(VALUE(MID(TRIM(N32&amp;" "&amp;O32),12,4)),VALUE(MID(TRIM(N32&amp;" "&amp;O32),17,2)),VALUE(MID(TRIM(N32&amp;" "&amp;O32),20,2))),IF(ISNUMBER(I32),I32,"")),"")</f>
        <v/>
      </c>
      <c r="AD32" s="17">
        <f>IF(AND(ISNUMBER(AB32),ISNUMBER(AC32)),MAX(0,MIN(AC32,EOMONTH(요약!$B$3,0))-MAX(AB32,요약!$B$3)+1),0)</f>
        <v/>
      </c>
      <c r="AE32" s="10">
        <f>IF(AND(Q32&lt;&gt;"",ISNUMBER(AB32)),Q32&amp;"|다기관","")</f>
        <v/>
      </c>
    </row>
    <row r="33">
      <c r="A33" s="15">
        <f>IF(F33="","",ROW()-3)</f>
        <v/>
      </c>
      <c r="B33" s="5" t="n"/>
      <c r="C33" s="15" t="n"/>
      <c r="D33" s="5" t="n"/>
      <c r="E33" s="15" t="n"/>
      <c r="F33" s="5" t="n"/>
      <c r="G33" s="6" t="n"/>
      <c r="H33" s="16" t="n"/>
      <c r="I33" s="16" t="n"/>
      <c r="J33" s="15">
        <f>IF(AND(ISNUMBER(H33),ISNUMBER(I33)),I33-H33+1,"")</f>
        <v/>
      </c>
      <c r="K33" s="5" t="n"/>
      <c r="L33" s="5" t="n"/>
      <c r="M33" s="5" t="n"/>
      <c r="N33" s="5" t="n"/>
      <c r="O33" s="5" t="n"/>
      <c r="Q33" s="10">
        <f>IF(TRIM(G33&amp;"")="","",TRIM(G33&amp;""))</f>
        <v/>
      </c>
      <c r="R33" s="10">
        <f>IF(TRIM(B33&amp;"")="","",IFERROR(INDEX(코드표!$K$2:$K$101,MATCH(TRIM(B33&amp;""),코드표!$J$2:$J$101,0)),"⚠"&amp;TRIM(B33&amp;"")))</f>
        <v/>
      </c>
      <c r="S33" s="10">
        <f>IF(TRIM(K33&amp;"")="","",IFERROR(INDEX(코드표!$K$2:$K$101,MATCH(TRIM(K33&amp;""),코드표!$J$2:$J$101,0)),"⚠"&amp;TRIM(K33&amp;"")))</f>
        <v/>
      </c>
      <c r="T33" s="10">
        <f>IF(TRIM(M33&amp;"")="","",IF(ISNUMBER(MATCH(TRIM(M33&amp;""),코드표!$C$2:$C$11,0)),TRIM(M33&amp;""),"⚠"&amp;TRIM(M33&amp;"")))</f>
        <v/>
      </c>
      <c r="U33" s="10">
        <f>IF(TRIM(L33&amp;"")="","",IFERROR(INDEX(코드표!$G$2:$G$101,MATCH(TRIM(L33&amp;""),코드표!$F$2:$F$101,0)),"⚠"&amp;TRIM(L33&amp;"")))</f>
        <v/>
      </c>
      <c r="V33" s="10">
        <f>IF(AND(ISNUMBER(H33),ISNUMBER(I33)),I33-H33+1,"")</f>
        <v/>
      </c>
      <c r="W33" s="17">
        <f>IF(ISNUMBER(H33),MAX(0,MIN(IF(ISNUMBER(I33),I33,EOMONTH(요약!$B$3,0)),EOMONTH(요약!$B$3,0))-MAX(H33,요약!$B$3)+1),0)</f>
        <v/>
      </c>
      <c r="X33" s="10">
        <f>IF(OR(NOT(ISNUMBER(H33)),Q33=""),"",IF(TODAY()&lt;H33,"파견예정",IF(AND(ISNUMBER(I33),TODAY()&gt;I33),"파견종료","파견중")))</f>
        <v/>
      </c>
      <c r="Y33" s="10">
        <f>IF(OR(Q33="",X33=""),"",Q33&amp;"|"&amp;X33)</f>
        <v/>
      </c>
      <c r="Z33" s="10">
        <f>IF(AND(Q33&lt;&gt;"",W33&gt;0),Q33&amp;"|월","")</f>
        <v/>
      </c>
      <c r="AA33" s="10">
        <f>IF(COUNTA(B33:N33)=0,"",IF(Q33="","등록번호 없음",IF(LEFT(R33,1)="⚠","모병원명 미등록",IF(S33="","파견병원 입력",IF(LEFT(S33,1)="⚠","파견병원명 미등록",IF(LEFT(U33,1)="⚠","파견과목 미등록",IF(OR(T33="",LEFT(T33,1)="⚠"),"파견근거 확인",IF(NOT(AND(ISNUMBER(H33),ISNUMBER(I33))),"날짜 형식/누락",IF(I33&lt;H33,"종료일&lt;시작일","")))))))))</f>
        <v/>
      </c>
      <c r="AB33" s="11">
        <f>IF(ISNUMBER(SEARCH("다기관",TRIM(N33&amp;" "&amp;O33))),IFERROR(DATE(VALUE(MID(TRIM(N33&amp;" "&amp;O33),1,4)),VALUE(MID(TRIM(N33&amp;" "&amp;O33),6,2)),VALUE(MID(TRIM(N33&amp;" "&amp;O33),9,2))),IF(ISNUMBER(H33),H33,"")),"")</f>
        <v/>
      </c>
      <c r="AC33" s="11">
        <f>IF(ISNUMBER(SEARCH("다기관",TRIM(N33&amp;" "&amp;O33))),IFERROR(DATE(VALUE(MID(TRIM(N33&amp;" "&amp;O33),12,4)),VALUE(MID(TRIM(N33&amp;" "&amp;O33),17,2)),VALUE(MID(TRIM(N33&amp;" "&amp;O33),20,2))),IF(ISNUMBER(I33),I33,"")),"")</f>
        <v/>
      </c>
      <c r="AD33" s="17">
        <f>IF(AND(ISNUMBER(AB33),ISNUMBER(AC33)),MAX(0,MIN(AC33,EOMONTH(요약!$B$3,0))-MAX(AB33,요약!$B$3)+1),0)</f>
        <v/>
      </c>
      <c r="AE33" s="10">
        <f>IF(AND(Q33&lt;&gt;"",ISNUMBER(AB33)),Q33&amp;"|다기관","")</f>
        <v/>
      </c>
    </row>
    <row r="34">
      <c r="A34" s="15">
        <f>IF(F34="","",ROW()-3)</f>
        <v/>
      </c>
      <c r="B34" s="5" t="n"/>
      <c r="C34" s="15" t="n"/>
      <c r="D34" s="5" t="n"/>
      <c r="E34" s="15" t="n"/>
      <c r="F34" s="5" t="n"/>
      <c r="G34" s="6" t="n"/>
      <c r="H34" s="16" t="n"/>
      <c r="I34" s="16" t="n"/>
      <c r="J34" s="15">
        <f>IF(AND(ISNUMBER(H34),ISNUMBER(I34)),I34-H34+1,"")</f>
        <v/>
      </c>
      <c r="K34" s="5" t="n"/>
      <c r="L34" s="5" t="n"/>
      <c r="M34" s="5" t="n"/>
      <c r="N34" s="5" t="n"/>
      <c r="O34" s="5" t="n"/>
      <c r="Q34" s="10">
        <f>IF(TRIM(G34&amp;"")="","",TRIM(G34&amp;""))</f>
        <v/>
      </c>
      <c r="R34" s="10">
        <f>IF(TRIM(B34&amp;"")="","",IFERROR(INDEX(코드표!$K$2:$K$101,MATCH(TRIM(B34&amp;""),코드표!$J$2:$J$101,0)),"⚠"&amp;TRIM(B34&amp;"")))</f>
        <v/>
      </c>
      <c r="S34" s="10">
        <f>IF(TRIM(K34&amp;"")="","",IFERROR(INDEX(코드표!$K$2:$K$101,MATCH(TRIM(K34&amp;""),코드표!$J$2:$J$101,0)),"⚠"&amp;TRIM(K34&amp;"")))</f>
        <v/>
      </c>
      <c r="T34" s="10">
        <f>IF(TRIM(M34&amp;"")="","",IF(ISNUMBER(MATCH(TRIM(M34&amp;""),코드표!$C$2:$C$11,0)),TRIM(M34&amp;""),"⚠"&amp;TRIM(M34&amp;"")))</f>
        <v/>
      </c>
      <c r="U34" s="10">
        <f>IF(TRIM(L34&amp;"")="","",IFERROR(INDEX(코드표!$G$2:$G$101,MATCH(TRIM(L34&amp;""),코드표!$F$2:$F$101,0)),"⚠"&amp;TRIM(L34&amp;"")))</f>
        <v/>
      </c>
      <c r="V34" s="10">
        <f>IF(AND(ISNUMBER(H34),ISNUMBER(I34)),I34-H34+1,"")</f>
        <v/>
      </c>
      <c r="W34" s="17">
        <f>IF(ISNUMBER(H34),MAX(0,MIN(IF(ISNUMBER(I34),I34,EOMONTH(요약!$B$3,0)),EOMONTH(요약!$B$3,0))-MAX(H34,요약!$B$3)+1),0)</f>
        <v/>
      </c>
      <c r="X34" s="10">
        <f>IF(OR(NOT(ISNUMBER(H34)),Q34=""),"",IF(TODAY()&lt;H34,"파견예정",IF(AND(ISNUMBER(I34),TODAY()&gt;I34),"파견종료","파견중")))</f>
        <v/>
      </c>
      <c r="Y34" s="10">
        <f>IF(OR(Q34="",X34=""),"",Q34&amp;"|"&amp;X34)</f>
        <v/>
      </c>
      <c r="Z34" s="10">
        <f>IF(AND(Q34&lt;&gt;"",W34&gt;0),Q34&amp;"|월","")</f>
        <v/>
      </c>
      <c r="AA34" s="10">
        <f>IF(COUNTA(B34:N34)=0,"",IF(Q34="","등록번호 없음",IF(LEFT(R34,1)="⚠","모병원명 미등록",IF(S34="","파견병원 입력",IF(LEFT(S34,1)="⚠","파견병원명 미등록",IF(LEFT(U34,1)="⚠","파견과목 미등록",IF(OR(T34="",LEFT(T34,1)="⚠"),"파견근거 확인",IF(NOT(AND(ISNUMBER(H34),ISNUMBER(I34))),"날짜 형식/누락",IF(I34&lt;H34,"종료일&lt;시작일","")))))))))</f>
        <v/>
      </c>
      <c r="AB34" s="11">
        <f>IF(ISNUMBER(SEARCH("다기관",TRIM(N34&amp;" "&amp;O34))),IFERROR(DATE(VALUE(MID(TRIM(N34&amp;" "&amp;O34),1,4)),VALUE(MID(TRIM(N34&amp;" "&amp;O34),6,2)),VALUE(MID(TRIM(N34&amp;" "&amp;O34),9,2))),IF(ISNUMBER(H34),H34,"")),"")</f>
        <v/>
      </c>
      <c r="AC34" s="11">
        <f>IF(ISNUMBER(SEARCH("다기관",TRIM(N34&amp;" "&amp;O34))),IFERROR(DATE(VALUE(MID(TRIM(N34&amp;" "&amp;O34),12,4)),VALUE(MID(TRIM(N34&amp;" "&amp;O34),17,2)),VALUE(MID(TRIM(N34&amp;" "&amp;O34),20,2))),IF(ISNUMBER(I34),I34,"")),"")</f>
        <v/>
      </c>
      <c r="AD34" s="17">
        <f>IF(AND(ISNUMBER(AB34),ISNUMBER(AC34)),MAX(0,MIN(AC34,EOMONTH(요약!$B$3,0))-MAX(AB34,요약!$B$3)+1),0)</f>
        <v/>
      </c>
      <c r="AE34" s="10">
        <f>IF(AND(Q34&lt;&gt;"",ISNUMBER(AB34)),Q34&amp;"|다기관","")</f>
        <v/>
      </c>
    </row>
    <row r="35">
      <c r="A35" s="15">
        <f>IF(F35="","",ROW()-3)</f>
        <v/>
      </c>
      <c r="B35" s="5" t="n"/>
      <c r="C35" s="15" t="n"/>
      <c r="D35" s="5" t="n"/>
      <c r="E35" s="15" t="n"/>
      <c r="F35" s="5" t="n"/>
      <c r="G35" s="6" t="n"/>
      <c r="H35" s="16" t="n"/>
      <c r="I35" s="16" t="n"/>
      <c r="J35" s="15">
        <f>IF(AND(ISNUMBER(H35),ISNUMBER(I35)),I35-H35+1,"")</f>
        <v/>
      </c>
      <c r="K35" s="5" t="n"/>
      <c r="L35" s="5" t="n"/>
      <c r="M35" s="5" t="n"/>
      <c r="N35" s="5" t="n"/>
      <c r="O35" s="5" t="n"/>
      <c r="Q35" s="10">
        <f>IF(TRIM(G35&amp;"")="","",TRIM(G35&amp;""))</f>
        <v/>
      </c>
      <c r="R35" s="10">
        <f>IF(TRIM(B35&amp;"")="","",IFERROR(INDEX(코드표!$K$2:$K$101,MATCH(TRIM(B35&amp;""),코드표!$J$2:$J$101,0)),"⚠"&amp;TRIM(B35&amp;"")))</f>
        <v/>
      </c>
      <c r="S35" s="10">
        <f>IF(TRIM(K35&amp;"")="","",IFERROR(INDEX(코드표!$K$2:$K$101,MATCH(TRIM(K35&amp;""),코드표!$J$2:$J$101,0)),"⚠"&amp;TRIM(K35&amp;"")))</f>
        <v/>
      </c>
      <c r="T35" s="10">
        <f>IF(TRIM(M35&amp;"")="","",IF(ISNUMBER(MATCH(TRIM(M35&amp;""),코드표!$C$2:$C$11,0)),TRIM(M35&amp;""),"⚠"&amp;TRIM(M35&amp;"")))</f>
        <v/>
      </c>
      <c r="U35" s="10">
        <f>IF(TRIM(L35&amp;"")="","",IFERROR(INDEX(코드표!$G$2:$G$101,MATCH(TRIM(L35&amp;""),코드표!$F$2:$F$101,0)),"⚠"&amp;TRIM(L35&amp;"")))</f>
        <v/>
      </c>
      <c r="V35" s="10">
        <f>IF(AND(ISNUMBER(H35),ISNUMBER(I35)),I35-H35+1,"")</f>
        <v/>
      </c>
      <c r="W35" s="17">
        <f>IF(ISNUMBER(H35),MAX(0,MIN(IF(ISNUMBER(I35),I35,EOMONTH(요약!$B$3,0)),EOMONTH(요약!$B$3,0))-MAX(H35,요약!$B$3)+1),0)</f>
        <v/>
      </c>
      <c r="X35" s="10">
        <f>IF(OR(NOT(ISNUMBER(H35)),Q35=""),"",IF(TODAY()&lt;H35,"파견예정",IF(AND(ISNUMBER(I35),TODAY()&gt;I35),"파견종료","파견중")))</f>
        <v/>
      </c>
      <c r="Y35" s="10">
        <f>IF(OR(Q35="",X35=""),"",Q35&amp;"|"&amp;X35)</f>
        <v/>
      </c>
      <c r="Z35" s="10">
        <f>IF(AND(Q35&lt;&gt;"",W35&gt;0),Q35&amp;"|월","")</f>
        <v/>
      </c>
      <c r="AA35" s="10">
        <f>IF(COUNTA(B35:N35)=0,"",IF(Q35="","등록번호 없음",IF(LEFT(R35,1)="⚠","모병원명 미등록",IF(S35="","파견병원 입력",IF(LEFT(S35,1)="⚠","파견병원명 미등록",IF(LEFT(U35,1)="⚠","파견과목 미등록",IF(OR(T35="",LEFT(T35,1)="⚠"),"파견근거 확인",IF(NOT(AND(ISNUMBER(H35),ISNUMBER(I35))),"날짜 형식/누락",IF(I35&lt;H35,"종료일&lt;시작일","")))))))))</f>
        <v/>
      </c>
      <c r="AB35" s="11">
        <f>IF(ISNUMBER(SEARCH("다기관",TRIM(N35&amp;" "&amp;O35))),IFERROR(DATE(VALUE(MID(TRIM(N35&amp;" "&amp;O35),1,4)),VALUE(MID(TRIM(N35&amp;" "&amp;O35),6,2)),VALUE(MID(TRIM(N35&amp;" "&amp;O35),9,2))),IF(ISNUMBER(H35),H35,"")),"")</f>
        <v/>
      </c>
      <c r="AC35" s="11">
        <f>IF(ISNUMBER(SEARCH("다기관",TRIM(N35&amp;" "&amp;O35))),IFERROR(DATE(VALUE(MID(TRIM(N35&amp;" "&amp;O35),12,4)),VALUE(MID(TRIM(N35&amp;" "&amp;O35),17,2)),VALUE(MID(TRIM(N35&amp;" "&amp;O35),20,2))),IF(ISNUMBER(I35),I35,"")),"")</f>
        <v/>
      </c>
      <c r="AD35" s="17">
        <f>IF(AND(ISNUMBER(AB35),ISNUMBER(AC35)),MAX(0,MIN(AC35,EOMONTH(요약!$B$3,0))-MAX(AB35,요약!$B$3)+1),0)</f>
        <v/>
      </c>
      <c r="AE35" s="10">
        <f>IF(AND(Q35&lt;&gt;"",ISNUMBER(AB35)),Q35&amp;"|다기관","")</f>
        <v/>
      </c>
    </row>
    <row r="36">
      <c r="A36" s="15">
        <f>IF(F36="","",ROW()-3)</f>
        <v/>
      </c>
      <c r="B36" s="5" t="n"/>
      <c r="C36" s="15" t="n"/>
      <c r="D36" s="5" t="n"/>
      <c r="E36" s="15" t="n"/>
      <c r="F36" s="5" t="n"/>
      <c r="G36" s="6" t="n"/>
      <c r="H36" s="16" t="n"/>
      <c r="I36" s="16" t="n"/>
      <c r="J36" s="15">
        <f>IF(AND(ISNUMBER(H36),ISNUMBER(I36)),I36-H36+1,"")</f>
        <v/>
      </c>
      <c r="K36" s="5" t="n"/>
      <c r="L36" s="5" t="n"/>
      <c r="M36" s="5" t="n"/>
      <c r="N36" s="5" t="n"/>
      <c r="O36" s="5" t="n"/>
      <c r="Q36" s="10">
        <f>IF(TRIM(G36&amp;"")="","",TRIM(G36&amp;""))</f>
        <v/>
      </c>
      <c r="R36" s="10">
        <f>IF(TRIM(B36&amp;"")="","",IFERROR(INDEX(코드표!$K$2:$K$101,MATCH(TRIM(B36&amp;""),코드표!$J$2:$J$101,0)),"⚠"&amp;TRIM(B36&amp;"")))</f>
        <v/>
      </c>
      <c r="S36" s="10">
        <f>IF(TRIM(K36&amp;"")="","",IFERROR(INDEX(코드표!$K$2:$K$101,MATCH(TRIM(K36&amp;""),코드표!$J$2:$J$101,0)),"⚠"&amp;TRIM(K36&amp;"")))</f>
        <v/>
      </c>
      <c r="T36" s="10">
        <f>IF(TRIM(M36&amp;"")="","",IF(ISNUMBER(MATCH(TRIM(M36&amp;""),코드표!$C$2:$C$11,0)),TRIM(M36&amp;""),"⚠"&amp;TRIM(M36&amp;"")))</f>
        <v/>
      </c>
      <c r="U36" s="10">
        <f>IF(TRIM(L36&amp;"")="","",IFERROR(INDEX(코드표!$G$2:$G$101,MATCH(TRIM(L36&amp;""),코드표!$F$2:$F$101,0)),"⚠"&amp;TRIM(L36&amp;"")))</f>
        <v/>
      </c>
      <c r="V36" s="10">
        <f>IF(AND(ISNUMBER(H36),ISNUMBER(I36)),I36-H36+1,"")</f>
        <v/>
      </c>
      <c r="W36" s="17">
        <f>IF(ISNUMBER(H36),MAX(0,MIN(IF(ISNUMBER(I36),I36,EOMONTH(요약!$B$3,0)),EOMONTH(요약!$B$3,0))-MAX(H36,요약!$B$3)+1),0)</f>
        <v/>
      </c>
      <c r="X36" s="10">
        <f>IF(OR(NOT(ISNUMBER(H36)),Q36=""),"",IF(TODAY()&lt;H36,"파견예정",IF(AND(ISNUMBER(I36),TODAY()&gt;I36),"파견종료","파견중")))</f>
        <v/>
      </c>
      <c r="Y36" s="10">
        <f>IF(OR(Q36="",X36=""),"",Q36&amp;"|"&amp;X36)</f>
        <v/>
      </c>
      <c r="Z36" s="10">
        <f>IF(AND(Q36&lt;&gt;"",W36&gt;0),Q36&amp;"|월","")</f>
        <v/>
      </c>
      <c r="AA36" s="10">
        <f>IF(COUNTA(B36:N36)=0,"",IF(Q36="","등록번호 없음",IF(LEFT(R36,1)="⚠","모병원명 미등록",IF(S36="","파견병원 입력",IF(LEFT(S36,1)="⚠","파견병원명 미등록",IF(LEFT(U36,1)="⚠","파견과목 미등록",IF(OR(T36="",LEFT(T36,1)="⚠"),"파견근거 확인",IF(NOT(AND(ISNUMBER(H36),ISNUMBER(I36))),"날짜 형식/누락",IF(I36&lt;H36,"종료일&lt;시작일","")))))))))</f>
        <v/>
      </c>
      <c r="AB36" s="11">
        <f>IF(ISNUMBER(SEARCH("다기관",TRIM(N36&amp;" "&amp;O36))),IFERROR(DATE(VALUE(MID(TRIM(N36&amp;" "&amp;O36),1,4)),VALUE(MID(TRIM(N36&amp;" "&amp;O36),6,2)),VALUE(MID(TRIM(N36&amp;" "&amp;O36),9,2))),IF(ISNUMBER(H36),H36,"")),"")</f>
        <v/>
      </c>
      <c r="AC36" s="11">
        <f>IF(ISNUMBER(SEARCH("다기관",TRIM(N36&amp;" "&amp;O36))),IFERROR(DATE(VALUE(MID(TRIM(N36&amp;" "&amp;O36),12,4)),VALUE(MID(TRIM(N36&amp;" "&amp;O36),17,2)),VALUE(MID(TRIM(N36&amp;" "&amp;O36),20,2))),IF(ISNUMBER(I36),I36,"")),"")</f>
        <v/>
      </c>
      <c r="AD36" s="17">
        <f>IF(AND(ISNUMBER(AB36),ISNUMBER(AC36)),MAX(0,MIN(AC36,EOMONTH(요약!$B$3,0))-MAX(AB36,요약!$B$3)+1),0)</f>
        <v/>
      </c>
      <c r="AE36" s="10">
        <f>IF(AND(Q36&lt;&gt;"",ISNUMBER(AB36)),Q36&amp;"|다기관","")</f>
        <v/>
      </c>
    </row>
    <row r="37">
      <c r="A37" s="15">
        <f>IF(F37="","",ROW()-3)</f>
        <v/>
      </c>
      <c r="B37" s="5" t="n"/>
      <c r="C37" s="15" t="n"/>
      <c r="D37" s="5" t="n"/>
      <c r="E37" s="15" t="n"/>
      <c r="F37" s="5" t="n"/>
      <c r="G37" s="6" t="n"/>
      <c r="H37" s="16" t="n"/>
      <c r="I37" s="16" t="n"/>
      <c r="J37" s="15">
        <f>IF(AND(ISNUMBER(H37),ISNUMBER(I37)),I37-H37+1,"")</f>
        <v/>
      </c>
      <c r="K37" s="5" t="n"/>
      <c r="L37" s="5" t="n"/>
      <c r="M37" s="5" t="n"/>
      <c r="N37" s="5" t="n"/>
      <c r="O37" s="5" t="n"/>
      <c r="Q37" s="10">
        <f>IF(TRIM(G37&amp;"")="","",TRIM(G37&amp;""))</f>
        <v/>
      </c>
      <c r="R37" s="10">
        <f>IF(TRIM(B37&amp;"")="","",IFERROR(INDEX(코드표!$K$2:$K$101,MATCH(TRIM(B37&amp;""),코드표!$J$2:$J$101,0)),"⚠"&amp;TRIM(B37&amp;"")))</f>
        <v/>
      </c>
      <c r="S37" s="10">
        <f>IF(TRIM(K37&amp;"")="","",IFERROR(INDEX(코드표!$K$2:$K$101,MATCH(TRIM(K37&amp;""),코드표!$J$2:$J$101,0)),"⚠"&amp;TRIM(K37&amp;"")))</f>
        <v/>
      </c>
      <c r="T37" s="10">
        <f>IF(TRIM(M37&amp;"")="","",IF(ISNUMBER(MATCH(TRIM(M37&amp;""),코드표!$C$2:$C$11,0)),TRIM(M37&amp;""),"⚠"&amp;TRIM(M37&amp;"")))</f>
        <v/>
      </c>
      <c r="U37" s="10">
        <f>IF(TRIM(L37&amp;"")="","",IFERROR(INDEX(코드표!$G$2:$G$101,MATCH(TRIM(L37&amp;""),코드표!$F$2:$F$101,0)),"⚠"&amp;TRIM(L37&amp;"")))</f>
        <v/>
      </c>
      <c r="V37" s="10">
        <f>IF(AND(ISNUMBER(H37),ISNUMBER(I37)),I37-H37+1,"")</f>
        <v/>
      </c>
      <c r="W37" s="17">
        <f>IF(ISNUMBER(H37),MAX(0,MIN(IF(ISNUMBER(I37),I37,EOMONTH(요약!$B$3,0)),EOMONTH(요약!$B$3,0))-MAX(H37,요약!$B$3)+1),0)</f>
        <v/>
      </c>
      <c r="X37" s="10">
        <f>IF(OR(NOT(ISNUMBER(H37)),Q37=""),"",IF(TODAY()&lt;H37,"파견예정",IF(AND(ISNUMBER(I37),TODAY()&gt;I37),"파견종료","파견중")))</f>
        <v/>
      </c>
      <c r="Y37" s="10">
        <f>IF(OR(Q37="",X37=""),"",Q37&amp;"|"&amp;X37)</f>
        <v/>
      </c>
      <c r="Z37" s="10">
        <f>IF(AND(Q37&lt;&gt;"",W37&gt;0),Q37&amp;"|월","")</f>
        <v/>
      </c>
      <c r="AA37" s="10">
        <f>IF(COUNTA(B37:N37)=0,"",IF(Q37="","등록번호 없음",IF(LEFT(R37,1)="⚠","모병원명 미등록",IF(S37="","파견병원 입력",IF(LEFT(S37,1)="⚠","파견병원명 미등록",IF(LEFT(U37,1)="⚠","파견과목 미등록",IF(OR(T37="",LEFT(T37,1)="⚠"),"파견근거 확인",IF(NOT(AND(ISNUMBER(H37),ISNUMBER(I37))),"날짜 형식/누락",IF(I37&lt;H37,"종료일&lt;시작일","")))))))))</f>
        <v/>
      </c>
      <c r="AB37" s="11">
        <f>IF(ISNUMBER(SEARCH("다기관",TRIM(N37&amp;" "&amp;O37))),IFERROR(DATE(VALUE(MID(TRIM(N37&amp;" "&amp;O37),1,4)),VALUE(MID(TRIM(N37&amp;" "&amp;O37),6,2)),VALUE(MID(TRIM(N37&amp;" "&amp;O37),9,2))),IF(ISNUMBER(H37),H37,"")),"")</f>
        <v/>
      </c>
      <c r="AC37" s="11">
        <f>IF(ISNUMBER(SEARCH("다기관",TRIM(N37&amp;" "&amp;O37))),IFERROR(DATE(VALUE(MID(TRIM(N37&amp;" "&amp;O37),12,4)),VALUE(MID(TRIM(N37&amp;" "&amp;O37),17,2)),VALUE(MID(TRIM(N37&amp;" "&amp;O37),20,2))),IF(ISNUMBER(I37),I37,"")),"")</f>
        <v/>
      </c>
      <c r="AD37" s="17">
        <f>IF(AND(ISNUMBER(AB37),ISNUMBER(AC37)),MAX(0,MIN(AC37,EOMONTH(요약!$B$3,0))-MAX(AB37,요약!$B$3)+1),0)</f>
        <v/>
      </c>
      <c r="AE37" s="10">
        <f>IF(AND(Q37&lt;&gt;"",ISNUMBER(AB37)),Q37&amp;"|다기관","")</f>
        <v/>
      </c>
    </row>
    <row r="38">
      <c r="A38" s="15">
        <f>IF(F38="","",ROW()-3)</f>
        <v/>
      </c>
      <c r="B38" s="5" t="n"/>
      <c r="C38" s="15" t="n"/>
      <c r="D38" s="5" t="n"/>
      <c r="E38" s="15" t="n"/>
      <c r="F38" s="5" t="n"/>
      <c r="G38" s="6" t="n"/>
      <c r="H38" s="16" t="n"/>
      <c r="I38" s="16" t="n"/>
      <c r="J38" s="15">
        <f>IF(AND(ISNUMBER(H38),ISNUMBER(I38)),I38-H38+1,"")</f>
        <v/>
      </c>
      <c r="K38" s="5" t="n"/>
      <c r="L38" s="5" t="n"/>
      <c r="M38" s="5" t="n"/>
      <c r="N38" s="5" t="n"/>
      <c r="O38" s="5" t="n"/>
      <c r="Q38" s="10">
        <f>IF(TRIM(G38&amp;"")="","",TRIM(G38&amp;""))</f>
        <v/>
      </c>
      <c r="R38" s="10">
        <f>IF(TRIM(B38&amp;"")="","",IFERROR(INDEX(코드표!$K$2:$K$101,MATCH(TRIM(B38&amp;""),코드표!$J$2:$J$101,0)),"⚠"&amp;TRIM(B38&amp;"")))</f>
        <v/>
      </c>
      <c r="S38" s="10">
        <f>IF(TRIM(K38&amp;"")="","",IFERROR(INDEX(코드표!$K$2:$K$101,MATCH(TRIM(K38&amp;""),코드표!$J$2:$J$101,0)),"⚠"&amp;TRIM(K38&amp;"")))</f>
        <v/>
      </c>
      <c r="T38" s="10">
        <f>IF(TRIM(M38&amp;"")="","",IF(ISNUMBER(MATCH(TRIM(M38&amp;""),코드표!$C$2:$C$11,0)),TRIM(M38&amp;""),"⚠"&amp;TRIM(M38&amp;"")))</f>
        <v/>
      </c>
      <c r="U38" s="10">
        <f>IF(TRIM(L38&amp;"")="","",IFERROR(INDEX(코드표!$G$2:$G$101,MATCH(TRIM(L38&amp;""),코드표!$F$2:$F$101,0)),"⚠"&amp;TRIM(L38&amp;"")))</f>
        <v/>
      </c>
      <c r="V38" s="10">
        <f>IF(AND(ISNUMBER(H38),ISNUMBER(I38)),I38-H38+1,"")</f>
        <v/>
      </c>
      <c r="W38" s="17">
        <f>IF(ISNUMBER(H38),MAX(0,MIN(IF(ISNUMBER(I38),I38,EOMONTH(요약!$B$3,0)),EOMONTH(요약!$B$3,0))-MAX(H38,요약!$B$3)+1),0)</f>
        <v/>
      </c>
      <c r="X38" s="10">
        <f>IF(OR(NOT(ISNUMBER(H38)),Q38=""),"",IF(TODAY()&lt;H38,"파견예정",IF(AND(ISNUMBER(I38),TODAY()&gt;I38),"파견종료","파견중")))</f>
        <v/>
      </c>
      <c r="Y38" s="10">
        <f>IF(OR(Q38="",X38=""),"",Q38&amp;"|"&amp;X38)</f>
        <v/>
      </c>
      <c r="Z38" s="10">
        <f>IF(AND(Q38&lt;&gt;"",W38&gt;0),Q38&amp;"|월","")</f>
        <v/>
      </c>
      <c r="AA38" s="10">
        <f>IF(COUNTA(B38:N38)=0,"",IF(Q38="","등록번호 없음",IF(LEFT(R38,1)="⚠","모병원명 미등록",IF(S38="","파견병원 입력",IF(LEFT(S38,1)="⚠","파견병원명 미등록",IF(LEFT(U38,1)="⚠","파견과목 미등록",IF(OR(T38="",LEFT(T38,1)="⚠"),"파견근거 확인",IF(NOT(AND(ISNUMBER(H38),ISNUMBER(I38))),"날짜 형식/누락",IF(I38&lt;H38,"종료일&lt;시작일","")))))))))</f>
        <v/>
      </c>
      <c r="AB38" s="11">
        <f>IF(ISNUMBER(SEARCH("다기관",TRIM(N38&amp;" "&amp;O38))),IFERROR(DATE(VALUE(MID(TRIM(N38&amp;" "&amp;O38),1,4)),VALUE(MID(TRIM(N38&amp;" "&amp;O38),6,2)),VALUE(MID(TRIM(N38&amp;" "&amp;O38),9,2))),IF(ISNUMBER(H38),H38,"")),"")</f>
        <v/>
      </c>
      <c r="AC38" s="11">
        <f>IF(ISNUMBER(SEARCH("다기관",TRIM(N38&amp;" "&amp;O38))),IFERROR(DATE(VALUE(MID(TRIM(N38&amp;" "&amp;O38),12,4)),VALUE(MID(TRIM(N38&amp;" "&amp;O38),17,2)),VALUE(MID(TRIM(N38&amp;" "&amp;O38),20,2))),IF(ISNUMBER(I38),I38,"")),"")</f>
        <v/>
      </c>
      <c r="AD38" s="17">
        <f>IF(AND(ISNUMBER(AB38),ISNUMBER(AC38)),MAX(0,MIN(AC38,EOMONTH(요약!$B$3,0))-MAX(AB38,요약!$B$3)+1),0)</f>
        <v/>
      </c>
      <c r="AE38" s="10">
        <f>IF(AND(Q38&lt;&gt;"",ISNUMBER(AB38)),Q38&amp;"|다기관","")</f>
        <v/>
      </c>
    </row>
    <row r="39">
      <c r="A39" s="15">
        <f>IF(F39="","",ROW()-3)</f>
        <v/>
      </c>
      <c r="B39" s="5" t="n"/>
      <c r="C39" s="15" t="n"/>
      <c r="D39" s="5" t="n"/>
      <c r="E39" s="15" t="n"/>
      <c r="F39" s="5" t="n"/>
      <c r="G39" s="6" t="n"/>
      <c r="H39" s="16" t="n"/>
      <c r="I39" s="16" t="n"/>
      <c r="J39" s="15">
        <f>IF(AND(ISNUMBER(H39),ISNUMBER(I39)),I39-H39+1,"")</f>
        <v/>
      </c>
      <c r="K39" s="5" t="n"/>
      <c r="L39" s="5" t="n"/>
      <c r="M39" s="5" t="n"/>
      <c r="N39" s="5" t="n"/>
      <c r="O39" s="5" t="n"/>
      <c r="Q39" s="10">
        <f>IF(TRIM(G39&amp;"")="","",TRIM(G39&amp;""))</f>
        <v/>
      </c>
      <c r="R39" s="10">
        <f>IF(TRIM(B39&amp;"")="","",IFERROR(INDEX(코드표!$K$2:$K$101,MATCH(TRIM(B39&amp;""),코드표!$J$2:$J$101,0)),"⚠"&amp;TRIM(B39&amp;"")))</f>
        <v/>
      </c>
      <c r="S39" s="10">
        <f>IF(TRIM(K39&amp;"")="","",IFERROR(INDEX(코드표!$K$2:$K$101,MATCH(TRIM(K39&amp;""),코드표!$J$2:$J$101,0)),"⚠"&amp;TRIM(K39&amp;"")))</f>
        <v/>
      </c>
      <c r="T39" s="10">
        <f>IF(TRIM(M39&amp;"")="","",IF(ISNUMBER(MATCH(TRIM(M39&amp;""),코드표!$C$2:$C$11,0)),TRIM(M39&amp;""),"⚠"&amp;TRIM(M39&amp;"")))</f>
        <v/>
      </c>
      <c r="U39" s="10">
        <f>IF(TRIM(L39&amp;"")="","",IFERROR(INDEX(코드표!$G$2:$G$101,MATCH(TRIM(L39&amp;""),코드표!$F$2:$F$101,0)),"⚠"&amp;TRIM(L39&amp;"")))</f>
        <v/>
      </c>
      <c r="V39" s="10">
        <f>IF(AND(ISNUMBER(H39),ISNUMBER(I39)),I39-H39+1,"")</f>
        <v/>
      </c>
      <c r="W39" s="17">
        <f>IF(ISNUMBER(H39),MAX(0,MIN(IF(ISNUMBER(I39),I39,EOMONTH(요약!$B$3,0)),EOMONTH(요약!$B$3,0))-MAX(H39,요약!$B$3)+1),0)</f>
        <v/>
      </c>
      <c r="X39" s="10">
        <f>IF(OR(NOT(ISNUMBER(H39)),Q39=""),"",IF(TODAY()&lt;H39,"파견예정",IF(AND(ISNUMBER(I39),TODAY()&gt;I39),"파견종료","파견중")))</f>
        <v/>
      </c>
      <c r="Y39" s="10">
        <f>IF(OR(Q39="",X39=""),"",Q39&amp;"|"&amp;X39)</f>
        <v/>
      </c>
      <c r="Z39" s="10">
        <f>IF(AND(Q39&lt;&gt;"",W39&gt;0),Q39&amp;"|월","")</f>
        <v/>
      </c>
      <c r="AA39" s="10">
        <f>IF(COUNTA(B39:N39)=0,"",IF(Q39="","등록번호 없음",IF(LEFT(R39,1)="⚠","모병원명 미등록",IF(S39="","파견병원 입력",IF(LEFT(S39,1)="⚠","파견병원명 미등록",IF(LEFT(U39,1)="⚠","파견과목 미등록",IF(OR(T39="",LEFT(T39,1)="⚠"),"파견근거 확인",IF(NOT(AND(ISNUMBER(H39),ISNUMBER(I39))),"날짜 형식/누락",IF(I39&lt;H39,"종료일&lt;시작일","")))))))))</f>
        <v/>
      </c>
      <c r="AB39" s="11">
        <f>IF(ISNUMBER(SEARCH("다기관",TRIM(N39&amp;" "&amp;O39))),IFERROR(DATE(VALUE(MID(TRIM(N39&amp;" "&amp;O39),1,4)),VALUE(MID(TRIM(N39&amp;" "&amp;O39),6,2)),VALUE(MID(TRIM(N39&amp;" "&amp;O39),9,2))),IF(ISNUMBER(H39),H39,"")),"")</f>
        <v/>
      </c>
      <c r="AC39" s="11">
        <f>IF(ISNUMBER(SEARCH("다기관",TRIM(N39&amp;" "&amp;O39))),IFERROR(DATE(VALUE(MID(TRIM(N39&amp;" "&amp;O39),12,4)),VALUE(MID(TRIM(N39&amp;" "&amp;O39),17,2)),VALUE(MID(TRIM(N39&amp;" "&amp;O39),20,2))),IF(ISNUMBER(I39),I39,"")),"")</f>
        <v/>
      </c>
      <c r="AD39" s="17">
        <f>IF(AND(ISNUMBER(AB39),ISNUMBER(AC39)),MAX(0,MIN(AC39,EOMONTH(요약!$B$3,0))-MAX(AB39,요약!$B$3)+1),0)</f>
        <v/>
      </c>
      <c r="AE39" s="10">
        <f>IF(AND(Q39&lt;&gt;"",ISNUMBER(AB39)),Q39&amp;"|다기관","")</f>
        <v/>
      </c>
    </row>
    <row r="40">
      <c r="A40" s="15">
        <f>IF(F40="","",ROW()-3)</f>
        <v/>
      </c>
      <c r="B40" s="5" t="n"/>
      <c r="C40" s="15" t="n"/>
      <c r="D40" s="5" t="n"/>
      <c r="E40" s="15" t="n"/>
      <c r="F40" s="5" t="n"/>
      <c r="G40" s="6" t="n"/>
      <c r="H40" s="16" t="n"/>
      <c r="I40" s="16" t="n"/>
      <c r="J40" s="15">
        <f>IF(AND(ISNUMBER(H40),ISNUMBER(I40)),I40-H40+1,"")</f>
        <v/>
      </c>
      <c r="K40" s="5" t="n"/>
      <c r="L40" s="5" t="n"/>
      <c r="M40" s="5" t="n"/>
      <c r="N40" s="5" t="n"/>
      <c r="O40" s="5" t="n"/>
      <c r="Q40" s="10">
        <f>IF(TRIM(G40&amp;"")="","",TRIM(G40&amp;""))</f>
        <v/>
      </c>
      <c r="R40" s="10">
        <f>IF(TRIM(B40&amp;"")="","",IFERROR(INDEX(코드표!$K$2:$K$101,MATCH(TRIM(B40&amp;""),코드표!$J$2:$J$101,0)),"⚠"&amp;TRIM(B40&amp;"")))</f>
        <v/>
      </c>
      <c r="S40" s="10">
        <f>IF(TRIM(K40&amp;"")="","",IFERROR(INDEX(코드표!$K$2:$K$101,MATCH(TRIM(K40&amp;""),코드표!$J$2:$J$101,0)),"⚠"&amp;TRIM(K40&amp;"")))</f>
        <v/>
      </c>
      <c r="T40" s="10">
        <f>IF(TRIM(M40&amp;"")="","",IF(ISNUMBER(MATCH(TRIM(M40&amp;""),코드표!$C$2:$C$11,0)),TRIM(M40&amp;""),"⚠"&amp;TRIM(M40&amp;"")))</f>
        <v/>
      </c>
      <c r="U40" s="10">
        <f>IF(TRIM(L40&amp;"")="","",IFERROR(INDEX(코드표!$G$2:$G$101,MATCH(TRIM(L40&amp;""),코드표!$F$2:$F$101,0)),"⚠"&amp;TRIM(L40&amp;"")))</f>
        <v/>
      </c>
      <c r="V40" s="10">
        <f>IF(AND(ISNUMBER(H40),ISNUMBER(I40)),I40-H40+1,"")</f>
        <v/>
      </c>
      <c r="W40" s="17">
        <f>IF(ISNUMBER(H40),MAX(0,MIN(IF(ISNUMBER(I40),I40,EOMONTH(요약!$B$3,0)),EOMONTH(요약!$B$3,0))-MAX(H40,요약!$B$3)+1),0)</f>
        <v/>
      </c>
      <c r="X40" s="10">
        <f>IF(OR(NOT(ISNUMBER(H40)),Q40=""),"",IF(TODAY()&lt;H40,"파견예정",IF(AND(ISNUMBER(I40),TODAY()&gt;I40),"파견종료","파견중")))</f>
        <v/>
      </c>
      <c r="Y40" s="10">
        <f>IF(OR(Q40="",X40=""),"",Q40&amp;"|"&amp;X40)</f>
        <v/>
      </c>
      <c r="Z40" s="10">
        <f>IF(AND(Q40&lt;&gt;"",W40&gt;0),Q40&amp;"|월","")</f>
        <v/>
      </c>
      <c r="AA40" s="10">
        <f>IF(COUNTA(B40:N40)=0,"",IF(Q40="","등록번호 없음",IF(LEFT(R40,1)="⚠","모병원명 미등록",IF(S40="","파견병원 입력",IF(LEFT(S40,1)="⚠","파견병원명 미등록",IF(LEFT(U40,1)="⚠","파견과목 미등록",IF(OR(T40="",LEFT(T40,1)="⚠"),"파견근거 확인",IF(NOT(AND(ISNUMBER(H40),ISNUMBER(I40))),"날짜 형식/누락",IF(I40&lt;H40,"종료일&lt;시작일","")))))))))</f>
        <v/>
      </c>
      <c r="AB40" s="11">
        <f>IF(ISNUMBER(SEARCH("다기관",TRIM(N40&amp;" "&amp;O40))),IFERROR(DATE(VALUE(MID(TRIM(N40&amp;" "&amp;O40),1,4)),VALUE(MID(TRIM(N40&amp;" "&amp;O40),6,2)),VALUE(MID(TRIM(N40&amp;" "&amp;O40),9,2))),IF(ISNUMBER(H40),H40,"")),"")</f>
        <v/>
      </c>
      <c r="AC40" s="11">
        <f>IF(ISNUMBER(SEARCH("다기관",TRIM(N40&amp;" "&amp;O40))),IFERROR(DATE(VALUE(MID(TRIM(N40&amp;" "&amp;O40),12,4)),VALUE(MID(TRIM(N40&amp;" "&amp;O40),17,2)),VALUE(MID(TRIM(N40&amp;" "&amp;O40),20,2))),IF(ISNUMBER(I40),I40,"")),"")</f>
        <v/>
      </c>
      <c r="AD40" s="17">
        <f>IF(AND(ISNUMBER(AB40),ISNUMBER(AC40)),MAX(0,MIN(AC40,EOMONTH(요약!$B$3,0))-MAX(AB40,요약!$B$3)+1),0)</f>
        <v/>
      </c>
      <c r="AE40" s="10">
        <f>IF(AND(Q40&lt;&gt;"",ISNUMBER(AB40)),Q40&amp;"|다기관","")</f>
        <v/>
      </c>
    </row>
    <row r="41">
      <c r="A41" s="15">
        <f>IF(F41="","",ROW()-3)</f>
        <v/>
      </c>
      <c r="B41" s="5" t="n"/>
      <c r="C41" s="15" t="n"/>
      <c r="D41" s="5" t="n"/>
      <c r="E41" s="15" t="n"/>
      <c r="F41" s="5" t="n"/>
      <c r="G41" s="6" t="n"/>
      <c r="H41" s="16" t="n"/>
      <c r="I41" s="16" t="n"/>
      <c r="J41" s="15">
        <f>IF(AND(ISNUMBER(H41),ISNUMBER(I41)),I41-H41+1,"")</f>
        <v/>
      </c>
      <c r="K41" s="5" t="n"/>
      <c r="L41" s="5" t="n"/>
      <c r="M41" s="5" t="n"/>
      <c r="N41" s="5" t="n"/>
      <c r="O41" s="5" t="n"/>
      <c r="Q41" s="10">
        <f>IF(TRIM(G41&amp;"")="","",TRIM(G41&amp;""))</f>
        <v/>
      </c>
      <c r="R41" s="10">
        <f>IF(TRIM(B41&amp;"")="","",IFERROR(INDEX(코드표!$K$2:$K$101,MATCH(TRIM(B41&amp;""),코드표!$J$2:$J$101,0)),"⚠"&amp;TRIM(B41&amp;"")))</f>
        <v/>
      </c>
      <c r="S41" s="10">
        <f>IF(TRIM(K41&amp;"")="","",IFERROR(INDEX(코드표!$K$2:$K$101,MATCH(TRIM(K41&amp;""),코드표!$J$2:$J$101,0)),"⚠"&amp;TRIM(K41&amp;"")))</f>
        <v/>
      </c>
      <c r="T41" s="10">
        <f>IF(TRIM(M41&amp;"")="","",IF(ISNUMBER(MATCH(TRIM(M41&amp;""),코드표!$C$2:$C$11,0)),TRIM(M41&amp;""),"⚠"&amp;TRIM(M41&amp;"")))</f>
        <v/>
      </c>
      <c r="U41" s="10">
        <f>IF(TRIM(L41&amp;"")="","",IFERROR(INDEX(코드표!$G$2:$G$101,MATCH(TRIM(L41&amp;""),코드표!$F$2:$F$101,0)),"⚠"&amp;TRIM(L41&amp;"")))</f>
        <v/>
      </c>
      <c r="V41" s="10">
        <f>IF(AND(ISNUMBER(H41),ISNUMBER(I41)),I41-H41+1,"")</f>
        <v/>
      </c>
      <c r="W41" s="17">
        <f>IF(ISNUMBER(H41),MAX(0,MIN(IF(ISNUMBER(I41),I41,EOMONTH(요약!$B$3,0)),EOMONTH(요약!$B$3,0))-MAX(H41,요약!$B$3)+1),0)</f>
        <v/>
      </c>
      <c r="X41" s="10">
        <f>IF(OR(NOT(ISNUMBER(H41)),Q41=""),"",IF(TODAY()&lt;H41,"파견예정",IF(AND(ISNUMBER(I41),TODAY()&gt;I41),"파견종료","파견중")))</f>
        <v/>
      </c>
      <c r="Y41" s="10">
        <f>IF(OR(Q41="",X41=""),"",Q41&amp;"|"&amp;X41)</f>
        <v/>
      </c>
      <c r="Z41" s="10">
        <f>IF(AND(Q41&lt;&gt;"",W41&gt;0),Q41&amp;"|월","")</f>
        <v/>
      </c>
      <c r="AA41" s="10">
        <f>IF(COUNTA(B41:N41)=0,"",IF(Q41="","등록번호 없음",IF(LEFT(R41,1)="⚠","모병원명 미등록",IF(S41="","파견병원 입력",IF(LEFT(S41,1)="⚠","파견병원명 미등록",IF(LEFT(U41,1)="⚠","파견과목 미등록",IF(OR(T41="",LEFT(T41,1)="⚠"),"파견근거 확인",IF(NOT(AND(ISNUMBER(H41),ISNUMBER(I41))),"날짜 형식/누락",IF(I41&lt;H41,"종료일&lt;시작일","")))))))))</f>
        <v/>
      </c>
      <c r="AB41" s="11">
        <f>IF(ISNUMBER(SEARCH("다기관",TRIM(N41&amp;" "&amp;O41))),IFERROR(DATE(VALUE(MID(TRIM(N41&amp;" "&amp;O41),1,4)),VALUE(MID(TRIM(N41&amp;" "&amp;O41),6,2)),VALUE(MID(TRIM(N41&amp;" "&amp;O41),9,2))),IF(ISNUMBER(H41),H41,"")),"")</f>
        <v/>
      </c>
      <c r="AC41" s="11">
        <f>IF(ISNUMBER(SEARCH("다기관",TRIM(N41&amp;" "&amp;O41))),IFERROR(DATE(VALUE(MID(TRIM(N41&amp;" "&amp;O41),12,4)),VALUE(MID(TRIM(N41&amp;" "&amp;O41),17,2)),VALUE(MID(TRIM(N41&amp;" "&amp;O41),20,2))),IF(ISNUMBER(I41),I41,"")),"")</f>
        <v/>
      </c>
      <c r="AD41" s="17">
        <f>IF(AND(ISNUMBER(AB41),ISNUMBER(AC41)),MAX(0,MIN(AC41,EOMONTH(요약!$B$3,0))-MAX(AB41,요약!$B$3)+1),0)</f>
        <v/>
      </c>
      <c r="AE41" s="10">
        <f>IF(AND(Q41&lt;&gt;"",ISNUMBER(AB41)),Q41&amp;"|다기관","")</f>
        <v/>
      </c>
    </row>
    <row r="42">
      <c r="A42" s="15">
        <f>IF(F42="","",ROW()-3)</f>
        <v/>
      </c>
      <c r="B42" s="5" t="n"/>
      <c r="C42" s="15" t="n"/>
      <c r="D42" s="5" t="n"/>
      <c r="E42" s="15" t="n"/>
      <c r="F42" s="5" t="n"/>
      <c r="G42" s="6" t="n"/>
      <c r="H42" s="16" t="n"/>
      <c r="I42" s="16" t="n"/>
      <c r="J42" s="15">
        <f>IF(AND(ISNUMBER(H42),ISNUMBER(I42)),I42-H42+1,"")</f>
        <v/>
      </c>
      <c r="K42" s="5" t="n"/>
      <c r="L42" s="5" t="n"/>
      <c r="M42" s="5" t="n"/>
      <c r="N42" s="5" t="n"/>
      <c r="O42" s="5" t="n"/>
      <c r="Q42" s="10">
        <f>IF(TRIM(G42&amp;"")="","",TRIM(G42&amp;""))</f>
        <v/>
      </c>
      <c r="R42" s="10">
        <f>IF(TRIM(B42&amp;"")="","",IFERROR(INDEX(코드표!$K$2:$K$101,MATCH(TRIM(B42&amp;""),코드표!$J$2:$J$101,0)),"⚠"&amp;TRIM(B42&amp;"")))</f>
        <v/>
      </c>
      <c r="S42" s="10">
        <f>IF(TRIM(K42&amp;"")="","",IFERROR(INDEX(코드표!$K$2:$K$101,MATCH(TRIM(K42&amp;""),코드표!$J$2:$J$101,0)),"⚠"&amp;TRIM(K42&amp;"")))</f>
        <v/>
      </c>
      <c r="T42" s="10">
        <f>IF(TRIM(M42&amp;"")="","",IF(ISNUMBER(MATCH(TRIM(M42&amp;""),코드표!$C$2:$C$11,0)),TRIM(M42&amp;""),"⚠"&amp;TRIM(M42&amp;"")))</f>
        <v/>
      </c>
      <c r="U42" s="10">
        <f>IF(TRIM(L42&amp;"")="","",IFERROR(INDEX(코드표!$G$2:$G$101,MATCH(TRIM(L42&amp;""),코드표!$F$2:$F$101,0)),"⚠"&amp;TRIM(L42&amp;"")))</f>
        <v/>
      </c>
      <c r="V42" s="10">
        <f>IF(AND(ISNUMBER(H42),ISNUMBER(I42)),I42-H42+1,"")</f>
        <v/>
      </c>
      <c r="W42" s="17">
        <f>IF(ISNUMBER(H42),MAX(0,MIN(IF(ISNUMBER(I42),I42,EOMONTH(요약!$B$3,0)),EOMONTH(요약!$B$3,0))-MAX(H42,요약!$B$3)+1),0)</f>
        <v/>
      </c>
      <c r="X42" s="10">
        <f>IF(OR(NOT(ISNUMBER(H42)),Q42=""),"",IF(TODAY()&lt;H42,"파견예정",IF(AND(ISNUMBER(I42),TODAY()&gt;I42),"파견종료","파견중")))</f>
        <v/>
      </c>
      <c r="Y42" s="10">
        <f>IF(OR(Q42="",X42=""),"",Q42&amp;"|"&amp;X42)</f>
        <v/>
      </c>
      <c r="Z42" s="10">
        <f>IF(AND(Q42&lt;&gt;"",W42&gt;0),Q42&amp;"|월","")</f>
        <v/>
      </c>
      <c r="AA42" s="10">
        <f>IF(COUNTA(B42:N42)=0,"",IF(Q42="","등록번호 없음",IF(LEFT(R42,1)="⚠","모병원명 미등록",IF(S42="","파견병원 입력",IF(LEFT(S42,1)="⚠","파견병원명 미등록",IF(LEFT(U42,1)="⚠","파견과목 미등록",IF(OR(T42="",LEFT(T42,1)="⚠"),"파견근거 확인",IF(NOT(AND(ISNUMBER(H42),ISNUMBER(I42))),"날짜 형식/누락",IF(I42&lt;H42,"종료일&lt;시작일","")))))))))</f>
        <v/>
      </c>
      <c r="AB42" s="11">
        <f>IF(ISNUMBER(SEARCH("다기관",TRIM(N42&amp;" "&amp;O42))),IFERROR(DATE(VALUE(MID(TRIM(N42&amp;" "&amp;O42),1,4)),VALUE(MID(TRIM(N42&amp;" "&amp;O42),6,2)),VALUE(MID(TRIM(N42&amp;" "&amp;O42),9,2))),IF(ISNUMBER(H42),H42,"")),"")</f>
        <v/>
      </c>
      <c r="AC42" s="11">
        <f>IF(ISNUMBER(SEARCH("다기관",TRIM(N42&amp;" "&amp;O42))),IFERROR(DATE(VALUE(MID(TRIM(N42&amp;" "&amp;O42),12,4)),VALUE(MID(TRIM(N42&amp;" "&amp;O42),17,2)),VALUE(MID(TRIM(N42&amp;" "&amp;O42),20,2))),IF(ISNUMBER(I42),I42,"")),"")</f>
        <v/>
      </c>
      <c r="AD42" s="17">
        <f>IF(AND(ISNUMBER(AB42),ISNUMBER(AC42)),MAX(0,MIN(AC42,EOMONTH(요약!$B$3,0))-MAX(AB42,요약!$B$3)+1),0)</f>
        <v/>
      </c>
      <c r="AE42" s="10">
        <f>IF(AND(Q42&lt;&gt;"",ISNUMBER(AB42)),Q42&amp;"|다기관","")</f>
        <v/>
      </c>
    </row>
    <row r="43">
      <c r="A43" s="15">
        <f>IF(F43="","",ROW()-3)</f>
        <v/>
      </c>
      <c r="B43" s="5" t="n"/>
      <c r="C43" s="15" t="n"/>
      <c r="D43" s="5" t="n"/>
      <c r="E43" s="15" t="n"/>
      <c r="F43" s="5" t="n"/>
      <c r="G43" s="6" t="n"/>
      <c r="H43" s="16" t="n"/>
      <c r="I43" s="16" t="n"/>
      <c r="J43" s="15">
        <f>IF(AND(ISNUMBER(H43),ISNUMBER(I43)),I43-H43+1,"")</f>
        <v/>
      </c>
      <c r="K43" s="5" t="n"/>
      <c r="L43" s="5" t="n"/>
      <c r="M43" s="5" t="n"/>
      <c r="N43" s="5" t="n"/>
      <c r="O43" s="5" t="n"/>
      <c r="Q43" s="10">
        <f>IF(TRIM(G43&amp;"")="","",TRIM(G43&amp;""))</f>
        <v/>
      </c>
      <c r="R43" s="10">
        <f>IF(TRIM(B43&amp;"")="","",IFERROR(INDEX(코드표!$K$2:$K$101,MATCH(TRIM(B43&amp;""),코드표!$J$2:$J$101,0)),"⚠"&amp;TRIM(B43&amp;"")))</f>
        <v/>
      </c>
      <c r="S43" s="10">
        <f>IF(TRIM(K43&amp;"")="","",IFERROR(INDEX(코드표!$K$2:$K$101,MATCH(TRIM(K43&amp;""),코드표!$J$2:$J$101,0)),"⚠"&amp;TRIM(K43&amp;"")))</f>
        <v/>
      </c>
      <c r="T43" s="10">
        <f>IF(TRIM(M43&amp;"")="","",IF(ISNUMBER(MATCH(TRIM(M43&amp;""),코드표!$C$2:$C$11,0)),TRIM(M43&amp;""),"⚠"&amp;TRIM(M43&amp;"")))</f>
        <v/>
      </c>
      <c r="U43" s="10">
        <f>IF(TRIM(L43&amp;"")="","",IFERROR(INDEX(코드표!$G$2:$G$101,MATCH(TRIM(L43&amp;""),코드표!$F$2:$F$101,0)),"⚠"&amp;TRIM(L43&amp;"")))</f>
        <v/>
      </c>
      <c r="V43" s="10">
        <f>IF(AND(ISNUMBER(H43),ISNUMBER(I43)),I43-H43+1,"")</f>
        <v/>
      </c>
      <c r="W43" s="17">
        <f>IF(ISNUMBER(H43),MAX(0,MIN(IF(ISNUMBER(I43),I43,EOMONTH(요약!$B$3,0)),EOMONTH(요약!$B$3,0))-MAX(H43,요약!$B$3)+1),0)</f>
        <v/>
      </c>
      <c r="X43" s="10">
        <f>IF(OR(NOT(ISNUMBER(H43)),Q43=""),"",IF(TODAY()&lt;H43,"파견예정",IF(AND(ISNUMBER(I43),TODAY()&gt;I43),"파견종료","파견중")))</f>
        <v/>
      </c>
      <c r="Y43" s="10">
        <f>IF(OR(Q43="",X43=""),"",Q43&amp;"|"&amp;X43)</f>
        <v/>
      </c>
      <c r="Z43" s="10">
        <f>IF(AND(Q43&lt;&gt;"",W43&gt;0),Q43&amp;"|월","")</f>
        <v/>
      </c>
      <c r="AA43" s="10">
        <f>IF(COUNTA(B43:N43)=0,"",IF(Q43="","등록번호 없음",IF(LEFT(R43,1)="⚠","모병원명 미등록",IF(S43="","파견병원 입력",IF(LEFT(S43,1)="⚠","파견병원명 미등록",IF(LEFT(U43,1)="⚠","파견과목 미등록",IF(OR(T43="",LEFT(T43,1)="⚠"),"파견근거 확인",IF(NOT(AND(ISNUMBER(H43),ISNUMBER(I43))),"날짜 형식/누락",IF(I43&lt;H43,"종료일&lt;시작일","")))))))))</f>
        <v/>
      </c>
      <c r="AB43" s="11">
        <f>IF(ISNUMBER(SEARCH("다기관",TRIM(N43&amp;" "&amp;O43))),IFERROR(DATE(VALUE(MID(TRIM(N43&amp;" "&amp;O43),1,4)),VALUE(MID(TRIM(N43&amp;" "&amp;O43),6,2)),VALUE(MID(TRIM(N43&amp;" "&amp;O43),9,2))),IF(ISNUMBER(H43),H43,"")),"")</f>
        <v/>
      </c>
      <c r="AC43" s="11">
        <f>IF(ISNUMBER(SEARCH("다기관",TRIM(N43&amp;" "&amp;O43))),IFERROR(DATE(VALUE(MID(TRIM(N43&amp;" "&amp;O43),12,4)),VALUE(MID(TRIM(N43&amp;" "&amp;O43),17,2)),VALUE(MID(TRIM(N43&amp;" "&amp;O43),20,2))),IF(ISNUMBER(I43),I43,"")),"")</f>
        <v/>
      </c>
      <c r="AD43" s="17">
        <f>IF(AND(ISNUMBER(AB43),ISNUMBER(AC43)),MAX(0,MIN(AC43,EOMONTH(요약!$B$3,0))-MAX(AB43,요약!$B$3)+1),0)</f>
        <v/>
      </c>
      <c r="AE43" s="10">
        <f>IF(AND(Q43&lt;&gt;"",ISNUMBER(AB43)),Q43&amp;"|다기관","")</f>
        <v/>
      </c>
    </row>
    <row r="44">
      <c r="A44" s="15">
        <f>IF(F44="","",ROW()-3)</f>
        <v/>
      </c>
      <c r="B44" s="5" t="n"/>
      <c r="C44" s="15" t="n"/>
      <c r="D44" s="5" t="n"/>
      <c r="E44" s="15" t="n"/>
      <c r="F44" s="5" t="n"/>
      <c r="G44" s="6" t="n"/>
      <c r="H44" s="16" t="n"/>
      <c r="I44" s="16" t="n"/>
      <c r="J44" s="15">
        <f>IF(AND(ISNUMBER(H44),ISNUMBER(I44)),I44-H44+1,"")</f>
        <v/>
      </c>
      <c r="K44" s="5" t="n"/>
      <c r="L44" s="5" t="n"/>
      <c r="M44" s="5" t="n"/>
      <c r="N44" s="5" t="n"/>
      <c r="O44" s="5" t="n"/>
      <c r="Q44" s="10">
        <f>IF(TRIM(G44&amp;"")="","",TRIM(G44&amp;""))</f>
        <v/>
      </c>
      <c r="R44" s="10">
        <f>IF(TRIM(B44&amp;"")="","",IFERROR(INDEX(코드표!$K$2:$K$101,MATCH(TRIM(B44&amp;""),코드표!$J$2:$J$101,0)),"⚠"&amp;TRIM(B44&amp;"")))</f>
        <v/>
      </c>
      <c r="S44" s="10">
        <f>IF(TRIM(K44&amp;"")="","",IFERROR(INDEX(코드표!$K$2:$K$101,MATCH(TRIM(K44&amp;""),코드표!$J$2:$J$101,0)),"⚠"&amp;TRIM(K44&amp;"")))</f>
        <v/>
      </c>
      <c r="T44" s="10">
        <f>IF(TRIM(M44&amp;"")="","",IF(ISNUMBER(MATCH(TRIM(M44&amp;""),코드표!$C$2:$C$11,0)),TRIM(M44&amp;""),"⚠"&amp;TRIM(M44&amp;"")))</f>
        <v/>
      </c>
      <c r="U44" s="10">
        <f>IF(TRIM(L44&amp;"")="","",IFERROR(INDEX(코드표!$G$2:$G$101,MATCH(TRIM(L44&amp;""),코드표!$F$2:$F$101,0)),"⚠"&amp;TRIM(L44&amp;"")))</f>
        <v/>
      </c>
      <c r="V44" s="10">
        <f>IF(AND(ISNUMBER(H44),ISNUMBER(I44)),I44-H44+1,"")</f>
        <v/>
      </c>
      <c r="W44" s="17">
        <f>IF(ISNUMBER(H44),MAX(0,MIN(IF(ISNUMBER(I44),I44,EOMONTH(요약!$B$3,0)),EOMONTH(요약!$B$3,0))-MAX(H44,요약!$B$3)+1),0)</f>
        <v/>
      </c>
      <c r="X44" s="10">
        <f>IF(OR(NOT(ISNUMBER(H44)),Q44=""),"",IF(TODAY()&lt;H44,"파견예정",IF(AND(ISNUMBER(I44),TODAY()&gt;I44),"파견종료","파견중")))</f>
        <v/>
      </c>
      <c r="Y44" s="10">
        <f>IF(OR(Q44="",X44=""),"",Q44&amp;"|"&amp;X44)</f>
        <v/>
      </c>
      <c r="Z44" s="10">
        <f>IF(AND(Q44&lt;&gt;"",W44&gt;0),Q44&amp;"|월","")</f>
        <v/>
      </c>
      <c r="AA44" s="10">
        <f>IF(COUNTA(B44:N44)=0,"",IF(Q44="","등록번호 없음",IF(LEFT(R44,1)="⚠","모병원명 미등록",IF(S44="","파견병원 입력",IF(LEFT(S44,1)="⚠","파견병원명 미등록",IF(LEFT(U44,1)="⚠","파견과목 미등록",IF(OR(T44="",LEFT(T44,1)="⚠"),"파견근거 확인",IF(NOT(AND(ISNUMBER(H44),ISNUMBER(I44))),"날짜 형식/누락",IF(I44&lt;H44,"종료일&lt;시작일","")))))))))</f>
        <v/>
      </c>
      <c r="AB44" s="11">
        <f>IF(ISNUMBER(SEARCH("다기관",TRIM(N44&amp;" "&amp;O44))),IFERROR(DATE(VALUE(MID(TRIM(N44&amp;" "&amp;O44),1,4)),VALUE(MID(TRIM(N44&amp;" "&amp;O44),6,2)),VALUE(MID(TRIM(N44&amp;" "&amp;O44),9,2))),IF(ISNUMBER(H44),H44,"")),"")</f>
        <v/>
      </c>
      <c r="AC44" s="11">
        <f>IF(ISNUMBER(SEARCH("다기관",TRIM(N44&amp;" "&amp;O44))),IFERROR(DATE(VALUE(MID(TRIM(N44&amp;" "&amp;O44),12,4)),VALUE(MID(TRIM(N44&amp;" "&amp;O44),17,2)),VALUE(MID(TRIM(N44&amp;" "&amp;O44),20,2))),IF(ISNUMBER(I44),I44,"")),"")</f>
        <v/>
      </c>
      <c r="AD44" s="17">
        <f>IF(AND(ISNUMBER(AB44),ISNUMBER(AC44)),MAX(0,MIN(AC44,EOMONTH(요약!$B$3,0))-MAX(AB44,요약!$B$3)+1),0)</f>
        <v/>
      </c>
      <c r="AE44" s="10">
        <f>IF(AND(Q44&lt;&gt;"",ISNUMBER(AB44)),Q44&amp;"|다기관","")</f>
        <v/>
      </c>
    </row>
    <row r="45">
      <c r="A45" s="15">
        <f>IF(F45="","",ROW()-3)</f>
        <v/>
      </c>
      <c r="B45" s="5" t="n"/>
      <c r="C45" s="15" t="n"/>
      <c r="D45" s="5" t="n"/>
      <c r="E45" s="15" t="n"/>
      <c r="F45" s="5" t="n"/>
      <c r="G45" s="6" t="n"/>
      <c r="H45" s="16" t="n"/>
      <c r="I45" s="16" t="n"/>
      <c r="J45" s="15">
        <f>IF(AND(ISNUMBER(H45),ISNUMBER(I45)),I45-H45+1,"")</f>
        <v/>
      </c>
      <c r="K45" s="5" t="n"/>
      <c r="L45" s="5" t="n"/>
      <c r="M45" s="5" t="n"/>
      <c r="N45" s="5" t="n"/>
      <c r="O45" s="5" t="n"/>
      <c r="Q45" s="10">
        <f>IF(TRIM(G45&amp;"")="","",TRIM(G45&amp;""))</f>
        <v/>
      </c>
      <c r="R45" s="10">
        <f>IF(TRIM(B45&amp;"")="","",IFERROR(INDEX(코드표!$K$2:$K$101,MATCH(TRIM(B45&amp;""),코드표!$J$2:$J$101,0)),"⚠"&amp;TRIM(B45&amp;"")))</f>
        <v/>
      </c>
      <c r="S45" s="10">
        <f>IF(TRIM(K45&amp;"")="","",IFERROR(INDEX(코드표!$K$2:$K$101,MATCH(TRIM(K45&amp;""),코드표!$J$2:$J$101,0)),"⚠"&amp;TRIM(K45&amp;"")))</f>
        <v/>
      </c>
      <c r="T45" s="10">
        <f>IF(TRIM(M45&amp;"")="","",IF(ISNUMBER(MATCH(TRIM(M45&amp;""),코드표!$C$2:$C$11,0)),TRIM(M45&amp;""),"⚠"&amp;TRIM(M45&amp;"")))</f>
        <v/>
      </c>
      <c r="U45" s="10">
        <f>IF(TRIM(L45&amp;"")="","",IFERROR(INDEX(코드표!$G$2:$G$101,MATCH(TRIM(L45&amp;""),코드표!$F$2:$F$101,0)),"⚠"&amp;TRIM(L45&amp;"")))</f>
        <v/>
      </c>
      <c r="V45" s="10">
        <f>IF(AND(ISNUMBER(H45),ISNUMBER(I45)),I45-H45+1,"")</f>
        <v/>
      </c>
      <c r="W45" s="17">
        <f>IF(ISNUMBER(H45),MAX(0,MIN(IF(ISNUMBER(I45),I45,EOMONTH(요약!$B$3,0)),EOMONTH(요약!$B$3,0))-MAX(H45,요약!$B$3)+1),0)</f>
        <v/>
      </c>
      <c r="X45" s="10">
        <f>IF(OR(NOT(ISNUMBER(H45)),Q45=""),"",IF(TODAY()&lt;H45,"파견예정",IF(AND(ISNUMBER(I45),TODAY()&gt;I45),"파견종료","파견중")))</f>
        <v/>
      </c>
      <c r="Y45" s="10">
        <f>IF(OR(Q45="",X45=""),"",Q45&amp;"|"&amp;X45)</f>
        <v/>
      </c>
      <c r="Z45" s="10">
        <f>IF(AND(Q45&lt;&gt;"",W45&gt;0),Q45&amp;"|월","")</f>
        <v/>
      </c>
      <c r="AA45" s="10">
        <f>IF(COUNTA(B45:N45)=0,"",IF(Q45="","등록번호 없음",IF(LEFT(R45,1)="⚠","모병원명 미등록",IF(S45="","파견병원 입력",IF(LEFT(S45,1)="⚠","파견병원명 미등록",IF(LEFT(U45,1)="⚠","파견과목 미등록",IF(OR(T45="",LEFT(T45,1)="⚠"),"파견근거 확인",IF(NOT(AND(ISNUMBER(H45),ISNUMBER(I45))),"날짜 형식/누락",IF(I45&lt;H45,"종료일&lt;시작일","")))))))))</f>
        <v/>
      </c>
      <c r="AB45" s="11">
        <f>IF(ISNUMBER(SEARCH("다기관",TRIM(N45&amp;" "&amp;O45))),IFERROR(DATE(VALUE(MID(TRIM(N45&amp;" "&amp;O45),1,4)),VALUE(MID(TRIM(N45&amp;" "&amp;O45),6,2)),VALUE(MID(TRIM(N45&amp;" "&amp;O45),9,2))),IF(ISNUMBER(H45),H45,"")),"")</f>
        <v/>
      </c>
      <c r="AC45" s="11">
        <f>IF(ISNUMBER(SEARCH("다기관",TRIM(N45&amp;" "&amp;O45))),IFERROR(DATE(VALUE(MID(TRIM(N45&amp;" "&amp;O45),12,4)),VALUE(MID(TRIM(N45&amp;" "&amp;O45),17,2)),VALUE(MID(TRIM(N45&amp;" "&amp;O45),20,2))),IF(ISNUMBER(I45),I45,"")),"")</f>
        <v/>
      </c>
      <c r="AD45" s="17">
        <f>IF(AND(ISNUMBER(AB45),ISNUMBER(AC45)),MAX(0,MIN(AC45,EOMONTH(요약!$B$3,0))-MAX(AB45,요약!$B$3)+1),0)</f>
        <v/>
      </c>
      <c r="AE45" s="10">
        <f>IF(AND(Q45&lt;&gt;"",ISNUMBER(AB45)),Q45&amp;"|다기관","")</f>
        <v/>
      </c>
    </row>
    <row r="46">
      <c r="A46" s="15">
        <f>IF(F46="","",ROW()-3)</f>
        <v/>
      </c>
      <c r="B46" s="5" t="n"/>
      <c r="C46" s="15" t="n"/>
      <c r="D46" s="5" t="n"/>
      <c r="E46" s="15" t="n"/>
      <c r="F46" s="5" t="n"/>
      <c r="G46" s="6" t="n"/>
      <c r="H46" s="16" t="n"/>
      <c r="I46" s="16" t="n"/>
      <c r="J46" s="15">
        <f>IF(AND(ISNUMBER(H46),ISNUMBER(I46)),I46-H46+1,"")</f>
        <v/>
      </c>
      <c r="K46" s="5" t="n"/>
      <c r="L46" s="5" t="n"/>
      <c r="M46" s="5" t="n"/>
      <c r="N46" s="5" t="n"/>
      <c r="O46" s="5" t="n"/>
      <c r="Q46" s="10">
        <f>IF(TRIM(G46&amp;"")="","",TRIM(G46&amp;""))</f>
        <v/>
      </c>
      <c r="R46" s="10">
        <f>IF(TRIM(B46&amp;"")="","",IFERROR(INDEX(코드표!$K$2:$K$101,MATCH(TRIM(B46&amp;""),코드표!$J$2:$J$101,0)),"⚠"&amp;TRIM(B46&amp;"")))</f>
        <v/>
      </c>
      <c r="S46" s="10">
        <f>IF(TRIM(K46&amp;"")="","",IFERROR(INDEX(코드표!$K$2:$K$101,MATCH(TRIM(K46&amp;""),코드표!$J$2:$J$101,0)),"⚠"&amp;TRIM(K46&amp;"")))</f>
        <v/>
      </c>
      <c r="T46" s="10">
        <f>IF(TRIM(M46&amp;"")="","",IF(ISNUMBER(MATCH(TRIM(M46&amp;""),코드표!$C$2:$C$11,0)),TRIM(M46&amp;""),"⚠"&amp;TRIM(M46&amp;"")))</f>
        <v/>
      </c>
      <c r="U46" s="10">
        <f>IF(TRIM(L46&amp;"")="","",IFERROR(INDEX(코드표!$G$2:$G$101,MATCH(TRIM(L46&amp;""),코드표!$F$2:$F$101,0)),"⚠"&amp;TRIM(L46&amp;"")))</f>
        <v/>
      </c>
      <c r="V46" s="10">
        <f>IF(AND(ISNUMBER(H46),ISNUMBER(I46)),I46-H46+1,"")</f>
        <v/>
      </c>
      <c r="W46" s="17">
        <f>IF(ISNUMBER(H46),MAX(0,MIN(IF(ISNUMBER(I46),I46,EOMONTH(요약!$B$3,0)),EOMONTH(요약!$B$3,0))-MAX(H46,요약!$B$3)+1),0)</f>
        <v/>
      </c>
      <c r="X46" s="10">
        <f>IF(OR(NOT(ISNUMBER(H46)),Q46=""),"",IF(TODAY()&lt;H46,"파견예정",IF(AND(ISNUMBER(I46),TODAY()&gt;I46),"파견종료","파견중")))</f>
        <v/>
      </c>
      <c r="Y46" s="10">
        <f>IF(OR(Q46="",X46=""),"",Q46&amp;"|"&amp;X46)</f>
        <v/>
      </c>
      <c r="Z46" s="10">
        <f>IF(AND(Q46&lt;&gt;"",W46&gt;0),Q46&amp;"|월","")</f>
        <v/>
      </c>
      <c r="AA46" s="10">
        <f>IF(COUNTA(B46:N46)=0,"",IF(Q46="","등록번호 없음",IF(LEFT(R46,1)="⚠","모병원명 미등록",IF(S46="","파견병원 입력",IF(LEFT(S46,1)="⚠","파견병원명 미등록",IF(LEFT(U46,1)="⚠","파견과목 미등록",IF(OR(T46="",LEFT(T46,1)="⚠"),"파견근거 확인",IF(NOT(AND(ISNUMBER(H46),ISNUMBER(I46))),"날짜 형식/누락",IF(I46&lt;H46,"종료일&lt;시작일","")))))))))</f>
        <v/>
      </c>
      <c r="AB46" s="11">
        <f>IF(ISNUMBER(SEARCH("다기관",TRIM(N46&amp;" "&amp;O46))),IFERROR(DATE(VALUE(MID(TRIM(N46&amp;" "&amp;O46),1,4)),VALUE(MID(TRIM(N46&amp;" "&amp;O46),6,2)),VALUE(MID(TRIM(N46&amp;" "&amp;O46),9,2))),IF(ISNUMBER(H46),H46,"")),"")</f>
        <v/>
      </c>
      <c r="AC46" s="11">
        <f>IF(ISNUMBER(SEARCH("다기관",TRIM(N46&amp;" "&amp;O46))),IFERROR(DATE(VALUE(MID(TRIM(N46&amp;" "&amp;O46),12,4)),VALUE(MID(TRIM(N46&amp;" "&amp;O46),17,2)),VALUE(MID(TRIM(N46&amp;" "&amp;O46),20,2))),IF(ISNUMBER(I46),I46,"")),"")</f>
        <v/>
      </c>
      <c r="AD46" s="17">
        <f>IF(AND(ISNUMBER(AB46),ISNUMBER(AC46)),MAX(0,MIN(AC46,EOMONTH(요약!$B$3,0))-MAX(AB46,요약!$B$3)+1),0)</f>
        <v/>
      </c>
      <c r="AE46" s="10">
        <f>IF(AND(Q46&lt;&gt;"",ISNUMBER(AB46)),Q46&amp;"|다기관","")</f>
        <v/>
      </c>
    </row>
    <row r="47">
      <c r="A47" s="15">
        <f>IF(F47="","",ROW()-3)</f>
        <v/>
      </c>
      <c r="B47" s="5" t="n"/>
      <c r="C47" s="15" t="n"/>
      <c r="D47" s="5" t="n"/>
      <c r="E47" s="15" t="n"/>
      <c r="F47" s="5" t="n"/>
      <c r="G47" s="6" t="n"/>
      <c r="H47" s="16" t="n"/>
      <c r="I47" s="16" t="n"/>
      <c r="J47" s="15">
        <f>IF(AND(ISNUMBER(H47),ISNUMBER(I47)),I47-H47+1,"")</f>
        <v/>
      </c>
      <c r="K47" s="5" t="n"/>
      <c r="L47" s="5" t="n"/>
      <c r="M47" s="5" t="n"/>
      <c r="N47" s="5" t="n"/>
      <c r="O47" s="5" t="n"/>
      <c r="Q47" s="10">
        <f>IF(TRIM(G47&amp;"")="","",TRIM(G47&amp;""))</f>
        <v/>
      </c>
      <c r="R47" s="10">
        <f>IF(TRIM(B47&amp;"")="","",IFERROR(INDEX(코드표!$K$2:$K$101,MATCH(TRIM(B47&amp;""),코드표!$J$2:$J$101,0)),"⚠"&amp;TRIM(B47&amp;"")))</f>
        <v/>
      </c>
      <c r="S47" s="10">
        <f>IF(TRIM(K47&amp;"")="","",IFERROR(INDEX(코드표!$K$2:$K$101,MATCH(TRIM(K47&amp;""),코드표!$J$2:$J$101,0)),"⚠"&amp;TRIM(K47&amp;"")))</f>
        <v/>
      </c>
      <c r="T47" s="10">
        <f>IF(TRIM(M47&amp;"")="","",IF(ISNUMBER(MATCH(TRIM(M47&amp;""),코드표!$C$2:$C$11,0)),TRIM(M47&amp;""),"⚠"&amp;TRIM(M47&amp;"")))</f>
        <v/>
      </c>
      <c r="U47" s="10">
        <f>IF(TRIM(L47&amp;"")="","",IFERROR(INDEX(코드표!$G$2:$G$101,MATCH(TRIM(L47&amp;""),코드표!$F$2:$F$101,0)),"⚠"&amp;TRIM(L47&amp;"")))</f>
        <v/>
      </c>
      <c r="V47" s="10">
        <f>IF(AND(ISNUMBER(H47),ISNUMBER(I47)),I47-H47+1,"")</f>
        <v/>
      </c>
      <c r="W47" s="17">
        <f>IF(ISNUMBER(H47),MAX(0,MIN(IF(ISNUMBER(I47),I47,EOMONTH(요약!$B$3,0)),EOMONTH(요약!$B$3,0))-MAX(H47,요약!$B$3)+1),0)</f>
        <v/>
      </c>
      <c r="X47" s="10">
        <f>IF(OR(NOT(ISNUMBER(H47)),Q47=""),"",IF(TODAY()&lt;H47,"파견예정",IF(AND(ISNUMBER(I47),TODAY()&gt;I47),"파견종료","파견중")))</f>
        <v/>
      </c>
      <c r="Y47" s="10">
        <f>IF(OR(Q47="",X47=""),"",Q47&amp;"|"&amp;X47)</f>
        <v/>
      </c>
      <c r="Z47" s="10">
        <f>IF(AND(Q47&lt;&gt;"",W47&gt;0),Q47&amp;"|월","")</f>
        <v/>
      </c>
      <c r="AA47" s="10">
        <f>IF(COUNTA(B47:N47)=0,"",IF(Q47="","등록번호 없음",IF(LEFT(R47,1)="⚠","모병원명 미등록",IF(S47="","파견병원 입력",IF(LEFT(S47,1)="⚠","파견병원명 미등록",IF(LEFT(U47,1)="⚠","파견과목 미등록",IF(OR(T47="",LEFT(T47,1)="⚠"),"파견근거 확인",IF(NOT(AND(ISNUMBER(H47),ISNUMBER(I47))),"날짜 형식/누락",IF(I47&lt;H47,"종료일&lt;시작일","")))))))))</f>
        <v/>
      </c>
      <c r="AB47" s="11">
        <f>IF(ISNUMBER(SEARCH("다기관",TRIM(N47&amp;" "&amp;O47))),IFERROR(DATE(VALUE(MID(TRIM(N47&amp;" "&amp;O47),1,4)),VALUE(MID(TRIM(N47&amp;" "&amp;O47),6,2)),VALUE(MID(TRIM(N47&amp;" "&amp;O47),9,2))),IF(ISNUMBER(H47),H47,"")),"")</f>
        <v/>
      </c>
      <c r="AC47" s="11">
        <f>IF(ISNUMBER(SEARCH("다기관",TRIM(N47&amp;" "&amp;O47))),IFERROR(DATE(VALUE(MID(TRIM(N47&amp;" "&amp;O47),12,4)),VALUE(MID(TRIM(N47&amp;" "&amp;O47),17,2)),VALUE(MID(TRIM(N47&amp;" "&amp;O47),20,2))),IF(ISNUMBER(I47),I47,"")),"")</f>
        <v/>
      </c>
      <c r="AD47" s="17">
        <f>IF(AND(ISNUMBER(AB47),ISNUMBER(AC47)),MAX(0,MIN(AC47,EOMONTH(요약!$B$3,0))-MAX(AB47,요약!$B$3)+1),0)</f>
        <v/>
      </c>
      <c r="AE47" s="10">
        <f>IF(AND(Q47&lt;&gt;"",ISNUMBER(AB47)),Q47&amp;"|다기관","")</f>
        <v/>
      </c>
    </row>
    <row r="48">
      <c r="A48" s="15">
        <f>IF(F48="","",ROW()-3)</f>
        <v/>
      </c>
      <c r="B48" s="5" t="n"/>
      <c r="C48" s="15" t="n"/>
      <c r="D48" s="5" t="n"/>
      <c r="E48" s="15" t="n"/>
      <c r="F48" s="5" t="n"/>
      <c r="G48" s="6" t="n"/>
      <c r="H48" s="16" t="n"/>
      <c r="I48" s="16" t="n"/>
      <c r="J48" s="15">
        <f>IF(AND(ISNUMBER(H48),ISNUMBER(I48)),I48-H48+1,"")</f>
        <v/>
      </c>
      <c r="K48" s="5" t="n"/>
      <c r="L48" s="5" t="n"/>
      <c r="M48" s="5" t="n"/>
      <c r="N48" s="5" t="n"/>
      <c r="O48" s="5" t="n"/>
      <c r="Q48" s="10">
        <f>IF(TRIM(G48&amp;"")="","",TRIM(G48&amp;""))</f>
        <v/>
      </c>
      <c r="R48" s="10">
        <f>IF(TRIM(B48&amp;"")="","",IFERROR(INDEX(코드표!$K$2:$K$101,MATCH(TRIM(B48&amp;""),코드표!$J$2:$J$101,0)),"⚠"&amp;TRIM(B48&amp;"")))</f>
        <v/>
      </c>
      <c r="S48" s="10">
        <f>IF(TRIM(K48&amp;"")="","",IFERROR(INDEX(코드표!$K$2:$K$101,MATCH(TRIM(K48&amp;""),코드표!$J$2:$J$101,0)),"⚠"&amp;TRIM(K48&amp;"")))</f>
        <v/>
      </c>
      <c r="T48" s="10">
        <f>IF(TRIM(M48&amp;"")="","",IF(ISNUMBER(MATCH(TRIM(M48&amp;""),코드표!$C$2:$C$11,0)),TRIM(M48&amp;""),"⚠"&amp;TRIM(M48&amp;"")))</f>
        <v/>
      </c>
      <c r="U48" s="10">
        <f>IF(TRIM(L48&amp;"")="","",IFERROR(INDEX(코드표!$G$2:$G$101,MATCH(TRIM(L48&amp;""),코드표!$F$2:$F$101,0)),"⚠"&amp;TRIM(L48&amp;"")))</f>
        <v/>
      </c>
      <c r="V48" s="10">
        <f>IF(AND(ISNUMBER(H48),ISNUMBER(I48)),I48-H48+1,"")</f>
        <v/>
      </c>
      <c r="W48" s="17">
        <f>IF(ISNUMBER(H48),MAX(0,MIN(IF(ISNUMBER(I48),I48,EOMONTH(요약!$B$3,0)),EOMONTH(요약!$B$3,0))-MAX(H48,요약!$B$3)+1),0)</f>
        <v/>
      </c>
      <c r="X48" s="10">
        <f>IF(OR(NOT(ISNUMBER(H48)),Q48=""),"",IF(TODAY()&lt;H48,"파견예정",IF(AND(ISNUMBER(I48),TODAY()&gt;I48),"파견종료","파견중")))</f>
        <v/>
      </c>
      <c r="Y48" s="10">
        <f>IF(OR(Q48="",X48=""),"",Q48&amp;"|"&amp;X48)</f>
        <v/>
      </c>
      <c r="Z48" s="10">
        <f>IF(AND(Q48&lt;&gt;"",W48&gt;0),Q48&amp;"|월","")</f>
        <v/>
      </c>
      <c r="AA48" s="10">
        <f>IF(COUNTA(B48:N48)=0,"",IF(Q48="","등록번호 없음",IF(LEFT(R48,1)="⚠","모병원명 미등록",IF(S48="","파견병원 입력",IF(LEFT(S48,1)="⚠","파견병원명 미등록",IF(LEFT(U48,1)="⚠","파견과목 미등록",IF(OR(T48="",LEFT(T48,1)="⚠"),"파견근거 확인",IF(NOT(AND(ISNUMBER(H48),ISNUMBER(I48))),"날짜 형식/누락",IF(I48&lt;H48,"종료일&lt;시작일","")))))))))</f>
        <v/>
      </c>
      <c r="AB48" s="11">
        <f>IF(ISNUMBER(SEARCH("다기관",TRIM(N48&amp;" "&amp;O48))),IFERROR(DATE(VALUE(MID(TRIM(N48&amp;" "&amp;O48),1,4)),VALUE(MID(TRIM(N48&amp;" "&amp;O48),6,2)),VALUE(MID(TRIM(N48&amp;" "&amp;O48),9,2))),IF(ISNUMBER(H48),H48,"")),"")</f>
        <v/>
      </c>
      <c r="AC48" s="11">
        <f>IF(ISNUMBER(SEARCH("다기관",TRIM(N48&amp;" "&amp;O48))),IFERROR(DATE(VALUE(MID(TRIM(N48&amp;" "&amp;O48),12,4)),VALUE(MID(TRIM(N48&amp;" "&amp;O48),17,2)),VALUE(MID(TRIM(N48&amp;" "&amp;O48),20,2))),IF(ISNUMBER(I48),I48,"")),"")</f>
        <v/>
      </c>
      <c r="AD48" s="17">
        <f>IF(AND(ISNUMBER(AB48),ISNUMBER(AC48)),MAX(0,MIN(AC48,EOMONTH(요약!$B$3,0))-MAX(AB48,요약!$B$3)+1),0)</f>
        <v/>
      </c>
      <c r="AE48" s="10">
        <f>IF(AND(Q48&lt;&gt;"",ISNUMBER(AB48)),Q48&amp;"|다기관","")</f>
        <v/>
      </c>
    </row>
    <row r="49">
      <c r="A49" s="15">
        <f>IF(F49="","",ROW()-3)</f>
        <v/>
      </c>
      <c r="B49" s="5" t="n"/>
      <c r="C49" s="15" t="n"/>
      <c r="D49" s="5" t="n"/>
      <c r="E49" s="15" t="n"/>
      <c r="F49" s="5" t="n"/>
      <c r="G49" s="6" t="n"/>
      <c r="H49" s="16" t="n"/>
      <c r="I49" s="16" t="n"/>
      <c r="J49" s="15">
        <f>IF(AND(ISNUMBER(H49),ISNUMBER(I49)),I49-H49+1,"")</f>
        <v/>
      </c>
      <c r="K49" s="5" t="n"/>
      <c r="L49" s="5" t="n"/>
      <c r="M49" s="5" t="n"/>
      <c r="N49" s="5" t="n"/>
      <c r="O49" s="5" t="n"/>
      <c r="Q49" s="10">
        <f>IF(TRIM(G49&amp;"")="","",TRIM(G49&amp;""))</f>
        <v/>
      </c>
      <c r="R49" s="10">
        <f>IF(TRIM(B49&amp;"")="","",IFERROR(INDEX(코드표!$K$2:$K$101,MATCH(TRIM(B49&amp;""),코드표!$J$2:$J$101,0)),"⚠"&amp;TRIM(B49&amp;"")))</f>
        <v/>
      </c>
      <c r="S49" s="10">
        <f>IF(TRIM(K49&amp;"")="","",IFERROR(INDEX(코드표!$K$2:$K$101,MATCH(TRIM(K49&amp;""),코드표!$J$2:$J$101,0)),"⚠"&amp;TRIM(K49&amp;"")))</f>
        <v/>
      </c>
      <c r="T49" s="10">
        <f>IF(TRIM(M49&amp;"")="","",IF(ISNUMBER(MATCH(TRIM(M49&amp;""),코드표!$C$2:$C$11,0)),TRIM(M49&amp;""),"⚠"&amp;TRIM(M49&amp;"")))</f>
        <v/>
      </c>
      <c r="U49" s="10">
        <f>IF(TRIM(L49&amp;"")="","",IFERROR(INDEX(코드표!$G$2:$G$101,MATCH(TRIM(L49&amp;""),코드표!$F$2:$F$101,0)),"⚠"&amp;TRIM(L49&amp;"")))</f>
        <v/>
      </c>
      <c r="V49" s="10">
        <f>IF(AND(ISNUMBER(H49),ISNUMBER(I49)),I49-H49+1,"")</f>
        <v/>
      </c>
      <c r="W49" s="17">
        <f>IF(ISNUMBER(H49),MAX(0,MIN(IF(ISNUMBER(I49),I49,EOMONTH(요약!$B$3,0)),EOMONTH(요약!$B$3,0))-MAX(H49,요약!$B$3)+1),0)</f>
        <v/>
      </c>
      <c r="X49" s="10">
        <f>IF(OR(NOT(ISNUMBER(H49)),Q49=""),"",IF(TODAY()&lt;H49,"파견예정",IF(AND(ISNUMBER(I49),TODAY()&gt;I49),"파견종료","파견중")))</f>
        <v/>
      </c>
      <c r="Y49" s="10">
        <f>IF(OR(Q49="",X49=""),"",Q49&amp;"|"&amp;X49)</f>
        <v/>
      </c>
      <c r="Z49" s="10">
        <f>IF(AND(Q49&lt;&gt;"",W49&gt;0),Q49&amp;"|월","")</f>
        <v/>
      </c>
      <c r="AA49" s="10">
        <f>IF(COUNTA(B49:N49)=0,"",IF(Q49="","등록번호 없음",IF(LEFT(R49,1)="⚠","모병원명 미등록",IF(S49="","파견병원 입력",IF(LEFT(S49,1)="⚠","파견병원명 미등록",IF(LEFT(U49,1)="⚠","파견과목 미등록",IF(OR(T49="",LEFT(T49,1)="⚠"),"파견근거 확인",IF(NOT(AND(ISNUMBER(H49),ISNUMBER(I49))),"날짜 형식/누락",IF(I49&lt;H49,"종료일&lt;시작일","")))))))))</f>
        <v/>
      </c>
      <c r="AB49" s="11">
        <f>IF(ISNUMBER(SEARCH("다기관",TRIM(N49&amp;" "&amp;O49))),IFERROR(DATE(VALUE(MID(TRIM(N49&amp;" "&amp;O49),1,4)),VALUE(MID(TRIM(N49&amp;" "&amp;O49),6,2)),VALUE(MID(TRIM(N49&amp;" "&amp;O49),9,2))),IF(ISNUMBER(H49),H49,"")),"")</f>
        <v/>
      </c>
      <c r="AC49" s="11">
        <f>IF(ISNUMBER(SEARCH("다기관",TRIM(N49&amp;" "&amp;O49))),IFERROR(DATE(VALUE(MID(TRIM(N49&amp;" "&amp;O49),12,4)),VALUE(MID(TRIM(N49&amp;" "&amp;O49),17,2)),VALUE(MID(TRIM(N49&amp;" "&amp;O49),20,2))),IF(ISNUMBER(I49),I49,"")),"")</f>
        <v/>
      </c>
      <c r="AD49" s="17">
        <f>IF(AND(ISNUMBER(AB49),ISNUMBER(AC49)),MAX(0,MIN(AC49,EOMONTH(요약!$B$3,0))-MAX(AB49,요약!$B$3)+1),0)</f>
        <v/>
      </c>
      <c r="AE49" s="10">
        <f>IF(AND(Q49&lt;&gt;"",ISNUMBER(AB49)),Q49&amp;"|다기관","")</f>
        <v/>
      </c>
    </row>
    <row r="50">
      <c r="A50" s="15">
        <f>IF(F50="","",ROW()-3)</f>
        <v/>
      </c>
      <c r="B50" s="5" t="n"/>
      <c r="C50" s="15" t="n"/>
      <c r="D50" s="5" t="n"/>
      <c r="E50" s="15" t="n"/>
      <c r="F50" s="5" t="n"/>
      <c r="G50" s="6" t="n"/>
      <c r="H50" s="16" t="n"/>
      <c r="I50" s="16" t="n"/>
      <c r="J50" s="15">
        <f>IF(AND(ISNUMBER(H50),ISNUMBER(I50)),I50-H50+1,"")</f>
        <v/>
      </c>
      <c r="K50" s="5" t="n"/>
      <c r="L50" s="5" t="n"/>
      <c r="M50" s="5" t="n"/>
      <c r="N50" s="5" t="n"/>
      <c r="O50" s="5" t="n"/>
      <c r="Q50" s="10">
        <f>IF(TRIM(G50&amp;"")="","",TRIM(G50&amp;""))</f>
        <v/>
      </c>
      <c r="R50" s="10">
        <f>IF(TRIM(B50&amp;"")="","",IFERROR(INDEX(코드표!$K$2:$K$101,MATCH(TRIM(B50&amp;""),코드표!$J$2:$J$101,0)),"⚠"&amp;TRIM(B50&amp;"")))</f>
        <v/>
      </c>
      <c r="S50" s="10">
        <f>IF(TRIM(K50&amp;"")="","",IFERROR(INDEX(코드표!$K$2:$K$101,MATCH(TRIM(K50&amp;""),코드표!$J$2:$J$101,0)),"⚠"&amp;TRIM(K50&amp;"")))</f>
        <v/>
      </c>
      <c r="T50" s="10">
        <f>IF(TRIM(M50&amp;"")="","",IF(ISNUMBER(MATCH(TRIM(M50&amp;""),코드표!$C$2:$C$11,0)),TRIM(M50&amp;""),"⚠"&amp;TRIM(M50&amp;"")))</f>
        <v/>
      </c>
      <c r="U50" s="10">
        <f>IF(TRIM(L50&amp;"")="","",IFERROR(INDEX(코드표!$G$2:$G$101,MATCH(TRIM(L50&amp;""),코드표!$F$2:$F$101,0)),"⚠"&amp;TRIM(L50&amp;"")))</f>
        <v/>
      </c>
      <c r="V50" s="10">
        <f>IF(AND(ISNUMBER(H50),ISNUMBER(I50)),I50-H50+1,"")</f>
        <v/>
      </c>
      <c r="W50" s="17">
        <f>IF(ISNUMBER(H50),MAX(0,MIN(IF(ISNUMBER(I50),I50,EOMONTH(요약!$B$3,0)),EOMONTH(요약!$B$3,0))-MAX(H50,요약!$B$3)+1),0)</f>
        <v/>
      </c>
      <c r="X50" s="10">
        <f>IF(OR(NOT(ISNUMBER(H50)),Q50=""),"",IF(TODAY()&lt;H50,"파견예정",IF(AND(ISNUMBER(I50),TODAY()&gt;I50),"파견종료","파견중")))</f>
        <v/>
      </c>
      <c r="Y50" s="10">
        <f>IF(OR(Q50="",X50=""),"",Q50&amp;"|"&amp;X50)</f>
        <v/>
      </c>
      <c r="Z50" s="10">
        <f>IF(AND(Q50&lt;&gt;"",W50&gt;0),Q50&amp;"|월","")</f>
        <v/>
      </c>
      <c r="AA50" s="10">
        <f>IF(COUNTA(B50:N50)=0,"",IF(Q50="","등록번호 없음",IF(LEFT(R50,1)="⚠","모병원명 미등록",IF(S50="","파견병원 입력",IF(LEFT(S50,1)="⚠","파견병원명 미등록",IF(LEFT(U50,1)="⚠","파견과목 미등록",IF(OR(T50="",LEFT(T50,1)="⚠"),"파견근거 확인",IF(NOT(AND(ISNUMBER(H50),ISNUMBER(I50))),"날짜 형식/누락",IF(I50&lt;H50,"종료일&lt;시작일","")))))))))</f>
        <v/>
      </c>
      <c r="AB50" s="11">
        <f>IF(ISNUMBER(SEARCH("다기관",TRIM(N50&amp;" "&amp;O50))),IFERROR(DATE(VALUE(MID(TRIM(N50&amp;" "&amp;O50),1,4)),VALUE(MID(TRIM(N50&amp;" "&amp;O50),6,2)),VALUE(MID(TRIM(N50&amp;" "&amp;O50),9,2))),IF(ISNUMBER(H50),H50,"")),"")</f>
        <v/>
      </c>
      <c r="AC50" s="11">
        <f>IF(ISNUMBER(SEARCH("다기관",TRIM(N50&amp;" "&amp;O50))),IFERROR(DATE(VALUE(MID(TRIM(N50&amp;" "&amp;O50),12,4)),VALUE(MID(TRIM(N50&amp;" "&amp;O50),17,2)),VALUE(MID(TRIM(N50&amp;" "&amp;O50),20,2))),IF(ISNUMBER(I50),I50,"")),"")</f>
        <v/>
      </c>
      <c r="AD50" s="17">
        <f>IF(AND(ISNUMBER(AB50),ISNUMBER(AC50)),MAX(0,MIN(AC50,EOMONTH(요약!$B$3,0))-MAX(AB50,요약!$B$3)+1),0)</f>
        <v/>
      </c>
      <c r="AE50" s="10">
        <f>IF(AND(Q50&lt;&gt;"",ISNUMBER(AB50)),Q50&amp;"|다기관","")</f>
        <v/>
      </c>
    </row>
    <row r="51">
      <c r="A51" s="15">
        <f>IF(F51="","",ROW()-3)</f>
        <v/>
      </c>
      <c r="B51" s="5" t="n"/>
      <c r="C51" s="15" t="n"/>
      <c r="D51" s="5" t="n"/>
      <c r="E51" s="15" t="n"/>
      <c r="F51" s="5" t="n"/>
      <c r="G51" s="6" t="n"/>
      <c r="H51" s="16" t="n"/>
      <c r="I51" s="16" t="n"/>
      <c r="J51" s="15">
        <f>IF(AND(ISNUMBER(H51),ISNUMBER(I51)),I51-H51+1,"")</f>
        <v/>
      </c>
      <c r="K51" s="5" t="n"/>
      <c r="L51" s="5" t="n"/>
      <c r="M51" s="5" t="n"/>
      <c r="N51" s="5" t="n"/>
      <c r="O51" s="5" t="n"/>
      <c r="Q51" s="10">
        <f>IF(TRIM(G51&amp;"")="","",TRIM(G51&amp;""))</f>
        <v/>
      </c>
      <c r="R51" s="10">
        <f>IF(TRIM(B51&amp;"")="","",IFERROR(INDEX(코드표!$K$2:$K$101,MATCH(TRIM(B51&amp;""),코드표!$J$2:$J$101,0)),"⚠"&amp;TRIM(B51&amp;"")))</f>
        <v/>
      </c>
      <c r="S51" s="10">
        <f>IF(TRIM(K51&amp;"")="","",IFERROR(INDEX(코드표!$K$2:$K$101,MATCH(TRIM(K51&amp;""),코드표!$J$2:$J$101,0)),"⚠"&amp;TRIM(K51&amp;"")))</f>
        <v/>
      </c>
      <c r="T51" s="10">
        <f>IF(TRIM(M51&amp;"")="","",IF(ISNUMBER(MATCH(TRIM(M51&amp;""),코드표!$C$2:$C$11,0)),TRIM(M51&amp;""),"⚠"&amp;TRIM(M51&amp;"")))</f>
        <v/>
      </c>
      <c r="U51" s="10">
        <f>IF(TRIM(L51&amp;"")="","",IFERROR(INDEX(코드표!$G$2:$G$101,MATCH(TRIM(L51&amp;""),코드표!$F$2:$F$101,0)),"⚠"&amp;TRIM(L51&amp;"")))</f>
        <v/>
      </c>
      <c r="V51" s="10">
        <f>IF(AND(ISNUMBER(H51),ISNUMBER(I51)),I51-H51+1,"")</f>
        <v/>
      </c>
      <c r="W51" s="17">
        <f>IF(ISNUMBER(H51),MAX(0,MIN(IF(ISNUMBER(I51),I51,EOMONTH(요약!$B$3,0)),EOMONTH(요약!$B$3,0))-MAX(H51,요약!$B$3)+1),0)</f>
        <v/>
      </c>
      <c r="X51" s="10">
        <f>IF(OR(NOT(ISNUMBER(H51)),Q51=""),"",IF(TODAY()&lt;H51,"파견예정",IF(AND(ISNUMBER(I51),TODAY()&gt;I51),"파견종료","파견중")))</f>
        <v/>
      </c>
      <c r="Y51" s="10">
        <f>IF(OR(Q51="",X51=""),"",Q51&amp;"|"&amp;X51)</f>
        <v/>
      </c>
      <c r="Z51" s="10">
        <f>IF(AND(Q51&lt;&gt;"",W51&gt;0),Q51&amp;"|월","")</f>
        <v/>
      </c>
      <c r="AA51" s="10">
        <f>IF(COUNTA(B51:N51)=0,"",IF(Q51="","등록번호 없음",IF(LEFT(R51,1)="⚠","모병원명 미등록",IF(S51="","파견병원 입력",IF(LEFT(S51,1)="⚠","파견병원명 미등록",IF(LEFT(U51,1)="⚠","파견과목 미등록",IF(OR(T51="",LEFT(T51,1)="⚠"),"파견근거 확인",IF(NOT(AND(ISNUMBER(H51),ISNUMBER(I51))),"날짜 형식/누락",IF(I51&lt;H51,"종료일&lt;시작일","")))))))))</f>
        <v/>
      </c>
      <c r="AB51" s="11">
        <f>IF(ISNUMBER(SEARCH("다기관",TRIM(N51&amp;" "&amp;O51))),IFERROR(DATE(VALUE(MID(TRIM(N51&amp;" "&amp;O51),1,4)),VALUE(MID(TRIM(N51&amp;" "&amp;O51),6,2)),VALUE(MID(TRIM(N51&amp;" "&amp;O51),9,2))),IF(ISNUMBER(H51),H51,"")),"")</f>
        <v/>
      </c>
      <c r="AC51" s="11">
        <f>IF(ISNUMBER(SEARCH("다기관",TRIM(N51&amp;" "&amp;O51))),IFERROR(DATE(VALUE(MID(TRIM(N51&amp;" "&amp;O51),12,4)),VALUE(MID(TRIM(N51&amp;" "&amp;O51),17,2)),VALUE(MID(TRIM(N51&amp;" "&amp;O51),20,2))),IF(ISNUMBER(I51),I51,"")),"")</f>
        <v/>
      </c>
      <c r="AD51" s="17">
        <f>IF(AND(ISNUMBER(AB51),ISNUMBER(AC51)),MAX(0,MIN(AC51,EOMONTH(요약!$B$3,0))-MAX(AB51,요약!$B$3)+1),0)</f>
        <v/>
      </c>
      <c r="AE51" s="10">
        <f>IF(AND(Q51&lt;&gt;"",ISNUMBER(AB51)),Q51&amp;"|다기관","")</f>
        <v/>
      </c>
    </row>
    <row r="52">
      <c r="A52" s="15">
        <f>IF(F52="","",ROW()-3)</f>
        <v/>
      </c>
      <c r="B52" s="5" t="n"/>
      <c r="C52" s="15" t="n"/>
      <c r="D52" s="5" t="n"/>
      <c r="E52" s="15" t="n"/>
      <c r="F52" s="5" t="n"/>
      <c r="G52" s="6" t="n"/>
      <c r="H52" s="16" t="n"/>
      <c r="I52" s="16" t="n"/>
      <c r="J52" s="15">
        <f>IF(AND(ISNUMBER(H52),ISNUMBER(I52)),I52-H52+1,"")</f>
        <v/>
      </c>
      <c r="K52" s="5" t="n"/>
      <c r="L52" s="5" t="n"/>
      <c r="M52" s="5" t="n"/>
      <c r="N52" s="5" t="n"/>
      <c r="O52" s="5" t="n"/>
      <c r="Q52" s="10">
        <f>IF(TRIM(G52&amp;"")="","",TRIM(G52&amp;""))</f>
        <v/>
      </c>
      <c r="R52" s="10">
        <f>IF(TRIM(B52&amp;"")="","",IFERROR(INDEX(코드표!$K$2:$K$101,MATCH(TRIM(B52&amp;""),코드표!$J$2:$J$101,0)),"⚠"&amp;TRIM(B52&amp;"")))</f>
        <v/>
      </c>
      <c r="S52" s="10">
        <f>IF(TRIM(K52&amp;"")="","",IFERROR(INDEX(코드표!$K$2:$K$101,MATCH(TRIM(K52&amp;""),코드표!$J$2:$J$101,0)),"⚠"&amp;TRIM(K52&amp;"")))</f>
        <v/>
      </c>
      <c r="T52" s="10">
        <f>IF(TRIM(M52&amp;"")="","",IF(ISNUMBER(MATCH(TRIM(M52&amp;""),코드표!$C$2:$C$11,0)),TRIM(M52&amp;""),"⚠"&amp;TRIM(M52&amp;"")))</f>
        <v/>
      </c>
      <c r="U52" s="10">
        <f>IF(TRIM(L52&amp;"")="","",IFERROR(INDEX(코드표!$G$2:$G$101,MATCH(TRIM(L52&amp;""),코드표!$F$2:$F$101,0)),"⚠"&amp;TRIM(L52&amp;"")))</f>
        <v/>
      </c>
      <c r="V52" s="10">
        <f>IF(AND(ISNUMBER(H52),ISNUMBER(I52)),I52-H52+1,"")</f>
        <v/>
      </c>
      <c r="W52" s="17">
        <f>IF(ISNUMBER(H52),MAX(0,MIN(IF(ISNUMBER(I52),I52,EOMONTH(요약!$B$3,0)),EOMONTH(요약!$B$3,0))-MAX(H52,요약!$B$3)+1),0)</f>
        <v/>
      </c>
      <c r="X52" s="10">
        <f>IF(OR(NOT(ISNUMBER(H52)),Q52=""),"",IF(TODAY()&lt;H52,"파견예정",IF(AND(ISNUMBER(I52),TODAY()&gt;I52),"파견종료","파견중")))</f>
        <v/>
      </c>
      <c r="Y52" s="10">
        <f>IF(OR(Q52="",X52=""),"",Q52&amp;"|"&amp;X52)</f>
        <v/>
      </c>
      <c r="Z52" s="10">
        <f>IF(AND(Q52&lt;&gt;"",W52&gt;0),Q52&amp;"|월","")</f>
        <v/>
      </c>
      <c r="AA52" s="10">
        <f>IF(COUNTA(B52:N52)=0,"",IF(Q52="","등록번호 없음",IF(LEFT(R52,1)="⚠","모병원명 미등록",IF(S52="","파견병원 입력",IF(LEFT(S52,1)="⚠","파견병원명 미등록",IF(LEFT(U52,1)="⚠","파견과목 미등록",IF(OR(T52="",LEFT(T52,1)="⚠"),"파견근거 확인",IF(NOT(AND(ISNUMBER(H52),ISNUMBER(I52))),"날짜 형식/누락",IF(I52&lt;H52,"종료일&lt;시작일","")))))))))</f>
        <v/>
      </c>
      <c r="AB52" s="11">
        <f>IF(ISNUMBER(SEARCH("다기관",TRIM(N52&amp;" "&amp;O52))),IFERROR(DATE(VALUE(MID(TRIM(N52&amp;" "&amp;O52),1,4)),VALUE(MID(TRIM(N52&amp;" "&amp;O52),6,2)),VALUE(MID(TRIM(N52&amp;" "&amp;O52),9,2))),IF(ISNUMBER(H52),H52,"")),"")</f>
        <v/>
      </c>
      <c r="AC52" s="11">
        <f>IF(ISNUMBER(SEARCH("다기관",TRIM(N52&amp;" "&amp;O52))),IFERROR(DATE(VALUE(MID(TRIM(N52&amp;" "&amp;O52),12,4)),VALUE(MID(TRIM(N52&amp;" "&amp;O52),17,2)),VALUE(MID(TRIM(N52&amp;" "&amp;O52),20,2))),IF(ISNUMBER(I52),I52,"")),"")</f>
        <v/>
      </c>
      <c r="AD52" s="17">
        <f>IF(AND(ISNUMBER(AB52),ISNUMBER(AC52)),MAX(0,MIN(AC52,EOMONTH(요약!$B$3,0))-MAX(AB52,요약!$B$3)+1),0)</f>
        <v/>
      </c>
      <c r="AE52" s="10">
        <f>IF(AND(Q52&lt;&gt;"",ISNUMBER(AB52)),Q52&amp;"|다기관","")</f>
        <v/>
      </c>
    </row>
    <row r="53">
      <c r="A53" s="15">
        <f>IF(F53="","",ROW()-3)</f>
        <v/>
      </c>
      <c r="B53" s="5" t="n"/>
      <c r="C53" s="15" t="n"/>
      <c r="D53" s="5" t="n"/>
      <c r="E53" s="15" t="n"/>
      <c r="F53" s="5" t="n"/>
      <c r="G53" s="6" t="n"/>
      <c r="H53" s="16" t="n"/>
      <c r="I53" s="16" t="n"/>
      <c r="J53" s="15">
        <f>IF(AND(ISNUMBER(H53),ISNUMBER(I53)),I53-H53+1,"")</f>
        <v/>
      </c>
      <c r="K53" s="5" t="n"/>
      <c r="L53" s="5" t="n"/>
      <c r="M53" s="5" t="n"/>
      <c r="N53" s="5" t="n"/>
      <c r="O53" s="5" t="n"/>
      <c r="Q53" s="10">
        <f>IF(TRIM(G53&amp;"")="","",TRIM(G53&amp;""))</f>
        <v/>
      </c>
      <c r="R53" s="10">
        <f>IF(TRIM(B53&amp;"")="","",IFERROR(INDEX(코드표!$K$2:$K$101,MATCH(TRIM(B53&amp;""),코드표!$J$2:$J$101,0)),"⚠"&amp;TRIM(B53&amp;"")))</f>
        <v/>
      </c>
      <c r="S53" s="10">
        <f>IF(TRIM(K53&amp;"")="","",IFERROR(INDEX(코드표!$K$2:$K$101,MATCH(TRIM(K53&amp;""),코드표!$J$2:$J$101,0)),"⚠"&amp;TRIM(K53&amp;"")))</f>
        <v/>
      </c>
      <c r="T53" s="10">
        <f>IF(TRIM(M53&amp;"")="","",IF(ISNUMBER(MATCH(TRIM(M53&amp;""),코드표!$C$2:$C$11,0)),TRIM(M53&amp;""),"⚠"&amp;TRIM(M53&amp;"")))</f>
        <v/>
      </c>
      <c r="U53" s="10">
        <f>IF(TRIM(L53&amp;"")="","",IFERROR(INDEX(코드표!$G$2:$G$101,MATCH(TRIM(L53&amp;""),코드표!$F$2:$F$101,0)),"⚠"&amp;TRIM(L53&amp;"")))</f>
        <v/>
      </c>
      <c r="V53" s="10">
        <f>IF(AND(ISNUMBER(H53),ISNUMBER(I53)),I53-H53+1,"")</f>
        <v/>
      </c>
      <c r="W53" s="17">
        <f>IF(ISNUMBER(H53),MAX(0,MIN(IF(ISNUMBER(I53),I53,EOMONTH(요약!$B$3,0)),EOMONTH(요약!$B$3,0))-MAX(H53,요약!$B$3)+1),0)</f>
        <v/>
      </c>
      <c r="X53" s="10">
        <f>IF(OR(NOT(ISNUMBER(H53)),Q53=""),"",IF(TODAY()&lt;H53,"파견예정",IF(AND(ISNUMBER(I53),TODAY()&gt;I53),"파견종료","파견중")))</f>
        <v/>
      </c>
      <c r="Y53" s="10">
        <f>IF(OR(Q53="",X53=""),"",Q53&amp;"|"&amp;X53)</f>
        <v/>
      </c>
      <c r="Z53" s="10">
        <f>IF(AND(Q53&lt;&gt;"",W53&gt;0),Q53&amp;"|월","")</f>
        <v/>
      </c>
      <c r="AA53" s="10">
        <f>IF(COUNTA(B53:N53)=0,"",IF(Q53="","등록번호 없음",IF(LEFT(R53,1)="⚠","모병원명 미등록",IF(S53="","파견병원 입력",IF(LEFT(S53,1)="⚠","파견병원명 미등록",IF(LEFT(U53,1)="⚠","파견과목 미등록",IF(OR(T53="",LEFT(T53,1)="⚠"),"파견근거 확인",IF(NOT(AND(ISNUMBER(H53),ISNUMBER(I53))),"날짜 형식/누락",IF(I53&lt;H53,"종료일&lt;시작일","")))))))))</f>
        <v/>
      </c>
      <c r="AB53" s="11">
        <f>IF(ISNUMBER(SEARCH("다기관",TRIM(N53&amp;" "&amp;O53))),IFERROR(DATE(VALUE(MID(TRIM(N53&amp;" "&amp;O53),1,4)),VALUE(MID(TRIM(N53&amp;" "&amp;O53),6,2)),VALUE(MID(TRIM(N53&amp;" "&amp;O53),9,2))),IF(ISNUMBER(H53),H53,"")),"")</f>
        <v/>
      </c>
      <c r="AC53" s="11">
        <f>IF(ISNUMBER(SEARCH("다기관",TRIM(N53&amp;" "&amp;O53))),IFERROR(DATE(VALUE(MID(TRIM(N53&amp;" "&amp;O53),12,4)),VALUE(MID(TRIM(N53&amp;" "&amp;O53),17,2)),VALUE(MID(TRIM(N53&amp;" "&amp;O53),20,2))),IF(ISNUMBER(I53),I53,"")),"")</f>
        <v/>
      </c>
      <c r="AD53" s="17">
        <f>IF(AND(ISNUMBER(AB53),ISNUMBER(AC53)),MAX(0,MIN(AC53,EOMONTH(요약!$B$3,0))-MAX(AB53,요약!$B$3)+1),0)</f>
        <v/>
      </c>
      <c r="AE53" s="10">
        <f>IF(AND(Q53&lt;&gt;"",ISNUMBER(AB53)),Q53&amp;"|다기관","")</f>
        <v/>
      </c>
    </row>
    <row r="54">
      <c r="A54" s="15">
        <f>IF(F54="","",ROW()-3)</f>
        <v/>
      </c>
      <c r="B54" s="5" t="n"/>
      <c r="C54" s="15" t="n"/>
      <c r="D54" s="5" t="n"/>
      <c r="E54" s="15" t="n"/>
      <c r="F54" s="5" t="n"/>
      <c r="G54" s="6" t="n"/>
      <c r="H54" s="16" t="n"/>
      <c r="I54" s="16" t="n"/>
      <c r="J54" s="15">
        <f>IF(AND(ISNUMBER(H54),ISNUMBER(I54)),I54-H54+1,"")</f>
        <v/>
      </c>
      <c r="K54" s="5" t="n"/>
      <c r="L54" s="5" t="n"/>
      <c r="M54" s="5" t="n"/>
      <c r="N54" s="5" t="n"/>
      <c r="O54" s="5" t="n"/>
      <c r="Q54" s="10">
        <f>IF(TRIM(G54&amp;"")="","",TRIM(G54&amp;""))</f>
        <v/>
      </c>
      <c r="R54" s="10">
        <f>IF(TRIM(B54&amp;"")="","",IFERROR(INDEX(코드표!$K$2:$K$101,MATCH(TRIM(B54&amp;""),코드표!$J$2:$J$101,0)),"⚠"&amp;TRIM(B54&amp;"")))</f>
        <v/>
      </c>
      <c r="S54" s="10">
        <f>IF(TRIM(K54&amp;"")="","",IFERROR(INDEX(코드표!$K$2:$K$101,MATCH(TRIM(K54&amp;""),코드표!$J$2:$J$101,0)),"⚠"&amp;TRIM(K54&amp;"")))</f>
        <v/>
      </c>
      <c r="T54" s="10">
        <f>IF(TRIM(M54&amp;"")="","",IF(ISNUMBER(MATCH(TRIM(M54&amp;""),코드표!$C$2:$C$11,0)),TRIM(M54&amp;""),"⚠"&amp;TRIM(M54&amp;"")))</f>
        <v/>
      </c>
      <c r="U54" s="10">
        <f>IF(TRIM(L54&amp;"")="","",IFERROR(INDEX(코드표!$G$2:$G$101,MATCH(TRIM(L54&amp;""),코드표!$F$2:$F$101,0)),"⚠"&amp;TRIM(L54&amp;"")))</f>
        <v/>
      </c>
      <c r="V54" s="10">
        <f>IF(AND(ISNUMBER(H54),ISNUMBER(I54)),I54-H54+1,"")</f>
        <v/>
      </c>
      <c r="W54" s="17">
        <f>IF(ISNUMBER(H54),MAX(0,MIN(IF(ISNUMBER(I54),I54,EOMONTH(요약!$B$3,0)),EOMONTH(요약!$B$3,0))-MAX(H54,요약!$B$3)+1),0)</f>
        <v/>
      </c>
      <c r="X54" s="10">
        <f>IF(OR(NOT(ISNUMBER(H54)),Q54=""),"",IF(TODAY()&lt;H54,"파견예정",IF(AND(ISNUMBER(I54),TODAY()&gt;I54),"파견종료","파견중")))</f>
        <v/>
      </c>
      <c r="Y54" s="10">
        <f>IF(OR(Q54="",X54=""),"",Q54&amp;"|"&amp;X54)</f>
        <v/>
      </c>
      <c r="Z54" s="10">
        <f>IF(AND(Q54&lt;&gt;"",W54&gt;0),Q54&amp;"|월","")</f>
        <v/>
      </c>
      <c r="AA54" s="10">
        <f>IF(COUNTA(B54:N54)=0,"",IF(Q54="","등록번호 없음",IF(LEFT(R54,1)="⚠","모병원명 미등록",IF(S54="","파견병원 입력",IF(LEFT(S54,1)="⚠","파견병원명 미등록",IF(LEFT(U54,1)="⚠","파견과목 미등록",IF(OR(T54="",LEFT(T54,1)="⚠"),"파견근거 확인",IF(NOT(AND(ISNUMBER(H54),ISNUMBER(I54))),"날짜 형식/누락",IF(I54&lt;H54,"종료일&lt;시작일","")))))))))</f>
        <v/>
      </c>
      <c r="AB54" s="11">
        <f>IF(ISNUMBER(SEARCH("다기관",TRIM(N54&amp;" "&amp;O54))),IFERROR(DATE(VALUE(MID(TRIM(N54&amp;" "&amp;O54),1,4)),VALUE(MID(TRIM(N54&amp;" "&amp;O54),6,2)),VALUE(MID(TRIM(N54&amp;" "&amp;O54),9,2))),IF(ISNUMBER(H54),H54,"")),"")</f>
        <v/>
      </c>
      <c r="AC54" s="11">
        <f>IF(ISNUMBER(SEARCH("다기관",TRIM(N54&amp;" "&amp;O54))),IFERROR(DATE(VALUE(MID(TRIM(N54&amp;" "&amp;O54),12,4)),VALUE(MID(TRIM(N54&amp;" "&amp;O54),17,2)),VALUE(MID(TRIM(N54&amp;" "&amp;O54),20,2))),IF(ISNUMBER(I54),I54,"")),"")</f>
        <v/>
      </c>
      <c r="AD54" s="17">
        <f>IF(AND(ISNUMBER(AB54),ISNUMBER(AC54)),MAX(0,MIN(AC54,EOMONTH(요약!$B$3,0))-MAX(AB54,요약!$B$3)+1),0)</f>
        <v/>
      </c>
      <c r="AE54" s="10">
        <f>IF(AND(Q54&lt;&gt;"",ISNUMBER(AB54)),Q54&amp;"|다기관","")</f>
        <v/>
      </c>
    </row>
    <row r="55">
      <c r="A55" s="15">
        <f>IF(F55="","",ROW()-3)</f>
        <v/>
      </c>
      <c r="B55" s="5" t="n"/>
      <c r="C55" s="15" t="n"/>
      <c r="D55" s="5" t="n"/>
      <c r="E55" s="15" t="n"/>
      <c r="F55" s="5" t="n"/>
      <c r="G55" s="6" t="n"/>
      <c r="H55" s="16" t="n"/>
      <c r="I55" s="16" t="n"/>
      <c r="J55" s="15">
        <f>IF(AND(ISNUMBER(H55),ISNUMBER(I55)),I55-H55+1,"")</f>
        <v/>
      </c>
      <c r="K55" s="5" t="n"/>
      <c r="L55" s="5" t="n"/>
      <c r="M55" s="5" t="n"/>
      <c r="N55" s="5" t="n"/>
      <c r="O55" s="5" t="n"/>
      <c r="Q55" s="10">
        <f>IF(TRIM(G55&amp;"")="","",TRIM(G55&amp;""))</f>
        <v/>
      </c>
      <c r="R55" s="10">
        <f>IF(TRIM(B55&amp;"")="","",IFERROR(INDEX(코드표!$K$2:$K$101,MATCH(TRIM(B55&amp;""),코드표!$J$2:$J$101,0)),"⚠"&amp;TRIM(B55&amp;"")))</f>
        <v/>
      </c>
      <c r="S55" s="10">
        <f>IF(TRIM(K55&amp;"")="","",IFERROR(INDEX(코드표!$K$2:$K$101,MATCH(TRIM(K55&amp;""),코드표!$J$2:$J$101,0)),"⚠"&amp;TRIM(K55&amp;"")))</f>
        <v/>
      </c>
      <c r="T55" s="10">
        <f>IF(TRIM(M55&amp;"")="","",IF(ISNUMBER(MATCH(TRIM(M55&amp;""),코드표!$C$2:$C$11,0)),TRIM(M55&amp;""),"⚠"&amp;TRIM(M55&amp;"")))</f>
        <v/>
      </c>
      <c r="U55" s="10">
        <f>IF(TRIM(L55&amp;"")="","",IFERROR(INDEX(코드표!$G$2:$G$101,MATCH(TRIM(L55&amp;""),코드표!$F$2:$F$101,0)),"⚠"&amp;TRIM(L55&amp;"")))</f>
        <v/>
      </c>
      <c r="V55" s="10">
        <f>IF(AND(ISNUMBER(H55),ISNUMBER(I55)),I55-H55+1,"")</f>
        <v/>
      </c>
      <c r="W55" s="17">
        <f>IF(ISNUMBER(H55),MAX(0,MIN(IF(ISNUMBER(I55),I55,EOMONTH(요약!$B$3,0)),EOMONTH(요약!$B$3,0))-MAX(H55,요약!$B$3)+1),0)</f>
        <v/>
      </c>
      <c r="X55" s="10">
        <f>IF(OR(NOT(ISNUMBER(H55)),Q55=""),"",IF(TODAY()&lt;H55,"파견예정",IF(AND(ISNUMBER(I55),TODAY()&gt;I55),"파견종료","파견중")))</f>
        <v/>
      </c>
      <c r="Y55" s="10">
        <f>IF(OR(Q55="",X55=""),"",Q55&amp;"|"&amp;X55)</f>
        <v/>
      </c>
      <c r="Z55" s="10">
        <f>IF(AND(Q55&lt;&gt;"",W55&gt;0),Q55&amp;"|월","")</f>
        <v/>
      </c>
      <c r="AA55" s="10">
        <f>IF(COUNTA(B55:N55)=0,"",IF(Q55="","등록번호 없음",IF(LEFT(R55,1)="⚠","모병원명 미등록",IF(S55="","파견병원 입력",IF(LEFT(S55,1)="⚠","파견병원명 미등록",IF(LEFT(U55,1)="⚠","파견과목 미등록",IF(OR(T55="",LEFT(T55,1)="⚠"),"파견근거 확인",IF(NOT(AND(ISNUMBER(H55),ISNUMBER(I55))),"날짜 형식/누락",IF(I55&lt;H55,"종료일&lt;시작일","")))))))))</f>
        <v/>
      </c>
      <c r="AB55" s="11">
        <f>IF(ISNUMBER(SEARCH("다기관",TRIM(N55&amp;" "&amp;O55))),IFERROR(DATE(VALUE(MID(TRIM(N55&amp;" "&amp;O55),1,4)),VALUE(MID(TRIM(N55&amp;" "&amp;O55),6,2)),VALUE(MID(TRIM(N55&amp;" "&amp;O55),9,2))),IF(ISNUMBER(H55),H55,"")),"")</f>
        <v/>
      </c>
      <c r="AC55" s="11">
        <f>IF(ISNUMBER(SEARCH("다기관",TRIM(N55&amp;" "&amp;O55))),IFERROR(DATE(VALUE(MID(TRIM(N55&amp;" "&amp;O55),12,4)),VALUE(MID(TRIM(N55&amp;" "&amp;O55),17,2)),VALUE(MID(TRIM(N55&amp;" "&amp;O55),20,2))),IF(ISNUMBER(I55),I55,"")),"")</f>
        <v/>
      </c>
      <c r="AD55" s="17">
        <f>IF(AND(ISNUMBER(AB55),ISNUMBER(AC55)),MAX(0,MIN(AC55,EOMONTH(요약!$B$3,0))-MAX(AB55,요약!$B$3)+1),0)</f>
        <v/>
      </c>
      <c r="AE55" s="10">
        <f>IF(AND(Q55&lt;&gt;"",ISNUMBER(AB55)),Q55&amp;"|다기관","")</f>
        <v/>
      </c>
    </row>
    <row r="56">
      <c r="A56" s="15">
        <f>IF(F56="","",ROW()-3)</f>
        <v/>
      </c>
      <c r="B56" s="5" t="n"/>
      <c r="C56" s="15" t="n"/>
      <c r="D56" s="5" t="n"/>
      <c r="E56" s="15" t="n"/>
      <c r="F56" s="5" t="n"/>
      <c r="G56" s="6" t="n"/>
      <c r="H56" s="16" t="n"/>
      <c r="I56" s="16" t="n"/>
      <c r="J56" s="15">
        <f>IF(AND(ISNUMBER(H56),ISNUMBER(I56)),I56-H56+1,"")</f>
        <v/>
      </c>
      <c r="K56" s="5" t="n"/>
      <c r="L56" s="5" t="n"/>
      <c r="M56" s="5" t="n"/>
      <c r="N56" s="5" t="n"/>
      <c r="O56" s="5" t="n"/>
      <c r="Q56" s="10">
        <f>IF(TRIM(G56&amp;"")="","",TRIM(G56&amp;""))</f>
        <v/>
      </c>
      <c r="R56" s="10">
        <f>IF(TRIM(B56&amp;"")="","",IFERROR(INDEX(코드표!$K$2:$K$101,MATCH(TRIM(B56&amp;""),코드표!$J$2:$J$101,0)),"⚠"&amp;TRIM(B56&amp;"")))</f>
        <v/>
      </c>
      <c r="S56" s="10">
        <f>IF(TRIM(K56&amp;"")="","",IFERROR(INDEX(코드표!$K$2:$K$101,MATCH(TRIM(K56&amp;""),코드표!$J$2:$J$101,0)),"⚠"&amp;TRIM(K56&amp;"")))</f>
        <v/>
      </c>
      <c r="T56" s="10">
        <f>IF(TRIM(M56&amp;"")="","",IF(ISNUMBER(MATCH(TRIM(M56&amp;""),코드표!$C$2:$C$11,0)),TRIM(M56&amp;""),"⚠"&amp;TRIM(M56&amp;"")))</f>
        <v/>
      </c>
      <c r="U56" s="10">
        <f>IF(TRIM(L56&amp;"")="","",IFERROR(INDEX(코드표!$G$2:$G$101,MATCH(TRIM(L56&amp;""),코드표!$F$2:$F$101,0)),"⚠"&amp;TRIM(L56&amp;"")))</f>
        <v/>
      </c>
      <c r="V56" s="10">
        <f>IF(AND(ISNUMBER(H56),ISNUMBER(I56)),I56-H56+1,"")</f>
        <v/>
      </c>
      <c r="W56" s="17">
        <f>IF(ISNUMBER(H56),MAX(0,MIN(IF(ISNUMBER(I56),I56,EOMONTH(요약!$B$3,0)),EOMONTH(요약!$B$3,0))-MAX(H56,요약!$B$3)+1),0)</f>
        <v/>
      </c>
      <c r="X56" s="10">
        <f>IF(OR(NOT(ISNUMBER(H56)),Q56=""),"",IF(TODAY()&lt;H56,"파견예정",IF(AND(ISNUMBER(I56),TODAY()&gt;I56),"파견종료","파견중")))</f>
        <v/>
      </c>
      <c r="Y56" s="10">
        <f>IF(OR(Q56="",X56=""),"",Q56&amp;"|"&amp;X56)</f>
        <v/>
      </c>
      <c r="Z56" s="10">
        <f>IF(AND(Q56&lt;&gt;"",W56&gt;0),Q56&amp;"|월","")</f>
        <v/>
      </c>
      <c r="AA56" s="10">
        <f>IF(COUNTA(B56:N56)=0,"",IF(Q56="","등록번호 없음",IF(LEFT(R56,1)="⚠","모병원명 미등록",IF(S56="","파견병원 입력",IF(LEFT(S56,1)="⚠","파견병원명 미등록",IF(LEFT(U56,1)="⚠","파견과목 미등록",IF(OR(T56="",LEFT(T56,1)="⚠"),"파견근거 확인",IF(NOT(AND(ISNUMBER(H56),ISNUMBER(I56))),"날짜 형식/누락",IF(I56&lt;H56,"종료일&lt;시작일","")))))))))</f>
        <v/>
      </c>
      <c r="AB56" s="11">
        <f>IF(ISNUMBER(SEARCH("다기관",TRIM(N56&amp;" "&amp;O56))),IFERROR(DATE(VALUE(MID(TRIM(N56&amp;" "&amp;O56),1,4)),VALUE(MID(TRIM(N56&amp;" "&amp;O56),6,2)),VALUE(MID(TRIM(N56&amp;" "&amp;O56),9,2))),IF(ISNUMBER(H56),H56,"")),"")</f>
        <v/>
      </c>
      <c r="AC56" s="11">
        <f>IF(ISNUMBER(SEARCH("다기관",TRIM(N56&amp;" "&amp;O56))),IFERROR(DATE(VALUE(MID(TRIM(N56&amp;" "&amp;O56),12,4)),VALUE(MID(TRIM(N56&amp;" "&amp;O56),17,2)),VALUE(MID(TRIM(N56&amp;" "&amp;O56),20,2))),IF(ISNUMBER(I56),I56,"")),"")</f>
        <v/>
      </c>
      <c r="AD56" s="17">
        <f>IF(AND(ISNUMBER(AB56),ISNUMBER(AC56)),MAX(0,MIN(AC56,EOMONTH(요약!$B$3,0))-MAX(AB56,요약!$B$3)+1),0)</f>
        <v/>
      </c>
      <c r="AE56" s="10">
        <f>IF(AND(Q56&lt;&gt;"",ISNUMBER(AB56)),Q56&amp;"|다기관","")</f>
        <v/>
      </c>
    </row>
    <row r="57">
      <c r="A57" s="15">
        <f>IF(F57="","",ROW()-3)</f>
        <v/>
      </c>
      <c r="B57" s="5" t="n"/>
      <c r="C57" s="15" t="n"/>
      <c r="D57" s="5" t="n"/>
      <c r="E57" s="15" t="n"/>
      <c r="F57" s="5" t="n"/>
      <c r="G57" s="6" t="n"/>
      <c r="H57" s="16" t="n"/>
      <c r="I57" s="16" t="n"/>
      <c r="J57" s="15">
        <f>IF(AND(ISNUMBER(H57),ISNUMBER(I57)),I57-H57+1,"")</f>
        <v/>
      </c>
      <c r="K57" s="5" t="n"/>
      <c r="L57" s="5" t="n"/>
      <c r="M57" s="5" t="n"/>
      <c r="N57" s="5" t="n"/>
      <c r="O57" s="5" t="n"/>
      <c r="Q57" s="10">
        <f>IF(TRIM(G57&amp;"")="","",TRIM(G57&amp;""))</f>
        <v/>
      </c>
      <c r="R57" s="10">
        <f>IF(TRIM(B57&amp;"")="","",IFERROR(INDEX(코드표!$K$2:$K$101,MATCH(TRIM(B57&amp;""),코드표!$J$2:$J$101,0)),"⚠"&amp;TRIM(B57&amp;"")))</f>
        <v/>
      </c>
      <c r="S57" s="10">
        <f>IF(TRIM(K57&amp;"")="","",IFERROR(INDEX(코드표!$K$2:$K$101,MATCH(TRIM(K57&amp;""),코드표!$J$2:$J$101,0)),"⚠"&amp;TRIM(K57&amp;"")))</f>
        <v/>
      </c>
      <c r="T57" s="10">
        <f>IF(TRIM(M57&amp;"")="","",IF(ISNUMBER(MATCH(TRIM(M57&amp;""),코드표!$C$2:$C$11,0)),TRIM(M57&amp;""),"⚠"&amp;TRIM(M57&amp;"")))</f>
        <v/>
      </c>
      <c r="U57" s="10">
        <f>IF(TRIM(L57&amp;"")="","",IFERROR(INDEX(코드표!$G$2:$G$101,MATCH(TRIM(L57&amp;""),코드표!$F$2:$F$101,0)),"⚠"&amp;TRIM(L57&amp;"")))</f>
        <v/>
      </c>
      <c r="V57" s="10">
        <f>IF(AND(ISNUMBER(H57),ISNUMBER(I57)),I57-H57+1,"")</f>
        <v/>
      </c>
      <c r="W57" s="17">
        <f>IF(ISNUMBER(H57),MAX(0,MIN(IF(ISNUMBER(I57),I57,EOMONTH(요약!$B$3,0)),EOMONTH(요약!$B$3,0))-MAX(H57,요약!$B$3)+1),0)</f>
        <v/>
      </c>
      <c r="X57" s="10">
        <f>IF(OR(NOT(ISNUMBER(H57)),Q57=""),"",IF(TODAY()&lt;H57,"파견예정",IF(AND(ISNUMBER(I57),TODAY()&gt;I57),"파견종료","파견중")))</f>
        <v/>
      </c>
      <c r="Y57" s="10">
        <f>IF(OR(Q57="",X57=""),"",Q57&amp;"|"&amp;X57)</f>
        <v/>
      </c>
      <c r="Z57" s="10">
        <f>IF(AND(Q57&lt;&gt;"",W57&gt;0),Q57&amp;"|월","")</f>
        <v/>
      </c>
      <c r="AA57" s="10">
        <f>IF(COUNTA(B57:N57)=0,"",IF(Q57="","등록번호 없음",IF(LEFT(R57,1)="⚠","모병원명 미등록",IF(S57="","파견병원 입력",IF(LEFT(S57,1)="⚠","파견병원명 미등록",IF(LEFT(U57,1)="⚠","파견과목 미등록",IF(OR(T57="",LEFT(T57,1)="⚠"),"파견근거 확인",IF(NOT(AND(ISNUMBER(H57),ISNUMBER(I57))),"날짜 형식/누락",IF(I57&lt;H57,"종료일&lt;시작일","")))))))))</f>
        <v/>
      </c>
      <c r="AB57" s="11">
        <f>IF(ISNUMBER(SEARCH("다기관",TRIM(N57&amp;" "&amp;O57))),IFERROR(DATE(VALUE(MID(TRIM(N57&amp;" "&amp;O57),1,4)),VALUE(MID(TRIM(N57&amp;" "&amp;O57),6,2)),VALUE(MID(TRIM(N57&amp;" "&amp;O57),9,2))),IF(ISNUMBER(H57),H57,"")),"")</f>
        <v/>
      </c>
      <c r="AC57" s="11">
        <f>IF(ISNUMBER(SEARCH("다기관",TRIM(N57&amp;" "&amp;O57))),IFERROR(DATE(VALUE(MID(TRIM(N57&amp;" "&amp;O57),12,4)),VALUE(MID(TRIM(N57&amp;" "&amp;O57),17,2)),VALUE(MID(TRIM(N57&amp;" "&amp;O57),20,2))),IF(ISNUMBER(I57),I57,"")),"")</f>
        <v/>
      </c>
      <c r="AD57" s="17">
        <f>IF(AND(ISNUMBER(AB57),ISNUMBER(AC57)),MAX(0,MIN(AC57,EOMONTH(요약!$B$3,0))-MAX(AB57,요약!$B$3)+1),0)</f>
        <v/>
      </c>
      <c r="AE57" s="10">
        <f>IF(AND(Q57&lt;&gt;"",ISNUMBER(AB57)),Q57&amp;"|다기관","")</f>
        <v/>
      </c>
    </row>
    <row r="58">
      <c r="A58" s="15">
        <f>IF(F58="","",ROW()-3)</f>
        <v/>
      </c>
      <c r="B58" s="5" t="n"/>
      <c r="C58" s="15" t="n"/>
      <c r="D58" s="5" t="n"/>
      <c r="E58" s="15" t="n"/>
      <c r="F58" s="5" t="n"/>
      <c r="G58" s="6" t="n"/>
      <c r="H58" s="16" t="n"/>
      <c r="I58" s="16" t="n"/>
      <c r="J58" s="15">
        <f>IF(AND(ISNUMBER(H58),ISNUMBER(I58)),I58-H58+1,"")</f>
        <v/>
      </c>
      <c r="K58" s="5" t="n"/>
      <c r="L58" s="5" t="n"/>
      <c r="M58" s="5" t="n"/>
      <c r="N58" s="5" t="n"/>
      <c r="O58" s="5" t="n"/>
      <c r="Q58" s="10">
        <f>IF(TRIM(G58&amp;"")="","",TRIM(G58&amp;""))</f>
        <v/>
      </c>
      <c r="R58" s="10">
        <f>IF(TRIM(B58&amp;"")="","",IFERROR(INDEX(코드표!$K$2:$K$101,MATCH(TRIM(B58&amp;""),코드표!$J$2:$J$101,0)),"⚠"&amp;TRIM(B58&amp;"")))</f>
        <v/>
      </c>
      <c r="S58" s="10">
        <f>IF(TRIM(K58&amp;"")="","",IFERROR(INDEX(코드표!$K$2:$K$101,MATCH(TRIM(K58&amp;""),코드표!$J$2:$J$101,0)),"⚠"&amp;TRIM(K58&amp;"")))</f>
        <v/>
      </c>
      <c r="T58" s="10">
        <f>IF(TRIM(M58&amp;"")="","",IF(ISNUMBER(MATCH(TRIM(M58&amp;""),코드표!$C$2:$C$11,0)),TRIM(M58&amp;""),"⚠"&amp;TRIM(M58&amp;"")))</f>
        <v/>
      </c>
      <c r="U58" s="10">
        <f>IF(TRIM(L58&amp;"")="","",IFERROR(INDEX(코드표!$G$2:$G$101,MATCH(TRIM(L58&amp;""),코드표!$F$2:$F$101,0)),"⚠"&amp;TRIM(L58&amp;"")))</f>
        <v/>
      </c>
      <c r="V58" s="10">
        <f>IF(AND(ISNUMBER(H58),ISNUMBER(I58)),I58-H58+1,"")</f>
        <v/>
      </c>
      <c r="W58" s="17">
        <f>IF(ISNUMBER(H58),MAX(0,MIN(IF(ISNUMBER(I58),I58,EOMONTH(요약!$B$3,0)),EOMONTH(요약!$B$3,0))-MAX(H58,요약!$B$3)+1),0)</f>
        <v/>
      </c>
      <c r="X58" s="10">
        <f>IF(OR(NOT(ISNUMBER(H58)),Q58=""),"",IF(TODAY()&lt;H58,"파견예정",IF(AND(ISNUMBER(I58),TODAY()&gt;I58),"파견종료","파견중")))</f>
        <v/>
      </c>
      <c r="Y58" s="10">
        <f>IF(OR(Q58="",X58=""),"",Q58&amp;"|"&amp;X58)</f>
        <v/>
      </c>
      <c r="Z58" s="10">
        <f>IF(AND(Q58&lt;&gt;"",W58&gt;0),Q58&amp;"|월","")</f>
        <v/>
      </c>
      <c r="AA58" s="10">
        <f>IF(COUNTA(B58:N58)=0,"",IF(Q58="","등록번호 없음",IF(LEFT(R58,1)="⚠","모병원명 미등록",IF(S58="","파견병원 입력",IF(LEFT(S58,1)="⚠","파견병원명 미등록",IF(LEFT(U58,1)="⚠","파견과목 미등록",IF(OR(T58="",LEFT(T58,1)="⚠"),"파견근거 확인",IF(NOT(AND(ISNUMBER(H58),ISNUMBER(I58))),"날짜 형식/누락",IF(I58&lt;H58,"종료일&lt;시작일","")))))))))</f>
        <v/>
      </c>
      <c r="AB58" s="11">
        <f>IF(ISNUMBER(SEARCH("다기관",TRIM(N58&amp;" "&amp;O58))),IFERROR(DATE(VALUE(MID(TRIM(N58&amp;" "&amp;O58),1,4)),VALUE(MID(TRIM(N58&amp;" "&amp;O58),6,2)),VALUE(MID(TRIM(N58&amp;" "&amp;O58),9,2))),IF(ISNUMBER(H58),H58,"")),"")</f>
        <v/>
      </c>
      <c r="AC58" s="11">
        <f>IF(ISNUMBER(SEARCH("다기관",TRIM(N58&amp;" "&amp;O58))),IFERROR(DATE(VALUE(MID(TRIM(N58&amp;" "&amp;O58),12,4)),VALUE(MID(TRIM(N58&amp;" "&amp;O58),17,2)),VALUE(MID(TRIM(N58&amp;" "&amp;O58),20,2))),IF(ISNUMBER(I58),I58,"")),"")</f>
        <v/>
      </c>
      <c r="AD58" s="17">
        <f>IF(AND(ISNUMBER(AB58),ISNUMBER(AC58)),MAX(0,MIN(AC58,EOMONTH(요약!$B$3,0))-MAX(AB58,요약!$B$3)+1),0)</f>
        <v/>
      </c>
      <c r="AE58" s="10">
        <f>IF(AND(Q58&lt;&gt;"",ISNUMBER(AB58)),Q58&amp;"|다기관","")</f>
        <v/>
      </c>
    </row>
    <row r="59">
      <c r="A59" s="15">
        <f>IF(F59="","",ROW()-3)</f>
        <v/>
      </c>
      <c r="B59" s="5" t="n"/>
      <c r="C59" s="15" t="n"/>
      <c r="D59" s="5" t="n"/>
      <c r="E59" s="15" t="n"/>
      <c r="F59" s="5" t="n"/>
      <c r="G59" s="6" t="n"/>
      <c r="H59" s="16" t="n"/>
      <c r="I59" s="16" t="n"/>
      <c r="J59" s="15">
        <f>IF(AND(ISNUMBER(H59),ISNUMBER(I59)),I59-H59+1,"")</f>
        <v/>
      </c>
      <c r="K59" s="5" t="n"/>
      <c r="L59" s="5" t="n"/>
      <c r="M59" s="5" t="n"/>
      <c r="N59" s="5" t="n"/>
      <c r="O59" s="5" t="n"/>
      <c r="Q59" s="10">
        <f>IF(TRIM(G59&amp;"")="","",TRIM(G59&amp;""))</f>
        <v/>
      </c>
      <c r="R59" s="10">
        <f>IF(TRIM(B59&amp;"")="","",IFERROR(INDEX(코드표!$K$2:$K$101,MATCH(TRIM(B59&amp;""),코드표!$J$2:$J$101,0)),"⚠"&amp;TRIM(B59&amp;"")))</f>
        <v/>
      </c>
      <c r="S59" s="10">
        <f>IF(TRIM(K59&amp;"")="","",IFERROR(INDEX(코드표!$K$2:$K$101,MATCH(TRIM(K59&amp;""),코드표!$J$2:$J$101,0)),"⚠"&amp;TRIM(K59&amp;"")))</f>
        <v/>
      </c>
      <c r="T59" s="10">
        <f>IF(TRIM(M59&amp;"")="","",IF(ISNUMBER(MATCH(TRIM(M59&amp;""),코드표!$C$2:$C$11,0)),TRIM(M59&amp;""),"⚠"&amp;TRIM(M59&amp;"")))</f>
        <v/>
      </c>
      <c r="U59" s="10">
        <f>IF(TRIM(L59&amp;"")="","",IFERROR(INDEX(코드표!$G$2:$G$101,MATCH(TRIM(L59&amp;""),코드표!$F$2:$F$101,0)),"⚠"&amp;TRIM(L59&amp;"")))</f>
        <v/>
      </c>
      <c r="V59" s="10">
        <f>IF(AND(ISNUMBER(H59),ISNUMBER(I59)),I59-H59+1,"")</f>
        <v/>
      </c>
      <c r="W59" s="17">
        <f>IF(ISNUMBER(H59),MAX(0,MIN(IF(ISNUMBER(I59),I59,EOMONTH(요약!$B$3,0)),EOMONTH(요약!$B$3,0))-MAX(H59,요약!$B$3)+1),0)</f>
        <v/>
      </c>
      <c r="X59" s="10">
        <f>IF(OR(NOT(ISNUMBER(H59)),Q59=""),"",IF(TODAY()&lt;H59,"파견예정",IF(AND(ISNUMBER(I59),TODAY()&gt;I59),"파견종료","파견중")))</f>
        <v/>
      </c>
      <c r="Y59" s="10">
        <f>IF(OR(Q59="",X59=""),"",Q59&amp;"|"&amp;X59)</f>
        <v/>
      </c>
      <c r="Z59" s="10">
        <f>IF(AND(Q59&lt;&gt;"",W59&gt;0),Q59&amp;"|월","")</f>
        <v/>
      </c>
      <c r="AA59" s="10">
        <f>IF(COUNTA(B59:N59)=0,"",IF(Q59="","등록번호 없음",IF(LEFT(R59,1)="⚠","모병원명 미등록",IF(S59="","파견병원 입력",IF(LEFT(S59,1)="⚠","파견병원명 미등록",IF(LEFT(U59,1)="⚠","파견과목 미등록",IF(OR(T59="",LEFT(T59,1)="⚠"),"파견근거 확인",IF(NOT(AND(ISNUMBER(H59),ISNUMBER(I59))),"날짜 형식/누락",IF(I59&lt;H59,"종료일&lt;시작일","")))))))))</f>
        <v/>
      </c>
      <c r="AB59" s="11">
        <f>IF(ISNUMBER(SEARCH("다기관",TRIM(N59&amp;" "&amp;O59))),IFERROR(DATE(VALUE(MID(TRIM(N59&amp;" "&amp;O59),1,4)),VALUE(MID(TRIM(N59&amp;" "&amp;O59),6,2)),VALUE(MID(TRIM(N59&amp;" "&amp;O59),9,2))),IF(ISNUMBER(H59),H59,"")),"")</f>
        <v/>
      </c>
      <c r="AC59" s="11">
        <f>IF(ISNUMBER(SEARCH("다기관",TRIM(N59&amp;" "&amp;O59))),IFERROR(DATE(VALUE(MID(TRIM(N59&amp;" "&amp;O59),12,4)),VALUE(MID(TRIM(N59&amp;" "&amp;O59),17,2)),VALUE(MID(TRIM(N59&amp;" "&amp;O59),20,2))),IF(ISNUMBER(I59),I59,"")),"")</f>
        <v/>
      </c>
      <c r="AD59" s="17">
        <f>IF(AND(ISNUMBER(AB59),ISNUMBER(AC59)),MAX(0,MIN(AC59,EOMONTH(요약!$B$3,0))-MAX(AB59,요약!$B$3)+1),0)</f>
        <v/>
      </c>
      <c r="AE59" s="10">
        <f>IF(AND(Q59&lt;&gt;"",ISNUMBER(AB59)),Q59&amp;"|다기관","")</f>
        <v/>
      </c>
    </row>
    <row r="60">
      <c r="A60" s="15">
        <f>IF(F60="","",ROW()-3)</f>
        <v/>
      </c>
      <c r="B60" s="5" t="n"/>
      <c r="C60" s="15" t="n"/>
      <c r="D60" s="5" t="n"/>
      <c r="E60" s="15" t="n"/>
      <c r="F60" s="5" t="n"/>
      <c r="G60" s="6" t="n"/>
      <c r="H60" s="16" t="n"/>
      <c r="I60" s="16" t="n"/>
      <c r="J60" s="15">
        <f>IF(AND(ISNUMBER(H60),ISNUMBER(I60)),I60-H60+1,"")</f>
        <v/>
      </c>
      <c r="K60" s="5" t="n"/>
      <c r="L60" s="5" t="n"/>
      <c r="M60" s="5" t="n"/>
      <c r="N60" s="5" t="n"/>
      <c r="O60" s="5" t="n"/>
      <c r="Q60" s="10">
        <f>IF(TRIM(G60&amp;"")="","",TRIM(G60&amp;""))</f>
        <v/>
      </c>
      <c r="R60" s="10">
        <f>IF(TRIM(B60&amp;"")="","",IFERROR(INDEX(코드표!$K$2:$K$101,MATCH(TRIM(B60&amp;""),코드표!$J$2:$J$101,0)),"⚠"&amp;TRIM(B60&amp;"")))</f>
        <v/>
      </c>
      <c r="S60" s="10">
        <f>IF(TRIM(K60&amp;"")="","",IFERROR(INDEX(코드표!$K$2:$K$101,MATCH(TRIM(K60&amp;""),코드표!$J$2:$J$101,0)),"⚠"&amp;TRIM(K60&amp;"")))</f>
        <v/>
      </c>
      <c r="T60" s="10">
        <f>IF(TRIM(M60&amp;"")="","",IF(ISNUMBER(MATCH(TRIM(M60&amp;""),코드표!$C$2:$C$11,0)),TRIM(M60&amp;""),"⚠"&amp;TRIM(M60&amp;"")))</f>
        <v/>
      </c>
      <c r="U60" s="10">
        <f>IF(TRIM(L60&amp;"")="","",IFERROR(INDEX(코드표!$G$2:$G$101,MATCH(TRIM(L60&amp;""),코드표!$F$2:$F$101,0)),"⚠"&amp;TRIM(L60&amp;"")))</f>
        <v/>
      </c>
      <c r="V60" s="10">
        <f>IF(AND(ISNUMBER(H60),ISNUMBER(I60)),I60-H60+1,"")</f>
        <v/>
      </c>
      <c r="W60" s="17">
        <f>IF(ISNUMBER(H60),MAX(0,MIN(IF(ISNUMBER(I60),I60,EOMONTH(요약!$B$3,0)),EOMONTH(요약!$B$3,0))-MAX(H60,요약!$B$3)+1),0)</f>
        <v/>
      </c>
      <c r="X60" s="10">
        <f>IF(OR(NOT(ISNUMBER(H60)),Q60=""),"",IF(TODAY()&lt;H60,"파견예정",IF(AND(ISNUMBER(I60),TODAY()&gt;I60),"파견종료","파견중")))</f>
        <v/>
      </c>
      <c r="Y60" s="10">
        <f>IF(OR(Q60="",X60=""),"",Q60&amp;"|"&amp;X60)</f>
        <v/>
      </c>
      <c r="Z60" s="10">
        <f>IF(AND(Q60&lt;&gt;"",W60&gt;0),Q60&amp;"|월","")</f>
        <v/>
      </c>
      <c r="AA60" s="10">
        <f>IF(COUNTA(B60:N60)=0,"",IF(Q60="","등록번호 없음",IF(LEFT(R60,1)="⚠","모병원명 미등록",IF(S60="","파견병원 입력",IF(LEFT(S60,1)="⚠","파견병원명 미등록",IF(LEFT(U60,1)="⚠","파견과목 미등록",IF(OR(T60="",LEFT(T60,1)="⚠"),"파견근거 확인",IF(NOT(AND(ISNUMBER(H60),ISNUMBER(I60))),"날짜 형식/누락",IF(I60&lt;H60,"종료일&lt;시작일","")))))))))</f>
        <v/>
      </c>
      <c r="AB60" s="11">
        <f>IF(ISNUMBER(SEARCH("다기관",TRIM(N60&amp;" "&amp;O60))),IFERROR(DATE(VALUE(MID(TRIM(N60&amp;" "&amp;O60),1,4)),VALUE(MID(TRIM(N60&amp;" "&amp;O60),6,2)),VALUE(MID(TRIM(N60&amp;" "&amp;O60),9,2))),IF(ISNUMBER(H60),H60,"")),"")</f>
        <v/>
      </c>
      <c r="AC60" s="11">
        <f>IF(ISNUMBER(SEARCH("다기관",TRIM(N60&amp;" "&amp;O60))),IFERROR(DATE(VALUE(MID(TRIM(N60&amp;" "&amp;O60),12,4)),VALUE(MID(TRIM(N60&amp;" "&amp;O60),17,2)),VALUE(MID(TRIM(N60&amp;" "&amp;O60),20,2))),IF(ISNUMBER(I60),I60,"")),"")</f>
        <v/>
      </c>
      <c r="AD60" s="17">
        <f>IF(AND(ISNUMBER(AB60),ISNUMBER(AC60)),MAX(0,MIN(AC60,EOMONTH(요약!$B$3,0))-MAX(AB60,요약!$B$3)+1),0)</f>
        <v/>
      </c>
      <c r="AE60" s="10">
        <f>IF(AND(Q60&lt;&gt;"",ISNUMBER(AB60)),Q60&amp;"|다기관","")</f>
        <v/>
      </c>
    </row>
    <row r="61">
      <c r="A61" s="15">
        <f>IF(F61="","",ROW()-3)</f>
        <v/>
      </c>
      <c r="B61" s="5" t="n"/>
      <c r="C61" s="15" t="n"/>
      <c r="D61" s="5" t="n"/>
      <c r="E61" s="15" t="n"/>
      <c r="F61" s="5" t="n"/>
      <c r="G61" s="6" t="n"/>
      <c r="H61" s="16" t="n"/>
      <c r="I61" s="16" t="n"/>
      <c r="J61" s="15">
        <f>IF(AND(ISNUMBER(H61),ISNUMBER(I61)),I61-H61+1,"")</f>
        <v/>
      </c>
      <c r="K61" s="5" t="n"/>
      <c r="L61" s="5" t="n"/>
      <c r="M61" s="5" t="n"/>
      <c r="N61" s="5" t="n"/>
      <c r="O61" s="5" t="n"/>
      <c r="Q61" s="10">
        <f>IF(TRIM(G61&amp;"")="","",TRIM(G61&amp;""))</f>
        <v/>
      </c>
      <c r="R61" s="10">
        <f>IF(TRIM(B61&amp;"")="","",IFERROR(INDEX(코드표!$K$2:$K$101,MATCH(TRIM(B61&amp;""),코드표!$J$2:$J$101,0)),"⚠"&amp;TRIM(B61&amp;"")))</f>
        <v/>
      </c>
      <c r="S61" s="10">
        <f>IF(TRIM(K61&amp;"")="","",IFERROR(INDEX(코드표!$K$2:$K$101,MATCH(TRIM(K61&amp;""),코드표!$J$2:$J$101,0)),"⚠"&amp;TRIM(K61&amp;"")))</f>
        <v/>
      </c>
      <c r="T61" s="10">
        <f>IF(TRIM(M61&amp;"")="","",IF(ISNUMBER(MATCH(TRIM(M61&amp;""),코드표!$C$2:$C$11,0)),TRIM(M61&amp;""),"⚠"&amp;TRIM(M61&amp;"")))</f>
        <v/>
      </c>
      <c r="U61" s="10">
        <f>IF(TRIM(L61&amp;"")="","",IFERROR(INDEX(코드표!$G$2:$G$101,MATCH(TRIM(L61&amp;""),코드표!$F$2:$F$101,0)),"⚠"&amp;TRIM(L61&amp;"")))</f>
        <v/>
      </c>
      <c r="V61" s="10">
        <f>IF(AND(ISNUMBER(H61),ISNUMBER(I61)),I61-H61+1,"")</f>
        <v/>
      </c>
      <c r="W61" s="17">
        <f>IF(ISNUMBER(H61),MAX(0,MIN(IF(ISNUMBER(I61),I61,EOMONTH(요약!$B$3,0)),EOMONTH(요약!$B$3,0))-MAX(H61,요약!$B$3)+1),0)</f>
        <v/>
      </c>
      <c r="X61" s="10">
        <f>IF(OR(NOT(ISNUMBER(H61)),Q61=""),"",IF(TODAY()&lt;H61,"파견예정",IF(AND(ISNUMBER(I61),TODAY()&gt;I61),"파견종료","파견중")))</f>
        <v/>
      </c>
      <c r="Y61" s="10">
        <f>IF(OR(Q61="",X61=""),"",Q61&amp;"|"&amp;X61)</f>
        <v/>
      </c>
      <c r="Z61" s="10">
        <f>IF(AND(Q61&lt;&gt;"",W61&gt;0),Q61&amp;"|월","")</f>
        <v/>
      </c>
      <c r="AA61" s="10">
        <f>IF(COUNTA(B61:N61)=0,"",IF(Q61="","등록번호 없음",IF(LEFT(R61,1)="⚠","모병원명 미등록",IF(S61="","파견병원 입력",IF(LEFT(S61,1)="⚠","파견병원명 미등록",IF(LEFT(U61,1)="⚠","파견과목 미등록",IF(OR(T61="",LEFT(T61,1)="⚠"),"파견근거 확인",IF(NOT(AND(ISNUMBER(H61),ISNUMBER(I61))),"날짜 형식/누락",IF(I61&lt;H61,"종료일&lt;시작일","")))))))))</f>
        <v/>
      </c>
      <c r="AB61" s="11">
        <f>IF(ISNUMBER(SEARCH("다기관",TRIM(N61&amp;" "&amp;O61))),IFERROR(DATE(VALUE(MID(TRIM(N61&amp;" "&amp;O61),1,4)),VALUE(MID(TRIM(N61&amp;" "&amp;O61),6,2)),VALUE(MID(TRIM(N61&amp;" "&amp;O61),9,2))),IF(ISNUMBER(H61),H61,"")),"")</f>
        <v/>
      </c>
      <c r="AC61" s="11">
        <f>IF(ISNUMBER(SEARCH("다기관",TRIM(N61&amp;" "&amp;O61))),IFERROR(DATE(VALUE(MID(TRIM(N61&amp;" "&amp;O61),12,4)),VALUE(MID(TRIM(N61&amp;" "&amp;O61),17,2)),VALUE(MID(TRIM(N61&amp;" "&amp;O61),20,2))),IF(ISNUMBER(I61),I61,"")),"")</f>
        <v/>
      </c>
      <c r="AD61" s="17">
        <f>IF(AND(ISNUMBER(AB61),ISNUMBER(AC61)),MAX(0,MIN(AC61,EOMONTH(요약!$B$3,0))-MAX(AB61,요약!$B$3)+1),0)</f>
        <v/>
      </c>
      <c r="AE61" s="10">
        <f>IF(AND(Q61&lt;&gt;"",ISNUMBER(AB61)),Q61&amp;"|다기관","")</f>
        <v/>
      </c>
    </row>
    <row r="62">
      <c r="A62" s="15">
        <f>IF(F62="","",ROW()-3)</f>
        <v/>
      </c>
      <c r="B62" s="5" t="n"/>
      <c r="C62" s="15" t="n"/>
      <c r="D62" s="5" t="n"/>
      <c r="E62" s="15" t="n"/>
      <c r="F62" s="5" t="n"/>
      <c r="G62" s="6" t="n"/>
      <c r="H62" s="16" t="n"/>
      <c r="I62" s="16" t="n"/>
      <c r="J62" s="15">
        <f>IF(AND(ISNUMBER(H62),ISNUMBER(I62)),I62-H62+1,"")</f>
        <v/>
      </c>
      <c r="K62" s="5" t="n"/>
      <c r="L62" s="5" t="n"/>
      <c r="M62" s="5" t="n"/>
      <c r="N62" s="5" t="n"/>
      <c r="O62" s="5" t="n"/>
      <c r="Q62" s="10">
        <f>IF(TRIM(G62&amp;"")="","",TRIM(G62&amp;""))</f>
        <v/>
      </c>
      <c r="R62" s="10">
        <f>IF(TRIM(B62&amp;"")="","",IFERROR(INDEX(코드표!$K$2:$K$101,MATCH(TRIM(B62&amp;""),코드표!$J$2:$J$101,0)),"⚠"&amp;TRIM(B62&amp;"")))</f>
        <v/>
      </c>
      <c r="S62" s="10">
        <f>IF(TRIM(K62&amp;"")="","",IFERROR(INDEX(코드표!$K$2:$K$101,MATCH(TRIM(K62&amp;""),코드표!$J$2:$J$101,0)),"⚠"&amp;TRIM(K62&amp;"")))</f>
        <v/>
      </c>
      <c r="T62" s="10">
        <f>IF(TRIM(M62&amp;"")="","",IF(ISNUMBER(MATCH(TRIM(M62&amp;""),코드표!$C$2:$C$11,0)),TRIM(M62&amp;""),"⚠"&amp;TRIM(M62&amp;"")))</f>
        <v/>
      </c>
      <c r="U62" s="10">
        <f>IF(TRIM(L62&amp;"")="","",IFERROR(INDEX(코드표!$G$2:$G$101,MATCH(TRIM(L62&amp;""),코드표!$F$2:$F$101,0)),"⚠"&amp;TRIM(L62&amp;"")))</f>
        <v/>
      </c>
      <c r="V62" s="10">
        <f>IF(AND(ISNUMBER(H62),ISNUMBER(I62)),I62-H62+1,"")</f>
        <v/>
      </c>
      <c r="W62" s="17">
        <f>IF(ISNUMBER(H62),MAX(0,MIN(IF(ISNUMBER(I62),I62,EOMONTH(요약!$B$3,0)),EOMONTH(요약!$B$3,0))-MAX(H62,요약!$B$3)+1),0)</f>
        <v/>
      </c>
      <c r="X62" s="10">
        <f>IF(OR(NOT(ISNUMBER(H62)),Q62=""),"",IF(TODAY()&lt;H62,"파견예정",IF(AND(ISNUMBER(I62),TODAY()&gt;I62),"파견종료","파견중")))</f>
        <v/>
      </c>
      <c r="Y62" s="10">
        <f>IF(OR(Q62="",X62=""),"",Q62&amp;"|"&amp;X62)</f>
        <v/>
      </c>
      <c r="Z62" s="10">
        <f>IF(AND(Q62&lt;&gt;"",W62&gt;0),Q62&amp;"|월","")</f>
        <v/>
      </c>
      <c r="AA62" s="10">
        <f>IF(COUNTA(B62:N62)=0,"",IF(Q62="","등록번호 없음",IF(LEFT(R62,1)="⚠","모병원명 미등록",IF(S62="","파견병원 입력",IF(LEFT(S62,1)="⚠","파견병원명 미등록",IF(LEFT(U62,1)="⚠","파견과목 미등록",IF(OR(T62="",LEFT(T62,1)="⚠"),"파견근거 확인",IF(NOT(AND(ISNUMBER(H62),ISNUMBER(I62))),"날짜 형식/누락",IF(I62&lt;H62,"종료일&lt;시작일","")))))))))</f>
        <v/>
      </c>
      <c r="AB62" s="11">
        <f>IF(ISNUMBER(SEARCH("다기관",TRIM(N62&amp;" "&amp;O62))),IFERROR(DATE(VALUE(MID(TRIM(N62&amp;" "&amp;O62),1,4)),VALUE(MID(TRIM(N62&amp;" "&amp;O62),6,2)),VALUE(MID(TRIM(N62&amp;" "&amp;O62),9,2))),IF(ISNUMBER(H62),H62,"")),"")</f>
        <v/>
      </c>
      <c r="AC62" s="11">
        <f>IF(ISNUMBER(SEARCH("다기관",TRIM(N62&amp;" "&amp;O62))),IFERROR(DATE(VALUE(MID(TRIM(N62&amp;" "&amp;O62),12,4)),VALUE(MID(TRIM(N62&amp;" "&amp;O62),17,2)),VALUE(MID(TRIM(N62&amp;" "&amp;O62),20,2))),IF(ISNUMBER(I62),I62,"")),"")</f>
        <v/>
      </c>
      <c r="AD62" s="17">
        <f>IF(AND(ISNUMBER(AB62),ISNUMBER(AC62)),MAX(0,MIN(AC62,EOMONTH(요약!$B$3,0))-MAX(AB62,요약!$B$3)+1),0)</f>
        <v/>
      </c>
      <c r="AE62" s="10">
        <f>IF(AND(Q62&lt;&gt;"",ISNUMBER(AB62)),Q62&amp;"|다기관","")</f>
        <v/>
      </c>
    </row>
    <row r="63">
      <c r="A63" s="15">
        <f>IF(F63="","",ROW()-3)</f>
        <v/>
      </c>
      <c r="B63" s="5" t="n"/>
      <c r="C63" s="15" t="n"/>
      <c r="D63" s="5" t="n"/>
      <c r="E63" s="15" t="n"/>
      <c r="F63" s="5" t="n"/>
      <c r="G63" s="6" t="n"/>
      <c r="H63" s="16" t="n"/>
      <c r="I63" s="16" t="n"/>
      <c r="J63" s="15">
        <f>IF(AND(ISNUMBER(H63),ISNUMBER(I63)),I63-H63+1,"")</f>
        <v/>
      </c>
      <c r="K63" s="5" t="n"/>
      <c r="L63" s="5" t="n"/>
      <c r="M63" s="5" t="n"/>
      <c r="N63" s="5" t="n"/>
      <c r="O63" s="5" t="n"/>
      <c r="Q63" s="10">
        <f>IF(TRIM(G63&amp;"")="","",TRIM(G63&amp;""))</f>
        <v/>
      </c>
      <c r="R63" s="10">
        <f>IF(TRIM(B63&amp;"")="","",IFERROR(INDEX(코드표!$K$2:$K$101,MATCH(TRIM(B63&amp;""),코드표!$J$2:$J$101,0)),"⚠"&amp;TRIM(B63&amp;"")))</f>
        <v/>
      </c>
      <c r="S63" s="10">
        <f>IF(TRIM(K63&amp;"")="","",IFERROR(INDEX(코드표!$K$2:$K$101,MATCH(TRIM(K63&amp;""),코드표!$J$2:$J$101,0)),"⚠"&amp;TRIM(K63&amp;"")))</f>
        <v/>
      </c>
      <c r="T63" s="10">
        <f>IF(TRIM(M63&amp;"")="","",IF(ISNUMBER(MATCH(TRIM(M63&amp;""),코드표!$C$2:$C$11,0)),TRIM(M63&amp;""),"⚠"&amp;TRIM(M63&amp;"")))</f>
        <v/>
      </c>
      <c r="U63" s="10">
        <f>IF(TRIM(L63&amp;"")="","",IFERROR(INDEX(코드표!$G$2:$G$101,MATCH(TRIM(L63&amp;""),코드표!$F$2:$F$101,0)),"⚠"&amp;TRIM(L63&amp;"")))</f>
        <v/>
      </c>
      <c r="V63" s="10">
        <f>IF(AND(ISNUMBER(H63),ISNUMBER(I63)),I63-H63+1,"")</f>
        <v/>
      </c>
      <c r="W63" s="17">
        <f>IF(ISNUMBER(H63),MAX(0,MIN(IF(ISNUMBER(I63),I63,EOMONTH(요약!$B$3,0)),EOMONTH(요약!$B$3,0))-MAX(H63,요약!$B$3)+1),0)</f>
        <v/>
      </c>
      <c r="X63" s="10">
        <f>IF(OR(NOT(ISNUMBER(H63)),Q63=""),"",IF(TODAY()&lt;H63,"파견예정",IF(AND(ISNUMBER(I63),TODAY()&gt;I63),"파견종료","파견중")))</f>
        <v/>
      </c>
      <c r="Y63" s="10">
        <f>IF(OR(Q63="",X63=""),"",Q63&amp;"|"&amp;X63)</f>
        <v/>
      </c>
      <c r="Z63" s="10">
        <f>IF(AND(Q63&lt;&gt;"",W63&gt;0),Q63&amp;"|월","")</f>
        <v/>
      </c>
      <c r="AA63" s="10">
        <f>IF(COUNTA(B63:N63)=0,"",IF(Q63="","등록번호 없음",IF(LEFT(R63,1)="⚠","모병원명 미등록",IF(S63="","파견병원 입력",IF(LEFT(S63,1)="⚠","파견병원명 미등록",IF(LEFT(U63,1)="⚠","파견과목 미등록",IF(OR(T63="",LEFT(T63,1)="⚠"),"파견근거 확인",IF(NOT(AND(ISNUMBER(H63),ISNUMBER(I63))),"날짜 형식/누락",IF(I63&lt;H63,"종료일&lt;시작일","")))))))))</f>
        <v/>
      </c>
      <c r="AB63" s="11">
        <f>IF(ISNUMBER(SEARCH("다기관",TRIM(N63&amp;" "&amp;O63))),IFERROR(DATE(VALUE(MID(TRIM(N63&amp;" "&amp;O63),1,4)),VALUE(MID(TRIM(N63&amp;" "&amp;O63),6,2)),VALUE(MID(TRIM(N63&amp;" "&amp;O63),9,2))),IF(ISNUMBER(H63),H63,"")),"")</f>
        <v/>
      </c>
      <c r="AC63" s="11">
        <f>IF(ISNUMBER(SEARCH("다기관",TRIM(N63&amp;" "&amp;O63))),IFERROR(DATE(VALUE(MID(TRIM(N63&amp;" "&amp;O63),12,4)),VALUE(MID(TRIM(N63&amp;" "&amp;O63),17,2)),VALUE(MID(TRIM(N63&amp;" "&amp;O63),20,2))),IF(ISNUMBER(I63),I63,"")),"")</f>
        <v/>
      </c>
      <c r="AD63" s="17">
        <f>IF(AND(ISNUMBER(AB63),ISNUMBER(AC63)),MAX(0,MIN(AC63,EOMONTH(요약!$B$3,0))-MAX(AB63,요약!$B$3)+1),0)</f>
        <v/>
      </c>
      <c r="AE63" s="10">
        <f>IF(AND(Q63&lt;&gt;"",ISNUMBER(AB63)),Q63&amp;"|다기관","")</f>
        <v/>
      </c>
    </row>
    <row r="64">
      <c r="A64" s="15">
        <f>IF(F64="","",ROW()-3)</f>
        <v/>
      </c>
      <c r="B64" s="5" t="n"/>
      <c r="C64" s="15" t="n"/>
      <c r="D64" s="5" t="n"/>
      <c r="E64" s="15" t="n"/>
      <c r="F64" s="5" t="n"/>
      <c r="G64" s="6" t="n"/>
      <c r="H64" s="16" t="n"/>
      <c r="I64" s="16" t="n"/>
      <c r="J64" s="15">
        <f>IF(AND(ISNUMBER(H64),ISNUMBER(I64)),I64-H64+1,"")</f>
        <v/>
      </c>
      <c r="K64" s="5" t="n"/>
      <c r="L64" s="5" t="n"/>
      <c r="M64" s="5" t="n"/>
      <c r="N64" s="5" t="n"/>
      <c r="O64" s="5" t="n"/>
      <c r="Q64" s="10">
        <f>IF(TRIM(G64&amp;"")="","",TRIM(G64&amp;""))</f>
        <v/>
      </c>
      <c r="R64" s="10">
        <f>IF(TRIM(B64&amp;"")="","",IFERROR(INDEX(코드표!$K$2:$K$101,MATCH(TRIM(B64&amp;""),코드표!$J$2:$J$101,0)),"⚠"&amp;TRIM(B64&amp;"")))</f>
        <v/>
      </c>
      <c r="S64" s="10">
        <f>IF(TRIM(K64&amp;"")="","",IFERROR(INDEX(코드표!$K$2:$K$101,MATCH(TRIM(K64&amp;""),코드표!$J$2:$J$101,0)),"⚠"&amp;TRIM(K64&amp;"")))</f>
        <v/>
      </c>
      <c r="T64" s="10">
        <f>IF(TRIM(M64&amp;"")="","",IF(ISNUMBER(MATCH(TRIM(M64&amp;""),코드표!$C$2:$C$11,0)),TRIM(M64&amp;""),"⚠"&amp;TRIM(M64&amp;"")))</f>
        <v/>
      </c>
      <c r="U64" s="10">
        <f>IF(TRIM(L64&amp;"")="","",IFERROR(INDEX(코드표!$G$2:$G$101,MATCH(TRIM(L64&amp;""),코드표!$F$2:$F$101,0)),"⚠"&amp;TRIM(L64&amp;"")))</f>
        <v/>
      </c>
      <c r="V64" s="10">
        <f>IF(AND(ISNUMBER(H64),ISNUMBER(I64)),I64-H64+1,"")</f>
        <v/>
      </c>
      <c r="W64" s="17">
        <f>IF(ISNUMBER(H64),MAX(0,MIN(IF(ISNUMBER(I64),I64,EOMONTH(요약!$B$3,0)),EOMONTH(요약!$B$3,0))-MAX(H64,요약!$B$3)+1),0)</f>
        <v/>
      </c>
      <c r="X64" s="10">
        <f>IF(OR(NOT(ISNUMBER(H64)),Q64=""),"",IF(TODAY()&lt;H64,"파견예정",IF(AND(ISNUMBER(I64),TODAY()&gt;I64),"파견종료","파견중")))</f>
        <v/>
      </c>
      <c r="Y64" s="10">
        <f>IF(OR(Q64="",X64=""),"",Q64&amp;"|"&amp;X64)</f>
        <v/>
      </c>
      <c r="Z64" s="10">
        <f>IF(AND(Q64&lt;&gt;"",W64&gt;0),Q64&amp;"|월","")</f>
        <v/>
      </c>
      <c r="AA64" s="10">
        <f>IF(COUNTA(B64:N64)=0,"",IF(Q64="","등록번호 없음",IF(LEFT(R64,1)="⚠","모병원명 미등록",IF(S64="","파견병원 입력",IF(LEFT(S64,1)="⚠","파견병원명 미등록",IF(LEFT(U64,1)="⚠","파견과목 미등록",IF(OR(T64="",LEFT(T64,1)="⚠"),"파견근거 확인",IF(NOT(AND(ISNUMBER(H64),ISNUMBER(I64))),"날짜 형식/누락",IF(I64&lt;H64,"종료일&lt;시작일","")))))))))</f>
        <v/>
      </c>
      <c r="AB64" s="11">
        <f>IF(ISNUMBER(SEARCH("다기관",TRIM(N64&amp;" "&amp;O64))),IFERROR(DATE(VALUE(MID(TRIM(N64&amp;" "&amp;O64),1,4)),VALUE(MID(TRIM(N64&amp;" "&amp;O64),6,2)),VALUE(MID(TRIM(N64&amp;" "&amp;O64),9,2))),IF(ISNUMBER(H64),H64,"")),"")</f>
        <v/>
      </c>
      <c r="AC64" s="11">
        <f>IF(ISNUMBER(SEARCH("다기관",TRIM(N64&amp;" "&amp;O64))),IFERROR(DATE(VALUE(MID(TRIM(N64&amp;" "&amp;O64),12,4)),VALUE(MID(TRIM(N64&amp;" "&amp;O64),17,2)),VALUE(MID(TRIM(N64&amp;" "&amp;O64),20,2))),IF(ISNUMBER(I64),I64,"")),"")</f>
        <v/>
      </c>
      <c r="AD64" s="17">
        <f>IF(AND(ISNUMBER(AB64),ISNUMBER(AC64)),MAX(0,MIN(AC64,EOMONTH(요약!$B$3,0))-MAX(AB64,요약!$B$3)+1),0)</f>
        <v/>
      </c>
      <c r="AE64" s="10">
        <f>IF(AND(Q64&lt;&gt;"",ISNUMBER(AB64)),Q64&amp;"|다기관","")</f>
        <v/>
      </c>
    </row>
    <row r="65">
      <c r="A65" s="15">
        <f>IF(F65="","",ROW()-3)</f>
        <v/>
      </c>
      <c r="B65" s="5" t="n"/>
      <c r="C65" s="15" t="n"/>
      <c r="D65" s="5" t="n"/>
      <c r="E65" s="15" t="n"/>
      <c r="F65" s="5" t="n"/>
      <c r="G65" s="6" t="n"/>
      <c r="H65" s="16" t="n"/>
      <c r="I65" s="16" t="n"/>
      <c r="J65" s="15">
        <f>IF(AND(ISNUMBER(H65),ISNUMBER(I65)),I65-H65+1,"")</f>
        <v/>
      </c>
      <c r="K65" s="5" t="n"/>
      <c r="L65" s="5" t="n"/>
      <c r="M65" s="5" t="n"/>
      <c r="N65" s="5" t="n"/>
      <c r="O65" s="5" t="n"/>
      <c r="Q65" s="10">
        <f>IF(TRIM(G65&amp;"")="","",TRIM(G65&amp;""))</f>
        <v/>
      </c>
      <c r="R65" s="10">
        <f>IF(TRIM(B65&amp;"")="","",IFERROR(INDEX(코드표!$K$2:$K$101,MATCH(TRIM(B65&amp;""),코드표!$J$2:$J$101,0)),"⚠"&amp;TRIM(B65&amp;"")))</f>
        <v/>
      </c>
      <c r="S65" s="10">
        <f>IF(TRIM(K65&amp;"")="","",IFERROR(INDEX(코드표!$K$2:$K$101,MATCH(TRIM(K65&amp;""),코드표!$J$2:$J$101,0)),"⚠"&amp;TRIM(K65&amp;"")))</f>
        <v/>
      </c>
      <c r="T65" s="10">
        <f>IF(TRIM(M65&amp;"")="","",IF(ISNUMBER(MATCH(TRIM(M65&amp;""),코드표!$C$2:$C$11,0)),TRIM(M65&amp;""),"⚠"&amp;TRIM(M65&amp;"")))</f>
        <v/>
      </c>
      <c r="U65" s="10">
        <f>IF(TRIM(L65&amp;"")="","",IFERROR(INDEX(코드표!$G$2:$G$101,MATCH(TRIM(L65&amp;""),코드표!$F$2:$F$101,0)),"⚠"&amp;TRIM(L65&amp;"")))</f>
        <v/>
      </c>
      <c r="V65" s="10">
        <f>IF(AND(ISNUMBER(H65),ISNUMBER(I65)),I65-H65+1,"")</f>
        <v/>
      </c>
      <c r="W65" s="17">
        <f>IF(ISNUMBER(H65),MAX(0,MIN(IF(ISNUMBER(I65),I65,EOMONTH(요약!$B$3,0)),EOMONTH(요약!$B$3,0))-MAX(H65,요약!$B$3)+1),0)</f>
        <v/>
      </c>
      <c r="X65" s="10">
        <f>IF(OR(NOT(ISNUMBER(H65)),Q65=""),"",IF(TODAY()&lt;H65,"파견예정",IF(AND(ISNUMBER(I65),TODAY()&gt;I65),"파견종료","파견중")))</f>
        <v/>
      </c>
      <c r="Y65" s="10">
        <f>IF(OR(Q65="",X65=""),"",Q65&amp;"|"&amp;X65)</f>
        <v/>
      </c>
      <c r="Z65" s="10">
        <f>IF(AND(Q65&lt;&gt;"",W65&gt;0),Q65&amp;"|월","")</f>
        <v/>
      </c>
      <c r="AA65" s="10">
        <f>IF(COUNTA(B65:N65)=0,"",IF(Q65="","등록번호 없음",IF(LEFT(R65,1)="⚠","모병원명 미등록",IF(S65="","파견병원 입력",IF(LEFT(S65,1)="⚠","파견병원명 미등록",IF(LEFT(U65,1)="⚠","파견과목 미등록",IF(OR(T65="",LEFT(T65,1)="⚠"),"파견근거 확인",IF(NOT(AND(ISNUMBER(H65),ISNUMBER(I65))),"날짜 형식/누락",IF(I65&lt;H65,"종료일&lt;시작일","")))))))))</f>
        <v/>
      </c>
      <c r="AB65" s="11">
        <f>IF(ISNUMBER(SEARCH("다기관",TRIM(N65&amp;" "&amp;O65))),IFERROR(DATE(VALUE(MID(TRIM(N65&amp;" "&amp;O65),1,4)),VALUE(MID(TRIM(N65&amp;" "&amp;O65),6,2)),VALUE(MID(TRIM(N65&amp;" "&amp;O65),9,2))),IF(ISNUMBER(H65),H65,"")),"")</f>
        <v/>
      </c>
      <c r="AC65" s="11">
        <f>IF(ISNUMBER(SEARCH("다기관",TRIM(N65&amp;" "&amp;O65))),IFERROR(DATE(VALUE(MID(TRIM(N65&amp;" "&amp;O65),12,4)),VALUE(MID(TRIM(N65&amp;" "&amp;O65),17,2)),VALUE(MID(TRIM(N65&amp;" "&amp;O65),20,2))),IF(ISNUMBER(I65),I65,"")),"")</f>
        <v/>
      </c>
      <c r="AD65" s="17">
        <f>IF(AND(ISNUMBER(AB65),ISNUMBER(AC65)),MAX(0,MIN(AC65,EOMONTH(요약!$B$3,0))-MAX(AB65,요약!$B$3)+1),0)</f>
        <v/>
      </c>
      <c r="AE65" s="10">
        <f>IF(AND(Q65&lt;&gt;"",ISNUMBER(AB65)),Q65&amp;"|다기관","")</f>
        <v/>
      </c>
    </row>
    <row r="66">
      <c r="A66" s="15">
        <f>IF(F66="","",ROW()-3)</f>
        <v/>
      </c>
      <c r="B66" s="5" t="n"/>
      <c r="C66" s="15" t="n"/>
      <c r="D66" s="5" t="n"/>
      <c r="E66" s="15" t="n"/>
      <c r="F66" s="5" t="n"/>
      <c r="G66" s="6" t="n"/>
      <c r="H66" s="16" t="n"/>
      <c r="I66" s="16" t="n"/>
      <c r="J66" s="15">
        <f>IF(AND(ISNUMBER(H66),ISNUMBER(I66)),I66-H66+1,"")</f>
        <v/>
      </c>
      <c r="K66" s="5" t="n"/>
      <c r="L66" s="5" t="n"/>
      <c r="M66" s="5" t="n"/>
      <c r="N66" s="5" t="n"/>
      <c r="O66" s="5" t="n"/>
      <c r="Q66" s="10">
        <f>IF(TRIM(G66&amp;"")="","",TRIM(G66&amp;""))</f>
        <v/>
      </c>
      <c r="R66" s="10">
        <f>IF(TRIM(B66&amp;"")="","",IFERROR(INDEX(코드표!$K$2:$K$101,MATCH(TRIM(B66&amp;""),코드표!$J$2:$J$101,0)),"⚠"&amp;TRIM(B66&amp;"")))</f>
        <v/>
      </c>
      <c r="S66" s="10">
        <f>IF(TRIM(K66&amp;"")="","",IFERROR(INDEX(코드표!$K$2:$K$101,MATCH(TRIM(K66&amp;""),코드표!$J$2:$J$101,0)),"⚠"&amp;TRIM(K66&amp;"")))</f>
        <v/>
      </c>
      <c r="T66" s="10">
        <f>IF(TRIM(M66&amp;"")="","",IF(ISNUMBER(MATCH(TRIM(M66&amp;""),코드표!$C$2:$C$11,0)),TRIM(M66&amp;""),"⚠"&amp;TRIM(M66&amp;"")))</f>
        <v/>
      </c>
      <c r="U66" s="10">
        <f>IF(TRIM(L66&amp;"")="","",IFERROR(INDEX(코드표!$G$2:$G$101,MATCH(TRIM(L66&amp;""),코드표!$F$2:$F$101,0)),"⚠"&amp;TRIM(L66&amp;"")))</f>
        <v/>
      </c>
      <c r="V66" s="10">
        <f>IF(AND(ISNUMBER(H66),ISNUMBER(I66)),I66-H66+1,"")</f>
        <v/>
      </c>
      <c r="W66" s="17">
        <f>IF(ISNUMBER(H66),MAX(0,MIN(IF(ISNUMBER(I66),I66,EOMONTH(요약!$B$3,0)),EOMONTH(요약!$B$3,0))-MAX(H66,요약!$B$3)+1),0)</f>
        <v/>
      </c>
      <c r="X66" s="10">
        <f>IF(OR(NOT(ISNUMBER(H66)),Q66=""),"",IF(TODAY()&lt;H66,"파견예정",IF(AND(ISNUMBER(I66),TODAY()&gt;I66),"파견종료","파견중")))</f>
        <v/>
      </c>
      <c r="Y66" s="10">
        <f>IF(OR(Q66="",X66=""),"",Q66&amp;"|"&amp;X66)</f>
        <v/>
      </c>
      <c r="Z66" s="10">
        <f>IF(AND(Q66&lt;&gt;"",W66&gt;0),Q66&amp;"|월","")</f>
        <v/>
      </c>
      <c r="AA66" s="10">
        <f>IF(COUNTA(B66:N66)=0,"",IF(Q66="","등록번호 없음",IF(LEFT(R66,1)="⚠","모병원명 미등록",IF(S66="","파견병원 입력",IF(LEFT(S66,1)="⚠","파견병원명 미등록",IF(LEFT(U66,1)="⚠","파견과목 미등록",IF(OR(T66="",LEFT(T66,1)="⚠"),"파견근거 확인",IF(NOT(AND(ISNUMBER(H66),ISNUMBER(I66))),"날짜 형식/누락",IF(I66&lt;H66,"종료일&lt;시작일","")))))))))</f>
        <v/>
      </c>
      <c r="AB66" s="11">
        <f>IF(ISNUMBER(SEARCH("다기관",TRIM(N66&amp;" "&amp;O66))),IFERROR(DATE(VALUE(MID(TRIM(N66&amp;" "&amp;O66),1,4)),VALUE(MID(TRIM(N66&amp;" "&amp;O66),6,2)),VALUE(MID(TRIM(N66&amp;" "&amp;O66),9,2))),IF(ISNUMBER(H66),H66,"")),"")</f>
        <v/>
      </c>
      <c r="AC66" s="11">
        <f>IF(ISNUMBER(SEARCH("다기관",TRIM(N66&amp;" "&amp;O66))),IFERROR(DATE(VALUE(MID(TRIM(N66&amp;" "&amp;O66),12,4)),VALUE(MID(TRIM(N66&amp;" "&amp;O66),17,2)),VALUE(MID(TRIM(N66&amp;" "&amp;O66),20,2))),IF(ISNUMBER(I66),I66,"")),"")</f>
        <v/>
      </c>
      <c r="AD66" s="17">
        <f>IF(AND(ISNUMBER(AB66),ISNUMBER(AC66)),MAX(0,MIN(AC66,EOMONTH(요약!$B$3,0))-MAX(AB66,요약!$B$3)+1),0)</f>
        <v/>
      </c>
      <c r="AE66" s="10">
        <f>IF(AND(Q66&lt;&gt;"",ISNUMBER(AB66)),Q66&amp;"|다기관","")</f>
        <v/>
      </c>
    </row>
    <row r="67">
      <c r="A67" s="15">
        <f>IF(F67="","",ROW()-3)</f>
        <v/>
      </c>
      <c r="B67" s="5" t="n"/>
      <c r="C67" s="15" t="n"/>
      <c r="D67" s="5" t="n"/>
      <c r="E67" s="15" t="n"/>
      <c r="F67" s="5" t="n"/>
      <c r="G67" s="6" t="n"/>
      <c r="H67" s="16" t="n"/>
      <c r="I67" s="16" t="n"/>
      <c r="J67" s="15">
        <f>IF(AND(ISNUMBER(H67),ISNUMBER(I67)),I67-H67+1,"")</f>
        <v/>
      </c>
      <c r="K67" s="5" t="n"/>
      <c r="L67" s="5" t="n"/>
      <c r="M67" s="5" t="n"/>
      <c r="N67" s="5" t="n"/>
      <c r="O67" s="5" t="n"/>
      <c r="Q67" s="10">
        <f>IF(TRIM(G67&amp;"")="","",TRIM(G67&amp;""))</f>
        <v/>
      </c>
      <c r="R67" s="10">
        <f>IF(TRIM(B67&amp;"")="","",IFERROR(INDEX(코드표!$K$2:$K$101,MATCH(TRIM(B67&amp;""),코드표!$J$2:$J$101,0)),"⚠"&amp;TRIM(B67&amp;"")))</f>
        <v/>
      </c>
      <c r="S67" s="10">
        <f>IF(TRIM(K67&amp;"")="","",IFERROR(INDEX(코드표!$K$2:$K$101,MATCH(TRIM(K67&amp;""),코드표!$J$2:$J$101,0)),"⚠"&amp;TRIM(K67&amp;"")))</f>
        <v/>
      </c>
      <c r="T67" s="10">
        <f>IF(TRIM(M67&amp;"")="","",IF(ISNUMBER(MATCH(TRIM(M67&amp;""),코드표!$C$2:$C$11,0)),TRIM(M67&amp;""),"⚠"&amp;TRIM(M67&amp;"")))</f>
        <v/>
      </c>
      <c r="U67" s="10">
        <f>IF(TRIM(L67&amp;"")="","",IFERROR(INDEX(코드표!$G$2:$G$101,MATCH(TRIM(L67&amp;""),코드표!$F$2:$F$101,0)),"⚠"&amp;TRIM(L67&amp;"")))</f>
        <v/>
      </c>
      <c r="V67" s="10">
        <f>IF(AND(ISNUMBER(H67),ISNUMBER(I67)),I67-H67+1,"")</f>
        <v/>
      </c>
      <c r="W67" s="17">
        <f>IF(ISNUMBER(H67),MAX(0,MIN(IF(ISNUMBER(I67),I67,EOMONTH(요약!$B$3,0)),EOMONTH(요약!$B$3,0))-MAX(H67,요약!$B$3)+1),0)</f>
        <v/>
      </c>
      <c r="X67" s="10">
        <f>IF(OR(NOT(ISNUMBER(H67)),Q67=""),"",IF(TODAY()&lt;H67,"파견예정",IF(AND(ISNUMBER(I67),TODAY()&gt;I67),"파견종료","파견중")))</f>
        <v/>
      </c>
      <c r="Y67" s="10">
        <f>IF(OR(Q67="",X67=""),"",Q67&amp;"|"&amp;X67)</f>
        <v/>
      </c>
      <c r="Z67" s="10">
        <f>IF(AND(Q67&lt;&gt;"",W67&gt;0),Q67&amp;"|월","")</f>
        <v/>
      </c>
      <c r="AA67" s="10">
        <f>IF(COUNTA(B67:N67)=0,"",IF(Q67="","등록번호 없음",IF(LEFT(R67,1)="⚠","모병원명 미등록",IF(S67="","파견병원 입력",IF(LEFT(S67,1)="⚠","파견병원명 미등록",IF(LEFT(U67,1)="⚠","파견과목 미등록",IF(OR(T67="",LEFT(T67,1)="⚠"),"파견근거 확인",IF(NOT(AND(ISNUMBER(H67),ISNUMBER(I67))),"날짜 형식/누락",IF(I67&lt;H67,"종료일&lt;시작일","")))))))))</f>
        <v/>
      </c>
      <c r="AB67" s="11">
        <f>IF(ISNUMBER(SEARCH("다기관",TRIM(N67&amp;" "&amp;O67))),IFERROR(DATE(VALUE(MID(TRIM(N67&amp;" "&amp;O67),1,4)),VALUE(MID(TRIM(N67&amp;" "&amp;O67),6,2)),VALUE(MID(TRIM(N67&amp;" "&amp;O67),9,2))),IF(ISNUMBER(H67),H67,"")),"")</f>
        <v/>
      </c>
      <c r="AC67" s="11">
        <f>IF(ISNUMBER(SEARCH("다기관",TRIM(N67&amp;" "&amp;O67))),IFERROR(DATE(VALUE(MID(TRIM(N67&amp;" "&amp;O67),12,4)),VALUE(MID(TRIM(N67&amp;" "&amp;O67),17,2)),VALUE(MID(TRIM(N67&amp;" "&amp;O67),20,2))),IF(ISNUMBER(I67),I67,"")),"")</f>
        <v/>
      </c>
      <c r="AD67" s="17">
        <f>IF(AND(ISNUMBER(AB67),ISNUMBER(AC67)),MAX(0,MIN(AC67,EOMONTH(요약!$B$3,0))-MAX(AB67,요약!$B$3)+1),0)</f>
        <v/>
      </c>
      <c r="AE67" s="10">
        <f>IF(AND(Q67&lt;&gt;"",ISNUMBER(AB67)),Q67&amp;"|다기관","")</f>
        <v/>
      </c>
    </row>
    <row r="68">
      <c r="A68" s="15">
        <f>IF(F68="","",ROW()-3)</f>
        <v/>
      </c>
      <c r="B68" s="5" t="n"/>
      <c r="C68" s="15" t="n"/>
      <c r="D68" s="5" t="n"/>
      <c r="E68" s="15" t="n"/>
      <c r="F68" s="5" t="n"/>
      <c r="G68" s="6" t="n"/>
      <c r="H68" s="16" t="n"/>
      <c r="I68" s="16" t="n"/>
      <c r="J68" s="15">
        <f>IF(AND(ISNUMBER(H68),ISNUMBER(I68)),I68-H68+1,"")</f>
        <v/>
      </c>
      <c r="K68" s="5" t="n"/>
      <c r="L68" s="5" t="n"/>
      <c r="M68" s="5" t="n"/>
      <c r="N68" s="5" t="n"/>
      <c r="O68" s="5" t="n"/>
      <c r="Q68" s="10">
        <f>IF(TRIM(G68&amp;"")="","",TRIM(G68&amp;""))</f>
        <v/>
      </c>
      <c r="R68" s="10">
        <f>IF(TRIM(B68&amp;"")="","",IFERROR(INDEX(코드표!$K$2:$K$101,MATCH(TRIM(B68&amp;""),코드표!$J$2:$J$101,0)),"⚠"&amp;TRIM(B68&amp;"")))</f>
        <v/>
      </c>
      <c r="S68" s="10">
        <f>IF(TRIM(K68&amp;"")="","",IFERROR(INDEX(코드표!$K$2:$K$101,MATCH(TRIM(K68&amp;""),코드표!$J$2:$J$101,0)),"⚠"&amp;TRIM(K68&amp;"")))</f>
        <v/>
      </c>
      <c r="T68" s="10">
        <f>IF(TRIM(M68&amp;"")="","",IF(ISNUMBER(MATCH(TRIM(M68&amp;""),코드표!$C$2:$C$11,0)),TRIM(M68&amp;""),"⚠"&amp;TRIM(M68&amp;"")))</f>
        <v/>
      </c>
      <c r="U68" s="10">
        <f>IF(TRIM(L68&amp;"")="","",IFERROR(INDEX(코드표!$G$2:$G$101,MATCH(TRIM(L68&amp;""),코드표!$F$2:$F$101,0)),"⚠"&amp;TRIM(L68&amp;"")))</f>
        <v/>
      </c>
      <c r="V68" s="10">
        <f>IF(AND(ISNUMBER(H68),ISNUMBER(I68)),I68-H68+1,"")</f>
        <v/>
      </c>
      <c r="W68" s="17">
        <f>IF(ISNUMBER(H68),MAX(0,MIN(IF(ISNUMBER(I68),I68,EOMONTH(요약!$B$3,0)),EOMONTH(요약!$B$3,0))-MAX(H68,요약!$B$3)+1),0)</f>
        <v/>
      </c>
      <c r="X68" s="10">
        <f>IF(OR(NOT(ISNUMBER(H68)),Q68=""),"",IF(TODAY()&lt;H68,"파견예정",IF(AND(ISNUMBER(I68),TODAY()&gt;I68),"파견종료","파견중")))</f>
        <v/>
      </c>
      <c r="Y68" s="10">
        <f>IF(OR(Q68="",X68=""),"",Q68&amp;"|"&amp;X68)</f>
        <v/>
      </c>
      <c r="Z68" s="10">
        <f>IF(AND(Q68&lt;&gt;"",W68&gt;0),Q68&amp;"|월","")</f>
        <v/>
      </c>
      <c r="AA68" s="10">
        <f>IF(COUNTA(B68:N68)=0,"",IF(Q68="","등록번호 없음",IF(LEFT(R68,1)="⚠","모병원명 미등록",IF(S68="","파견병원 입력",IF(LEFT(S68,1)="⚠","파견병원명 미등록",IF(LEFT(U68,1)="⚠","파견과목 미등록",IF(OR(T68="",LEFT(T68,1)="⚠"),"파견근거 확인",IF(NOT(AND(ISNUMBER(H68),ISNUMBER(I68))),"날짜 형식/누락",IF(I68&lt;H68,"종료일&lt;시작일","")))))))))</f>
        <v/>
      </c>
      <c r="AB68" s="11">
        <f>IF(ISNUMBER(SEARCH("다기관",TRIM(N68&amp;" "&amp;O68))),IFERROR(DATE(VALUE(MID(TRIM(N68&amp;" "&amp;O68),1,4)),VALUE(MID(TRIM(N68&amp;" "&amp;O68),6,2)),VALUE(MID(TRIM(N68&amp;" "&amp;O68),9,2))),IF(ISNUMBER(H68),H68,"")),"")</f>
        <v/>
      </c>
      <c r="AC68" s="11">
        <f>IF(ISNUMBER(SEARCH("다기관",TRIM(N68&amp;" "&amp;O68))),IFERROR(DATE(VALUE(MID(TRIM(N68&amp;" "&amp;O68),12,4)),VALUE(MID(TRIM(N68&amp;" "&amp;O68),17,2)),VALUE(MID(TRIM(N68&amp;" "&amp;O68),20,2))),IF(ISNUMBER(I68),I68,"")),"")</f>
        <v/>
      </c>
      <c r="AD68" s="17">
        <f>IF(AND(ISNUMBER(AB68),ISNUMBER(AC68)),MAX(0,MIN(AC68,EOMONTH(요약!$B$3,0))-MAX(AB68,요약!$B$3)+1),0)</f>
        <v/>
      </c>
      <c r="AE68" s="10">
        <f>IF(AND(Q68&lt;&gt;"",ISNUMBER(AB68)),Q68&amp;"|다기관","")</f>
        <v/>
      </c>
    </row>
    <row r="69">
      <c r="A69" s="15">
        <f>IF(F69="","",ROW()-3)</f>
        <v/>
      </c>
      <c r="B69" s="5" t="n"/>
      <c r="C69" s="15" t="n"/>
      <c r="D69" s="5" t="n"/>
      <c r="E69" s="15" t="n"/>
      <c r="F69" s="5" t="n"/>
      <c r="G69" s="6" t="n"/>
      <c r="H69" s="16" t="n"/>
      <c r="I69" s="16" t="n"/>
      <c r="J69" s="15">
        <f>IF(AND(ISNUMBER(H69),ISNUMBER(I69)),I69-H69+1,"")</f>
        <v/>
      </c>
      <c r="K69" s="5" t="n"/>
      <c r="L69" s="5" t="n"/>
      <c r="M69" s="5" t="n"/>
      <c r="N69" s="5" t="n"/>
      <c r="O69" s="5" t="n"/>
      <c r="Q69" s="10">
        <f>IF(TRIM(G69&amp;"")="","",TRIM(G69&amp;""))</f>
        <v/>
      </c>
      <c r="R69" s="10">
        <f>IF(TRIM(B69&amp;"")="","",IFERROR(INDEX(코드표!$K$2:$K$101,MATCH(TRIM(B69&amp;""),코드표!$J$2:$J$101,0)),"⚠"&amp;TRIM(B69&amp;"")))</f>
        <v/>
      </c>
      <c r="S69" s="10">
        <f>IF(TRIM(K69&amp;"")="","",IFERROR(INDEX(코드표!$K$2:$K$101,MATCH(TRIM(K69&amp;""),코드표!$J$2:$J$101,0)),"⚠"&amp;TRIM(K69&amp;"")))</f>
        <v/>
      </c>
      <c r="T69" s="10">
        <f>IF(TRIM(M69&amp;"")="","",IF(ISNUMBER(MATCH(TRIM(M69&amp;""),코드표!$C$2:$C$11,0)),TRIM(M69&amp;""),"⚠"&amp;TRIM(M69&amp;"")))</f>
        <v/>
      </c>
      <c r="U69" s="10">
        <f>IF(TRIM(L69&amp;"")="","",IFERROR(INDEX(코드표!$G$2:$G$101,MATCH(TRIM(L69&amp;""),코드표!$F$2:$F$101,0)),"⚠"&amp;TRIM(L69&amp;"")))</f>
        <v/>
      </c>
      <c r="V69" s="10">
        <f>IF(AND(ISNUMBER(H69),ISNUMBER(I69)),I69-H69+1,"")</f>
        <v/>
      </c>
      <c r="W69" s="17">
        <f>IF(ISNUMBER(H69),MAX(0,MIN(IF(ISNUMBER(I69),I69,EOMONTH(요약!$B$3,0)),EOMONTH(요약!$B$3,0))-MAX(H69,요약!$B$3)+1),0)</f>
        <v/>
      </c>
      <c r="X69" s="10">
        <f>IF(OR(NOT(ISNUMBER(H69)),Q69=""),"",IF(TODAY()&lt;H69,"파견예정",IF(AND(ISNUMBER(I69),TODAY()&gt;I69),"파견종료","파견중")))</f>
        <v/>
      </c>
      <c r="Y69" s="10">
        <f>IF(OR(Q69="",X69=""),"",Q69&amp;"|"&amp;X69)</f>
        <v/>
      </c>
      <c r="Z69" s="10">
        <f>IF(AND(Q69&lt;&gt;"",W69&gt;0),Q69&amp;"|월","")</f>
        <v/>
      </c>
      <c r="AA69" s="10">
        <f>IF(COUNTA(B69:N69)=0,"",IF(Q69="","등록번호 없음",IF(LEFT(R69,1)="⚠","모병원명 미등록",IF(S69="","파견병원 입력",IF(LEFT(S69,1)="⚠","파견병원명 미등록",IF(LEFT(U69,1)="⚠","파견과목 미등록",IF(OR(T69="",LEFT(T69,1)="⚠"),"파견근거 확인",IF(NOT(AND(ISNUMBER(H69),ISNUMBER(I69))),"날짜 형식/누락",IF(I69&lt;H69,"종료일&lt;시작일","")))))))))</f>
        <v/>
      </c>
      <c r="AB69" s="11">
        <f>IF(ISNUMBER(SEARCH("다기관",TRIM(N69&amp;" "&amp;O69))),IFERROR(DATE(VALUE(MID(TRIM(N69&amp;" "&amp;O69),1,4)),VALUE(MID(TRIM(N69&amp;" "&amp;O69),6,2)),VALUE(MID(TRIM(N69&amp;" "&amp;O69),9,2))),IF(ISNUMBER(H69),H69,"")),"")</f>
        <v/>
      </c>
      <c r="AC69" s="11">
        <f>IF(ISNUMBER(SEARCH("다기관",TRIM(N69&amp;" "&amp;O69))),IFERROR(DATE(VALUE(MID(TRIM(N69&amp;" "&amp;O69),12,4)),VALUE(MID(TRIM(N69&amp;" "&amp;O69),17,2)),VALUE(MID(TRIM(N69&amp;" "&amp;O69),20,2))),IF(ISNUMBER(I69),I69,"")),"")</f>
        <v/>
      </c>
      <c r="AD69" s="17">
        <f>IF(AND(ISNUMBER(AB69),ISNUMBER(AC69)),MAX(0,MIN(AC69,EOMONTH(요약!$B$3,0))-MAX(AB69,요약!$B$3)+1),0)</f>
        <v/>
      </c>
      <c r="AE69" s="10">
        <f>IF(AND(Q69&lt;&gt;"",ISNUMBER(AB69)),Q69&amp;"|다기관","")</f>
        <v/>
      </c>
    </row>
    <row r="70">
      <c r="A70" s="15">
        <f>IF(F70="","",ROW()-3)</f>
        <v/>
      </c>
      <c r="B70" s="5" t="n"/>
      <c r="C70" s="15" t="n"/>
      <c r="D70" s="5" t="n"/>
      <c r="E70" s="15" t="n"/>
      <c r="F70" s="5" t="n"/>
      <c r="G70" s="6" t="n"/>
      <c r="H70" s="16" t="n"/>
      <c r="I70" s="16" t="n"/>
      <c r="J70" s="15">
        <f>IF(AND(ISNUMBER(H70),ISNUMBER(I70)),I70-H70+1,"")</f>
        <v/>
      </c>
      <c r="K70" s="5" t="n"/>
      <c r="L70" s="5" t="n"/>
      <c r="M70" s="5" t="n"/>
      <c r="N70" s="5" t="n"/>
      <c r="O70" s="5" t="n"/>
      <c r="Q70" s="10">
        <f>IF(TRIM(G70&amp;"")="","",TRIM(G70&amp;""))</f>
        <v/>
      </c>
      <c r="R70" s="10">
        <f>IF(TRIM(B70&amp;"")="","",IFERROR(INDEX(코드표!$K$2:$K$101,MATCH(TRIM(B70&amp;""),코드표!$J$2:$J$101,0)),"⚠"&amp;TRIM(B70&amp;"")))</f>
        <v/>
      </c>
      <c r="S70" s="10">
        <f>IF(TRIM(K70&amp;"")="","",IFERROR(INDEX(코드표!$K$2:$K$101,MATCH(TRIM(K70&amp;""),코드표!$J$2:$J$101,0)),"⚠"&amp;TRIM(K70&amp;"")))</f>
        <v/>
      </c>
      <c r="T70" s="10">
        <f>IF(TRIM(M70&amp;"")="","",IF(ISNUMBER(MATCH(TRIM(M70&amp;""),코드표!$C$2:$C$11,0)),TRIM(M70&amp;""),"⚠"&amp;TRIM(M70&amp;"")))</f>
        <v/>
      </c>
      <c r="U70" s="10">
        <f>IF(TRIM(L70&amp;"")="","",IFERROR(INDEX(코드표!$G$2:$G$101,MATCH(TRIM(L70&amp;""),코드표!$F$2:$F$101,0)),"⚠"&amp;TRIM(L70&amp;"")))</f>
        <v/>
      </c>
      <c r="V70" s="10">
        <f>IF(AND(ISNUMBER(H70),ISNUMBER(I70)),I70-H70+1,"")</f>
        <v/>
      </c>
      <c r="W70" s="17">
        <f>IF(ISNUMBER(H70),MAX(0,MIN(IF(ISNUMBER(I70),I70,EOMONTH(요약!$B$3,0)),EOMONTH(요약!$B$3,0))-MAX(H70,요약!$B$3)+1),0)</f>
        <v/>
      </c>
      <c r="X70" s="10">
        <f>IF(OR(NOT(ISNUMBER(H70)),Q70=""),"",IF(TODAY()&lt;H70,"파견예정",IF(AND(ISNUMBER(I70),TODAY()&gt;I70),"파견종료","파견중")))</f>
        <v/>
      </c>
      <c r="Y70" s="10">
        <f>IF(OR(Q70="",X70=""),"",Q70&amp;"|"&amp;X70)</f>
        <v/>
      </c>
      <c r="Z70" s="10">
        <f>IF(AND(Q70&lt;&gt;"",W70&gt;0),Q70&amp;"|월","")</f>
        <v/>
      </c>
      <c r="AA70" s="10">
        <f>IF(COUNTA(B70:N70)=0,"",IF(Q70="","등록번호 없음",IF(LEFT(R70,1)="⚠","모병원명 미등록",IF(S70="","파견병원 입력",IF(LEFT(S70,1)="⚠","파견병원명 미등록",IF(LEFT(U70,1)="⚠","파견과목 미등록",IF(OR(T70="",LEFT(T70,1)="⚠"),"파견근거 확인",IF(NOT(AND(ISNUMBER(H70),ISNUMBER(I70))),"날짜 형식/누락",IF(I70&lt;H70,"종료일&lt;시작일","")))))))))</f>
        <v/>
      </c>
      <c r="AB70" s="11">
        <f>IF(ISNUMBER(SEARCH("다기관",TRIM(N70&amp;" "&amp;O70))),IFERROR(DATE(VALUE(MID(TRIM(N70&amp;" "&amp;O70),1,4)),VALUE(MID(TRIM(N70&amp;" "&amp;O70),6,2)),VALUE(MID(TRIM(N70&amp;" "&amp;O70),9,2))),IF(ISNUMBER(H70),H70,"")),"")</f>
        <v/>
      </c>
      <c r="AC70" s="11">
        <f>IF(ISNUMBER(SEARCH("다기관",TRIM(N70&amp;" "&amp;O70))),IFERROR(DATE(VALUE(MID(TRIM(N70&amp;" "&amp;O70),12,4)),VALUE(MID(TRIM(N70&amp;" "&amp;O70),17,2)),VALUE(MID(TRIM(N70&amp;" "&amp;O70),20,2))),IF(ISNUMBER(I70),I70,"")),"")</f>
        <v/>
      </c>
      <c r="AD70" s="17">
        <f>IF(AND(ISNUMBER(AB70),ISNUMBER(AC70)),MAX(0,MIN(AC70,EOMONTH(요약!$B$3,0))-MAX(AB70,요약!$B$3)+1),0)</f>
        <v/>
      </c>
      <c r="AE70" s="10">
        <f>IF(AND(Q70&lt;&gt;"",ISNUMBER(AB70)),Q70&amp;"|다기관","")</f>
        <v/>
      </c>
    </row>
    <row r="71">
      <c r="A71" s="15">
        <f>IF(F71="","",ROW()-3)</f>
        <v/>
      </c>
      <c r="B71" s="5" t="n"/>
      <c r="C71" s="15" t="n"/>
      <c r="D71" s="5" t="n"/>
      <c r="E71" s="15" t="n"/>
      <c r="F71" s="5" t="n"/>
      <c r="G71" s="6" t="n"/>
      <c r="H71" s="16" t="n"/>
      <c r="I71" s="16" t="n"/>
      <c r="J71" s="15">
        <f>IF(AND(ISNUMBER(H71),ISNUMBER(I71)),I71-H71+1,"")</f>
        <v/>
      </c>
      <c r="K71" s="5" t="n"/>
      <c r="L71" s="5" t="n"/>
      <c r="M71" s="5" t="n"/>
      <c r="N71" s="5" t="n"/>
      <c r="O71" s="5" t="n"/>
      <c r="Q71" s="10">
        <f>IF(TRIM(G71&amp;"")="","",TRIM(G71&amp;""))</f>
        <v/>
      </c>
      <c r="R71" s="10">
        <f>IF(TRIM(B71&amp;"")="","",IFERROR(INDEX(코드표!$K$2:$K$101,MATCH(TRIM(B71&amp;""),코드표!$J$2:$J$101,0)),"⚠"&amp;TRIM(B71&amp;"")))</f>
        <v/>
      </c>
      <c r="S71" s="10">
        <f>IF(TRIM(K71&amp;"")="","",IFERROR(INDEX(코드표!$K$2:$K$101,MATCH(TRIM(K71&amp;""),코드표!$J$2:$J$101,0)),"⚠"&amp;TRIM(K71&amp;"")))</f>
        <v/>
      </c>
      <c r="T71" s="10">
        <f>IF(TRIM(M71&amp;"")="","",IF(ISNUMBER(MATCH(TRIM(M71&amp;""),코드표!$C$2:$C$11,0)),TRIM(M71&amp;""),"⚠"&amp;TRIM(M71&amp;"")))</f>
        <v/>
      </c>
      <c r="U71" s="10">
        <f>IF(TRIM(L71&amp;"")="","",IFERROR(INDEX(코드표!$G$2:$G$101,MATCH(TRIM(L71&amp;""),코드표!$F$2:$F$101,0)),"⚠"&amp;TRIM(L71&amp;"")))</f>
        <v/>
      </c>
      <c r="V71" s="10">
        <f>IF(AND(ISNUMBER(H71),ISNUMBER(I71)),I71-H71+1,"")</f>
        <v/>
      </c>
      <c r="W71" s="17">
        <f>IF(ISNUMBER(H71),MAX(0,MIN(IF(ISNUMBER(I71),I71,EOMONTH(요약!$B$3,0)),EOMONTH(요약!$B$3,0))-MAX(H71,요약!$B$3)+1),0)</f>
        <v/>
      </c>
      <c r="X71" s="10">
        <f>IF(OR(NOT(ISNUMBER(H71)),Q71=""),"",IF(TODAY()&lt;H71,"파견예정",IF(AND(ISNUMBER(I71),TODAY()&gt;I71),"파견종료","파견중")))</f>
        <v/>
      </c>
      <c r="Y71" s="10">
        <f>IF(OR(Q71="",X71=""),"",Q71&amp;"|"&amp;X71)</f>
        <v/>
      </c>
      <c r="Z71" s="10">
        <f>IF(AND(Q71&lt;&gt;"",W71&gt;0),Q71&amp;"|월","")</f>
        <v/>
      </c>
      <c r="AA71" s="10">
        <f>IF(COUNTA(B71:N71)=0,"",IF(Q71="","등록번호 없음",IF(LEFT(R71,1)="⚠","모병원명 미등록",IF(S71="","파견병원 입력",IF(LEFT(S71,1)="⚠","파견병원명 미등록",IF(LEFT(U71,1)="⚠","파견과목 미등록",IF(OR(T71="",LEFT(T71,1)="⚠"),"파견근거 확인",IF(NOT(AND(ISNUMBER(H71),ISNUMBER(I71))),"날짜 형식/누락",IF(I71&lt;H71,"종료일&lt;시작일","")))))))))</f>
        <v/>
      </c>
      <c r="AB71" s="11">
        <f>IF(ISNUMBER(SEARCH("다기관",TRIM(N71&amp;" "&amp;O71))),IFERROR(DATE(VALUE(MID(TRIM(N71&amp;" "&amp;O71),1,4)),VALUE(MID(TRIM(N71&amp;" "&amp;O71),6,2)),VALUE(MID(TRIM(N71&amp;" "&amp;O71),9,2))),IF(ISNUMBER(H71),H71,"")),"")</f>
        <v/>
      </c>
      <c r="AC71" s="11">
        <f>IF(ISNUMBER(SEARCH("다기관",TRIM(N71&amp;" "&amp;O71))),IFERROR(DATE(VALUE(MID(TRIM(N71&amp;" "&amp;O71),12,4)),VALUE(MID(TRIM(N71&amp;" "&amp;O71),17,2)),VALUE(MID(TRIM(N71&amp;" "&amp;O71),20,2))),IF(ISNUMBER(I71),I71,"")),"")</f>
        <v/>
      </c>
      <c r="AD71" s="17">
        <f>IF(AND(ISNUMBER(AB71),ISNUMBER(AC71)),MAX(0,MIN(AC71,EOMONTH(요약!$B$3,0))-MAX(AB71,요약!$B$3)+1),0)</f>
        <v/>
      </c>
      <c r="AE71" s="10">
        <f>IF(AND(Q71&lt;&gt;"",ISNUMBER(AB71)),Q71&amp;"|다기관","")</f>
        <v/>
      </c>
    </row>
    <row r="72">
      <c r="A72" s="15">
        <f>IF(F72="","",ROW()-3)</f>
        <v/>
      </c>
      <c r="B72" s="5" t="n"/>
      <c r="C72" s="15" t="n"/>
      <c r="D72" s="5" t="n"/>
      <c r="E72" s="15" t="n"/>
      <c r="F72" s="5" t="n"/>
      <c r="G72" s="6" t="n"/>
      <c r="H72" s="16" t="n"/>
      <c r="I72" s="16" t="n"/>
      <c r="J72" s="15">
        <f>IF(AND(ISNUMBER(H72),ISNUMBER(I72)),I72-H72+1,"")</f>
        <v/>
      </c>
      <c r="K72" s="5" t="n"/>
      <c r="L72" s="5" t="n"/>
      <c r="M72" s="5" t="n"/>
      <c r="N72" s="5" t="n"/>
      <c r="O72" s="5" t="n"/>
      <c r="Q72" s="10">
        <f>IF(TRIM(G72&amp;"")="","",TRIM(G72&amp;""))</f>
        <v/>
      </c>
      <c r="R72" s="10">
        <f>IF(TRIM(B72&amp;"")="","",IFERROR(INDEX(코드표!$K$2:$K$101,MATCH(TRIM(B72&amp;""),코드표!$J$2:$J$101,0)),"⚠"&amp;TRIM(B72&amp;"")))</f>
        <v/>
      </c>
      <c r="S72" s="10">
        <f>IF(TRIM(K72&amp;"")="","",IFERROR(INDEX(코드표!$K$2:$K$101,MATCH(TRIM(K72&amp;""),코드표!$J$2:$J$101,0)),"⚠"&amp;TRIM(K72&amp;"")))</f>
        <v/>
      </c>
      <c r="T72" s="10">
        <f>IF(TRIM(M72&amp;"")="","",IF(ISNUMBER(MATCH(TRIM(M72&amp;""),코드표!$C$2:$C$11,0)),TRIM(M72&amp;""),"⚠"&amp;TRIM(M72&amp;"")))</f>
        <v/>
      </c>
      <c r="U72" s="10">
        <f>IF(TRIM(L72&amp;"")="","",IFERROR(INDEX(코드표!$G$2:$G$101,MATCH(TRIM(L72&amp;""),코드표!$F$2:$F$101,0)),"⚠"&amp;TRIM(L72&amp;"")))</f>
        <v/>
      </c>
      <c r="V72" s="10">
        <f>IF(AND(ISNUMBER(H72),ISNUMBER(I72)),I72-H72+1,"")</f>
        <v/>
      </c>
      <c r="W72" s="17">
        <f>IF(ISNUMBER(H72),MAX(0,MIN(IF(ISNUMBER(I72),I72,EOMONTH(요약!$B$3,0)),EOMONTH(요약!$B$3,0))-MAX(H72,요약!$B$3)+1),0)</f>
        <v/>
      </c>
      <c r="X72" s="10">
        <f>IF(OR(NOT(ISNUMBER(H72)),Q72=""),"",IF(TODAY()&lt;H72,"파견예정",IF(AND(ISNUMBER(I72),TODAY()&gt;I72),"파견종료","파견중")))</f>
        <v/>
      </c>
      <c r="Y72" s="10">
        <f>IF(OR(Q72="",X72=""),"",Q72&amp;"|"&amp;X72)</f>
        <v/>
      </c>
      <c r="Z72" s="10">
        <f>IF(AND(Q72&lt;&gt;"",W72&gt;0),Q72&amp;"|월","")</f>
        <v/>
      </c>
      <c r="AA72" s="10">
        <f>IF(COUNTA(B72:N72)=0,"",IF(Q72="","등록번호 없음",IF(LEFT(R72,1)="⚠","모병원명 미등록",IF(S72="","파견병원 입력",IF(LEFT(S72,1)="⚠","파견병원명 미등록",IF(LEFT(U72,1)="⚠","파견과목 미등록",IF(OR(T72="",LEFT(T72,1)="⚠"),"파견근거 확인",IF(NOT(AND(ISNUMBER(H72),ISNUMBER(I72))),"날짜 형식/누락",IF(I72&lt;H72,"종료일&lt;시작일","")))))))))</f>
        <v/>
      </c>
      <c r="AB72" s="11">
        <f>IF(ISNUMBER(SEARCH("다기관",TRIM(N72&amp;" "&amp;O72))),IFERROR(DATE(VALUE(MID(TRIM(N72&amp;" "&amp;O72),1,4)),VALUE(MID(TRIM(N72&amp;" "&amp;O72),6,2)),VALUE(MID(TRIM(N72&amp;" "&amp;O72),9,2))),IF(ISNUMBER(H72),H72,"")),"")</f>
        <v/>
      </c>
      <c r="AC72" s="11">
        <f>IF(ISNUMBER(SEARCH("다기관",TRIM(N72&amp;" "&amp;O72))),IFERROR(DATE(VALUE(MID(TRIM(N72&amp;" "&amp;O72),12,4)),VALUE(MID(TRIM(N72&amp;" "&amp;O72),17,2)),VALUE(MID(TRIM(N72&amp;" "&amp;O72),20,2))),IF(ISNUMBER(I72),I72,"")),"")</f>
        <v/>
      </c>
      <c r="AD72" s="17">
        <f>IF(AND(ISNUMBER(AB72),ISNUMBER(AC72)),MAX(0,MIN(AC72,EOMONTH(요약!$B$3,0))-MAX(AB72,요약!$B$3)+1),0)</f>
        <v/>
      </c>
      <c r="AE72" s="10">
        <f>IF(AND(Q72&lt;&gt;"",ISNUMBER(AB72)),Q72&amp;"|다기관","")</f>
        <v/>
      </c>
    </row>
    <row r="73">
      <c r="A73" s="15">
        <f>IF(F73="","",ROW()-3)</f>
        <v/>
      </c>
      <c r="B73" s="5" t="n"/>
      <c r="C73" s="15" t="n"/>
      <c r="D73" s="5" t="n"/>
      <c r="E73" s="15" t="n"/>
      <c r="F73" s="5" t="n"/>
      <c r="G73" s="6" t="n"/>
      <c r="H73" s="16" t="n"/>
      <c r="I73" s="16" t="n"/>
      <c r="J73" s="15">
        <f>IF(AND(ISNUMBER(H73),ISNUMBER(I73)),I73-H73+1,"")</f>
        <v/>
      </c>
      <c r="K73" s="5" t="n"/>
      <c r="L73" s="5" t="n"/>
      <c r="M73" s="5" t="n"/>
      <c r="N73" s="5" t="n"/>
      <c r="O73" s="5" t="n"/>
      <c r="Q73" s="10">
        <f>IF(TRIM(G73&amp;"")="","",TRIM(G73&amp;""))</f>
        <v/>
      </c>
      <c r="R73" s="10">
        <f>IF(TRIM(B73&amp;"")="","",IFERROR(INDEX(코드표!$K$2:$K$101,MATCH(TRIM(B73&amp;""),코드표!$J$2:$J$101,0)),"⚠"&amp;TRIM(B73&amp;"")))</f>
        <v/>
      </c>
      <c r="S73" s="10">
        <f>IF(TRIM(K73&amp;"")="","",IFERROR(INDEX(코드표!$K$2:$K$101,MATCH(TRIM(K73&amp;""),코드표!$J$2:$J$101,0)),"⚠"&amp;TRIM(K73&amp;"")))</f>
        <v/>
      </c>
      <c r="T73" s="10">
        <f>IF(TRIM(M73&amp;"")="","",IF(ISNUMBER(MATCH(TRIM(M73&amp;""),코드표!$C$2:$C$11,0)),TRIM(M73&amp;""),"⚠"&amp;TRIM(M73&amp;"")))</f>
        <v/>
      </c>
      <c r="U73" s="10">
        <f>IF(TRIM(L73&amp;"")="","",IFERROR(INDEX(코드표!$G$2:$G$101,MATCH(TRIM(L73&amp;""),코드표!$F$2:$F$101,0)),"⚠"&amp;TRIM(L73&amp;"")))</f>
        <v/>
      </c>
      <c r="V73" s="10">
        <f>IF(AND(ISNUMBER(H73),ISNUMBER(I73)),I73-H73+1,"")</f>
        <v/>
      </c>
      <c r="W73" s="17">
        <f>IF(ISNUMBER(H73),MAX(0,MIN(IF(ISNUMBER(I73),I73,EOMONTH(요약!$B$3,0)),EOMONTH(요약!$B$3,0))-MAX(H73,요약!$B$3)+1),0)</f>
        <v/>
      </c>
      <c r="X73" s="10">
        <f>IF(OR(NOT(ISNUMBER(H73)),Q73=""),"",IF(TODAY()&lt;H73,"파견예정",IF(AND(ISNUMBER(I73),TODAY()&gt;I73),"파견종료","파견중")))</f>
        <v/>
      </c>
      <c r="Y73" s="10">
        <f>IF(OR(Q73="",X73=""),"",Q73&amp;"|"&amp;X73)</f>
        <v/>
      </c>
      <c r="Z73" s="10">
        <f>IF(AND(Q73&lt;&gt;"",W73&gt;0),Q73&amp;"|월","")</f>
        <v/>
      </c>
      <c r="AA73" s="10">
        <f>IF(COUNTA(B73:N73)=0,"",IF(Q73="","등록번호 없음",IF(LEFT(R73,1)="⚠","모병원명 미등록",IF(S73="","파견병원 입력",IF(LEFT(S73,1)="⚠","파견병원명 미등록",IF(LEFT(U73,1)="⚠","파견과목 미등록",IF(OR(T73="",LEFT(T73,1)="⚠"),"파견근거 확인",IF(NOT(AND(ISNUMBER(H73),ISNUMBER(I73))),"날짜 형식/누락",IF(I73&lt;H73,"종료일&lt;시작일","")))))))))</f>
        <v/>
      </c>
      <c r="AB73" s="11">
        <f>IF(ISNUMBER(SEARCH("다기관",TRIM(N73&amp;" "&amp;O73))),IFERROR(DATE(VALUE(MID(TRIM(N73&amp;" "&amp;O73),1,4)),VALUE(MID(TRIM(N73&amp;" "&amp;O73),6,2)),VALUE(MID(TRIM(N73&amp;" "&amp;O73),9,2))),IF(ISNUMBER(H73),H73,"")),"")</f>
        <v/>
      </c>
      <c r="AC73" s="11">
        <f>IF(ISNUMBER(SEARCH("다기관",TRIM(N73&amp;" "&amp;O73))),IFERROR(DATE(VALUE(MID(TRIM(N73&amp;" "&amp;O73),12,4)),VALUE(MID(TRIM(N73&amp;" "&amp;O73),17,2)),VALUE(MID(TRIM(N73&amp;" "&amp;O73),20,2))),IF(ISNUMBER(I73),I73,"")),"")</f>
        <v/>
      </c>
      <c r="AD73" s="17">
        <f>IF(AND(ISNUMBER(AB73),ISNUMBER(AC73)),MAX(0,MIN(AC73,EOMONTH(요약!$B$3,0))-MAX(AB73,요약!$B$3)+1),0)</f>
        <v/>
      </c>
      <c r="AE73" s="10">
        <f>IF(AND(Q73&lt;&gt;"",ISNUMBER(AB73)),Q73&amp;"|다기관","")</f>
        <v/>
      </c>
    </row>
    <row r="74">
      <c r="A74" s="15">
        <f>IF(F74="","",ROW()-3)</f>
        <v/>
      </c>
      <c r="B74" s="5" t="n"/>
      <c r="C74" s="15" t="n"/>
      <c r="D74" s="5" t="n"/>
      <c r="E74" s="15" t="n"/>
      <c r="F74" s="5" t="n"/>
      <c r="G74" s="6" t="n"/>
      <c r="H74" s="16" t="n"/>
      <c r="I74" s="16" t="n"/>
      <c r="J74" s="15">
        <f>IF(AND(ISNUMBER(H74),ISNUMBER(I74)),I74-H74+1,"")</f>
        <v/>
      </c>
      <c r="K74" s="5" t="n"/>
      <c r="L74" s="5" t="n"/>
      <c r="M74" s="5" t="n"/>
      <c r="N74" s="5" t="n"/>
      <c r="O74" s="5" t="n"/>
      <c r="Q74" s="10">
        <f>IF(TRIM(G74&amp;"")="","",TRIM(G74&amp;""))</f>
        <v/>
      </c>
      <c r="R74" s="10">
        <f>IF(TRIM(B74&amp;"")="","",IFERROR(INDEX(코드표!$K$2:$K$101,MATCH(TRIM(B74&amp;""),코드표!$J$2:$J$101,0)),"⚠"&amp;TRIM(B74&amp;"")))</f>
        <v/>
      </c>
      <c r="S74" s="10">
        <f>IF(TRIM(K74&amp;"")="","",IFERROR(INDEX(코드표!$K$2:$K$101,MATCH(TRIM(K74&amp;""),코드표!$J$2:$J$101,0)),"⚠"&amp;TRIM(K74&amp;"")))</f>
        <v/>
      </c>
      <c r="T74" s="10">
        <f>IF(TRIM(M74&amp;"")="","",IF(ISNUMBER(MATCH(TRIM(M74&amp;""),코드표!$C$2:$C$11,0)),TRIM(M74&amp;""),"⚠"&amp;TRIM(M74&amp;"")))</f>
        <v/>
      </c>
      <c r="U74" s="10">
        <f>IF(TRIM(L74&amp;"")="","",IFERROR(INDEX(코드표!$G$2:$G$101,MATCH(TRIM(L74&amp;""),코드표!$F$2:$F$101,0)),"⚠"&amp;TRIM(L74&amp;"")))</f>
        <v/>
      </c>
      <c r="V74" s="10">
        <f>IF(AND(ISNUMBER(H74),ISNUMBER(I74)),I74-H74+1,"")</f>
        <v/>
      </c>
      <c r="W74" s="17">
        <f>IF(ISNUMBER(H74),MAX(0,MIN(IF(ISNUMBER(I74),I74,EOMONTH(요약!$B$3,0)),EOMONTH(요약!$B$3,0))-MAX(H74,요약!$B$3)+1),0)</f>
        <v/>
      </c>
      <c r="X74" s="10">
        <f>IF(OR(NOT(ISNUMBER(H74)),Q74=""),"",IF(TODAY()&lt;H74,"파견예정",IF(AND(ISNUMBER(I74),TODAY()&gt;I74),"파견종료","파견중")))</f>
        <v/>
      </c>
      <c r="Y74" s="10">
        <f>IF(OR(Q74="",X74=""),"",Q74&amp;"|"&amp;X74)</f>
        <v/>
      </c>
      <c r="Z74" s="10">
        <f>IF(AND(Q74&lt;&gt;"",W74&gt;0),Q74&amp;"|월","")</f>
        <v/>
      </c>
      <c r="AA74" s="10">
        <f>IF(COUNTA(B74:N74)=0,"",IF(Q74="","등록번호 없음",IF(LEFT(R74,1)="⚠","모병원명 미등록",IF(S74="","파견병원 입력",IF(LEFT(S74,1)="⚠","파견병원명 미등록",IF(LEFT(U74,1)="⚠","파견과목 미등록",IF(OR(T74="",LEFT(T74,1)="⚠"),"파견근거 확인",IF(NOT(AND(ISNUMBER(H74),ISNUMBER(I74))),"날짜 형식/누락",IF(I74&lt;H74,"종료일&lt;시작일","")))))))))</f>
        <v/>
      </c>
      <c r="AB74" s="11">
        <f>IF(ISNUMBER(SEARCH("다기관",TRIM(N74&amp;" "&amp;O74))),IFERROR(DATE(VALUE(MID(TRIM(N74&amp;" "&amp;O74),1,4)),VALUE(MID(TRIM(N74&amp;" "&amp;O74),6,2)),VALUE(MID(TRIM(N74&amp;" "&amp;O74),9,2))),IF(ISNUMBER(H74),H74,"")),"")</f>
        <v/>
      </c>
      <c r="AC74" s="11">
        <f>IF(ISNUMBER(SEARCH("다기관",TRIM(N74&amp;" "&amp;O74))),IFERROR(DATE(VALUE(MID(TRIM(N74&amp;" "&amp;O74),12,4)),VALUE(MID(TRIM(N74&amp;" "&amp;O74),17,2)),VALUE(MID(TRIM(N74&amp;" "&amp;O74),20,2))),IF(ISNUMBER(I74),I74,"")),"")</f>
        <v/>
      </c>
      <c r="AD74" s="17">
        <f>IF(AND(ISNUMBER(AB74),ISNUMBER(AC74)),MAX(0,MIN(AC74,EOMONTH(요약!$B$3,0))-MAX(AB74,요약!$B$3)+1),0)</f>
        <v/>
      </c>
      <c r="AE74" s="10">
        <f>IF(AND(Q74&lt;&gt;"",ISNUMBER(AB74)),Q74&amp;"|다기관","")</f>
        <v/>
      </c>
    </row>
    <row r="75">
      <c r="A75" s="15">
        <f>IF(F75="","",ROW()-3)</f>
        <v/>
      </c>
      <c r="B75" s="5" t="n"/>
      <c r="C75" s="15" t="n"/>
      <c r="D75" s="5" t="n"/>
      <c r="E75" s="15" t="n"/>
      <c r="F75" s="5" t="n"/>
      <c r="G75" s="6" t="n"/>
      <c r="H75" s="16" t="n"/>
      <c r="I75" s="16" t="n"/>
      <c r="J75" s="15">
        <f>IF(AND(ISNUMBER(H75),ISNUMBER(I75)),I75-H75+1,"")</f>
        <v/>
      </c>
      <c r="K75" s="5" t="n"/>
      <c r="L75" s="5" t="n"/>
      <c r="M75" s="5" t="n"/>
      <c r="N75" s="5" t="n"/>
      <c r="O75" s="5" t="n"/>
      <c r="Q75" s="10">
        <f>IF(TRIM(G75&amp;"")="","",TRIM(G75&amp;""))</f>
        <v/>
      </c>
      <c r="R75" s="10">
        <f>IF(TRIM(B75&amp;"")="","",IFERROR(INDEX(코드표!$K$2:$K$101,MATCH(TRIM(B75&amp;""),코드표!$J$2:$J$101,0)),"⚠"&amp;TRIM(B75&amp;"")))</f>
        <v/>
      </c>
      <c r="S75" s="10">
        <f>IF(TRIM(K75&amp;"")="","",IFERROR(INDEX(코드표!$K$2:$K$101,MATCH(TRIM(K75&amp;""),코드표!$J$2:$J$101,0)),"⚠"&amp;TRIM(K75&amp;"")))</f>
        <v/>
      </c>
      <c r="T75" s="10">
        <f>IF(TRIM(M75&amp;"")="","",IF(ISNUMBER(MATCH(TRIM(M75&amp;""),코드표!$C$2:$C$11,0)),TRIM(M75&amp;""),"⚠"&amp;TRIM(M75&amp;"")))</f>
        <v/>
      </c>
      <c r="U75" s="10">
        <f>IF(TRIM(L75&amp;"")="","",IFERROR(INDEX(코드표!$G$2:$G$101,MATCH(TRIM(L75&amp;""),코드표!$F$2:$F$101,0)),"⚠"&amp;TRIM(L75&amp;"")))</f>
        <v/>
      </c>
      <c r="V75" s="10">
        <f>IF(AND(ISNUMBER(H75),ISNUMBER(I75)),I75-H75+1,"")</f>
        <v/>
      </c>
      <c r="W75" s="17">
        <f>IF(ISNUMBER(H75),MAX(0,MIN(IF(ISNUMBER(I75),I75,EOMONTH(요약!$B$3,0)),EOMONTH(요약!$B$3,0))-MAX(H75,요약!$B$3)+1),0)</f>
        <v/>
      </c>
      <c r="X75" s="10">
        <f>IF(OR(NOT(ISNUMBER(H75)),Q75=""),"",IF(TODAY()&lt;H75,"파견예정",IF(AND(ISNUMBER(I75),TODAY()&gt;I75),"파견종료","파견중")))</f>
        <v/>
      </c>
      <c r="Y75" s="10">
        <f>IF(OR(Q75="",X75=""),"",Q75&amp;"|"&amp;X75)</f>
        <v/>
      </c>
      <c r="Z75" s="10">
        <f>IF(AND(Q75&lt;&gt;"",W75&gt;0),Q75&amp;"|월","")</f>
        <v/>
      </c>
      <c r="AA75" s="10">
        <f>IF(COUNTA(B75:N75)=0,"",IF(Q75="","등록번호 없음",IF(LEFT(R75,1)="⚠","모병원명 미등록",IF(S75="","파견병원 입력",IF(LEFT(S75,1)="⚠","파견병원명 미등록",IF(LEFT(U75,1)="⚠","파견과목 미등록",IF(OR(T75="",LEFT(T75,1)="⚠"),"파견근거 확인",IF(NOT(AND(ISNUMBER(H75),ISNUMBER(I75))),"날짜 형식/누락",IF(I75&lt;H75,"종료일&lt;시작일","")))))))))</f>
        <v/>
      </c>
      <c r="AB75" s="11">
        <f>IF(ISNUMBER(SEARCH("다기관",TRIM(N75&amp;" "&amp;O75))),IFERROR(DATE(VALUE(MID(TRIM(N75&amp;" "&amp;O75),1,4)),VALUE(MID(TRIM(N75&amp;" "&amp;O75),6,2)),VALUE(MID(TRIM(N75&amp;" "&amp;O75),9,2))),IF(ISNUMBER(H75),H75,"")),"")</f>
        <v/>
      </c>
      <c r="AC75" s="11">
        <f>IF(ISNUMBER(SEARCH("다기관",TRIM(N75&amp;" "&amp;O75))),IFERROR(DATE(VALUE(MID(TRIM(N75&amp;" "&amp;O75),12,4)),VALUE(MID(TRIM(N75&amp;" "&amp;O75),17,2)),VALUE(MID(TRIM(N75&amp;" "&amp;O75),20,2))),IF(ISNUMBER(I75),I75,"")),"")</f>
        <v/>
      </c>
      <c r="AD75" s="17">
        <f>IF(AND(ISNUMBER(AB75),ISNUMBER(AC75)),MAX(0,MIN(AC75,EOMONTH(요약!$B$3,0))-MAX(AB75,요약!$B$3)+1),0)</f>
        <v/>
      </c>
      <c r="AE75" s="10">
        <f>IF(AND(Q75&lt;&gt;"",ISNUMBER(AB75)),Q75&amp;"|다기관","")</f>
        <v/>
      </c>
    </row>
    <row r="76">
      <c r="A76" s="15">
        <f>IF(F76="","",ROW()-3)</f>
        <v/>
      </c>
      <c r="B76" s="5" t="n"/>
      <c r="C76" s="15" t="n"/>
      <c r="D76" s="5" t="n"/>
      <c r="E76" s="15" t="n"/>
      <c r="F76" s="5" t="n"/>
      <c r="G76" s="6" t="n"/>
      <c r="H76" s="16" t="n"/>
      <c r="I76" s="16" t="n"/>
      <c r="J76" s="15">
        <f>IF(AND(ISNUMBER(H76),ISNUMBER(I76)),I76-H76+1,"")</f>
        <v/>
      </c>
      <c r="K76" s="5" t="n"/>
      <c r="L76" s="5" t="n"/>
      <c r="M76" s="5" t="n"/>
      <c r="N76" s="5" t="n"/>
      <c r="O76" s="5" t="n"/>
      <c r="Q76" s="10">
        <f>IF(TRIM(G76&amp;"")="","",TRIM(G76&amp;""))</f>
        <v/>
      </c>
      <c r="R76" s="10">
        <f>IF(TRIM(B76&amp;"")="","",IFERROR(INDEX(코드표!$K$2:$K$101,MATCH(TRIM(B76&amp;""),코드표!$J$2:$J$101,0)),"⚠"&amp;TRIM(B76&amp;"")))</f>
        <v/>
      </c>
      <c r="S76" s="10">
        <f>IF(TRIM(K76&amp;"")="","",IFERROR(INDEX(코드표!$K$2:$K$101,MATCH(TRIM(K76&amp;""),코드표!$J$2:$J$101,0)),"⚠"&amp;TRIM(K76&amp;"")))</f>
        <v/>
      </c>
      <c r="T76" s="10">
        <f>IF(TRIM(M76&amp;"")="","",IF(ISNUMBER(MATCH(TRIM(M76&amp;""),코드표!$C$2:$C$11,0)),TRIM(M76&amp;""),"⚠"&amp;TRIM(M76&amp;"")))</f>
        <v/>
      </c>
      <c r="U76" s="10">
        <f>IF(TRIM(L76&amp;"")="","",IFERROR(INDEX(코드표!$G$2:$G$101,MATCH(TRIM(L76&amp;""),코드표!$F$2:$F$101,0)),"⚠"&amp;TRIM(L76&amp;"")))</f>
        <v/>
      </c>
      <c r="V76" s="10">
        <f>IF(AND(ISNUMBER(H76),ISNUMBER(I76)),I76-H76+1,"")</f>
        <v/>
      </c>
      <c r="W76" s="17">
        <f>IF(ISNUMBER(H76),MAX(0,MIN(IF(ISNUMBER(I76),I76,EOMONTH(요약!$B$3,0)),EOMONTH(요약!$B$3,0))-MAX(H76,요약!$B$3)+1),0)</f>
        <v/>
      </c>
      <c r="X76" s="10">
        <f>IF(OR(NOT(ISNUMBER(H76)),Q76=""),"",IF(TODAY()&lt;H76,"파견예정",IF(AND(ISNUMBER(I76),TODAY()&gt;I76),"파견종료","파견중")))</f>
        <v/>
      </c>
      <c r="Y76" s="10">
        <f>IF(OR(Q76="",X76=""),"",Q76&amp;"|"&amp;X76)</f>
        <v/>
      </c>
      <c r="Z76" s="10">
        <f>IF(AND(Q76&lt;&gt;"",W76&gt;0),Q76&amp;"|월","")</f>
        <v/>
      </c>
      <c r="AA76" s="10">
        <f>IF(COUNTA(B76:N76)=0,"",IF(Q76="","등록번호 없음",IF(LEFT(R76,1)="⚠","모병원명 미등록",IF(S76="","파견병원 입력",IF(LEFT(S76,1)="⚠","파견병원명 미등록",IF(LEFT(U76,1)="⚠","파견과목 미등록",IF(OR(T76="",LEFT(T76,1)="⚠"),"파견근거 확인",IF(NOT(AND(ISNUMBER(H76),ISNUMBER(I76))),"날짜 형식/누락",IF(I76&lt;H76,"종료일&lt;시작일","")))))))))</f>
        <v/>
      </c>
      <c r="AB76" s="11">
        <f>IF(ISNUMBER(SEARCH("다기관",TRIM(N76&amp;" "&amp;O76))),IFERROR(DATE(VALUE(MID(TRIM(N76&amp;" "&amp;O76),1,4)),VALUE(MID(TRIM(N76&amp;" "&amp;O76),6,2)),VALUE(MID(TRIM(N76&amp;" "&amp;O76),9,2))),IF(ISNUMBER(H76),H76,"")),"")</f>
        <v/>
      </c>
      <c r="AC76" s="11">
        <f>IF(ISNUMBER(SEARCH("다기관",TRIM(N76&amp;" "&amp;O76))),IFERROR(DATE(VALUE(MID(TRIM(N76&amp;" "&amp;O76),12,4)),VALUE(MID(TRIM(N76&amp;" "&amp;O76),17,2)),VALUE(MID(TRIM(N76&amp;" "&amp;O76),20,2))),IF(ISNUMBER(I76),I76,"")),"")</f>
        <v/>
      </c>
      <c r="AD76" s="17">
        <f>IF(AND(ISNUMBER(AB76),ISNUMBER(AC76)),MAX(0,MIN(AC76,EOMONTH(요약!$B$3,0))-MAX(AB76,요약!$B$3)+1),0)</f>
        <v/>
      </c>
      <c r="AE76" s="10">
        <f>IF(AND(Q76&lt;&gt;"",ISNUMBER(AB76)),Q76&amp;"|다기관","")</f>
        <v/>
      </c>
    </row>
    <row r="77">
      <c r="A77" s="15">
        <f>IF(F77="","",ROW()-3)</f>
        <v/>
      </c>
      <c r="B77" s="5" t="n"/>
      <c r="C77" s="15" t="n"/>
      <c r="D77" s="5" t="n"/>
      <c r="E77" s="15" t="n"/>
      <c r="F77" s="5" t="n"/>
      <c r="G77" s="6" t="n"/>
      <c r="H77" s="16" t="n"/>
      <c r="I77" s="16" t="n"/>
      <c r="J77" s="15">
        <f>IF(AND(ISNUMBER(H77),ISNUMBER(I77)),I77-H77+1,"")</f>
        <v/>
      </c>
      <c r="K77" s="5" t="n"/>
      <c r="L77" s="5" t="n"/>
      <c r="M77" s="5" t="n"/>
      <c r="N77" s="5" t="n"/>
      <c r="O77" s="5" t="n"/>
      <c r="Q77" s="10">
        <f>IF(TRIM(G77&amp;"")="","",TRIM(G77&amp;""))</f>
        <v/>
      </c>
      <c r="R77" s="10">
        <f>IF(TRIM(B77&amp;"")="","",IFERROR(INDEX(코드표!$K$2:$K$101,MATCH(TRIM(B77&amp;""),코드표!$J$2:$J$101,0)),"⚠"&amp;TRIM(B77&amp;"")))</f>
        <v/>
      </c>
      <c r="S77" s="10">
        <f>IF(TRIM(K77&amp;"")="","",IFERROR(INDEX(코드표!$K$2:$K$101,MATCH(TRIM(K77&amp;""),코드표!$J$2:$J$101,0)),"⚠"&amp;TRIM(K77&amp;"")))</f>
        <v/>
      </c>
      <c r="T77" s="10">
        <f>IF(TRIM(M77&amp;"")="","",IF(ISNUMBER(MATCH(TRIM(M77&amp;""),코드표!$C$2:$C$11,0)),TRIM(M77&amp;""),"⚠"&amp;TRIM(M77&amp;"")))</f>
        <v/>
      </c>
      <c r="U77" s="10">
        <f>IF(TRIM(L77&amp;"")="","",IFERROR(INDEX(코드표!$G$2:$G$101,MATCH(TRIM(L77&amp;""),코드표!$F$2:$F$101,0)),"⚠"&amp;TRIM(L77&amp;"")))</f>
        <v/>
      </c>
      <c r="V77" s="10">
        <f>IF(AND(ISNUMBER(H77),ISNUMBER(I77)),I77-H77+1,"")</f>
        <v/>
      </c>
      <c r="W77" s="17">
        <f>IF(ISNUMBER(H77),MAX(0,MIN(IF(ISNUMBER(I77),I77,EOMONTH(요약!$B$3,0)),EOMONTH(요약!$B$3,0))-MAX(H77,요약!$B$3)+1),0)</f>
        <v/>
      </c>
      <c r="X77" s="10">
        <f>IF(OR(NOT(ISNUMBER(H77)),Q77=""),"",IF(TODAY()&lt;H77,"파견예정",IF(AND(ISNUMBER(I77),TODAY()&gt;I77),"파견종료","파견중")))</f>
        <v/>
      </c>
      <c r="Y77" s="10">
        <f>IF(OR(Q77="",X77=""),"",Q77&amp;"|"&amp;X77)</f>
        <v/>
      </c>
      <c r="Z77" s="10">
        <f>IF(AND(Q77&lt;&gt;"",W77&gt;0),Q77&amp;"|월","")</f>
        <v/>
      </c>
      <c r="AA77" s="10">
        <f>IF(COUNTA(B77:N77)=0,"",IF(Q77="","등록번호 없음",IF(LEFT(R77,1)="⚠","모병원명 미등록",IF(S77="","파견병원 입력",IF(LEFT(S77,1)="⚠","파견병원명 미등록",IF(LEFT(U77,1)="⚠","파견과목 미등록",IF(OR(T77="",LEFT(T77,1)="⚠"),"파견근거 확인",IF(NOT(AND(ISNUMBER(H77),ISNUMBER(I77))),"날짜 형식/누락",IF(I77&lt;H77,"종료일&lt;시작일","")))))))))</f>
        <v/>
      </c>
      <c r="AB77" s="11">
        <f>IF(ISNUMBER(SEARCH("다기관",TRIM(N77&amp;" "&amp;O77))),IFERROR(DATE(VALUE(MID(TRIM(N77&amp;" "&amp;O77),1,4)),VALUE(MID(TRIM(N77&amp;" "&amp;O77),6,2)),VALUE(MID(TRIM(N77&amp;" "&amp;O77),9,2))),IF(ISNUMBER(H77),H77,"")),"")</f>
        <v/>
      </c>
      <c r="AC77" s="11">
        <f>IF(ISNUMBER(SEARCH("다기관",TRIM(N77&amp;" "&amp;O77))),IFERROR(DATE(VALUE(MID(TRIM(N77&amp;" "&amp;O77),12,4)),VALUE(MID(TRIM(N77&amp;" "&amp;O77),17,2)),VALUE(MID(TRIM(N77&amp;" "&amp;O77),20,2))),IF(ISNUMBER(I77),I77,"")),"")</f>
        <v/>
      </c>
      <c r="AD77" s="17">
        <f>IF(AND(ISNUMBER(AB77),ISNUMBER(AC77)),MAX(0,MIN(AC77,EOMONTH(요약!$B$3,0))-MAX(AB77,요약!$B$3)+1),0)</f>
        <v/>
      </c>
      <c r="AE77" s="10">
        <f>IF(AND(Q77&lt;&gt;"",ISNUMBER(AB77)),Q77&amp;"|다기관","")</f>
        <v/>
      </c>
    </row>
    <row r="78">
      <c r="A78" s="15">
        <f>IF(F78="","",ROW()-3)</f>
        <v/>
      </c>
      <c r="B78" s="5" t="n"/>
      <c r="C78" s="15" t="n"/>
      <c r="D78" s="5" t="n"/>
      <c r="E78" s="15" t="n"/>
      <c r="F78" s="5" t="n"/>
      <c r="G78" s="6" t="n"/>
      <c r="H78" s="16" t="n"/>
      <c r="I78" s="16" t="n"/>
      <c r="J78" s="15">
        <f>IF(AND(ISNUMBER(H78),ISNUMBER(I78)),I78-H78+1,"")</f>
        <v/>
      </c>
      <c r="K78" s="5" t="n"/>
      <c r="L78" s="5" t="n"/>
      <c r="M78" s="5" t="n"/>
      <c r="N78" s="5" t="n"/>
      <c r="O78" s="5" t="n"/>
      <c r="Q78" s="10">
        <f>IF(TRIM(G78&amp;"")="","",TRIM(G78&amp;""))</f>
        <v/>
      </c>
      <c r="R78" s="10">
        <f>IF(TRIM(B78&amp;"")="","",IFERROR(INDEX(코드표!$K$2:$K$101,MATCH(TRIM(B78&amp;""),코드표!$J$2:$J$101,0)),"⚠"&amp;TRIM(B78&amp;"")))</f>
        <v/>
      </c>
      <c r="S78" s="10">
        <f>IF(TRIM(K78&amp;"")="","",IFERROR(INDEX(코드표!$K$2:$K$101,MATCH(TRIM(K78&amp;""),코드표!$J$2:$J$101,0)),"⚠"&amp;TRIM(K78&amp;"")))</f>
        <v/>
      </c>
      <c r="T78" s="10">
        <f>IF(TRIM(M78&amp;"")="","",IF(ISNUMBER(MATCH(TRIM(M78&amp;""),코드표!$C$2:$C$11,0)),TRIM(M78&amp;""),"⚠"&amp;TRIM(M78&amp;"")))</f>
        <v/>
      </c>
      <c r="U78" s="10">
        <f>IF(TRIM(L78&amp;"")="","",IFERROR(INDEX(코드표!$G$2:$G$101,MATCH(TRIM(L78&amp;""),코드표!$F$2:$F$101,0)),"⚠"&amp;TRIM(L78&amp;"")))</f>
        <v/>
      </c>
      <c r="V78" s="10">
        <f>IF(AND(ISNUMBER(H78),ISNUMBER(I78)),I78-H78+1,"")</f>
        <v/>
      </c>
      <c r="W78" s="17">
        <f>IF(ISNUMBER(H78),MAX(0,MIN(IF(ISNUMBER(I78),I78,EOMONTH(요약!$B$3,0)),EOMONTH(요약!$B$3,0))-MAX(H78,요약!$B$3)+1),0)</f>
        <v/>
      </c>
      <c r="X78" s="10">
        <f>IF(OR(NOT(ISNUMBER(H78)),Q78=""),"",IF(TODAY()&lt;H78,"파견예정",IF(AND(ISNUMBER(I78),TODAY()&gt;I78),"파견종료","파견중")))</f>
        <v/>
      </c>
      <c r="Y78" s="10">
        <f>IF(OR(Q78="",X78=""),"",Q78&amp;"|"&amp;X78)</f>
        <v/>
      </c>
      <c r="Z78" s="10">
        <f>IF(AND(Q78&lt;&gt;"",W78&gt;0),Q78&amp;"|월","")</f>
        <v/>
      </c>
      <c r="AA78" s="10">
        <f>IF(COUNTA(B78:N78)=0,"",IF(Q78="","등록번호 없음",IF(LEFT(R78,1)="⚠","모병원명 미등록",IF(S78="","파견병원 입력",IF(LEFT(S78,1)="⚠","파견병원명 미등록",IF(LEFT(U78,1)="⚠","파견과목 미등록",IF(OR(T78="",LEFT(T78,1)="⚠"),"파견근거 확인",IF(NOT(AND(ISNUMBER(H78),ISNUMBER(I78))),"날짜 형식/누락",IF(I78&lt;H78,"종료일&lt;시작일","")))))))))</f>
        <v/>
      </c>
      <c r="AB78" s="11">
        <f>IF(ISNUMBER(SEARCH("다기관",TRIM(N78&amp;" "&amp;O78))),IFERROR(DATE(VALUE(MID(TRIM(N78&amp;" "&amp;O78),1,4)),VALUE(MID(TRIM(N78&amp;" "&amp;O78),6,2)),VALUE(MID(TRIM(N78&amp;" "&amp;O78),9,2))),IF(ISNUMBER(H78),H78,"")),"")</f>
        <v/>
      </c>
      <c r="AC78" s="11">
        <f>IF(ISNUMBER(SEARCH("다기관",TRIM(N78&amp;" "&amp;O78))),IFERROR(DATE(VALUE(MID(TRIM(N78&amp;" "&amp;O78),12,4)),VALUE(MID(TRIM(N78&amp;" "&amp;O78),17,2)),VALUE(MID(TRIM(N78&amp;" "&amp;O78),20,2))),IF(ISNUMBER(I78),I78,"")),"")</f>
        <v/>
      </c>
      <c r="AD78" s="17">
        <f>IF(AND(ISNUMBER(AB78),ISNUMBER(AC78)),MAX(0,MIN(AC78,EOMONTH(요약!$B$3,0))-MAX(AB78,요약!$B$3)+1),0)</f>
        <v/>
      </c>
      <c r="AE78" s="10">
        <f>IF(AND(Q78&lt;&gt;"",ISNUMBER(AB78)),Q78&amp;"|다기관","")</f>
        <v/>
      </c>
    </row>
    <row r="79">
      <c r="A79" s="15">
        <f>IF(F79="","",ROW()-3)</f>
        <v/>
      </c>
      <c r="B79" s="5" t="n"/>
      <c r="C79" s="15" t="n"/>
      <c r="D79" s="5" t="n"/>
      <c r="E79" s="15" t="n"/>
      <c r="F79" s="5" t="n"/>
      <c r="G79" s="6" t="n"/>
      <c r="H79" s="16" t="n"/>
      <c r="I79" s="16" t="n"/>
      <c r="J79" s="15">
        <f>IF(AND(ISNUMBER(H79),ISNUMBER(I79)),I79-H79+1,"")</f>
        <v/>
      </c>
      <c r="K79" s="5" t="n"/>
      <c r="L79" s="5" t="n"/>
      <c r="M79" s="5" t="n"/>
      <c r="N79" s="5" t="n"/>
      <c r="O79" s="5" t="n"/>
      <c r="Q79" s="10">
        <f>IF(TRIM(G79&amp;"")="","",TRIM(G79&amp;""))</f>
        <v/>
      </c>
      <c r="R79" s="10">
        <f>IF(TRIM(B79&amp;"")="","",IFERROR(INDEX(코드표!$K$2:$K$101,MATCH(TRIM(B79&amp;""),코드표!$J$2:$J$101,0)),"⚠"&amp;TRIM(B79&amp;"")))</f>
        <v/>
      </c>
      <c r="S79" s="10">
        <f>IF(TRIM(K79&amp;"")="","",IFERROR(INDEX(코드표!$K$2:$K$101,MATCH(TRIM(K79&amp;""),코드표!$J$2:$J$101,0)),"⚠"&amp;TRIM(K79&amp;"")))</f>
        <v/>
      </c>
      <c r="T79" s="10">
        <f>IF(TRIM(M79&amp;"")="","",IF(ISNUMBER(MATCH(TRIM(M79&amp;""),코드표!$C$2:$C$11,0)),TRIM(M79&amp;""),"⚠"&amp;TRIM(M79&amp;"")))</f>
        <v/>
      </c>
      <c r="U79" s="10">
        <f>IF(TRIM(L79&amp;"")="","",IFERROR(INDEX(코드표!$G$2:$G$101,MATCH(TRIM(L79&amp;""),코드표!$F$2:$F$101,0)),"⚠"&amp;TRIM(L79&amp;"")))</f>
        <v/>
      </c>
      <c r="V79" s="10">
        <f>IF(AND(ISNUMBER(H79),ISNUMBER(I79)),I79-H79+1,"")</f>
        <v/>
      </c>
      <c r="W79" s="17">
        <f>IF(ISNUMBER(H79),MAX(0,MIN(IF(ISNUMBER(I79),I79,EOMONTH(요약!$B$3,0)),EOMONTH(요약!$B$3,0))-MAX(H79,요약!$B$3)+1),0)</f>
        <v/>
      </c>
      <c r="X79" s="10">
        <f>IF(OR(NOT(ISNUMBER(H79)),Q79=""),"",IF(TODAY()&lt;H79,"파견예정",IF(AND(ISNUMBER(I79),TODAY()&gt;I79),"파견종료","파견중")))</f>
        <v/>
      </c>
      <c r="Y79" s="10">
        <f>IF(OR(Q79="",X79=""),"",Q79&amp;"|"&amp;X79)</f>
        <v/>
      </c>
      <c r="Z79" s="10">
        <f>IF(AND(Q79&lt;&gt;"",W79&gt;0),Q79&amp;"|월","")</f>
        <v/>
      </c>
      <c r="AA79" s="10">
        <f>IF(COUNTA(B79:N79)=0,"",IF(Q79="","등록번호 없음",IF(LEFT(R79,1)="⚠","모병원명 미등록",IF(S79="","파견병원 입력",IF(LEFT(S79,1)="⚠","파견병원명 미등록",IF(LEFT(U79,1)="⚠","파견과목 미등록",IF(OR(T79="",LEFT(T79,1)="⚠"),"파견근거 확인",IF(NOT(AND(ISNUMBER(H79),ISNUMBER(I79))),"날짜 형식/누락",IF(I79&lt;H79,"종료일&lt;시작일","")))))))))</f>
        <v/>
      </c>
      <c r="AB79" s="11">
        <f>IF(ISNUMBER(SEARCH("다기관",TRIM(N79&amp;" "&amp;O79))),IFERROR(DATE(VALUE(MID(TRIM(N79&amp;" "&amp;O79),1,4)),VALUE(MID(TRIM(N79&amp;" "&amp;O79),6,2)),VALUE(MID(TRIM(N79&amp;" "&amp;O79),9,2))),IF(ISNUMBER(H79),H79,"")),"")</f>
        <v/>
      </c>
      <c r="AC79" s="11">
        <f>IF(ISNUMBER(SEARCH("다기관",TRIM(N79&amp;" "&amp;O79))),IFERROR(DATE(VALUE(MID(TRIM(N79&amp;" "&amp;O79),12,4)),VALUE(MID(TRIM(N79&amp;" "&amp;O79),17,2)),VALUE(MID(TRIM(N79&amp;" "&amp;O79),20,2))),IF(ISNUMBER(I79),I79,"")),"")</f>
        <v/>
      </c>
      <c r="AD79" s="17">
        <f>IF(AND(ISNUMBER(AB79),ISNUMBER(AC79)),MAX(0,MIN(AC79,EOMONTH(요약!$B$3,0))-MAX(AB79,요약!$B$3)+1),0)</f>
        <v/>
      </c>
      <c r="AE79" s="10">
        <f>IF(AND(Q79&lt;&gt;"",ISNUMBER(AB79)),Q79&amp;"|다기관","")</f>
        <v/>
      </c>
    </row>
    <row r="80">
      <c r="A80" s="15">
        <f>IF(F80="","",ROW()-3)</f>
        <v/>
      </c>
      <c r="B80" s="5" t="n"/>
      <c r="C80" s="15" t="n"/>
      <c r="D80" s="5" t="n"/>
      <c r="E80" s="15" t="n"/>
      <c r="F80" s="5" t="n"/>
      <c r="G80" s="6" t="n"/>
      <c r="H80" s="16" t="n"/>
      <c r="I80" s="16" t="n"/>
      <c r="J80" s="15">
        <f>IF(AND(ISNUMBER(H80),ISNUMBER(I80)),I80-H80+1,"")</f>
        <v/>
      </c>
      <c r="K80" s="5" t="n"/>
      <c r="L80" s="5" t="n"/>
      <c r="M80" s="5" t="n"/>
      <c r="N80" s="5" t="n"/>
      <c r="O80" s="5" t="n"/>
      <c r="Q80" s="10">
        <f>IF(TRIM(G80&amp;"")="","",TRIM(G80&amp;""))</f>
        <v/>
      </c>
      <c r="R80" s="10">
        <f>IF(TRIM(B80&amp;"")="","",IFERROR(INDEX(코드표!$K$2:$K$101,MATCH(TRIM(B80&amp;""),코드표!$J$2:$J$101,0)),"⚠"&amp;TRIM(B80&amp;"")))</f>
        <v/>
      </c>
      <c r="S80" s="10">
        <f>IF(TRIM(K80&amp;"")="","",IFERROR(INDEX(코드표!$K$2:$K$101,MATCH(TRIM(K80&amp;""),코드표!$J$2:$J$101,0)),"⚠"&amp;TRIM(K80&amp;"")))</f>
        <v/>
      </c>
      <c r="T80" s="10">
        <f>IF(TRIM(M80&amp;"")="","",IF(ISNUMBER(MATCH(TRIM(M80&amp;""),코드표!$C$2:$C$11,0)),TRIM(M80&amp;""),"⚠"&amp;TRIM(M80&amp;"")))</f>
        <v/>
      </c>
      <c r="U80" s="10">
        <f>IF(TRIM(L80&amp;"")="","",IFERROR(INDEX(코드표!$G$2:$G$101,MATCH(TRIM(L80&amp;""),코드표!$F$2:$F$101,0)),"⚠"&amp;TRIM(L80&amp;"")))</f>
        <v/>
      </c>
      <c r="V80" s="10">
        <f>IF(AND(ISNUMBER(H80),ISNUMBER(I80)),I80-H80+1,"")</f>
        <v/>
      </c>
      <c r="W80" s="17">
        <f>IF(ISNUMBER(H80),MAX(0,MIN(IF(ISNUMBER(I80),I80,EOMONTH(요약!$B$3,0)),EOMONTH(요약!$B$3,0))-MAX(H80,요약!$B$3)+1),0)</f>
        <v/>
      </c>
      <c r="X80" s="10">
        <f>IF(OR(NOT(ISNUMBER(H80)),Q80=""),"",IF(TODAY()&lt;H80,"파견예정",IF(AND(ISNUMBER(I80),TODAY()&gt;I80),"파견종료","파견중")))</f>
        <v/>
      </c>
      <c r="Y80" s="10">
        <f>IF(OR(Q80="",X80=""),"",Q80&amp;"|"&amp;X80)</f>
        <v/>
      </c>
      <c r="Z80" s="10">
        <f>IF(AND(Q80&lt;&gt;"",W80&gt;0),Q80&amp;"|월","")</f>
        <v/>
      </c>
      <c r="AA80" s="10">
        <f>IF(COUNTA(B80:N80)=0,"",IF(Q80="","등록번호 없음",IF(LEFT(R80,1)="⚠","모병원명 미등록",IF(S80="","파견병원 입력",IF(LEFT(S80,1)="⚠","파견병원명 미등록",IF(LEFT(U80,1)="⚠","파견과목 미등록",IF(OR(T80="",LEFT(T80,1)="⚠"),"파견근거 확인",IF(NOT(AND(ISNUMBER(H80),ISNUMBER(I80))),"날짜 형식/누락",IF(I80&lt;H80,"종료일&lt;시작일","")))))))))</f>
        <v/>
      </c>
      <c r="AB80" s="11">
        <f>IF(ISNUMBER(SEARCH("다기관",TRIM(N80&amp;" "&amp;O80))),IFERROR(DATE(VALUE(MID(TRIM(N80&amp;" "&amp;O80),1,4)),VALUE(MID(TRIM(N80&amp;" "&amp;O80),6,2)),VALUE(MID(TRIM(N80&amp;" "&amp;O80),9,2))),IF(ISNUMBER(H80),H80,"")),"")</f>
        <v/>
      </c>
      <c r="AC80" s="11">
        <f>IF(ISNUMBER(SEARCH("다기관",TRIM(N80&amp;" "&amp;O80))),IFERROR(DATE(VALUE(MID(TRIM(N80&amp;" "&amp;O80),12,4)),VALUE(MID(TRIM(N80&amp;" "&amp;O80),17,2)),VALUE(MID(TRIM(N80&amp;" "&amp;O80),20,2))),IF(ISNUMBER(I80),I80,"")),"")</f>
        <v/>
      </c>
      <c r="AD80" s="17">
        <f>IF(AND(ISNUMBER(AB80),ISNUMBER(AC80)),MAX(0,MIN(AC80,EOMONTH(요약!$B$3,0))-MAX(AB80,요약!$B$3)+1),0)</f>
        <v/>
      </c>
      <c r="AE80" s="10">
        <f>IF(AND(Q80&lt;&gt;"",ISNUMBER(AB80)),Q80&amp;"|다기관","")</f>
        <v/>
      </c>
    </row>
    <row r="81">
      <c r="A81" s="15">
        <f>IF(F81="","",ROW()-3)</f>
        <v/>
      </c>
      <c r="B81" s="5" t="n"/>
      <c r="C81" s="15" t="n"/>
      <c r="D81" s="5" t="n"/>
      <c r="E81" s="15" t="n"/>
      <c r="F81" s="5" t="n"/>
      <c r="G81" s="6" t="n"/>
      <c r="H81" s="16" t="n"/>
      <c r="I81" s="16" t="n"/>
      <c r="J81" s="15">
        <f>IF(AND(ISNUMBER(H81),ISNUMBER(I81)),I81-H81+1,"")</f>
        <v/>
      </c>
      <c r="K81" s="5" t="n"/>
      <c r="L81" s="5" t="n"/>
      <c r="M81" s="5" t="n"/>
      <c r="N81" s="5" t="n"/>
      <c r="O81" s="5" t="n"/>
      <c r="Q81" s="10">
        <f>IF(TRIM(G81&amp;"")="","",TRIM(G81&amp;""))</f>
        <v/>
      </c>
      <c r="R81" s="10">
        <f>IF(TRIM(B81&amp;"")="","",IFERROR(INDEX(코드표!$K$2:$K$101,MATCH(TRIM(B81&amp;""),코드표!$J$2:$J$101,0)),"⚠"&amp;TRIM(B81&amp;"")))</f>
        <v/>
      </c>
      <c r="S81" s="10">
        <f>IF(TRIM(K81&amp;"")="","",IFERROR(INDEX(코드표!$K$2:$K$101,MATCH(TRIM(K81&amp;""),코드표!$J$2:$J$101,0)),"⚠"&amp;TRIM(K81&amp;"")))</f>
        <v/>
      </c>
      <c r="T81" s="10">
        <f>IF(TRIM(M81&amp;"")="","",IF(ISNUMBER(MATCH(TRIM(M81&amp;""),코드표!$C$2:$C$11,0)),TRIM(M81&amp;""),"⚠"&amp;TRIM(M81&amp;"")))</f>
        <v/>
      </c>
      <c r="U81" s="10">
        <f>IF(TRIM(L81&amp;"")="","",IFERROR(INDEX(코드표!$G$2:$G$101,MATCH(TRIM(L81&amp;""),코드표!$F$2:$F$101,0)),"⚠"&amp;TRIM(L81&amp;"")))</f>
        <v/>
      </c>
      <c r="V81" s="10">
        <f>IF(AND(ISNUMBER(H81),ISNUMBER(I81)),I81-H81+1,"")</f>
        <v/>
      </c>
      <c r="W81" s="17">
        <f>IF(ISNUMBER(H81),MAX(0,MIN(IF(ISNUMBER(I81),I81,EOMONTH(요약!$B$3,0)),EOMONTH(요약!$B$3,0))-MAX(H81,요약!$B$3)+1),0)</f>
        <v/>
      </c>
      <c r="X81" s="10">
        <f>IF(OR(NOT(ISNUMBER(H81)),Q81=""),"",IF(TODAY()&lt;H81,"파견예정",IF(AND(ISNUMBER(I81),TODAY()&gt;I81),"파견종료","파견중")))</f>
        <v/>
      </c>
      <c r="Y81" s="10">
        <f>IF(OR(Q81="",X81=""),"",Q81&amp;"|"&amp;X81)</f>
        <v/>
      </c>
      <c r="Z81" s="10">
        <f>IF(AND(Q81&lt;&gt;"",W81&gt;0),Q81&amp;"|월","")</f>
        <v/>
      </c>
      <c r="AA81" s="10">
        <f>IF(COUNTA(B81:N81)=0,"",IF(Q81="","등록번호 없음",IF(LEFT(R81,1)="⚠","모병원명 미등록",IF(S81="","파견병원 입력",IF(LEFT(S81,1)="⚠","파견병원명 미등록",IF(LEFT(U81,1)="⚠","파견과목 미등록",IF(OR(T81="",LEFT(T81,1)="⚠"),"파견근거 확인",IF(NOT(AND(ISNUMBER(H81),ISNUMBER(I81))),"날짜 형식/누락",IF(I81&lt;H81,"종료일&lt;시작일","")))))))))</f>
        <v/>
      </c>
      <c r="AB81" s="11">
        <f>IF(ISNUMBER(SEARCH("다기관",TRIM(N81&amp;" "&amp;O81))),IFERROR(DATE(VALUE(MID(TRIM(N81&amp;" "&amp;O81),1,4)),VALUE(MID(TRIM(N81&amp;" "&amp;O81),6,2)),VALUE(MID(TRIM(N81&amp;" "&amp;O81),9,2))),IF(ISNUMBER(H81),H81,"")),"")</f>
        <v/>
      </c>
      <c r="AC81" s="11">
        <f>IF(ISNUMBER(SEARCH("다기관",TRIM(N81&amp;" "&amp;O81))),IFERROR(DATE(VALUE(MID(TRIM(N81&amp;" "&amp;O81),12,4)),VALUE(MID(TRIM(N81&amp;" "&amp;O81),17,2)),VALUE(MID(TRIM(N81&amp;" "&amp;O81),20,2))),IF(ISNUMBER(I81),I81,"")),"")</f>
        <v/>
      </c>
      <c r="AD81" s="17">
        <f>IF(AND(ISNUMBER(AB81),ISNUMBER(AC81)),MAX(0,MIN(AC81,EOMONTH(요약!$B$3,0))-MAX(AB81,요약!$B$3)+1),0)</f>
        <v/>
      </c>
      <c r="AE81" s="10">
        <f>IF(AND(Q81&lt;&gt;"",ISNUMBER(AB81)),Q81&amp;"|다기관","")</f>
        <v/>
      </c>
    </row>
    <row r="82">
      <c r="A82" s="15">
        <f>IF(F82="","",ROW()-3)</f>
        <v/>
      </c>
      <c r="B82" s="5" t="n"/>
      <c r="C82" s="15" t="n"/>
      <c r="D82" s="5" t="n"/>
      <c r="E82" s="15" t="n"/>
      <c r="F82" s="5" t="n"/>
      <c r="G82" s="6" t="n"/>
      <c r="H82" s="16" t="n"/>
      <c r="I82" s="16" t="n"/>
      <c r="J82" s="15">
        <f>IF(AND(ISNUMBER(H82),ISNUMBER(I82)),I82-H82+1,"")</f>
        <v/>
      </c>
      <c r="K82" s="5" t="n"/>
      <c r="L82" s="5" t="n"/>
      <c r="M82" s="5" t="n"/>
      <c r="N82" s="5" t="n"/>
      <c r="O82" s="5" t="n"/>
      <c r="Q82" s="10">
        <f>IF(TRIM(G82&amp;"")="","",TRIM(G82&amp;""))</f>
        <v/>
      </c>
      <c r="R82" s="10">
        <f>IF(TRIM(B82&amp;"")="","",IFERROR(INDEX(코드표!$K$2:$K$101,MATCH(TRIM(B82&amp;""),코드표!$J$2:$J$101,0)),"⚠"&amp;TRIM(B82&amp;"")))</f>
        <v/>
      </c>
      <c r="S82" s="10">
        <f>IF(TRIM(K82&amp;"")="","",IFERROR(INDEX(코드표!$K$2:$K$101,MATCH(TRIM(K82&amp;""),코드표!$J$2:$J$101,0)),"⚠"&amp;TRIM(K82&amp;"")))</f>
        <v/>
      </c>
      <c r="T82" s="10">
        <f>IF(TRIM(M82&amp;"")="","",IF(ISNUMBER(MATCH(TRIM(M82&amp;""),코드표!$C$2:$C$11,0)),TRIM(M82&amp;""),"⚠"&amp;TRIM(M82&amp;"")))</f>
        <v/>
      </c>
      <c r="U82" s="10">
        <f>IF(TRIM(L82&amp;"")="","",IFERROR(INDEX(코드표!$G$2:$G$101,MATCH(TRIM(L82&amp;""),코드표!$F$2:$F$101,0)),"⚠"&amp;TRIM(L82&amp;"")))</f>
        <v/>
      </c>
      <c r="V82" s="10">
        <f>IF(AND(ISNUMBER(H82),ISNUMBER(I82)),I82-H82+1,"")</f>
        <v/>
      </c>
      <c r="W82" s="17">
        <f>IF(ISNUMBER(H82),MAX(0,MIN(IF(ISNUMBER(I82),I82,EOMONTH(요약!$B$3,0)),EOMONTH(요약!$B$3,0))-MAX(H82,요약!$B$3)+1),0)</f>
        <v/>
      </c>
      <c r="X82" s="10">
        <f>IF(OR(NOT(ISNUMBER(H82)),Q82=""),"",IF(TODAY()&lt;H82,"파견예정",IF(AND(ISNUMBER(I82),TODAY()&gt;I82),"파견종료","파견중")))</f>
        <v/>
      </c>
      <c r="Y82" s="10">
        <f>IF(OR(Q82="",X82=""),"",Q82&amp;"|"&amp;X82)</f>
        <v/>
      </c>
      <c r="Z82" s="10">
        <f>IF(AND(Q82&lt;&gt;"",W82&gt;0),Q82&amp;"|월","")</f>
        <v/>
      </c>
      <c r="AA82" s="10">
        <f>IF(COUNTA(B82:N82)=0,"",IF(Q82="","등록번호 없음",IF(LEFT(R82,1)="⚠","모병원명 미등록",IF(S82="","파견병원 입력",IF(LEFT(S82,1)="⚠","파견병원명 미등록",IF(LEFT(U82,1)="⚠","파견과목 미등록",IF(OR(T82="",LEFT(T82,1)="⚠"),"파견근거 확인",IF(NOT(AND(ISNUMBER(H82),ISNUMBER(I82))),"날짜 형식/누락",IF(I82&lt;H82,"종료일&lt;시작일","")))))))))</f>
        <v/>
      </c>
      <c r="AB82" s="11">
        <f>IF(ISNUMBER(SEARCH("다기관",TRIM(N82&amp;" "&amp;O82))),IFERROR(DATE(VALUE(MID(TRIM(N82&amp;" "&amp;O82),1,4)),VALUE(MID(TRIM(N82&amp;" "&amp;O82),6,2)),VALUE(MID(TRIM(N82&amp;" "&amp;O82),9,2))),IF(ISNUMBER(H82),H82,"")),"")</f>
        <v/>
      </c>
      <c r="AC82" s="11">
        <f>IF(ISNUMBER(SEARCH("다기관",TRIM(N82&amp;" "&amp;O82))),IFERROR(DATE(VALUE(MID(TRIM(N82&amp;" "&amp;O82),12,4)),VALUE(MID(TRIM(N82&amp;" "&amp;O82),17,2)),VALUE(MID(TRIM(N82&amp;" "&amp;O82),20,2))),IF(ISNUMBER(I82),I82,"")),"")</f>
        <v/>
      </c>
      <c r="AD82" s="17">
        <f>IF(AND(ISNUMBER(AB82),ISNUMBER(AC82)),MAX(0,MIN(AC82,EOMONTH(요약!$B$3,0))-MAX(AB82,요약!$B$3)+1),0)</f>
        <v/>
      </c>
      <c r="AE82" s="10">
        <f>IF(AND(Q82&lt;&gt;"",ISNUMBER(AB82)),Q82&amp;"|다기관","")</f>
        <v/>
      </c>
    </row>
    <row r="83">
      <c r="A83" s="15">
        <f>IF(F83="","",ROW()-3)</f>
        <v/>
      </c>
      <c r="B83" s="5" t="n"/>
      <c r="C83" s="15" t="n"/>
      <c r="D83" s="5" t="n"/>
      <c r="E83" s="15" t="n"/>
      <c r="F83" s="5" t="n"/>
      <c r="G83" s="6" t="n"/>
      <c r="H83" s="16" t="n"/>
      <c r="I83" s="16" t="n"/>
      <c r="J83" s="15">
        <f>IF(AND(ISNUMBER(H83),ISNUMBER(I83)),I83-H83+1,"")</f>
        <v/>
      </c>
      <c r="K83" s="5" t="n"/>
      <c r="L83" s="5" t="n"/>
      <c r="M83" s="5" t="n"/>
      <c r="N83" s="5" t="n"/>
      <c r="O83" s="5" t="n"/>
      <c r="Q83" s="10">
        <f>IF(TRIM(G83&amp;"")="","",TRIM(G83&amp;""))</f>
        <v/>
      </c>
      <c r="R83" s="10">
        <f>IF(TRIM(B83&amp;"")="","",IFERROR(INDEX(코드표!$K$2:$K$101,MATCH(TRIM(B83&amp;""),코드표!$J$2:$J$101,0)),"⚠"&amp;TRIM(B83&amp;"")))</f>
        <v/>
      </c>
      <c r="S83" s="10">
        <f>IF(TRIM(K83&amp;"")="","",IFERROR(INDEX(코드표!$K$2:$K$101,MATCH(TRIM(K83&amp;""),코드표!$J$2:$J$101,0)),"⚠"&amp;TRIM(K83&amp;"")))</f>
        <v/>
      </c>
      <c r="T83" s="10">
        <f>IF(TRIM(M83&amp;"")="","",IF(ISNUMBER(MATCH(TRIM(M83&amp;""),코드표!$C$2:$C$11,0)),TRIM(M83&amp;""),"⚠"&amp;TRIM(M83&amp;"")))</f>
        <v/>
      </c>
      <c r="U83" s="10">
        <f>IF(TRIM(L83&amp;"")="","",IFERROR(INDEX(코드표!$G$2:$G$101,MATCH(TRIM(L83&amp;""),코드표!$F$2:$F$101,0)),"⚠"&amp;TRIM(L83&amp;"")))</f>
        <v/>
      </c>
      <c r="V83" s="10">
        <f>IF(AND(ISNUMBER(H83),ISNUMBER(I83)),I83-H83+1,"")</f>
        <v/>
      </c>
      <c r="W83" s="17">
        <f>IF(ISNUMBER(H83),MAX(0,MIN(IF(ISNUMBER(I83),I83,EOMONTH(요약!$B$3,0)),EOMONTH(요약!$B$3,0))-MAX(H83,요약!$B$3)+1),0)</f>
        <v/>
      </c>
      <c r="X83" s="10">
        <f>IF(OR(NOT(ISNUMBER(H83)),Q83=""),"",IF(TODAY()&lt;H83,"파견예정",IF(AND(ISNUMBER(I83),TODAY()&gt;I83),"파견종료","파견중")))</f>
        <v/>
      </c>
      <c r="Y83" s="10">
        <f>IF(OR(Q83="",X83=""),"",Q83&amp;"|"&amp;X83)</f>
        <v/>
      </c>
      <c r="Z83" s="10">
        <f>IF(AND(Q83&lt;&gt;"",W83&gt;0),Q83&amp;"|월","")</f>
        <v/>
      </c>
      <c r="AA83" s="10">
        <f>IF(COUNTA(B83:N83)=0,"",IF(Q83="","등록번호 없음",IF(LEFT(R83,1)="⚠","모병원명 미등록",IF(S83="","파견병원 입력",IF(LEFT(S83,1)="⚠","파견병원명 미등록",IF(LEFT(U83,1)="⚠","파견과목 미등록",IF(OR(T83="",LEFT(T83,1)="⚠"),"파견근거 확인",IF(NOT(AND(ISNUMBER(H83),ISNUMBER(I83))),"날짜 형식/누락",IF(I83&lt;H83,"종료일&lt;시작일","")))))))))</f>
        <v/>
      </c>
      <c r="AB83" s="11">
        <f>IF(ISNUMBER(SEARCH("다기관",TRIM(N83&amp;" "&amp;O83))),IFERROR(DATE(VALUE(MID(TRIM(N83&amp;" "&amp;O83),1,4)),VALUE(MID(TRIM(N83&amp;" "&amp;O83),6,2)),VALUE(MID(TRIM(N83&amp;" "&amp;O83),9,2))),IF(ISNUMBER(H83),H83,"")),"")</f>
        <v/>
      </c>
      <c r="AC83" s="11">
        <f>IF(ISNUMBER(SEARCH("다기관",TRIM(N83&amp;" "&amp;O83))),IFERROR(DATE(VALUE(MID(TRIM(N83&amp;" "&amp;O83),12,4)),VALUE(MID(TRIM(N83&amp;" "&amp;O83),17,2)),VALUE(MID(TRIM(N83&amp;" "&amp;O83),20,2))),IF(ISNUMBER(I83),I83,"")),"")</f>
        <v/>
      </c>
      <c r="AD83" s="17">
        <f>IF(AND(ISNUMBER(AB83),ISNUMBER(AC83)),MAX(0,MIN(AC83,EOMONTH(요약!$B$3,0))-MAX(AB83,요약!$B$3)+1),0)</f>
        <v/>
      </c>
      <c r="AE83" s="10">
        <f>IF(AND(Q83&lt;&gt;"",ISNUMBER(AB83)),Q83&amp;"|다기관","")</f>
        <v/>
      </c>
    </row>
  </sheetData>
  <mergeCells count="14">
    <mergeCell ref="M1:M3"/>
    <mergeCell ref="N1:N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conditionalFormatting sqref="A4:O83">
    <cfRule type="expression" priority="1" dxfId="0">
      <formula>$AA4&lt;&gt;""</formula>
    </cfRule>
  </conditionalFormatting>
  <conditionalFormatting sqref="R4:U83">
    <cfRule type="expression" priority="2" dxfId="2">
      <formula>LEFT(R4,1)="⚠"</formula>
    </cfRule>
  </conditionalFormatting>
  <conditionalFormatting sqref="AA4:AA83">
    <cfRule type="expression" priority="3" dxfId="2">
      <formula>$AA4&lt;&gt;""</formula>
    </cfRule>
  </conditionalFormatting>
  <dataValidations count="7">
    <dataValidation sqref="B4:B8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=코드표!$J$2:$J$101</formula1>
    </dataValidation>
    <dataValidation sqref="K4:K8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=코드표!$J$2:$J$101</formula1>
    </dataValidation>
    <dataValidation sqref="L4:L83" showDropDown="0" showInputMessage="0" showErrorMessage="1" allowBlank="1" errorTitle="등록되지 않은 값" error="진료과 목록에 없는 값입니다. 새로운 항목이면 '코드표' 시트에 먼저 추가한 뒤 입력하세요." type="list" errorStyle="stop">
      <formula1>=코드표!$F$2:$F$101</formula1>
    </dataValidation>
    <dataValidation sqref="M4:M83" showDropDown="0" showInputMessage="0" showErrorMessage="1" allowBlank="1" errorTitle="등록되지 않은 값" error="파견근거 목록에 없는 값입니다. 새로운 항목이면 '코드표' 시트에 먼저 추가한 뒤 입력하세요." type="list" errorStyle="stop">
      <formula1>=코드표!$C$2:$C$11</formula1>
    </dataValidation>
    <dataValidation sqref="C4:C83" showDropDown="0" showInputMessage="0" showErrorMessage="1" allowBlank="1" errorTitle="수련종별" error="I(인턴) 또는 R(레지던트)로 입력하세요." type="list">
      <formula1>"I,R"</formula1>
    </dataValidation>
    <dataValidation sqref="H4:I83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I4:I83" showDropDown="0" showInputMessage="0" showErrorMessage="1" allowBlank="1" errorTitle="종료일 오류" error="종료일은 시작일 이후여야 합니다." type="custom">
      <formula1>OR(I4="",H4="",I4&gt;=H4)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1" customWidth="1" min="13" max="13"/>
    <col width="13" customWidth="1" min="14" max="14"/>
    <col width="16" customWidth="1" min="15" max="15"/>
    <col width="10" customWidth="1" min="16" max="16"/>
    <col width="11" customWidth="1" min="17" max="17"/>
    <col width="15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1" customWidth="1" min="24" max="24"/>
    <col width="14" customWidth="1" min="25" max="25"/>
    <col width="26" customWidth="1" min="26" max="26"/>
    <col width="20" customWidth="1" min="27" max="27"/>
    <col width="9" customWidth="1" min="28" max="28"/>
    <col width="9" customWidth="1" min="29" max="29"/>
    <col width="18" customWidth="1" min="30" max="30"/>
    <col width="11" customWidth="1" min="31" max="31"/>
    <col width="9" customWidth="1" min="32" max="32"/>
    <col width="12" customWidth="1" min="33" max="33"/>
    <col width="10" customWidth="1" min="34" max="34"/>
    <col width="10" customWidth="1" min="35" max="35"/>
    <col width="10" customWidth="1" min="36" max="36"/>
    <col width="9" customWidth="1" min="37" max="37"/>
    <col width="26" customWidth="1" min="38" max="38"/>
  </cols>
  <sheetData>
    <row r="1" ht="42" customHeight="1">
      <c r="A1" s="12" t="inlineStr">
        <is>
          <t>번호</t>
        </is>
      </c>
      <c r="B1" s="12" t="inlineStr">
        <is>
          <t>사번</t>
        </is>
      </c>
      <c r="C1" s="9" t="inlineStr">
        <is>
          <t>이름</t>
        </is>
      </c>
      <c r="D1" s="9" t="inlineStr">
        <is>
          <t>성별</t>
        </is>
      </c>
      <c r="E1" s="9" t="inlineStr">
        <is>
          <t>생년월일</t>
        </is>
      </c>
      <c r="F1" s="9" t="inlineStr">
        <is>
          <t>수련과목</t>
        </is>
      </c>
      <c r="G1" s="9" t="inlineStr">
        <is>
          <t>연차</t>
        </is>
      </c>
      <c r="H1" s="9" t="inlineStr">
        <is>
          <t>근무지</t>
        </is>
      </c>
      <c r="I1" s="9" t="inlineStr">
        <is>
          <t>수련개시일</t>
        </is>
      </c>
      <c r="J1" s="9" t="inlineStr">
        <is>
          <t>전공의등록번호</t>
        </is>
      </c>
      <c r="K1" s="9" t="inlineStr">
        <is>
          <t>의사면허번호</t>
        </is>
      </c>
      <c r="L1" s="9" t="inlineStr">
        <is>
          <t>재직여부</t>
        </is>
      </c>
      <c r="M1" s="12" t="inlineStr">
        <is>
          <t>입사장소</t>
        </is>
      </c>
      <c r="N1" s="9" t="inlineStr">
        <is>
          <t>현재 근무병원</t>
        </is>
      </c>
      <c r="O1" s="9" t="inlineStr">
        <is>
          <t>현재 진료과</t>
        </is>
      </c>
      <c r="P1" s="9" t="inlineStr">
        <is>
          <t>파견근거</t>
        </is>
      </c>
      <c r="Q1" s="9" t="inlineStr">
        <is>
          <t>파견병원</t>
        </is>
      </c>
      <c r="R1" s="9" t="inlineStr">
        <is>
          <t>파견진료과</t>
        </is>
      </c>
      <c r="S1" s="9" t="inlineStr">
        <is>
          <t>파견시작일</t>
        </is>
      </c>
      <c r="T1" s="9" t="inlineStr">
        <is>
          <t>파견종료일</t>
        </is>
      </c>
      <c r="U1" s="9" t="inlineStr">
        <is>
          <t>파견상태</t>
        </is>
      </c>
      <c r="V1" s="9" t="inlineStr">
        <is>
          <t>파견기간(일)</t>
        </is>
      </c>
      <c r="W1" s="9" t="inlineStr">
        <is>
          <t>종료까지(일)</t>
        </is>
      </c>
      <c r="X1" s="9" t="inlineStr">
        <is>
          <t>급여기준월 파견일수</t>
        </is>
      </c>
      <c r="Y1" s="9" t="inlineStr">
        <is>
          <t>급여지급병원(기준월)</t>
        </is>
      </c>
      <c r="Z1" s="9" t="inlineStr">
        <is>
          <t>점검</t>
        </is>
      </c>
      <c r="AA1" s="12" t="inlineStr">
        <is>
          <t>비고</t>
        </is>
      </c>
      <c r="AB1" s="9" t="inlineStr">
        <is>
          <t>기본자료행</t>
        </is>
      </c>
      <c r="AC1" s="9" t="inlineStr">
        <is>
          <t>인턴계획행</t>
        </is>
      </c>
      <c r="AD1" s="9" t="inlineStr">
        <is>
          <t>인턴 이번달</t>
        </is>
      </c>
      <c r="AE1" s="9" t="inlineStr">
        <is>
          <t>소속병원</t>
        </is>
      </c>
      <c r="AF1" s="9" t="inlineStr">
        <is>
          <t>파견기록행</t>
        </is>
      </c>
      <c r="AG1" s="9" t="inlineStr">
        <is>
          <t>기준월 근무병원</t>
        </is>
      </c>
      <c r="AH1" s="9" t="inlineStr">
        <is>
          <t>서울 근무일(기준월)</t>
        </is>
      </c>
      <c r="AI1" s="9" t="inlineStr">
        <is>
          <t>구리 근무일(기준월)</t>
        </is>
      </c>
      <c r="AJ1" s="9" t="inlineStr">
        <is>
          <t>기준월 대표파견행</t>
        </is>
      </c>
      <c r="AK1" s="9" t="inlineStr">
        <is>
          <t>다기관 기록행</t>
        </is>
      </c>
      <c r="AL1" s="9" t="inlineStr">
        <is>
          <t>다기관(비고 기재 기간)</t>
        </is>
      </c>
    </row>
    <row r="2">
      <c r="A2" s="10">
        <f>IF(B2="","",ROW()-1)</f>
        <v/>
      </c>
      <c r="B2" s="18" t="inlineStr">
        <is>
          <t>2261212</t>
        </is>
      </c>
      <c r="C2" s="10">
        <f>IF($AB2="","",IF(INDEX(기본자료!$C$2:$C$1001,$AB2)="","",INDEX(기본자료!$C$2:$C$1001,$AB2)))</f>
        <v/>
      </c>
      <c r="D2" s="10">
        <f>IF($AB2="","",IF(INDEX(기본자료!$J$2:$J$1001,$AB2)="","",INDEX(기본자료!$J$2:$J$1001,$AB2)))</f>
        <v/>
      </c>
      <c r="E2" s="11">
        <f>IF($AB2="","",IF(INDEX(기본자료!$K$2:$K$1001,$AB2)="","",IF(NOT(ISNUMBER(INDEX(기본자료!$K$2:$K$1001,$AB2))),INDEX(기본자료!$K$2:$K$1001,$AB2),IF(INDEX(기본자료!$K$2:$K$1001,$AB2)&lt;1000000,INDEX(기본자료!$K$2:$K$1001,$AB2),IF(AND(INDEX(기본자료!$K$2:$K$1001,$AB2)&gt;=10000101,INT(MOD(INDEX(기본자료!$K$2:$K$1001,$AB2),10000)/100)&gt;=1,INT(MOD(INDEX(기본자료!$K$2:$K$1001,$AB2),10000)/100)&lt;=12,MOD(INDEX(기본자료!$K$2:$K$1001,$AB2),100)&gt;=1,MOD(INDEX(기본자료!$K$2:$K$1001,$AB2),100)&lt;=31),DATE(INT(INDEX(기본자료!$K$2:$K$1001,$AB2)/10000),INT(MOD(INDEX(기본자료!$K$2:$K$1001,$AB2),10000)/100),MOD(INDEX(기본자료!$K$2:$K$1001,$AB2),100)),INDEX(기본자료!$K$2:$K$1001,$AB2)&amp;"")))))</f>
        <v/>
      </c>
      <c r="F2" s="10">
        <f>IF($AB2="","",IF(INDEX(기본자료!$D$2:$D$1001,$AB2)="","",INDEX(기본자료!$D$2:$D$1001,$AB2)))</f>
        <v/>
      </c>
      <c r="G2" s="10">
        <f>IF($AB2="","",IF(INDEX(기본자료!$E$2:$E$1001,$AB2)="","",INDEX(기본자료!$E$2:$E$1001,$AB2)))</f>
        <v/>
      </c>
      <c r="H2" s="10">
        <f>IF($AB2="","",IF(INDEX(기본자료!$F$2:$F$1001,$AB2)="","",INDEX(기본자료!$F$2:$F$1001,$AB2)))</f>
        <v/>
      </c>
      <c r="I2" s="11">
        <f>IF($AB2="","",IF(INDEX(기본자료!$G$2:$G$1001,$AB2)="","",IF(NOT(ISNUMBER(INDEX(기본자료!$G$2:$G$1001,$AB2))),INDEX(기본자료!$G$2:$G$1001,$AB2),IF(INDEX(기본자료!$G$2:$G$1001,$AB2)&lt;1000000,INDEX(기본자료!$G$2:$G$1001,$AB2),IF(AND(INDEX(기본자료!$G$2:$G$1001,$AB2)&gt;=10000101,INT(MOD(INDEX(기본자료!$G$2:$G$1001,$AB2),10000)/100)&gt;=1,INT(MOD(INDEX(기본자료!$G$2:$G$1001,$AB2),10000)/100)&lt;=12,MOD(INDEX(기본자료!$G$2:$G$1001,$AB2),100)&gt;=1,MOD(INDEX(기본자료!$G$2:$G$1001,$AB2),100)&lt;=31),DATE(INT(INDEX(기본자료!$G$2:$G$1001,$AB2)/10000),INT(MOD(INDEX(기본자료!$G$2:$G$1001,$AB2),10000)/100),MOD(INDEX(기본자료!$G$2:$G$1001,$AB2),100)),INDEX(기본자료!$G$2:$G$1001,$AB2)&amp;"")))))</f>
        <v/>
      </c>
      <c r="J2" s="10">
        <f>IF($AB2="","",IF(INDEX(기본자료!$H$2:$H$1001,$AB2)="","",INDEX(기본자료!$H$2:$H$1001,$AB2)))</f>
        <v/>
      </c>
      <c r="K2" s="10">
        <f>IF($AB2="","",IF(INDEX(기본자료!$I$2:$I$1001,$AB2)="","",INDEX(기본자료!$I$2:$I$1001,$AB2)))</f>
        <v/>
      </c>
      <c r="L2" s="10">
        <f>IF($AB2="","",IF(INDEX(기본자료!$A$2:$A$1001,$AB2)="","",INDEX(기본자료!$A$2:$A$1001,$AB2)))</f>
        <v/>
      </c>
      <c r="M2" s="15" t="inlineStr">
        <is>
          <t>서울병원</t>
        </is>
      </c>
      <c r="N2" s="10">
        <f>IF($B2="","",IF(AND($U2="파견중",$Q2&lt;&gt;""),$Q2,IF(AND($AD2&lt;&gt;"",LEFT($AD2,1)&lt;&gt;"⚠"),LEFT($AD2,FIND(" ",$AD2)-1),IF($H2="","",IF(RIGHT($H2,2)="병원",$H2,$H2&amp;"병원")))))</f>
        <v/>
      </c>
      <c r="O2" s="10">
        <f>IF($B2="","",IF(AND($U2="파견중",$Q2&lt;&gt;""),IF($R2&lt;&gt;"",$R2,"파견과 미입력"),IF(AND($AD2&lt;&gt;"",LEFT($AD2,1)&lt;&gt;"⚠"),MID($AD2,FIND(" ",$AD2)+1,60),IF($F2="","",IF($F2="인턴","수련교육부(인턴)",$F2)))))</f>
        <v/>
      </c>
      <c r="P2" s="10">
        <f>IF($B2="","",IF($AK2&lt;&gt;"",IF(AND(TODAY()&gt;=INDEX(파견수련계획!$AB$4:$AB$83,$AK2),OR(NOT(ISNUMBER(INDEX(파견수련계획!$AC$4:$AC$83,$AK2))),TODAY()&lt;=INDEX(파견수련계획!$AC$4:$AC$83,$AK2))),"다기관",IF($AF2="","",INDEX(파견수련계획!$T$4:$T$83,$AF2))),IF($AF2="","",INDEX(파견수련계획!$T$4:$T$83,$AF2))))</f>
        <v/>
      </c>
      <c r="Q2" s="10">
        <f>IF($AF2="","",INDEX(파견수련계획!$S$4:$S$83,$AF2))</f>
        <v/>
      </c>
      <c r="R2" s="10">
        <f>IF($AF2="","",INDEX(파견수련계획!$U$4:$U$83,$AF2))</f>
        <v/>
      </c>
      <c r="S2" s="11">
        <f>IF($AF2="","",IF(INDEX(파견수련계획!$H$4:$H$83,$AF2)="","",INDEX(파견수련계획!$H$4:$H$83,$AF2)))</f>
        <v/>
      </c>
      <c r="T2" s="11">
        <f>IF($AF2="","",IF(INDEX(파견수련계획!$I$4:$I$83,$AF2)="","",INDEX(파견수련계획!$I$4:$I$83,$AF2)))</f>
        <v/>
      </c>
      <c r="U2" s="10">
        <f>IF($AF2="","",INDEX(파견수련계획!$X$4:$X$83,$AF2))</f>
        <v/>
      </c>
      <c r="V2" s="17">
        <f>IF($AF2="","",INDEX(파견수련계획!$V$4:$V$83,$AF2))</f>
        <v/>
      </c>
      <c r="W2" s="17">
        <f>IF(AND($U2="파견중",$T2&lt;&gt;""),$T2-TODAY(),"")</f>
        <v/>
      </c>
      <c r="X2" s="17">
        <f>IF(OR($B2="",TRIM($J2&amp;"")=""),"",SUMPRODUCT((파견수련계획!$Q$4:$Q$83=TRIM($J2&amp;""))*파견수련계획!$W$4:$W$83))</f>
        <v/>
      </c>
      <c r="Y2" s="10">
        <f>IF($B2="","",IF($AG2="","",IF(IF(TRIM($J2&amp;"")="",0,SUMPRODUCT((파견수련계획!$Q$4:$Q$83=TRIM($J2&amp;""))*파견수련계획!$AD$4:$AD$83))&gt;0,$AE2,IF(N($X2)&lt;=0,$AG2,IF($AH2+$AI2=DAY(EOMONTH(요약!$B$3,0)),IF(AND($AH2&gt;=요약!$E$3,$AI2&lt;요약!$E$3),"서울병원",IF(AND($AI2&gt;=요약!$E$3,$AH2&lt;요약!$E$3),"구리병원","⚠15일 판정불가(서울 "&amp;$AH2&amp;"일/구리 "&amp;$AI2&amp;"일)")),IF($AJ2="",$AE2,IF(INDEX(파견수련계획!$T$4:$T$83,$AJ2)="통합수련",INDEX(파견수련계획!$S$4:$S$83,$AJ2),$AE2)))))))</f>
        <v/>
      </c>
      <c r="Z2" s="19">
        <f>IF($B2="","",IF($AB2="","기본자료에 없는 사번",IF(COUNTIF($B$2:$B$401,$B2)&gt;1,"중복 사번",IF($AE2="","소속(입사장소) 입력",IF(IF(TRIM($J2&amp;"")="",0,SUMPRODUCT((파견수련계획!$Q$4:$Q$83=TRIM($J2&amp;""))*(파견수련계획!$AA$4:$AA$83&lt;&gt;"")))&gt;0,"파견수련계획 입력오류 확인",IF(LEFT($Y2,1)="⚠","서울·구리 15일 판정 불가(양쪽 모두 이상/미만)",IF(IF($AC2="",0,N(INDEX(인턴근무계획!$T$3:$T$62,$AC2)))&gt;0,"인턴계획 입력오류 확인",IF(AND($AC2&lt;&gt;"",$U2&lt;&gt;"파견중",$N2&lt;&gt;$AE2),"인턴 타지역 근무: 파견 여부 확인","정상"))))))))</f>
        <v/>
      </c>
      <c r="AA2" s="5" t="inlineStr">
        <is>
          <t>예시 데이터</t>
        </is>
      </c>
      <c r="AB2" s="10">
        <f>IF($B2="","",IFERROR(MATCH($B2,기본자료!$B$2:$B$1001,0),IFERROR(MATCH($B2&amp;"",기본자료!$B$2:$B$1001,0),IFERROR(MATCH(VALUE($B2),기본자료!$B$2:$B$1001,0),""))))</f>
        <v/>
      </c>
      <c r="AC2" s="10">
        <f>IF($B2="","",IFERROR(MATCH($B2,인턴근무계획!$D$3:$D$62,0),IFERROR(MATCH($B2&amp;"",인턴근무계획!$D$3:$D$62,0),IFERROR(MATCH(VALUE($B2),인턴근무계획!$D$3:$D$62,0),""))))</f>
        <v/>
      </c>
      <c r="AD2" s="10">
        <f>IF(OR($AC2="",인턴현황!$G$3=""),"",INDEX(인턴근무계획!$M$3:$R$62,$AC2,인턴현황!$G$3)&amp;"")</f>
        <v/>
      </c>
      <c r="AE2" s="10">
        <f>IF($B2="","",IF($M2&lt;&gt;"",$M2,IF($AF2&lt;&gt;"",IF(LEFT(INDEX(파견수련계획!$R$4:$R$83,$AF2),1)&lt;&gt;"⚠",INDEX(파견수련계획!$R$4:$R$83,$AF2),IF($H2="","",IF(RIGHT($H2,2)="병원",$H2,$H2&amp;"병원"))),IF($H2="","",IF(RIGHT($H2,2)="병원",$H2,$H2&amp;"병원")))))</f>
        <v/>
      </c>
      <c r="AF2" s="10">
        <f>IF(OR($B2="",TRIM($J2&amp;"")=""),"",IFERROR(MATCH(TRIM($J2&amp;"")&amp;"|파견중",파견수련계획!$Y$4:$Y$83,0),IFERROR(MATCH(TRIM($J2&amp;"")&amp;"|파견예정",파견수련계획!$Y$4:$Y$83,0),IFERROR(MATCH(TRIM($J2&amp;"")&amp;"|파견종료",파견수련계획!$Y$4:$Y$83,0),""))))</f>
        <v/>
      </c>
      <c r="AG2" s="10">
        <f>IF($B2="","",IF(AND(IF(OR($AC2="",인턴현황!$K$2=""),"",INDEX(인턴근무계획!$M$3:$R$62,$AC2,인턴현황!$K$2)&amp;"")&lt;&gt;"",LEFT(IF(OR($AC2="",인턴현황!$K$2=""),"",INDEX(인턴근무계획!$M$3:$R$62,$AC2,인턴현황!$K$2)&amp;""),1)&lt;&gt;"⚠"),LEFT(IF(OR($AC2="",인턴현황!$K$2=""),"",INDEX(인턴근무계획!$M$3:$R$62,$AC2,인턴현황!$K$2)&amp;""),FIND(" ",IF(OR($AC2="",인턴현황!$K$2=""),"",INDEX(인턴근무계획!$M$3:$R$62,$AC2,인턴현황!$K$2)&amp;""))-1),$AE2))</f>
        <v/>
      </c>
      <c r="AH2" s="17">
        <f>IF($B2="","",IF(TRIM($J2&amp;"")="",0,SUMPRODUCT((파견수련계획!$Q$4:$Q$83=TRIM($J2&amp;""))*(파견수련계획!$S$4:$S$83="서울병원")*파견수련계획!$W$4:$W$83))+IF($AG2="서울병원",MAX(0,DAY(EOMONTH(요약!$B$3,0))-N($X2)),0))</f>
        <v/>
      </c>
      <c r="AI2" s="17">
        <f>IF($B2="","",IF(TRIM($J2&amp;"")="",0,SUMPRODUCT((파견수련계획!$Q$4:$Q$83=TRIM($J2&amp;""))*(파견수련계획!$S$4:$S$83="구리병원")*파견수련계획!$W$4:$W$83))+IF($AG2="구리병원",MAX(0,DAY(EOMONTH(요약!$B$3,0))-N($X2)),0))</f>
        <v/>
      </c>
      <c r="AJ2" s="10">
        <f>IF(OR($B2="",TRIM($J2&amp;"")=""),"",IFERROR(MATCH(TRIM($J2&amp;"")&amp;"|월",파견수련계획!$Z$4:$Z$83,0),""))</f>
        <v/>
      </c>
      <c r="AK2" s="10">
        <f>IF(OR($B2="",TRIM($J2&amp;"")=""),"",IFERROR(MATCH(TRIM($J2&amp;"")&amp;"|다기관",파견수련계획!$AE$4:$AE$83,0),""))</f>
        <v/>
      </c>
      <c r="AL2" s="10">
        <f>IF($AK2="","","다기관 "&amp;TEXT(INDEX(파견수련계획!$AB$4:$AB$83,$AK2),"yyyy-mm-dd")&amp;"~"&amp;IF(ISNUMBER(INDEX(파견수련계획!$AC$4:$AC$83,$AK2)),TEXT(INDEX(파견수련계획!$AC$4:$AC$83,$AK2),"yyyy-mm-dd"),""))</f>
        <v/>
      </c>
    </row>
    <row r="3">
      <c r="A3" s="10">
        <f>IF(B3="","",ROW()-1)</f>
        <v/>
      </c>
      <c r="B3" s="18" t="inlineStr">
        <is>
          <t>2261213</t>
        </is>
      </c>
      <c r="C3" s="10">
        <f>IF($AB3="","",IF(INDEX(기본자료!$C$2:$C$1001,$AB3)="","",INDEX(기본자료!$C$2:$C$1001,$AB3)))</f>
        <v/>
      </c>
      <c r="D3" s="10">
        <f>IF($AB3="","",IF(INDEX(기본자료!$J$2:$J$1001,$AB3)="","",INDEX(기본자료!$J$2:$J$1001,$AB3)))</f>
        <v/>
      </c>
      <c r="E3" s="11">
        <f>IF($AB3="","",IF(INDEX(기본자료!$K$2:$K$1001,$AB3)="","",IF(NOT(ISNUMBER(INDEX(기본자료!$K$2:$K$1001,$AB3))),INDEX(기본자료!$K$2:$K$1001,$AB3),IF(INDEX(기본자료!$K$2:$K$1001,$AB3)&lt;1000000,INDEX(기본자료!$K$2:$K$1001,$AB3),IF(AND(INDEX(기본자료!$K$2:$K$1001,$AB3)&gt;=10000101,INT(MOD(INDEX(기본자료!$K$2:$K$1001,$AB3),10000)/100)&gt;=1,INT(MOD(INDEX(기본자료!$K$2:$K$1001,$AB3),10000)/100)&lt;=12,MOD(INDEX(기본자료!$K$2:$K$1001,$AB3),100)&gt;=1,MOD(INDEX(기본자료!$K$2:$K$1001,$AB3),100)&lt;=31),DATE(INT(INDEX(기본자료!$K$2:$K$1001,$AB3)/10000),INT(MOD(INDEX(기본자료!$K$2:$K$1001,$AB3),10000)/100),MOD(INDEX(기본자료!$K$2:$K$1001,$AB3),100)),INDEX(기본자료!$K$2:$K$1001,$AB3)&amp;"")))))</f>
        <v/>
      </c>
      <c r="F3" s="10">
        <f>IF($AB3="","",IF(INDEX(기본자료!$D$2:$D$1001,$AB3)="","",INDEX(기본자료!$D$2:$D$1001,$AB3)))</f>
        <v/>
      </c>
      <c r="G3" s="10">
        <f>IF($AB3="","",IF(INDEX(기본자료!$E$2:$E$1001,$AB3)="","",INDEX(기본자료!$E$2:$E$1001,$AB3)))</f>
        <v/>
      </c>
      <c r="H3" s="10">
        <f>IF($AB3="","",IF(INDEX(기본자료!$F$2:$F$1001,$AB3)="","",INDEX(기본자료!$F$2:$F$1001,$AB3)))</f>
        <v/>
      </c>
      <c r="I3" s="11">
        <f>IF($AB3="","",IF(INDEX(기본자료!$G$2:$G$1001,$AB3)="","",IF(NOT(ISNUMBER(INDEX(기본자료!$G$2:$G$1001,$AB3))),INDEX(기본자료!$G$2:$G$1001,$AB3),IF(INDEX(기본자료!$G$2:$G$1001,$AB3)&lt;1000000,INDEX(기본자료!$G$2:$G$1001,$AB3),IF(AND(INDEX(기본자료!$G$2:$G$1001,$AB3)&gt;=10000101,INT(MOD(INDEX(기본자료!$G$2:$G$1001,$AB3),10000)/100)&gt;=1,INT(MOD(INDEX(기본자료!$G$2:$G$1001,$AB3),10000)/100)&lt;=12,MOD(INDEX(기본자료!$G$2:$G$1001,$AB3),100)&gt;=1,MOD(INDEX(기본자료!$G$2:$G$1001,$AB3),100)&lt;=31),DATE(INT(INDEX(기본자료!$G$2:$G$1001,$AB3)/10000),INT(MOD(INDEX(기본자료!$G$2:$G$1001,$AB3),10000)/100),MOD(INDEX(기본자료!$G$2:$G$1001,$AB3),100)),INDEX(기본자료!$G$2:$G$1001,$AB3)&amp;"")))))</f>
        <v/>
      </c>
      <c r="J3" s="10">
        <f>IF($AB3="","",IF(INDEX(기본자료!$H$2:$H$1001,$AB3)="","",INDEX(기본자료!$H$2:$H$1001,$AB3)))</f>
        <v/>
      </c>
      <c r="K3" s="10">
        <f>IF($AB3="","",IF(INDEX(기본자료!$I$2:$I$1001,$AB3)="","",INDEX(기본자료!$I$2:$I$1001,$AB3)))</f>
        <v/>
      </c>
      <c r="L3" s="10">
        <f>IF($AB3="","",IF(INDEX(기본자료!$A$2:$A$1001,$AB3)="","",INDEX(기본자료!$A$2:$A$1001,$AB3)))</f>
        <v/>
      </c>
      <c r="M3" s="15" t="inlineStr">
        <is>
          <t>서울병원</t>
        </is>
      </c>
      <c r="N3" s="10">
        <f>IF($B3="","",IF(AND($U3="파견중",$Q3&lt;&gt;""),$Q3,IF(AND($AD3&lt;&gt;"",LEFT($AD3,1)&lt;&gt;"⚠"),LEFT($AD3,FIND(" ",$AD3)-1),IF($H3="","",IF(RIGHT($H3,2)="병원",$H3,$H3&amp;"병원")))))</f>
        <v/>
      </c>
      <c r="O3" s="10">
        <f>IF($B3="","",IF(AND($U3="파견중",$Q3&lt;&gt;""),IF($R3&lt;&gt;"",$R3,"파견과 미입력"),IF(AND($AD3&lt;&gt;"",LEFT($AD3,1)&lt;&gt;"⚠"),MID($AD3,FIND(" ",$AD3)+1,60),IF($F3="","",IF($F3="인턴","수련교육부(인턴)",$F3)))))</f>
        <v/>
      </c>
      <c r="P3" s="10">
        <f>IF($B3="","",IF($AK3&lt;&gt;"",IF(AND(TODAY()&gt;=INDEX(파견수련계획!$AB$4:$AB$83,$AK3),OR(NOT(ISNUMBER(INDEX(파견수련계획!$AC$4:$AC$83,$AK3))),TODAY()&lt;=INDEX(파견수련계획!$AC$4:$AC$83,$AK3))),"다기관",IF($AF3="","",INDEX(파견수련계획!$T$4:$T$83,$AF3))),IF($AF3="","",INDEX(파견수련계획!$T$4:$T$83,$AF3))))</f>
        <v/>
      </c>
      <c r="Q3" s="10">
        <f>IF($AF3="","",INDEX(파견수련계획!$S$4:$S$83,$AF3))</f>
        <v/>
      </c>
      <c r="R3" s="10">
        <f>IF($AF3="","",INDEX(파견수련계획!$U$4:$U$83,$AF3))</f>
        <v/>
      </c>
      <c r="S3" s="11">
        <f>IF($AF3="","",IF(INDEX(파견수련계획!$H$4:$H$83,$AF3)="","",INDEX(파견수련계획!$H$4:$H$83,$AF3)))</f>
        <v/>
      </c>
      <c r="T3" s="11">
        <f>IF($AF3="","",IF(INDEX(파견수련계획!$I$4:$I$83,$AF3)="","",INDEX(파견수련계획!$I$4:$I$83,$AF3)))</f>
        <v/>
      </c>
      <c r="U3" s="10">
        <f>IF($AF3="","",INDEX(파견수련계획!$X$4:$X$83,$AF3))</f>
        <v/>
      </c>
      <c r="V3" s="17">
        <f>IF($AF3="","",INDEX(파견수련계획!$V$4:$V$83,$AF3))</f>
        <v/>
      </c>
      <c r="W3" s="17">
        <f>IF(AND($U3="파견중",$T3&lt;&gt;""),$T3-TODAY(),"")</f>
        <v/>
      </c>
      <c r="X3" s="17">
        <f>IF(OR($B3="",TRIM($J3&amp;"")=""),"",SUMPRODUCT((파견수련계획!$Q$4:$Q$83=TRIM($J3&amp;""))*파견수련계획!$W$4:$W$83))</f>
        <v/>
      </c>
      <c r="Y3" s="10">
        <f>IF($B3="","",IF($AG3="","",IF(IF(TRIM($J3&amp;"")="",0,SUMPRODUCT((파견수련계획!$Q$4:$Q$83=TRIM($J3&amp;""))*파견수련계획!$AD$4:$AD$83))&gt;0,$AE3,IF(N($X3)&lt;=0,$AG3,IF($AH3+$AI3=DAY(EOMONTH(요약!$B$3,0)),IF(AND($AH3&gt;=요약!$E$3,$AI3&lt;요약!$E$3),"서울병원",IF(AND($AI3&gt;=요약!$E$3,$AH3&lt;요약!$E$3),"구리병원","⚠15일 판정불가(서울 "&amp;$AH3&amp;"일/구리 "&amp;$AI3&amp;"일)")),IF($AJ3="",$AE3,IF(INDEX(파견수련계획!$T$4:$T$83,$AJ3)="통합수련",INDEX(파견수련계획!$S$4:$S$83,$AJ3),$AE3)))))))</f>
        <v/>
      </c>
      <c r="Z3" s="19">
        <f>IF($B3="","",IF($AB3="","기본자료에 없는 사번",IF(COUNTIF($B$2:$B$401,$B3)&gt;1,"중복 사번",IF($AE3="","소속(입사장소) 입력",IF(IF(TRIM($J3&amp;"")="",0,SUMPRODUCT((파견수련계획!$Q$4:$Q$83=TRIM($J3&amp;""))*(파견수련계획!$AA$4:$AA$83&lt;&gt;"")))&gt;0,"파견수련계획 입력오류 확인",IF(LEFT($Y3,1)="⚠","서울·구리 15일 판정 불가(양쪽 모두 이상/미만)",IF(IF($AC3="",0,N(INDEX(인턴근무계획!$T$3:$T$62,$AC3)))&gt;0,"인턴계획 입력오류 확인",IF(AND($AC3&lt;&gt;"",$U3&lt;&gt;"파견중",$N3&lt;&gt;$AE3),"인턴 타지역 근무: 파견 여부 확인","정상"))))))))</f>
        <v/>
      </c>
      <c r="AA3" s="5" t="inlineStr">
        <is>
          <t>예시 데이터</t>
        </is>
      </c>
      <c r="AB3" s="10">
        <f>IF($B3="","",IFERROR(MATCH($B3,기본자료!$B$2:$B$1001,0),IFERROR(MATCH($B3&amp;"",기본자료!$B$2:$B$1001,0),IFERROR(MATCH(VALUE($B3),기본자료!$B$2:$B$1001,0),""))))</f>
        <v/>
      </c>
      <c r="AC3" s="10">
        <f>IF($B3="","",IFERROR(MATCH($B3,인턴근무계획!$D$3:$D$62,0),IFERROR(MATCH($B3&amp;"",인턴근무계획!$D$3:$D$62,0),IFERROR(MATCH(VALUE($B3),인턴근무계획!$D$3:$D$62,0),""))))</f>
        <v/>
      </c>
      <c r="AD3" s="10">
        <f>IF(OR($AC3="",인턴현황!$G$3=""),"",INDEX(인턴근무계획!$M$3:$R$62,$AC3,인턴현황!$G$3)&amp;"")</f>
        <v/>
      </c>
      <c r="AE3" s="10">
        <f>IF($B3="","",IF($M3&lt;&gt;"",$M3,IF($AF3&lt;&gt;"",IF(LEFT(INDEX(파견수련계획!$R$4:$R$83,$AF3),1)&lt;&gt;"⚠",INDEX(파견수련계획!$R$4:$R$83,$AF3),IF($H3="","",IF(RIGHT($H3,2)="병원",$H3,$H3&amp;"병원"))),IF($H3="","",IF(RIGHT($H3,2)="병원",$H3,$H3&amp;"병원")))))</f>
        <v/>
      </c>
      <c r="AF3" s="10">
        <f>IF(OR($B3="",TRIM($J3&amp;"")=""),"",IFERROR(MATCH(TRIM($J3&amp;"")&amp;"|파견중",파견수련계획!$Y$4:$Y$83,0),IFERROR(MATCH(TRIM($J3&amp;"")&amp;"|파견예정",파견수련계획!$Y$4:$Y$83,0),IFERROR(MATCH(TRIM($J3&amp;"")&amp;"|파견종료",파견수련계획!$Y$4:$Y$83,0),""))))</f>
        <v/>
      </c>
      <c r="AG3" s="10">
        <f>IF($B3="","",IF(AND(IF(OR($AC3="",인턴현황!$K$2=""),"",INDEX(인턴근무계획!$M$3:$R$62,$AC3,인턴현황!$K$2)&amp;"")&lt;&gt;"",LEFT(IF(OR($AC3="",인턴현황!$K$2=""),"",INDEX(인턴근무계획!$M$3:$R$62,$AC3,인턴현황!$K$2)&amp;""),1)&lt;&gt;"⚠"),LEFT(IF(OR($AC3="",인턴현황!$K$2=""),"",INDEX(인턴근무계획!$M$3:$R$62,$AC3,인턴현황!$K$2)&amp;""),FIND(" ",IF(OR($AC3="",인턴현황!$K$2=""),"",INDEX(인턴근무계획!$M$3:$R$62,$AC3,인턴현황!$K$2)&amp;""))-1),$AE3))</f>
        <v/>
      </c>
      <c r="AH3" s="17">
        <f>IF($B3="","",IF(TRIM($J3&amp;"")="",0,SUMPRODUCT((파견수련계획!$Q$4:$Q$83=TRIM($J3&amp;""))*(파견수련계획!$S$4:$S$83="서울병원")*파견수련계획!$W$4:$W$83))+IF($AG3="서울병원",MAX(0,DAY(EOMONTH(요약!$B$3,0))-N($X3)),0))</f>
        <v/>
      </c>
      <c r="AI3" s="17">
        <f>IF($B3="","",IF(TRIM($J3&amp;"")="",0,SUMPRODUCT((파견수련계획!$Q$4:$Q$83=TRIM($J3&amp;""))*(파견수련계획!$S$4:$S$83="구리병원")*파견수련계획!$W$4:$W$83))+IF($AG3="구리병원",MAX(0,DAY(EOMONTH(요약!$B$3,0))-N($X3)),0))</f>
        <v/>
      </c>
      <c r="AJ3" s="10">
        <f>IF(OR($B3="",TRIM($J3&amp;"")=""),"",IFERROR(MATCH(TRIM($J3&amp;"")&amp;"|월",파견수련계획!$Z$4:$Z$83,0),""))</f>
        <v/>
      </c>
      <c r="AK3" s="10">
        <f>IF(OR($B3="",TRIM($J3&amp;"")=""),"",IFERROR(MATCH(TRIM($J3&amp;"")&amp;"|다기관",파견수련계획!$AE$4:$AE$83,0),""))</f>
        <v/>
      </c>
      <c r="AL3" s="10">
        <f>IF($AK3="","","다기관 "&amp;TEXT(INDEX(파견수련계획!$AB$4:$AB$83,$AK3),"yyyy-mm-dd")&amp;"~"&amp;IF(ISNUMBER(INDEX(파견수련계획!$AC$4:$AC$83,$AK3)),TEXT(INDEX(파견수련계획!$AC$4:$AC$83,$AK3),"yyyy-mm-dd"),""))</f>
        <v/>
      </c>
    </row>
    <row r="4">
      <c r="A4" s="10">
        <f>IF(B4="","",ROW()-1)</f>
        <v/>
      </c>
      <c r="B4" s="18" t="inlineStr">
        <is>
          <t>2261214</t>
        </is>
      </c>
      <c r="C4" s="10">
        <f>IF($AB4="","",IF(INDEX(기본자료!$C$2:$C$1001,$AB4)="","",INDEX(기본자료!$C$2:$C$1001,$AB4)))</f>
        <v/>
      </c>
      <c r="D4" s="10">
        <f>IF($AB4="","",IF(INDEX(기본자료!$J$2:$J$1001,$AB4)="","",INDEX(기본자료!$J$2:$J$1001,$AB4)))</f>
        <v/>
      </c>
      <c r="E4" s="11">
        <f>IF($AB4="","",IF(INDEX(기본자료!$K$2:$K$1001,$AB4)="","",IF(NOT(ISNUMBER(INDEX(기본자료!$K$2:$K$1001,$AB4))),INDEX(기본자료!$K$2:$K$1001,$AB4),IF(INDEX(기본자료!$K$2:$K$1001,$AB4)&lt;1000000,INDEX(기본자료!$K$2:$K$1001,$AB4),IF(AND(INDEX(기본자료!$K$2:$K$1001,$AB4)&gt;=10000101,INT(MOD(INDEX(기본자료!$K$2:$K$1001,$AB4),10000)/100)&gt;=1,INT(MOD(INDEX(기본자료!$K$2:$K$1001,$AB4),10000)/100)&lt;=12,MOD(INDEX(기본자료!$K$2:$K$1001,$AB4),100)&gt;=1,MOD(INDEX(기본자료!$K$2:$K$1001,$AB4),100)&lt;=31),DATE(INT(INDEX(기본자료!$K$2:$K$1001,$AB4)/10000),INT(MOD(INDEX(기본자료!$K$2:$K$1001,$AB4),10000)/100),MOD(INDEX(기본자료!$K$2:$K$1001,$AB4),100)),INDEX(기본자료!$K$2:$K$1001,$AB4)&amp;"")))))</f>
        <v/>
      </c>
      <c r="F4" s="10">
        <f>IF($AB4="","",IF(INDEX(기본자료!$D$2:$D$1001,$AB4)="","",INDEX(기본자료!$D$2:$D$1001,$AB4)))</f>
        <v/>
      </c>
      <c r="G4" s="10">
        <f>IF($AB4="","",IF(INDEX(기본자료!$E$2:$E$1001,$AB4)="","",INDEX(기본자료!$E$2:$E$1001,$AB4)))</f>
        <v/>
      </c>
      <c r="H4" s="10">
        <f>IF($AB4="","",IF(INDEX(기본자료!$F$2:$F$1001,$AB4)="","",INDEX(기본자료!$F$2:$F$1001,$AB4)))</f>
        <v/>
      </c>
      <c r="I4" s="11">
        <f>IF($AB4="","",IF(INDEX(기본자료!$G$2:$G$1001,$AB4)="","",IF(NOT(ISNUMBER(INDEX(기본자료!$G$2:$G$1001,$AB4))),INDEX(기본자료!$G$2:$G$1001,$AB4),IF(INDEX(기본자료!$G$2:$G$1001,$AB4)&lt;1000000,INDEX(기본자료!$G$2:$G$1001,$AB4),IF(AND(INDEX(기본자료!$G$2:$G$1001,$AB4)&gt;=10000101,INT(MOD(INDEX(기본자료!$G$2:$G$1001,$AB4),10000)/100)&gt;=1,INT(MOD(INDEX(기본자료!$G$2:$G$1001,$AB4),10000)/100)&lt;=12,MOD(INDEX(기본자료!$G$2:$G$1001,$AB4),100)&gt;=1,MOD(INDEX(기본자료!$G$2:$G$1001,$AB4),100)&lt;=31),DATE(INT(INDEX(기본자료!$G$2:$G$1001,$AB4)/10000),INT(MOD(INDEX(기본자료!$G$2:$G$1001,$AB4),10000)/100),MOD(INDEX(기본자료!$G$2:$G$1001,$AB4),100)),INDEX(기본자료!$G$2:$G$1001,$AB4)&amp;"")))))</f>
        <v/>
      </c>
      <c r="J4" s="10">
        <f>IF($AB4="","",IF(INDEX(기본자료!$H$2:$H$1001,$AB4)="","",INDEX(기본자료!$H$2:$H$1001,$AB4)))</f>
        <v/>
      </c>
      <c r="K4" s="10">
        <f>IF($AB4="","",IF(INDEX(기본자료!$I$2:$I$1001,$AB4)="","",INDEX(기본자료!$I$2:$I$1001,$AB4)))</f>
        <v/>
      </c>
      <c r="L4" s="10">
        <f>IF($AB4="","",IF(INDEX(기본자료!$A$2:$A$1001,$AB4)="","",INDEX(기본자료!$A$2:$A$1001,$AB4)))</f>
        <v/>
      </c>
      <c r="M4" s="15" t="inlineStr">
        <is>
          <t>서울병원</t>
        </is>
      </c>
      <c r="N4" s="10">
        <f>IF($B4="","",IF(AND($U4="파견중",$Q4&lt;&gt;""),$Q4,IF(AND($AD4&lt;&gt;"",LEFT($AD4,1)&lt;&gt;"⚠"),LEFT($AD4,FIND(" ",$AD4)-1),IF($H4="","",IF(RIGHT($H4,2)="병원",$H4,$H4&amp;"병원")))))</f>
        <v/>
      </c>
      <c r="O4" s="10">
        <f>IF($B4="","",IF(AND($U4="파견중",$Q4&lt;&gt;""),IF($R4&lt;&gt;"",$R4,"파견과 미입력"),IF(AND($AD4&lt;&gt;"",LEFT($AD4,1)&lt;&gt;"⚠"),MID($AD4,FIND(" ",$AD4)+1,60),IF($F4="","",IF($F4="인턴","수련교육부(인턴)",$F4)))))</f>
        <v/>
      </c>
      <c r="P4" s="10">
        <f>IF($B4="","",IF($AK4&lt;&gt;"",IF(AND(TODAY()&gt;=INDEX(파견수련계획!$AB$4:$AB$83,$AK4),OR(NOT(ISNUMBER(INDEX(파견수련계획!$AC$4:$AC$83,$AK4))),TODAY()&lt;=INDEX(파견수련계획!$AC$4:$AC$83,$AK4))),"다기관",IF($AF4="","",INDEX(파견수련계획!$T$4:$T$83,$AF4))),IF($AF4="","",INDEX(파견수련계획!$T$4:$T$83,$AF4))))</f>
        <v/>
      </c>
      <c r="Q4" s="10">
        <f>IF($AF4="","",INDEX(파견수련계획!$S$4:$S$83,$AF4))</f>
        <v/>
      </c>
      <c r="R4" s="10">
        <f>IF($AF4="","",INDEX(파견수련계획!$U$4:$U$83,$AF4))</f>
        <v/>
      </c>
      <c r="S4" s="11">
        <f>IF($AF4="","",IF(INDEX(파견수련계획!$H$4:$H$83,$AF4)="","",INDEX(파견수련계획!$H$4:$H$83,$AF4)))</f>
        <v/>
      </c>
      <c r="T4" s="11">
        <f>IF($AF4="","",IF(INDEX(파견수련계획!$I$4:$I$83,$AF4)="","",INDEX(파견수련계획!$I$4:$I$83,$AF4)))</f>
        <v/>
      </c>
      <c r="U4" s="10">
        <f>IF($AF4="","",INDEX(파견수련계획!$X$4:$X$83,$AF4))</f>
        <v/>
      </c>
      <c r="V4" s="17">
        <f>IF($AF4="","",INDEX(파견수련계획!$V$4:$V$83,$AF4))</f>
        <v/>
      </c>
      <c r="W4" s="17">
        <f>IF(AND($U4="파견중",$T4&lt;&gt;""),$T4-TODAY(),"")</f>
        <v/>
      </c>
      <c r="X4" s="17">
        <f>IF(OR($B4="",TRIM($J4&amp;"")=""),"",SUMPRODUCT((파견수련계획!$Q$4:$Q$83=TRIM($J4&amp;""))*파견수련계획!$W$4:$W$83))</f>
        <v/>
      </c>
      <c r="Y4" s="10">
        <f>IF($B4="","",IF($AG4="","",IF(IF(TRIM($J4&amp;"")="",0,SUMPRODUCT((파견수련계획!$Q$4:$Q$83=TRIM($J4&amp;""))*파견수련계획!$AD$4:$AD$83))&gt;0,$AE4,IF(N($X4)&lt;=0,$AG4,IF($AH4+$AI4=DAY(EOMONTH(요약!$B$3,0)),IF(AND($AH4&gt;=요약!$E$3,$AI4&lt;요약!$E$3),"서울병원",IF(AND($AI4&gt;=요약!$E$3,$AH4&lt;요약!$E$3),"구리병원","⚠15일 판정불가(서울 "&amp;$AH4&amp;"일/구리 "&amp;$AI4&amp;"일)")),IF($AJ4="",$AE4,IF(INDEX(파견수련계획!$T$4:$T$83,$AJ4)="통합수련",INDEX(파견수련계획!$S$4:$S$83,$AJ4),$AE4)))))))</f>
        <v/>
      </c>
      <c r="Z4" s="19">
        <f>IF($B4="","",IF($AB4="","기본자료에 없는 사번",IF(COUNTIF($B$2:$B$401,$B4)&gt;1,"중복 사번",IF($AE4="","소속(입사장소) 입력",IF(IF(TRIM($J4&amp;"")="",0,SUMPRODUCT((파견수련계획!$Q$4:$Q$83=TRIM($J4&amp;""))*(파견수련계획!$AA$4:$AA$83&lt;&gt;"")))&gt;0,"파견수련계획 입력오류 확인",IF(LEFT($Y4,1)="⚠","서울·구리 15일 판정 불가(양쪽 모두 이상/미만)",IF(IF($AC4="",0,N(INDEX(인턴근무계획!$T$3:$T$62,$AC4)))&gt;0,"인턴계획 입력오류 확인",IF(AND($AC4&lt;&gt;"",$U4&lt;&gt;"파견중",$N4&lt;&gt;$AE4),"인턴 타지역 근무: 파견 여부 확인","정상"))))))))</f>
        <v/>
      </c>
      <c r="AA4" s="5" t="inlineStr">
        <is>
          <t>예시 데이터</t>
        </is>
      </c>
      <c r="AB4" s="10">
        <f>IF($B4="","",IFERROR(MATCH($B4,기본자료!$B$2:$B$1001,0),IFERROR(MATCH($B4&amp;"",기본자료!$B$2:$B$1001,0),IFERROR(MATCH(VALUE($B4),기본자료!$B$2:$B$1001,0),""))))</f>
        <v/>
      </c>
      <c r="AC4" s="10">
        <f>IF($B4="","",IFERROR(MATCH($B4,인턴근무계획!$D$3:$D$62,0),IFERROR(MATCH($B4&amp;"",인턴근무계획!$D$3:$D$62,0),IFERROR(MATCH(VALUE($B4),인턴근무계획!$D$3:$D$62,0),""))))</f>
        <v/>
      </c>
      <c r="AD4" s="10">
        <f>IF(OR($AC4="",인턴현황!$G$3=""),"",INDEX(인턴근무계획!$M$3:$R$62,$AC4,인턴현황!$G$3)&amp;"")</f>
        <v/>
      </c>
      <c r="AE4" s="10">
        <f>IF($B4="","",IF($M4&lt;&gt;"",$M4,IF($AF4&lt;&gt;"",IF(LEFT(INDEX(파견수련계획!$R$4:$R$83,$AF4),1)&lt;&gt;"⚠",INDEX(파견수련계획!$R$4:$R$83,$AF4),IF($H4="","",IF(RIGHT($H4,2)="병원",$H4,$H4&amp;"병원"))),IF($H4="","",IF(RIGHT($H4,2)="병원",$H4,$H4&amp;"병원")))))</f>
        <v/>
      </c>
      <c r="AF4" s="10">
        <f>IF(OR($B4="",TRIM($J4&amp;"")=""),"",IFERROR(MATCH(TRIM($J4&amp;"")&amp;"|파견중",파견수련계획!$Y$4:$Y$83,0),IFERROR(MATCH(TRIM($J4&amp;"")&amp;"|파견예정",파견수련계획!$Y$4:$Y$83,0),IFERROR(MATCH(TRIM($J4&amp;"")&amp;"|파견종료",파견수련계획!$Y$4:$Y$83,0),""))))</f>
        <v/>
      </c>
      <c r="AG4" s="10">
        <f>IF($B4="","",IF(AND(IF(OR($AC4="",인턴현황!$K$2=""),"",INDEX(인턴근무계획!$M$3:$R$62,$AC4,인턴현황!$K$2)&amp;"")&lt;&gt;"",LEFT(IF(OR($AC4="",인턴현황!$K$2=""),"",INDEX(인턴근무계획!$M$3:$R$62,$AC4,인턴현황!$K$2)&amp;""),1)&lt;&gt;"⚠"),LEFT(IF(OR($AC4="",인턴현황!$K$2=""),"",INDEX(인턴근무계획!$M$3:$R$62,$AC4,인턴현황!$K$2)&amp;""),FIND(" ",IF(OR($AC4="",인턴현황!$K$2=""),"",INDEX(인턴근무계획!$M$3:$R$62,$AC4,인턴현황!$K$2)&amp;""))-1),$AE4))</f>
        <v/>
      </c>
      <c r="AH4" s="17">
        <f>IF($B4="","",IF(TRIM($J4&amp;"")="",0,SUMPRODUCT((파견수련계획!$Q$4:$Q$83=TRIM($J4&amp;""))*(파견수련계획!$S$4:$S$83="서울병원")*파견수련계획!$W$4:$W$83))+IF($AG4="서울병원",MAX(0,DAY(EOMONTH(요약!$B$3,0))-N($X4)),0))</f>
        <v/>
      </c>
      <c r="AI4" s="17">
        <f>IF($B4="","",IF(TRIM($J4&amp;"")="",0,SUMPRODUCT((파견수련계획!$Q$4:$Q$83=TRIM($J4&amp;""))*(파견수련계획!$S$4:$S$83="구리병원")*파견수련계획!$W$4:$W$83))+IF($AG4="구리병원",MAX(0,DAY(EOMONTH(요약!$B$3,0))-N($X4)),0))</f>
        <v/>
      </c>
      <c r="AJ4" s="10">
        <f>IF(OR($B4="",TRIM($J4&amp;"")=""),"",IFERROR(MATCH(TRIM($J4&amp;"")&amp;"|월",파견수련계획!$Z$4:$Z$83,0),""))</f>
        <v/>
      </c>
      <c r="AK4" s="10">
        <f>IF(OR($B4="",TRIM($J4&amp;"")=""),"",IFERROR(MATCH(TRIM($J4&amp;"")&amp;"|다기관",파견수련계획!$AE$4:$AE$83,0),""))</f>
        <v/>
      </c>
      <c r="AL4" s="10">
        <f>IF($AK4="","","다기관 "&amp;TEXT(INDEX(파견수련계획!$AB$4:$AB$83,$AK4),"yyyy-mm-dd")&amp;"~"&amp;IF(ISNUMBER(INDEX(파견수련계획!$AC$4:$AC$83,$AK4)),TEXT(INDEX(파견수련계획!$AC$4:$AC$83,$AK4),"yyyy-mm-dd"),""))</f>
        <v/>
      </c>
    </row>
    <row r="5">
      <c r="A5" s="10">
        <f>IF(B5="","",ROW()-1)</f>
        <v/>
      </c>
      <c r="B5" s="18" t="inlineStr">
        <is>
          <t>2261215</t>
        </is>
      </c>
      <c r="C5" s="10">
        <f>IF($AB5="","",IF(INDEX(기본자료!$C$2:$C$1001,$AB5)="","",INDEX(기본자료!$C$2:$C$1001,$AB5)))</f>
        <v/>
      </c>
      <c r="D5" s="10">
        <f>IF($AB5="","",IF(INDEX(기본자료!$J$2:$J$1001,$AB5)="","",INDEX(기본자료!$J$2:$J$1001,$AB5)))</f>
        <v/>
      </c>
      <c r="E5" s="11">
        <f>IF($AB5="","",IF(INDEX(기본자료!$K$2:$K$1001,$AB5)="","",IF(NOT(ISNUMBER(INDEX(기본자료!$K$2:$K$1001,$AB5))),INDEX(기본자료!$K$2:$K$1001,$AB5),IF(INDEX(기본자료!$K$2:$K$1001,$AB5)&lt;1000000,INDEX(기본자료!$K$2:$K$1001,$AB5),IF(AND(INDEX(기본자료!$K$2:$K$1001,$AB5)&gt;=10000101,INT(MOD(INDEX(기본자료!$K$2:$K$1001,$AB5),10000)/100)&gt;=1,INT(MOD(INDEX(기본자료!$K$2:$K$1001,$AB5),10000)/100)&lt;=12,MOD(INDEX(기본자료!$K$2:$K$1001,$AB5),100)&gt;=1,MOD(INDEX(기본자료!$K$2:$K$1001,$AB5),100)&lt;=31),DATE(INT(INDEX(기본자료!$K$2:$K$1001,$AB5)/10000),INT(MOD(INDEX(기본자료!$K$2:$K$1001,$AB5),10000)/100),MOD(INDEX(기본자료!$K$2:$K$1001,$AB5),100)),INDEX(기본자료!$K$2:$K$1001,$AB5)&amp;"")))))</f>
        <v/>
      </c>
      <c r="F5" s="10">
        <f>IF($AB5="","",IF(INDEX(기본자료!$D$2:$D$1001,$AB5)="","",INDEX(기본자료!$D$2:$D$1001,$AB5)))</f>
        <v/>
      </c>
      <c r="G5" s="10">
        <f>IF($AB5="","",IF(INDEX(기본자료!$E$2:$E$1001,$AB5)="","",INDEX(기본자료!$E$2:$E$1001,$AB5)))</f>
        <v/>
      </c>
      <c r="H5" s="10">
        <f>IF($AB5="","",IF(INDEX(기본자료!$F$2:$F$1001,$AB5)="","",INDEX(기본자료!$F$2:$F$1001,$AB5)))</f>
        <v/>
      </c>
      <c r="I5" s="11">
        <f>IF($AB5="","",IF(INDEX(기본자료!$G$2:$G$1001,$AB5)="","",IF(NOT(ISNUMBER(INDEX(기본자료!$G$2:$G$1001,$AB5))),INDEX(기본자료!$G$2:$G$1001,$AB5),IF(INDEX(기본자료!$G$2:$G$1001,$AB5)&lt;1000000,INDEX(기본자료!$G$2:$G$1001,$AB5),IF(AND(INDEX(기본자료!$G$2:$G$1001,$AB5)&gt;=10000101,INT(MOD(INDEX(기본자료!$G$2:$G$1001,$AB5),10000)/100)&gt;=1,INT(MOD(INDEX(기본자료!$G$2:$G$1001,$AB5),10000)/100)&lt;=12,MOD(INDEX(기본자료!$G$2:$G$1001,$AB5),100)&gt;=1,MOD(INDEX(기본자료!$G$2:$G$1001,$AB5),100)&lt;=31),DATE(INT(INDEX(기본자료!$G$2:$G$1001,$AB5)/10000),INT(MOD(INDEX(기본자료!$G$2:$G$1001,$AB5),10000)/100),MOD(INDEX(기본자료!$G$2:$G$1001,$AB5),100)),INDEX(기본자료!$G$2:$G$1001,$AB5)&amp;"")))))</f>
        <v/>
      </c>
      <c r="J5" s="10">
        <f>IF($AB5="","",IF(INDEX(기본자료!$H$2:$H$1001,$AB5)="","",INDEX(기본자료!$H$2:$H$1001,$AB5)))</f>
        <v/>
      </c>
      <c r="K5" s="10">
        <f>IF($AB5="","",IF(INDEX(기본자료!$I$2:$I$1001,$AB5)="","",INDEX(기본자료!$I$2:$I$1001,$AB5)))</f>
        <v/>
      </c>
      <c r="L5" s="10">
        <f>IF($AB5="","",IF(INDEX(기본자료!$A$2:$A$1001,$AB5)="","",INDEX(기본자료!$A$2:$A$1001,$AB5)))</f>
        <v/>
      </c>
      <c r="M5" s="15" t="inlineStr">
        <is>
          <t>서울병원</t>
        </is>
      </c>
      <c r="N5" s="10">
        <f>IF($B5="","",IF(AND($U5="파견중",$Q5&lt;&gt;""),$Q5,IF(AND($AD5&lt;&gt;"",LEFT($AD5,1)&lt;&gt;"⚠"),LEFT($AD5,FIND(" ",$AD5)-1),IF($H5="","",IF(RIGHT($H5,2)="병원",$H5,$H5&amp;"병원")))))</f>
        <v/>
      </c>
      <c r="O5" s="10">
        <f>IF($B5="","",IF(AND($U5="파견중",$Q5&lt;&gt;""),IF($R5&lt;&gt;"",$R5,"파견과 미입력"),IF(AND($AD5&lt;&gt;"",LEFT($AD5,1)&lt;&gt;"⚠"),MID($AD5,FIND(" ",$AD5)+1,60),IF($F5="","",IF($F5="인턴","수련교육부(인턴)",$F5)))))</f>
        <v/>
      </c>
      <c r="P5" s="10">
        <f>IF($B5="","",IF($AK5&lt;&gt;"",IF(AND(TODAY()&gt;=INDEX(파견수련계획!$AB$4:$AB$83,$AK5),OR(NOT(ISNUMBER(INDEX(파견수련계획!$AC$4:$AC$83,$AK5))),TODAY()&lt;=INDEX(파견수련계획!$AC$4:$AC$83,$AK5))),"다기관",IF($AF5="","",INDEX(파견수련계획!$T$4:$T$83,$AF5))),IF($AF5="","",INDEX(파견수련계획!$T$4:$T$83,$AF5))))</f>
        <v/>
      </c>
      <c r="Q5" s="10">
        <f>IF($AF5="","",INDEX(파견수련계획!$S$4:$S$83,$AF5))</f>
        <v/>
      </c>
      <c r="R5" s="10">
        <f>IF($AF5="","",INDEX(파견수련계획!$U$4:$U$83,$AF5))</f>
        <v/>
      </c>
      <c r="S5" s="11">
        <f>IF($AF5="","",IF(INDEX(파견수련계획!$H$4:$H$83,$AF5)="","",INDEX(파견수련계획!$H$4:$H$83,$AF5)))</f>
        <v/>
      </c>
      <c r="T5" s="11">
        <f>IF($AF5="","",IF(INDEX(파견수련계획!$I$4:$I$83,$AF5)="","",INDEX(파견수련계획!$I$4:$I$83,$AF5)))</f>
        <v/>
      </c>
      <c r="U5" s="10">
        <f>IF($AF5="","",INDEX(파견수련계획!$X$4:$X$83,$AF5))</f>
        <v/>
      </c>
      <c r="V5" s="17">
        <f>IF($AF5="","",INDEX(파견수련계획!$V$4:$V$83,$AF5))</f>
        <v/>
      </c>
      <c r="W5" s="17">
        <f>IF(AND($U5="파견중",$T5&lt;&gt;""),$T5-TODAY(),"")</f>
        <v/>
      </c>
      <c r="X5" s="17">
        <f>IF(OR($B5="",TRIM($J5&amp;"")=""),"",SUMPRODUCT((파견수련계획!$Q$4:$Q$83=TRIM($J5&amp;""))*파견수련계획!$W$4:$W$83))</f>
        <v/>
      </c>
      <c r="Y5" s="10">
        <f>IF($B5="","",IF($AG5="","",IF(IF(TRIM($J5&amp;"")="",0,SUMPRODUCT((파견수련계획!$Q$4:$Q$83=TRIM($J5&amp;""))*파견수련계획!$AD$4:$AD$83))&gt;0,$AE5,IF(N($X5)&lt;=0,$AG5,IF($AH5+$AI5=DAY(EOMONTH(요약!$B$3,0)),IF(AND($AH5&gt;=요약!$E$3,$AI5&lt;요약!$E$3),"서울병원",IF(AND($AI5&gt;=요약!$E$3,$AH5&lt;요약!$E$3),"구리병원","⚠15일 판정불가(서울 "&amp;$AH5&amp;"일/구리 "&amp;$AI5&amp;"일)")),IF($AJ5="",$AE5,IF(INDEX(파견수련계획!$T$4:$T$83,$AJ5)="통합수련",INDEX(파견수련계획!$S$4:$S$83,$AJ5),$AE5)))))))</f>
        <v/>
      </c>
      <c r="Z5" s="19">
        <f>IF($B5="","",IF($AB5="","기본자료에 없는 사번",IF(COUNTIF($B$2:$B$401,$B5)&gt;1,"중복 사번",IF($AE5="","소속(입사장소) 입력",IF(IF(TRIM($J5&amp;"")="",0,SUMPRODUCT((파견수련계획!$Q$4:$Q$83=TRIM($J5&amp;""))*(파견수련계획!$AA$4:$AA$83&lt;&gt;"")))&gt;0,"파견수련계획 입력오류 확인",IF(LEFT($Y5,1)="⚠","서울·구리 15일 판정 불가(양쪽 모두 이상/미만)",IF(IF($AC5="",0,N(INDEX(인턴근무계획!$T$3:$T$62,$AC5)))&gt;0,"인턴계획 입력오류 확인",IF(AND($AC5&lt;&gt;"",$U5&lt;&gt;"파견중",$N5&lt;&gt;$AE5),"인턴 타지역 근무: 파견 여부 확인","정상"))))))))</f>
        <v/>
      </c>
      <c r="AA5" s="5" t="inlineStr">
        <is>
          <t>예시 데이터(종료됨)</t>
        </is>
      </c>
      <c r="AB5" s="10">
        <f>IF($B5="","",IFERROR(MATCH($B5,기본자료!$B$2:$B$1001,0),IFERROR(MATCH($B5&amp;"",기본자료!$B$2:$B$1001,0),IFERROR(MATCH(VALUE($B5),기본자료!$B$2:$B$1001,0),""))))</f>
        <v/>
      </c>
      <c r="AC5" s="10">
        <f>IF($B5="","",IFERROR(MATCH($B5,인턴근무계획!$D$3:$D$62,0),IFERROR(MATCH($B5&amp;"",인턴근무계획!$D$3:$D$62,0),IFERROR(MATCH(VALUE($B5),인턴근무계획!$D$3:$D$62,0),""))))</f>
        <v/>
      </c>
      <c r="AD5" s="10">
        <f>IF(OR($AC5="",인턴현황!$G$3=""),"",INDEX(인턴근무계획!$M$3:$R$62,$AC5,인턴현황!$G$3)&amp;"")</f>
        <v/>
      </c>
      <c r="AE5" s="10">
        <f>IF($B5="","",IF($M5&lt;&gt;"",$M5,IF($AF5&lt;&gt;"",IF(LEFT(INDEX(파견수련계획!$R$4:$R$83,$AF5),1)&lt;&gt;"⚠",INDEX(파견수련계획!$R$4:$R$83,$AF5),IF($H5="","",IF(RIGHT($H5,2)="병원",$H5,$H5&amp;"병원"))),IF($H5="","",IF(RIGHT($H5,2)="병원",$H5,$H5&amp;"병원")))))</f>
        <v/>
      </c>
      <c r="AF5" s="10">
        <f>IF(OR($B5="",TRIM($J5&amp;"")=""),"",IFERROR(MATCH(TRIM($J5&amp;"")&amp;"|파견중",파견수련계획!$Y$4:$Y$83,0),IFERROR(MATCH(TRIM($J5&amp;"")&amp;"|파견예정",파견수련계획!$Y$4:$Y$83,0),IFERROR(MATCH(TRIM($J5&amp;"")&amp;"|파견종료",파견수련계획!$Y$4:$Y$83,0),""))))</f>
        <v/>
      </c>
      <c r="AG5" s="10">
        <f>IF($B5="","",IF(AND(IF(OR($AC5="",인턴현황!$K$2=""),"",INDEX(인턴근무계획!$M$3:$R$62,$AC5,인턴현황!$K$2)&amp;"")&lt;&gt;"",LEFT(IF(OR($AC5="",인턴현황!$K$2=""),"",INDEX(인턴근무계획!$M$3:$R$62,$AC5,인턴현황!$K$2)&amp;""),1)&lt;&gt;"⚠"),LEFT(IF(OR($AC5="",인턴현황!$K$2=""),"",INDEX(인턴근무계획!$M$3:$R$62,$AC5,인턴현황!$K$2)&amp;""),FIND(" ",IF(OR($AC5="",인턴현황!$K$2=""),"",INDEX(인턴근무계획!$M$3:$R$62,$AC5,인턴현황!$K$2)&amp;""))-1),$AE5))</f>
        <v/>
      </c>
      <c r="AH5" s="17">
        <f>IF($B5="","",IF(TRIM($J5&amp;"")="",0,SUMPRODUCT((파견수련계획!$Q$4:$Q$83=TRIM($J5&amp;""))*(파견수련계획!$S$4:$S$83="서울병원")*파견수련계획!$W$4:$W$83))+IF($AG5="서울병원",MAX(0,DAY(EOMONTH(요약!$B$3,0))-N($X5)),0))</f>
        <v/>
      </c>
      <c r="AI5" s="17">
        <f>IF($B5="","",IF(TRIM($J5&amp;"")="",0,SUMPRODUCT((파견수련계획!$Q$4:$Q$83=TRIM($J5&amp;""))*(파견수련계획!$S$4:$S$83="구리병원")*파견수련계획!$W$4:$W$83))+IF($AG5="구리병원",MAX(0,DAY(EOMONTH(요약!$B$3,0))-N($X5)),0))</f>
        <v/>
      </c>
      <c r="AJ5" s="10">
        <f>IF(OR($B5="",TRIM($J5&amp;"")=""),"",IFERROR(MATCH(TRIM($J5&amp;"")&amp;"|월",파견수련계획!$Z$4:$Z$83,0),""))</f>
        <v/>
      </c>
      <c r="AK5" s="10">
        <f>IF(OR($B5="",TRIM($J5&amp;"")=""),"",IFERROR(MATCH(TRIM($J5&amp;"")&amp;"|다기관",파견수련계획!$AE$4:$AE$83,0),""))</f>
        <v/>
      </c>
      <c r="AL5" s="10">
        <f>IF($AK5="","","다기관 "&amp;TEXT(INDEX(파견수련계획!$AB$4:$AB$83,$AK5),"yyyy-mm-dd")&amp;"~"&amp;IF(ISNUMBER(INDEX(파견수련계획!$AC$4:$AC$83,$AK5)),TEXT(INDEX(파견수련계획!$AC$4:$AC$83,$AK5),"yyyy-mm-dd"),""))</f>
        <v/>
      </c>
    </row>
    <row r="6">
      <c r="A6" s="10">
        <f>IF(B6="","",ROW()-1)</f>
        <v/>
      </c>
      <c r="B6" s="18" t="inlineStr">
        <is>
          <t>2261216</t>
        </is>
      </c>
      <c r="C6" s="10">
        <f>IF($AB6="","",IF(INDEX(기본자료!$C$2:$C$1001,$AB6)="","",INDEX(기본자료!$C$2:$C$1001,$AB6)))</f>
        <v/>
      </c>
      <c r="D6" s="10">
        <f>IF($AB6="","",IF(INDEX(기본자료!$J$2:$J$1001,$AB6)="","",INDEX(기본자료!$J$2:$J$1001,$AB6)))</f>
        <v/>
      </c>
      <c r="E6" s="11">
        <f>IF($AB6="","",IF(INDEX(기본자료!$K$2:$K$1001,$AB6)="","",IF(NOT(ISNUMBER(INDEX(기본자료!$K$2:$K$1001,$AB6))),INDEX(기본자료!$K$2:$K$1001,$AB6),IF(INDEX(기본자료!$K$2:$K$1001,$AB6)&lt;1000000,INDEX(기본자료!$K$2:$K$1001,$AB6),IF(AND(INDEX(기본자료!$K$2:$K$1001,$AB6)&gt;=10000101,INT(MOD(INDEX(기본자료!$K$2:$K$1001,$AB6),10000)/100)&gt;=1,INT(MOD(INDEX(기본자료!$K$2:$K$1001,$AB6),10000)/100)&lt;=12,MOD(INDEX(기본자료!$K$2:$K$1001,$AB6),100)&gt;=1,MOD(INDEX(기본자료!$K$2:$K$1001,$AB6),100)&lt;=31),DATE(INT(INDEX(기본자료!$K$2:$K$1001,$AB6)/10000),INT(MOD(INDEX(기본자료!$K$2:$K$1001,$AB6),10000)/100),MOD(INDEX(기본자료!$K$2:$K$1001,$AB6),100)),INDEX(기본자료!$K$2:$K$1001,$AB6)&amp;"")))))</f>
        <v/>
      </c>
      <c r="F6" s="10">
        <f>IF($AB6="","",IF(INDEX(기본자료!$D$2:$D$1001,$AB6)="","",INDEX(기본자료!$D$2:$D$1001,$AB6)))</f>
        <v/>
      </c>
      <c r="G6" s="10">
        <f>IF($AB6="","",IF(INDEX(기본자료!$E$2:$E$1001,$AB6)="","",INDEX(기본자료!$E$2:$E$1001,$AB6)))</f>
        <v/>
      </c>
      <c r="H6" s="10">
        <f>IF($AB6="","",IF(INDEX(기본자료!$F$2:$F$1001,$AB6)="","",INDEX(기본자료!$F$2:$F$1001,$AB6)))</f>
        <v/>
      </c>
      <c r="I6" s="11">
        <f>IF($AB6="","",IF(INDEX(기본자료!$G$2:$G$1001,$AB6)="","",IF(NOT(ISNUMBER(INDEX(기본자료!$G$2:$G$1001,$AB6))),INDEX(기본자료!$G$2:$G$1001,$AB6),IF(INDEX(기본자료!$G$2:$G$1001,$AB6)&lt;1000000,INDEX(기본자료!$G$2:$G$1001,$AB6),IF(AND(INDEX(기본자료!$G$2:$G$1001,$AB6)&gt;=10000101,INT(MOD(INDEX(기본자료!$G$2:$G$1001,$AB6),10000)/100)&gt;=1,INT(MOD(INDEX(기본자료!$G$2:$G$1001,$AB6),10000)/100)&lt;=12,MOD(INDEX(기본자료!$G$2:$G$1001,$AB6),100)&gt;=1,MOD(INDEX(기본자료!$G$2:$G$1001,$AB6),100)&lt;=31),DATE(INT(INDEX(기본자료!$G$2:$G$1001,$AB6)/10000),INT(MOD(INDEX(기본자료!$G$2:$G$1001,$AB6),10000)/100),MOD(INDEX(기본자료!$G$2:$G$1001,$AB6),100)),INDEX(기본자료!$G$2:$G$1001,$AB6)&amp;"")))))</f>
        <v/>
      </c>
      <c r="J6" s="10">
        <f>IF($AB6="","",IF(INDEX(기본자료!$H$2:$H$1001,$AB6)="","",INDEX(기본자료!$H$2:$H$1001,$AB6)))</f>
        <v/>
      </c>
      <c r="K6" s="10">
        <f>IF($AB6="","",IF(INDEX(기본자료!$I$2:$I$1001,$AB6)="","",INDEX(기본자료!$I$2:$I$1001,$AB6)))</f>
        <v/>
      </c>
      <c r="L6" s="10">
        <f>IF($AB6="","",IF(INDEX(기본자료!$A$2:$A$1001,$AB6)="","",INDEX(기본자료!$A$2:$A$1001,$AB6)))</f>
        <v/>
      </c>
      <c r="M6" s="15" t="inlineStr">
        <is>
          <t>구리병원</t>
        </is>
      </c>
      <c r="N6" s="10">
        <f>IF($B6="","",IF(AND($U6="파견중",$Q6&lt;&gt;""),$Q6,IF(AND($AD6&lt;&gt;"",LEFT($AD6,1)&lt;&gt;"⚠"),LEFT($AD6,FIND(" ",$AD6)-1),IF($H6="","",IF(RIGHT($H6,2)="병원",$H6,$H6&amp;"병원")))))</f>
        <v/>
      </c>
      <c r="O6" s="10">
        <f>IF($B6="","",IF(AND($U6="파견중",$Q6&lt;&gt;""),IF($R6&lt;&gt;"",$R6,"파견과 미입력"),IF(AND($AD6&lt;&gt;"",LEFT($AD6,1)&lt;&gt;"⚠"),MID($AD6,FIND(" ",$AD6)+1,60),IF($F6="","",IF($F6="인턴","수련교육부(인턴)",$F6)))))</f>
        <v/>
      </c>
      <c r="P6" s="10">
        <f>IF($B6="","",IF($AK6&lt;&gt;"",IF(AND(TODAY()&gt;=INDEX(파견수련계획!$AB$4:$AB$83,$AK6),OR(NOT(ISNUMBER(INDEX(파견수련계획!$AC$4:$AC$83,$AK6))),TODAY()&lt;=INDEX(파견수련계획!$AC$4:$AC$83,$AK6))),"다기관",IF($AF6="","",INDEX(파견수련계획!$T$4:$T$83,$AF6))),IF($AF6="","",INDEX(파견수련계획!$T$4:$T$83,$AF6))))</f>
        <v/>
      </c>
      <c r="Q6" s="10">
        <f>IF($AF6="","",INDEX(파견수련계획!$S$4:$S$83,$AF6))</f>
        <v/>
      </c>
      <c r="R6" s="10">
        <f>IF($AF6="","",INDEX(파견수련계획!$U$4:$U$83,$AF6))</f>
        <v/>
      </c>
      <c r="S6" s="11">
        <f>IF($AF6="","",IF(INDEX(파견수련계획!$H$4:$H$83,$AF6)="","",INDEX(파견수련계획!$H$4:$H$83,$AF6)))</f>
        <v/>
      </c>
      <c r="T6" s="11">
        <f>IF($AF6="","",IF(INDEX(파견수련계획!$I$4:$I$83,$AF6)="","",INDEX(파견수련계획!$I$4:$I$83,$AF6)))</f>
        <v/>
      </c>
      <c r="U6" s="10">
        <f>IF($AF6="","",INDEX(파견수련계획!$X$4:$X$83,$AF6))</f>
        <v/>
      </c>
      <c r="V6" s="17">
        <f>IF($AF6="","",INDEX(파견수련계획!$V$4:$V$83,$AF6))</f>
        <v/>
      </c>
      <c r="W6" s="17">
        <f>IF(AND($U6="파견중",$T6&lt;&gt;""),$T6-TODAY(),"")</f>
        <v/>
      </c>
      <c r="X6" s="17">
        <f>IF(OR($B6="",TRIM($J6&amp;"")=""),"",SUMPRODUCT((파견수련계획!$Q$4:$Q$83=TRIM($J6&amp;""))*파견수련계획!$W$4:$W$83))</f>
        <v/>
      </c>
      <c r="Y6" s="10">
        <f>IF($B6="","",IF($AG6="","",IF(IF(TRIM($J6&amp;"")="",0,SUMPRODUCT((파견수련계획!$Q$4:$Q$83=TRIM($J6&amp;""))*파견수련계획!$AD$4:$AD$83))&gt;0,$AE6,IF(N($X6)&lt;=0,$AG6,IF($AH6+$AI6=DAY(EOMONTH(요약!$B$3,0)),IF(AND($AH6&gt;=요약!$E$3,$AI6&lt;요약!$E$3),"서울병원",IF(AND($AI6&gt;=요약!$E$3,$AH6&lt;요약!$E$3),"구리병원","⚠15일 판정불가(서울 "&amp;$AH6&amp;"일/구리 "&amp;$AI6&amp;"일)")),IF($AJ6="",$AE6,IF(INDEX(파견수련계획!$T$4:$T$83,$AJ6)="통합수련",INDEX(파견수련계획!$S$4:$S$83,$AJ6),$AE6)))))))</f>
        <v/>
      </c>
      <c r="Z6" s="19">
        <f>IF($B6="","",IF($AB6="","기본자료에 없는 사번",IF(COUNTIF($B$2:$B$401,$B6)&gt;1,"중복 사번",IF($AE6="","소속(입사장소) 입력",IF(IF(TRIM($J6&amp;"")="",0,SUMPRODUCT((파견수련계획!$Q$4:$Q$83=TRIM($J6&amp;""))*(파견수련계획!$AA$4:$AA$83&lt;&gt;"")))&gt;0,"파견수련계획 입력오류 확인",IF(LEFT($Y6,1)="⚠","서울·구리 15일 판정 불가(양쪽 모두 이상/미만)",IF(IF($AC6="",0,N(INDEX(인턴근무계획!$T$3:$T$62,$AC6)))&gt;0,"인턴계획 입력오류 확인",IF(AND($AC6&lt;&gt;"",$U6&lt;&gt;"파견중",$N6&lt;&gt;$AE6),"인턴 타지역 근무: 파견 여부 확인","정상"))))))))</f>
        <v/>
      </c>
      <c r="AA6" s="5" t="inlineStr">
        <is>
          <t>예시 데이터</t>
        </is>
      </c>
      <c r="AB6" s="10">
        <f>IF($B6="","",IFERROR(MATCH($B6,기본자료!$B$2:$B$1001,0),IFERROR(MATCH($B6&amp;"",기본자료!$B$2:$B$1001,0),IFERROR(MATCH(VALUE($B6),기본자료!$B$2:$B$1001,0),""))))</f>
        <v/>
      </c>
      <c r="AC6" s="10">
        <f>IF($B6="","",IFERROR(MATCH($B6,인턴근무계획!$D$3:$D$62,0),IFERROR(MATCH($B6&amp;"",인턴근무계획!$D$3:$D$62,0),IFERROR(MATCH(VALUE($B6),인턴근무계획!$D$3:$D$62,0),""))))</f>
        <v/>
      </c>
      <c r="AD6" s="10">
        <f>IF(OR($AC6="",인턴현황!$G$3=""),"",INDEX(인턴근무계획!$M$3:$R$62,$AC6,인턴현황!$G$3)&amp;"")</f>
        <v/>
      </c>
      <c r="AE6" s="10">
        <f>IF($B6="","",IF($M6&lt;&gt;"",$M6,IF($AF6&lt;&gt;"",IF(LEFT(INDEX(파견수련계획!$R$4:$R$83,$AF6),1)&lt;&gt;"⚠",INDEX(파견수련계획!$R$4:$R$83,$AF6),IF($H6="","",IF(RIGHT($H6,2)="병원",$H6,$H6&amp;"병원"))),IF($H6="","",IF(RIGHT($H6,2)="병원",$H6,$H6&amp;"병원")))))</f>
        <v/>
      </c>
      <c r="AF6" s="10">
        <f>IF(OR($B6="",TRIM($J6&amp;"")=""),"",IFERROR(MATCH(TRIM($J6&amp;"")&amp;"|파견중",파견수련계획!$Y$4:$Y$83,0),IFERROR(MATCH(TRIM($J6&amp;"")&amp;"|파견예정",파견수련계획!$Y$4:$Y$83,0),IFERROR(MATCH(TRIM($J6&amp;"")&amp;"|파견종료",파견수련계획!$Y$4:$Y$83,0),""))))</f>
        <v/>
      </c>
      <c r="AG6" s="10">
        <f>IF($B6="","",IF(AND(IF(OR($AC6="",인턴현황!$K$2=""),"",INDEX(인턴근무계획!$M$3:$R$62,$AC6,인턴현황!$K$2)&amp;"")&lt;&gt;"",LEFT(IF(OR($AC6="",인턴현황!$K$2=""),"",INDEX(인턴근무계획!$M$3:$R$62,$AC6,인턴현황!$K$2)&amp;""),1)&lt;&gt;"⚠"),LEFT(IF(OR($AC6="",인턴현황!$K$2=""),"",INDEX(인턴근무계획!$M$3:$R$62,$AC6,인턴현황!$K$2)&amp;""),FIND(" ",IF(OR($AC6="",인턴현황!$K$2=""),"",INDEX(인턴근무계획!$M$3:$R$62,$AC6,인턴현황!$K$2)&amp;""))-1),$AE6))</f>
        <v/>
      </c>
      <c r="AH6" s="17">
        <f>IF($B6="","",IF(TRIM($J6&amp;"")="",0,SUMPRODUCT((파견수련계획!$Q$4:$Q$83=TRIM($J6&amp;""))*(파견수련계획!$S$4:$S$83="서울병원")*파견수련계획!$W$4:$W$83))+IF($AG6="서울병원",MAX(0,DAY(EOMONTH(요약!$B$3,0))-N($X6)),0))</f>
        <v/>
      </c>
      <c r="AI6" s="17">
        <f>IF($B6="","",IF(TRIM($J6&amp;"")="",0,SUMPRODUCT((파견수련계획!$Q$4:$Q$83=TRIM($J6&amp;""))*(파견수련계획!$S$4:$S$83="구리병원")*파견수련계획!$W$4:$W$83))+IF($AG6="구리병원",MAX(0,DAY(EOMONTH(요약!$B$3,0))-N($X6)),0))</f>
        <v/>
      </c>
      <c r="AJ6" s="10">
        <f>IF(OR($B6="",TRIM($J6&amp;"")=""),"",IFERROR(MATCH(TRIM($J6&amp;"")&amp;"|월",파견수련계획!$Z$4:$Z$83,0),""))</f>
        <v/>
      </c>
      <c r="AK6" s="10">
        <f>IF(OR($B6="",TRIM($J6&amp;"")=""),"",IFERROR(MATCH(TRIM($J6&amp;"")&amp;"|다기관",파견수련계획!$AE$4:$AE$83,0),""))</f>
        <v/>
      </c>
      <c r="AL6" s="10">
        <f>IF($AK6="","","다기관 "&amp;TEXT(INDEX(파견수련계획!$AB$4:$AB$83,$AK6),"yyyy-mm-dd")&amp;"~"&amp;IF(ISNUMBER(INDEX(파견수련계획!$AC$4:$AC$83,$AK6)),TEXT(INDEX(파견수련계획!$AC$4:$AC$83,$AK6),"yyyy-mm-dd"),""))</f>
        <v/>
      </c>
    </row>
    <row r="7">
      <c r="A7" s="10">
        <f>IF(B7="","",ROW()-1)</f>
        <v/>
      </c>
      <c r="B7" s="18" t="inlineStr">
        <is>
          <t>222222</t>
        </is>
      </c>
      <c r="C7" s="10">
        <f>IF($AB7="","",IF(INDEX(기본자료!$C$2:$C$1001,$AB7)="","",INDEX(기본자료!$C$2:$C$1001,$AB7)))</f>
        <v/>
      </c>
      <c r="D7" s="10">
        <f>IF($AB7="","",IF(INDEX(기본자료!$J$2:$J$1001,$AB7)="","",INDEX(기본자료!$J$2:$J$1001,$AB7)))</f>
        <v/>
      </c>
      <c r="E7" s="11">
        <f>IF($AB7="","",IF(INDEX(기본자료!$K$2:$K$1001,$AB7)="","",IF(NOT(ISNUMBER(INDEX(기본자료!$K$2:$K$1001,$AB7))),INDEX(기본자료!$K$2:$K$1001,$AB7),IF(INDEX(기본자료!$K$2:$K$1001,$AB7)&lt;1000000,INDEX(기본자료!$K$2:$K$1001,$AB7),IF(AND(INDEX(기본자료!$K$2:$K$1001,$AB7)&gt;=10000101,INT(MOD(INDEX(기본자료!$K$2:$K$1001,$AB7),10000)/100)&gt;=1,INT(MOD(INDEX(기본자료!$K$2:$K$1001,$AB7),10000)/100)&lt;=12,MOD(INDEX(기본자료!$K$2:$K$1001,$AB7),100)&gt;=1,MOD(INDEX(기본자료!$K$2:$K$1001,$AB7),100)&lt;=31),DATE(INT(INDEX(기본자료!$K$2:$K$1001,$AB7)/10000),INT(MOD(INDEX(기본자료!$K$2:$K$1001,$AB7),10000)/100),MOD(INDEX(기본자료!$K$2:$K$1001,$AB7),100)),INDEX(기본자료!$K$2:$K$1001,$AB7)&amp;"")))))</f>
        <v/>
      </c>
      <c r="F7" s="10">
        <f>IF($AB7="","",IF(INDEX(기본자료!$D$2:$D$1001,$AB7)="","",INDEX(기본자료!$D$2:$D$1001,$AB7)))</f>
        <v/>
      </c>
      <c r="G7" s="10">
        <f>IF($AB7="","",IF(INDEX(기본자료!$E$2:$E$1001,$AB7)="","",INDEX(기본자료!$E$2:$E$1001,$AB7)))</f>
        <v/>
      </c>
      <c r="H7" s="10">
        <f>IF($AB7="","",IF(INDEX(기본자료!$F$2:$F$1001,$AB7)="","",INDEX(기본자료!$F$2:$F$1001,$AB7)))</f>
        <v/>
      </c>
      <c r="I7" s="11">
        <f>IF($AB7="","",IF(INDEX(기본자료!$G$2:$G$1001,$AB7)="","",IF(NOT(ISNUMBER(INDEX(기본자료!$G$2:$G$1001,$AB7))),INDEX(기본자료!$G$2:$G$1001,$AB7),IF(INDEX(기본자료!$G$2:$G$1001,$AB7)&lt;1000000,INDEX(기본자료!$G$2:$G$1001,$AB7),IF(AND(INDEX(기본자료!$G$2:$G$1001,$AB7)&gt;=10000101,INT(MOD(INDEX(기본자료!$G$2:$G$1001,$AB7),10000)/100)&gt;=1,INT(MOD(INDEX(기본자료!$G$2:$G$1001,$AB7),10000)/100)&lt;=12,MOD(INDEX(기본자료!$G$2:$G$1001,$AB7),100)&gt;=1,MOD(INDEX(기본자료!$G$2:$G$1001,$AB7),100)&lt;=31),DATE(INT(INDEX(기본자료!$G$2:$G$1001,$AB7)/10000),INT(MOD(INDEX(기본자료!$G$2:$G$1001,$AB7),10000)/100),MOD(INDEX(기본자료!$G$2:$G$1001,$AB7),100)),INDEX(기본자료!$G$2:$G$1001,$AB7)&amp;"")))))</f>
        <v/>
      </c>
      <c r="J7" s="10">
        <f>IF($AB7="","",IF(INDEX(기본자료!$H$2:$H$1001,$AB7)="","",INDEX(기본자료!$H$2:$H$1001,$AB7)))</f>
        <v/>
      </c>
      <c r="K7" s="10">
        <f>IF($AB7="","",IF(INDEX(기본자료!$I$2:$I$1001,$AB7)="","",INDEX(기본자료!$I$2:$I$1001,$AB7)))</f>
        <v/>
      </c>
      <c r="L7" s="10">
        <f>IF($AB7="","",IF(INDEX(기본자료!$A$2:$A$1001,$AB7)="","",INDEX(기본자료!$A$2:$A$1001,$AB7)))</f>
        <v/>
      </c>
      <c r="M7" s="15" t="inlineStr">
        <is>
          <t>서울병원</t>
        </is>
      </c>
      <c r="N7" s="10">
        <f>IF($B7="","",IF(AND($U7="파견중",$Q7&lt;&gt;""),$Q7,IF(AND($AD7&lt;&gt;"",LEFT($AD7,1)&lt;&gt;"⚠"),LEFT($AD7,FIND(" ",$AD7)-1),IF($H7="","",IF(RIGHT($H7,2)="병원",$H7,$H7&amp;"병원")))))</f>
        <v/>
      </c>
      <c r="O7" s="10">
        <f>IF($B7="","",IF(AND($U7="파견중",$Q7&lt;&gt;""),IF($R7&lt;&gt;"",$R7,"파견과 미입력"),IF(AND($AD7&lt;&gt;"",LEFT($AD7,1)&lt;&gt;"⚠"),MID($AD7,FIND(" ",$AD7)+1,60),IF($F7="","",IF($F7="인턴","수련교육부(인턴)",$F7)))))</f>
        <v/>
      </c>
      <c r="P7" s="10">
        <f>IF($B7="","",IF($AK7&lt;&gt;"",IF(AND(TODAY()&gt;=INDEX(파견수련계획!$AB$4:$AB$83,$AK7),OR(NOT(ISNUMBER(INDEX(파견수련계획!$AC$4:$AC$83,$AK7))),TODAY()&lt;=INDEX(파견수련계획!$AC$4:$AC$83,$AK7))),"다기관",IF($AF7="","",INDEX(파견수련계획!$T$4:$T$83,$AF7))),IF($AF7="","",INDEX(파견수련계획!$T$4:$T$83,$AF7))))</f>
        <v/>
      </c>
      <c r="Q7" s="10">
        <f>IF($AF7="","",INDEX(파견수련계획!$S$4:$S$83,$AF7))</f>
        <v/>
      </c>
      <c r="R7" s="10">
        <f>IF($AF7="","",INDEX(파견수련계획!$U$4:$U$83,$AF7))</f>
        <v/>
      </c>
      <c r="S7" s="11">
        <f>IF($AF7="","",IF(INDEX(파견수련계획!$H$4:$H$83,$AF7)="","",INDEX(파견수련계획!$H$4:$H$83,$AF7)))</f>
        <v/>
      </c>
      <c r="T7" s="11">
        <f>IF($AF7="","",IF(INDEX(파견수련계획!$I$4:$I$83,$AF7)="","",INDEX(파견수련계획!$I$4:$I$83,$AF7)))</f>
        <v/>
      </c>
      <c r="U7" s="10">
        <f>IF($AF7="","",INDEX(파견수련계획!$X$4:$X$83,$AF7))</f>
        <v/>
      </c>
      <c r="V7" s="17">
        <f>IF($AF7="","",INDEX(파견수련계획!$V$4:$V$83,$AF7))</f>
        <v/>
      </c>
      <c r="W7" s="17">
        <f>IF(AND($U7="파견중",$T7&lt;&gt;""),$T7-TODAY(),"")</f>
        <v/>
      </c>
      <c r="X7" s="17">
        <f>IF(OR($B7="",TRIM($J7&amp;"")=""),"",SUMPRODUCT((파견수련계획!$Q$4:$Q$83=TRIM($J7&amp;""))*파견수련계획!$W$4:$W$83))</f>
        <v/>
      </c>
      <c r="Y7" s="10">
        <f>IF($B7="","",IF($AG7="","",IF(IF(TRIM($J7&amp;"")="",0,SUMPRODUCT((파견수련계획!$Q$4:$Q$83=TRIM($J7&amp;""))*파견수련계획!$AD$4:$AD$83))&gt;0,$AE7,IF(N($X7)&lt;=0,$AG7,IF($AH7+$AI7=DAY(EOMONTH(요약!$B$3,0)),IF(AND($AH7&gt;=요약!$E$3,$AI7&lt;요약!$E$3),"서울병원",IF(AND($AI7&gt;=요약!$E$3,$AH7&lt;요약!$E$3),"구리병원","⚠15일 판정불가(서울 "&amp;$AH7&amp;"일/구리 "&amp;$AI7&amp;"일)")),IF($AJ7="",$AE7,IF(INDEX(파견수련계획!$T$4:$T$83,$AJ7)="통합수련",INDEX(파견수련계획!$S$4:$S$83,$AJ7),$AE7)))))))</f>
        <v/>
      </c>
      <c r="Z7" s="19">
        <f>IF($B7="","",IF($AB7="","기본자료에 없는 사번",IF(COUNTIF($B$2:$B$401,$B7)&gt;1,"중복 사번",IF($AE7="","소속(입사장소) 입력",IF(IF(TRIM($J7&amp;"")="",0,SUMPRODUCT((파견수련계획!$Q$4:$Q$83=TRIM($J7&amp;""))*(파견수련계획!$AA$4:$AA$83&lt;&gt;"")))&gt;0,"파견수련계획 입력오류 확인",IF(LEFT($Y7,1)="⚠","서울·구리 15일 판정 불가(양쪽 모두 이상/미만)",IF(IF($AC7="",0,N(INDEX(인턴근무계획!$T$3:$T$62,$AC7)))&gt;0,"인턴계획 입력오류 확인",IF(AND($AC7&lt;&gt;"",$U7&lt;&gt;"파견중",$N7&lt;&gt;$AE7),"인턴 타지역 근무: 파견 여부 확인","정상"))))))))</f>
        <v/>
      </c>
      <c r="AA7" s="5" t="inlineStr">
        <is>
          <t>예시 데이터(인턴)</t>
        </is>
      </c>
      <c r="AB7" s="10">
        <f>IF($B7="","",IFERROR(MATCH($B7,기본자료!$B$2:$B$1001,0),IFERROR(MATCH($B7&amp;"",기본자료!$B$2:$B$1001,0),IFERROR(MATCH(VALUE($B7),기본자료!$B$2:$B$1001,0),""))))</f>
        <v/>
      </c>
      <c r="AC7" s="10">
        <f>IF($B7="","",IFERROR(MATCH($B7,인턴근무계획!$D$3:$D$62,0),IFERROR(MATCH($B7&amp;"",인턴근무계획!$D$3:$D$62,0),IFERROR(MATCH(VALUE($B7),인턴근무계획!$D$3:$D$62,0),""))))</f>
        <v/>
      </c>
      <c r="AD7" s="10">
        <f>IF(OR($AC7="",인턴현황!$G$3=""),"",INDEX(인턴근무계획!$M$3:$R$62,$AC7,인턴현황!$G$3)&amp;"")</f>
        <v/>
      </c>
      <c r="AE7" s="10">
        <f>IF($B7="","",IF($M7&lt;&gt;"",$M7,IF($AF7&lt;&gt;"",IF(LEFT(INDEX(파견수련계획!$R$4:$R$83,$AF7),1)&lt;&gt;"⚠",INDEX(파견수련계획!$R$4:$R$83,$AF7),IF($H7="","",IF(RIGHT($H7,2)="병원",$H7,$H7&amp;"병원"))),IF($H7="","",IF(RIGHT($H7,2)="병원",$H7,$H7&amp;"병원")))))</f>
        <v/>
      </c>
      <c r="AF7" s="10">
        <f>IF(OR($B7="",TRIM($J7&amp;"")=""),"",IFERROR(MATCH(TRIM($J7&amp;"")&amp;"|파견중",파견수련계획!$Y$4:$Y$83,0),IFERROR(MATCH(TRIM($J7&amp;"")&amp;"|파견예정",파견수련계획!$Y$4:$Y$83,0),IFERROR(MATCH(TRIM($J7&amp;"")&amp;"|파견종료",파견수련계획!$Y$4:$Y$83,0),""))))</f>
        <v/>
      </c>
      <c r="AG7" s="10">
        <f>IF($B7="","",IF(AND(IF(OR($AC7="",인턴현황!$K$2=""),"",INDEX(인턴근무계획!$M$3:$R$62,$AC7,인턴현황!$K$2)&amp;"")&lt;&gt;"",LEFT(IF(OR($AC7="",인턴현황!$K$2=""),"",INDEX(인턴근무계획!$M$3:$R$62,$AC7,인턴현황!$K$2)&amp;""),1)&lt;&gt;"⚠"),LEFT(IF(OR($AC7="",인턴현황!$K$2=""),"",INDEX(인턴근무계획!$M$3:$R$62,$AC7,인턴현황!$K$2)&amp;""),FIND(" ",IF(OR($AC7="",인턴현황!$K$2=""),"",INDEX(인턴근무계획!$M$3:$R$62,$AC7,인턴현황!$K$2)&amp;""))-1),$AE7))</f>
        <v/>
      </c>
      <c r="AH7" s="17">
        <f>IF($B7="","",IF(TRIM($J7&amp;"")="",0,SUMPRODUCT((파견수련계획!$Q$4:$Q$83=TRIM($J7&amp;""))*(파견수련계획!$S$4:$S$83="서울병원")*파견수련계획!$W$4:$W$83))+IF($AG7="서울병원",MAX(0,DAY(EOMONTH(요약!$B$3,0))-N($X7)),0))</f>
        <v/>
      </c>
      <c r="AI7" s="17">
        <f>IF($B7="","",IF(TRIM($J7&amp;"")="",0,SUMPRODUCT((파견수련계획!$Q$4:$Q$83=TRIM($J7&amp;""))*(파견수련계획!$S$4:$S$83="구리병원")*파견수련계획!$W$4:$W$83))+IF($AG7="구리병원",MAX(0,DAY(EOMONTH(요약!$B$3,0))-N($X7)),0))</f>
        <v/>
      </c>
      <c r="AJ7" s="10">
        <f>IF(OR($B7="",TRIM($J7&amp;"")=""),"",IFERROR(MATCH(TRIM($J7&amp;"")&amp;"|월",파견수련계획!$Z$4:$Z$83,0),""))</f>
        <v/>
      </c>
      <c r="AK7" s="10">
        <f>IF(OR($B7="",TRIM($J7&amp;"")=""),"",IFERROR(MATCH(TRIM($J7&amp;"")&amp;"|다기관",파견수련계획!$AE$4:$AE$83,0),""))</f>
        <v/>
      </c>
      <c r="AL7" s="10">
        <f>IF($AK7="","","다기관 "&amp;TEXT(INDEX(파견수련계획!$AB$4:$AB$83,$AK7),"yyyy-mm-dd")&amp;"~"&amp;IF(ISNUMBER(INDEX(파견수련계획!$AC$4:$AC$83,$AK7)),TEXT(INDEX(파견수련계획!$AC$4:$AC$83,$AK7),"yyyy-mm-dd"),""))</f>
        <v/>
      </c>
    </row>
    <row r="8">
      <c r="A8" s="10">
        <f>IF(B8="","",ROW()-1)</f>
        <v/>
      </c>
      <c r="B8" s="18" t="inlineStr">
        <is>
          <t>222223</t>
        </is>
      </c>
      <c r="C8" s="10">
        <f>IF($AB8="","",IF(INDEX(기본자료!$C$2:$C$1001,$AB8)="","",INDEX(기본자료!$C$2:$C$1001,$AB8)))</f>
        <v/>
      </c>
      <c r="D8" s="10">
        <f>IF($AB8="","",IF(INDEX(기본자료!$J$2:$J$1001,$AB8)="","",INDEX(기본자료!$J$2:$J$1001,$AB8)))</f>
        <v/>
      </c>
      <c r="E8" s="11">
        <f>IF($AB8="","",IF(INDEX(기본자료!$K$2:$K$1001,$AB8)="","",IF(NOT(ISNUMBER(INDEX(기본자료!$K$2:$K$1001,$AB8))),INDEX(기본자료!$K$2:$K$1001,$AB8),IF(INDEX(기본자료!$K$2:$K$1001,$AB8)&lt;1000000,INDEX(기본자료!$K$2:$K$1001,$AB8),IF(AND(INDEX(기본자료!$K$2:$K$1001,$AB8)&gt;=10000101,INT(MOD(INDEX(기본자료!$K$2:$K$1001,$AB8),10000)/100)&gt;=1,INT(MOD(INDEX(기본자료!$K$2:$K$1001,$AB8),10000)/100)&lt;=12,MOD(INDEX(기본자료!$K$2:$K$1001,$AB8),100)&gt;=1,MOD(INDEX(기본자료!$K$2:$K$1001,$AB8),100)&lt;=31),DATE(INT(INDEX(기본자료!$K$2:$K$1001,$AB8)/10000),INT(MOD(INDEX(기본자료!$K$2:$K$1001,$AB8),10000)/100),MOD(INDEX(기본자료!$K$2:$K$1001,$AB8),100)),INDEX(기본자료!$K$2:$K$1001,$AB8)&amp;"")))))</f>
        <v/>
      </c>
      <c r="F8" s="10">
        <f>IF($AB8="","",IF(INDEX(기본자료!$D$2:$D$1001,$AB8)="","",INDEX(기본자료!$D$2:$D$1001,$AB8)))</f>
        <v/>
      </c>
      <c r="G8" s="10">
        <f>IF($AB8="","",IF(INDEX(기본자료!$E$2:$E$1001,$AB8)="","",INDEX(기본자료!$E$2:$E$1001,$AB8)))</f>
        <v/>
      </c>
      <c r="H8" s="10">
        <f>IF($AB8="","",IF(INDEX(기본자료!$F$2:$F$1001,$AB8)="","",INDEX(기본자료!$F$2:$F$1001,$AB8)))</f>
        <v/>
      </c>
      <c r="I8" s="11">
        <f>IF($AB8="","",IF(INDEX(기본자료!$G$2:$G$1001,$AB8)="","",IF(NOT(ISNUMBER(INDEX(기본자료!$G$2:$G$1001,$AB8))),INDEX(기본자료!$G$2:$G$1001,$AB8),IF(INDEX(기본자료!$G$2:$G$1001,$AB8)&lt;1000000,INDEX(기본자료!$G$2:$G$1001,$AB8),IF(AND(INDEX(기본자료!$G$2:$G$1001,$AB8)&gt;=10000101,INT(MOD(INDEX(기본자료!$G$2:$G$1001,$AB8),10000)/100)&gt;=1,INT(MOD(INDEX(기본자료!$G$2:$G$1001,$AB8),10000)/100)&lt;=12,MOD(INDEX(기본자료!$G$2:$G$1001,$AB8),100)&gt;=1,MOD(INDEX(기본자료!$G$2:$G$1001,$AB8),100)&lt;=31),DATE(INT(INDEX(기본자료!$G$2:$G$1001,$AB8)/10000),INT(MOD(INDEX(기본자료!$G$2:$G$1001,$AB8),10000)/100),MOD(INDEX(기본자료!$G$2:$G$1001,$AB8),100)),INDEX(기본자료!$G$2:$G$1001,$AB8)&amp;"")))))</f>
        <v/>
      </c>
      <c r="J8" s="10">
        <f>IF($AB8="","",IF(INDEX(기본자료!$H$2:$H$1001,$AB8)="","",INDEX(기본자료!$H$2:$H$1001,$AB8)))</f>
        <v/>
      </c>
      <c r="K8" s="10">
        <f>IF($AB8="","",IF(INDEX(기본자료!$I$2:$I$1001,$AB8)="","",INDEX(기본자료!$I$2:$I$1001,$AB8)))</f>
        <v/>
      </c>
      <c r="L8" s="10">
        <f>IF($AB8="","",IF(INDEX(기본자료!$A$2:$A$1001,$AB8)="","",INDEX(기본자료!$A$2:$A$1001,$AB8)))</f>
        <v/>
      </c>
      <c r="M8" s="15" t="inlineStr">
        <is>
          <t>서울병원</t>
        </is>
      </c>
      <c r="N8" s="10">
        <f>IF($B8="","",IF(AND($U8="파견중",$Q8&lt;&gt;""),$Q8,IF(AND($AD8&lt;&gt;"",LEFT($AD8,1)&lt;&gt;"⚠"),LEFT($AD8,FIND(" ",$AD8)-1),IF($H8="","",IF(RIGHT($H8,2)="병원",$H8,$H8&amp;"병원")))))</f>
        <v/>
      </c>
      <c r="O8" s="10">
        <f>IF($B8="","",IF(AND($U8="파견중",$Q8&lt;&gt;""),IF($R8&lt;&gt;"",$R8,"파견과 미입력"),IF(AND($AD8&lt;&gt;"",LEFT($AD8,1)&lt;&gt;"⚠"),MID($AD8,FIND(" ",$AD8)+1,60),IF($F8="","",IF($F8="인턴","수련교육부(인턴)",$F8)))))</f>
        <v/>
      </c>
      <c r="P8" s="10">
        <f>IF($B8="","",IF($AK8&lt;&gt;"",IF(AND(TODAY()&gt;=INDEX(파견수련계획!$AB$4:$AB$83,$AK8),OR(NOT(ISNUMBER(INDEX(파견수련계획!$AC$4:$AC$83,$AK8))),TODAY()&lt;=INDEX(파견수련계획!$AC$4:$AC$83,$AK8))),"다기관",IF($AF8="","",INDEX(파견수련계획!$T$4:$T$83,$AF8))),IF($AF8="","",INDEX(파견수련계획!$T$4:$T$83,$AF8))))</f>
        <v/>
      </c>
      <c r="Q8" s="10">
        <f>IF($AF8="","",INDEX(파견수련계획!$S$4:$S$83,$AF8))</f>
        <v/>
      </c>
      <c r="R8" s="10">
        <f>IF($AF8="","",INDEX(파견수련계획!$U$4:$U$83,$AF8))</f>
        <v/>
      </c>
      <c r="S8" s="11">
        <f>IF($AF8="","",IF(INDEX(파견수련계획!$H$4:$H$83,$AF8)="","",INDEX(파견수련계획!$H$4:$H$83,$AF8)))</f>
        <v/>
      </c>
      <c r="T8" s="11">
        <f>IF($AF8="","",IF(INDEX(파견수련계획!$I$4:$I$83,$AF8)="","",INDEX(파견수련계획!$I$4:$I$83,$AF8)))</f>
        <v/>
      </c>
      <c r="U8" s="10">
        <f>IF($AF8="","",INDEX(파견수련계획!$X$4:$X$83,$AF8))</f>
        <v/>
      </c>
      <c r="V8" s="17">
        <f>IF($AF8="","",INDEX(파견수련계획!$V$4:$V$83,$AF8))</f>
        <v/>
      </c>
      <c r="W8" s="17">
        <f>IF(AND($U8="파견중",$T8&lt;&gt;""),$T8-TODAY(),"")</f>
        <v/>
      </c>
      <c r="X8" s="17">
        <f>IF(OR($B8="",TRIM($J8&amp;"")=""),"",SUMPRODUCT((파견수련계획!$Q$4:$Q$83=TRIM($J8&amp;""))*파견수련계획!$W$4:$W$83))</f>
        <v/>
      </c>
      <c r="Y8" s="10">
        <f>IF($B8="","",IF($AG8="","",IF(IF(TRIM($J8&amp;"")="",0,SUMPRODUCT((파견수련계획!$Q$4:$Q$83=TRIM($J8&amp;""))*파견수련계획!$AD$4:$AD$83))&gt;0,$AE8,IF(N($X8)&lt;=0,$AG8,IF($AH8+$AI8=DAY(EOMONTH(요약!$B$3,0)),IF(AND($AH8&gt;=요약!$E$3,$AI8&lt;요약!$E$3),"서울병원",IF(AND($AI8&gt;=요약!$E$3,$AH8&lt;요약!$E$3),"구리병원","⚠15일 판정불가(서울 "&amp;$AH8&amp;"일/구리 "&amp;$AI8&amp;"일)")),IF($AJ8="",$AE8,IF(INDEX(파견수련계획!$T$4:$T$83,$AJ8)="통합수련",INDEX(파견수련계획!$S$4:$S$83,$AJ8),$AE8)))))))</f>
        <v/>
      </c>
      <c r="Z8" s="19">
        <f>IF($B8="","",IF($AB8="","기본자료에 없는 사번",IF(COUNTIF($B$2:$B$401,$B8)&gt;1,"중복 사번",IF($AE8="","소속(입사장소) 입력",IF(IF(TRIM($J8&amp;"")="",0,SUMPRODUCT((파견수련계획!$Q$4:$Q$83=TRIM($J8&amp;""))*(파견수련계획!$AA$4:$AA$83&lt;&gt;"")))&gt;0,"파견수련계획 입력오류 확인",IF(LEFT($Y8,1)="⚠","서울·구리 15일 판정 불가(양쪽 모두 이상/미만)",IF(IF($AC8="",0,N(INDEX(인턴근무계획!$T$3:$T$62,$AC8)))&gt;0,"인턴계획 입력오류 확인",IF(AND($AC8&lt;&gt;"",$U8&lt;&gt;"파견중",$N8&lt;&gt;$AE8),"인턴 타지역 근무: 파견 여부 확인","정상"))))))))</f>
        <v/>
      </c>
      <c r="AA8" s="5" t="inlineStr">
        <is>
          <t>예시 데이터(인턴)</t>
        </is>
      </c>
      <c r="AB8" s="10">
        <f>IF($B8="","",IFERROR(MATCH($B8,기본자료!$B$2:$B$1001,0),IFERROR(MATCH($B8&amp;"",기본자료!$B$2:$B$1001,0),IFERROR(MATCH(VALUE($B8),기본자료!$B$2:$B$1001,0),""))))</f>
        <v/>
      </c>
      <c r="AC8" s="10">
        <f>IF($B8="","",IFERROR(MATCH($B8,인턴근무계획!$D$3:$D$62,0),IFERROR(MATCH($B8&amp;"",인턴근무계획!$D$3:$D$62,0),IFERROR(MATCH(VALUE($B8),인턴근무계획!$D$3:$D$62,0),""))))</f>
        <v/>
      </c>
      <c r="AD8" s="10">
        <f>IF(OR($AC8="",인턴현황!$G$3=""),"",INDEX(인턴근무계획!$M$3:$R$62,$AC8,인턴현황!$G$3)&amp;"")</f>
        <v/>
      </c>
      <c r="AE8" s="10">
        <f>IF($B8="","",IF($M8&lt;&gt;"",$M8,IF($AF8&lt;&gt;"",IF(LEFT(INDEX(파견수련계획!$R$4:$R$83,$AF8),1)&lt;&gt;"⚠",INDEX(파견수련계획!$R$4:$R$83,$AF8),IF($H8="","",IF(RIGHT($H8,2)="병원",$H8,$H8&amp;"병원"))),IF($H8="","",IF(RIGHT($H8,2)="병원",$H8,$H8&amp;"병원")))))</f>
        <v/>
      </c>
      <c r="AF8" s="10">
        <f>IF(OR($B8="",TRIM($J8&amp;"")=""),"",IFERROR(MATCH(TRIM($J8&amp;"")&amp;"|파견중",파견수련계획!$Y$4:$Y$83,0),IFERROR(MATCH(TRIM($J8&amp;"")&amp;"|파견예정",파견수련계획!$Y$4:$Y$83,0),IFERROR(MATCH(TRIM($J8&amp;"")&amp;"|파견종료",파견수련계획!$Y$4:$Y$83,0),""))))</f>
        <v/>
      </c>
      <c r="AG8" s="10">
        <f>IF($B8="","",IF(AND(IF(OR($AC8="",인턴현황!$K$2=""),"",INDEX(인턴근무계획!$M$3:$R$62,$AC8,인턴현황!$K$2)&amp;"")&lt;&gt;"",LEFT(IF(OR($AC8="",인턴현황!$K$2=""),"",INDEX(인턴근무계획!$M$3:$R$62,$AC8,인턴현황!$K$2)&amp;""),1)&lt;&gt;"⚠"),LEFT(IF(OR($AC8="",인턴현황!$K$2=""),"",INDEX(인턴근무계획!$M$3:$R$62,$AC8,인턴현황!$K$2)&amp;""),FIND(" ",IF(OR($AC8="",인턴현황!$K$2=""),"",INDEX(인턴근무계획!$M$3:$R$62,$AC8,인턴현황!$K$2)&amp;""))-1),$AE8))</f>
        <v/>
      </c>
      <c r="AH8" s="17">
        <f>IF($B8="","",IF(TRIM($J8&amp;"")="",0,SUMPRODUCT((파견수련계획!$Q$4:$Q$83=TRIM($J8&amp;""))*(파견수련계획!$S$4:$S$83="서울병원")*파견수련계획!$W$4:$W$83))+IF($AG8="서울병원",MAX(0,DAY(EOMONTH(요약!$B$3,0))-N($X8)),0))</f>
        <v/>
      </c>
      <c r="AI8" s="17">
        <f>IF($B8="","",IF(TRIM($J8&amp;"")="",0,SUMPRODUCT((파견수련계획!$Q$4:$Q$83=TRIM($J8&amp;""))*(파견수련계획!$S$4:$S$83="구리병원")*파견수련계획!$W$4:$W$83))+IF($AG8="구리병원",MAX(0,DAY(EOMONTH(요약!$B$3,0))-N($X8)),0))</f>
        <v/>
      </c>
      <c r="AJ8" s="10">
        <f>IF(OR($B8="",TRIM($J8&amp;"")=""),"",IFERROR(MATCH(TRIM($J8&amp;"")&amp;"|월",파견수련계획!$Z$4:$Z$83,0),""))</f>
        <v/>
      </c>
      <c r="AK8" s="10">
        <f>IF(OR($B8="",TRIM($J8&amp;"")=""),"",IFERROR(MATCH(TRIM($J8&amp;"")&amp;"|다기관",파견수련계획!$AE$4:$AE$83,0),""))</f>
        <v/>
      </c>
      <c r="AL8" s="10">
        <f>IF($AK8="","","다기관 "&amp;TEXT(INDEX(파견수련계획!$AB$4:$AB$83,$AK8),"yyyy-mm-dd")&amp;"~"&amp;IF(ISNUMBER(INDEX(파견수련계획!$AC$4:$AC$83,$AK8)),TEXT(INDEX(파견수련계획!$AC$4:$AC$83,$AK8),"yyyy-mm-dd"),""))</f>
        <v/>
      </c>
    </row>
    <row r="9">
      <c r="A9" s="10">
        <f>IF(B9="","",ROW()-1)</f>
        <v/>
      </c>
      <c r="B9" s="18" t="inlineStr">
        <is>
          <t>222224</t>
        </is>
      </c>
      <c r="C9" s="10">
        <f>IF($AB9="","",IF(INDEX(기본자료!$C$2:$C$1001,$AB9)="","",INDEX(기본자료!$C$2:$C$1001,$AB9)))</f>
        <v/>
      </c>
      <c r="D9" s="10">
        <f>IF($AB9="","",IF(INDEX(기본자료!$J$2:$J$1001,$AB9)="","",INDEX(기본자료!$J$2:$J$1001,$AB9)))</f>
        <v/>
      </c>
      <c r="E9" s="11">
        <f>IF($AB9="","",IF(INDEX(기본자료!$K$2:$K$1001,$AB9)="","",IF(NOT(ISNUMBER(INDEX(기본자료!$K$2:$K$1001,$AB9))),INDEX(기본자료!$K$2:$K$1001,$AB9),IF(INDEX(기본자료!$K$2:$K$1001,$AB9)&lt;1000000,INDEX(기본자료!$K$2:$K$1001,$AB9),IF(AND(INDEX(기본자료!$K$2:$K$1001,$AB9)&gt;=10000101,INT(MOD(INDEX(기본자료!$K$2:$K$1001,$AB9),10000)/100)&gt;=1,INT(MOD(INDEX(기본자료!$K$2:$K$1001,$AB9),10000)/100)&lt;=12,MOD(INDEX(기본자료!$K$2:$K$1001,$AB9),100)&gt;=1,MOD(INDEX(기본자료!$K$2:$K$1001,$AB9),100)&lt;=31),DATE(INT(INDEX(기본자료!$K$2:$K$1001,$AB9)/10000),INT(MOD(INDEX(기본자료!$K$2:$K$1001,$AB9),10000)/100),MOD(INDEX(기본자료!$K$2:$K$1001,$AB9),100)),INDEX(기본자료!$K$2:$K$1001,$AB9)&amp;"")))))</f>
        <v/>
      </c>
      <c r="F9" s="10">
        <f>IF($AB9="","",IF(INDEX(기본자료!$D$2:$D$1001,$AB9)="","",INDEX(기본자료!$D$2:$D$1001,$AB9)))</f>
        <v/>
      </c>
      <c r="G9" s="10">
        <f>IF($AB9="","",IF(INDEX(기본자료!$E$2:$E$1001,$AB9)="","",INDEX(기본자료!$E$2:$E$1001,$AB9)))</f>
        <v/>
      </c>
      <c r="H9" s="10">
        <f>IF($AB9="","",IF(INDEX(기본자료!$F$2:$F$1001,$AB9)="","",INDEX(기본자료!$F$2:$F$1001,$AB9)))</f>
        <v/>
      </c>
      <c r="I9" s="11">
        <f>IF($AB9="","",IF(INDEX(기본자료!$G$2:$G$1001,$AB9)="","",IF(NOT(ISNUMBER(INDEX(기본자료!$G$2:$G$1001,$AB9))),INDEX(기본자료!$G$2:$G$1001,$AB9),IF(INDEX(기본자료!$G$2:$G$1001,$AB9)&lt;1000000,INDEX(기본자료!$G$2:$G$1001,$AB9),IF(AND(INDEX(기본자료!$G$2:$G$1001,$AB9)&gt;=10000101,INT(MOD(INDEX(기본자료!$G$2:$G$1001,$AB9),10000)/100)&gt;=1,INT(MOD(INDEX(기본자료!$G$2:$G$1001,$AB9),10000)/100)&lt;=12,MOD(INDEX(기본자료!$G$2:$G$1001,$AB9),100)&gt;=1,MOD(INDEX(기본자료!$G$2:$G$1001,$AB9),100)&lt;=31),DATE(INT(INDEX(기본자료!$G$2:$G$1001,$AB9)/10000),INT(MOD(INDEX(기본자료!$G$2:$G$1001,$AB9),10000)/100),MOD(INDEX(기본자료!$G$2:$G$1001,$AB9),100)),INDEX(기본자료!$G$2:$G$1001,$AB9)&amp;"")))))</f>
        <v/>
      </c>
      <c r="J9" s="10">
        <f>IF($AB9="","",IF(INDEX(기본자료!$H$2:$H$1001,$AB9)="","",INDEX(기본자료!$H$2:$H$1001,$AB9)))</f>
        <v/>
      </c>
      <c r="K9" s="10">
        <f>IF($AB9="","",IF(INDEX(기본자료!$I$2:$I$1001,$AB9)="","",INDEX(기본자료!$I$2:$I$1001,$AB9)))</f>
        <v/>
      </c>
      <c r="L9" s="10">
        <f>IF($AB9="","",IF(INDEX(기본자료!$A$2:$A$1001,$AB9)="","",INDEX(기본자료!$A$2:$A$1001,$AB9)))</f>
        <v/>
      </c>
      <c r="M9" s="15" t="inlineStr">
        <is>
          <t>구리병원</t>
        </is>
      </c>
      <c r="N9" s="10">
        <f>IF($B9="","",IF(AND($U9="파견중",$Q9&lt;&gt;""),$Q9,IF(AND($AD9&lt;&gt;"",LEFT($AD9,1)&lt;&gt;"⚠"),LEFT($AD9,FIND(" ",$AD9)-1),IF($H9="","",IF(RIGHT($H9,2)="병원",$H9,$H9&amp;"병원")))))</f>
        <v/>
      </c>
      <c r="O9" s="10">
        <f>IF($B9="","",IF(AND($U9="파견중",$Q9&lt;&gt;""),IF($R9&lt;&gt;"",$R9,"파견과 미입력"),IF(AND($AD9&lt;&gt;"",LEFT($AD9,1)&lt;&gt;"⚠"),MID($AD9,FIND(" ",$AD9)+1,60),IF($F9="","",IF($F9="인턴","수련교육부(인턴)",$F9)))))</f>
        <v/>
      </c>
      <c r="P9" s="10">
        <f>IF($B9="","",IF($AK9&lt;&gt;"",IF(AND(TODAY()&gt;=INDEX(파견수련계획!$AB$4:$AB$83,$AK9),OR(NOT(ISNUMBER(INDEX(파견수련계획!$AC$4:$AC$83,$AK9))),TODAY()&lt;=INDEX(파견수련계획!$AC$4:$AC$83,$AK9))),"다기관",IF($AF9="","",INDEX(파견수련계획!$T$4:$T$83,$AF9))),IF($AF9="","",INDEX(파견수련계획!$T$4:$T$83,$AF9))))</f>
        <v/>
      </c>
      <c r="Q9" s="10">
        <f>IF($AF9="","",INDEX(파견수련계획!$S$4:$S$83,$AF9))</f>
        <v/>
      </c>
      <c r="R9" s="10">
        <f>IF($AF9="","",INDEX(파견수련계획!$U$4:$U$83,$AF9))</f>
        <v/>
      </c>
      <c r="S9" s="11">
        <f>IF($AF9="","",IF(INDEX(파견수련계획!$H$4:$H$83,$AF9)="","",INDEX(파견수련계획!$H$4:$H$83,$AF9)))</f>
        <v/>
      </c>
      <c r="T9" s="11">
        <f>IF($AF9="","",IF(INDEX(파견수련계획!$I$4:$I$83,$AF9)="","",INDEX(파견수련계획!$I$4:$I$83,$AF9)))</f>
        <v/>
      </c>
      <c r="U9" s="10">
        <f>IF($AF9="","",INDEX(파견수련계획!$X$4:$X$83,$AF9))</f>
        <v/>
      </c>
      <c r="V9" s="17">
        <f>IF($AF9="","",INDEX(파견수련계획!$V$4:$V$83,$AF9))</f>
        <v/>
      </c>
      <c r="W9" s="17">
        <f>IF(AND($U9="파견중",$T9&lt;&gt;""),$T9-TODAY(),"")</f>
        <v/>
      </c>
      <c r="X9" s="17">
        <f>IF(OR($B9="",TRIM($J9&amp;"")=""),"",SUMPRODUCT((파견수련계획!$Q$4:$Q$83=TRIM($J9&amp;""))*파견수련계획!$W$4:$W$83))</f>
        <v/>
      </c>
      <c r="Y9" s="10">
        <f>IF($B9="","",IF($AG9="","",IF(IF(TRIM($J9&amp;"")="",0,SUMPRODUCT((파견수련계획!$Q$4:$Q$83=TRIM($J9&amp;""))*파견수련계획!$AD$4:$AD$83))&gt;0,$AE9,IF(N($X9)&lt;=0,$AG9,IF($AH9+$AI9=DAY(EOMONTH(요약!$B$3,0)),IF(AND($AH9&gt;=요약!$E$3,$AI9&lt;요약!$E$3),"서울병원",IF(AND($AI9&gt;=요약!$E$3,$AH9&lt;요약!$E$3),"구리병원","⚠15일 판정불가(서울 "&amp;$AH9&amp;"일/구리 "&amp;$AI9&amp;"일)")),IF($AJ9="",$AE9,IF(INDEX(파견수련계획!$T$4:$T$83,$AJ9)="통합수련",INDEX(파견수련계획!$S$4:$S$83,$AJ9),$AE9)))))))</f>
        <v/>
      </c>
      <c r="Z9" s="19">
        <f>IF($B9="","",IF($AB9="","기본자료에 없는 사번",IF(COUNTIF($B$2:$B$401,$B9)&gt;1,"중복 사번",IF($AE9="","소속(입사장소) 입력",IF(IF(TRIM($J9&amp;"")="",0,SUMPRODUCT((파견수련계획!$Q$4:$Q$83=TRIM($J9&amp;""))*(파견수련계획!$AA$4:$AA$83&lt;&gt;"")))&gt;0,"파견수련계획 입력오류 확인",IF(LEFT($Y9,1)="⚠","서울·구리 15일 판정 불가(양쪽 모두 이상/미만)",IF(IF($AC9="",0,N(INDEX(인턴근무계획!$T$3:$T$62,$AC9)))&gt;0,"인턴계획 입력오류 확인",IF(AND($AC9&lt;&gt;"",$U9&lt;&gt;"파견중",$N9&lt;&gt;$AE9),"인턴 타지역 근무: 파견 여부 확인","정상"))))))))</f>
        <v/>
      </c>
      <c r="AA9" s="5" t="inlineStr">
        <is>
          <t>예시 데이터(인턴)</t>
        </is>
      </c>
      <c r="AB9" s="10">
        <f>IF($B9="","",IFERROR(MATCH($B9,기본자료!$B$2:$B$1001,0),IFERROR(MATCH($B9&amp;"",기본자료!$B$2:$B$1001,0),IFERROR(MATCH(VALUE($B9),기본자료!$B$2:$B$1001,0),""))))</f>
        <v/>
      </c>
      <c r="AC9" s="10">
        <f>IF($B9="","",IFERROR(MATCH($B9,인턴근무계획!$D$3:$D$62,0),IFERROR(MATCH($B9&amp;"",인턴근무계획!$D$3:$D$62,0),IFERROR(MATCH(VALUE($B9),인턴근무계획!$D$3:$D$62,0),""))))</f>
        <v/>
      </c>
      <c r="AD9" s="10">
        <f>IF(OR($AC9="",인턴현황!$G$3=""),"",INDEX(인턴근무계획!$M$3:$R$62,$AC9,인턴현황!$G$3)&amp;"")</f>
        <v/>
      </c>
      <c r="AE9" s="10">
        <f>IF($B9="","",IF($M9&lt;&gt;"",$M9,IF($AF9&lt;&gt;"",IF(LEFT(INDEX(파견수련계획!$R$4:$R$83,$AF9),1)&lt;&gt;"⚠",INDEX(파견수련계획!$R$4:$R$83,$AF9),IF($H9="","",IF(RIGHT($H9,2)="병원",$H9,$H9&amp;"병원"))),IF($H9="","",IF(RIGHT($H9,2)="병원",$H9,$H9&amp;"병원")))))</f>
        <v/>
      </c>
      <c r="AF9" s="10">
        <f>IF(OR($B9="",TRIM($J9&amp;"")=""),"",IFERROR(MATCH(TRIM($J9&amp;"")&amp;"|파견중",파견수련계획!$Y$4:$Y$83,0),IFERROR(MATCH(TRIM($J9&amp;"")&amp;"|파견예정",파견수련계획!$Y$4:$Y$83,0),IFERROR(MATCH(TRIM($J9&amp;"")&amp;"|파견종료",파견수련계획!$Y$4:$Y$83,0),""))))</f>
        <v/>
      </c>
      <c r="AG9" s="10">
        <f>IF($B9="","",IF(AND(IF(OR($AC9="",인턴현황!$K$2=""),"",INDEX(인턴근무계획!$M$3:$R$62,$AC9,인턴현황!$K$2)&amp;"")&lt;&gt;"",LEFT(IF(OR($AC9="",인턴현황!$K$2=""),"",INDEX(인턴근무계획!$M$3:$R$62,$AC9,인턴현황!$K$2)&amp;""),1)&lt;&gt;"⚠"),LEFT(IF(OR($AC9="",인턴현황!$K$2=""),"",INDEX(인턴근무계획!$M$3:$R$62,$AC9,인턴현황!$K$2)&amp;""),FIND(" ",IF(OR($AC9="",인턴현황!$K$2=""),"",INDEX(인턴근무계획!$M$3:$R$62,$AC9,인턴현황!$K$2)&amp;""))-1),$AE9))</f>
        <v/>
      </c>
      <c r="AH9" s="17">
        <f>IF($B9="","",IF(TRIM($J9&amp;"")="",0,SUMPRODUCT((파견수련계획!$Q$4:$Q$83=TRIM($J9&amp;""))*(파견수련계획!$S$4:$S$83="서울병원")*파견수련계획!$W$4:$W$83))+IF($AG9="서울병원",MAX(0,DAY(EOMONTH(요약!$B$3,0))-N($X9)),0))</f>
        <v/>
      </c>
      <c r="AI9" s="17">
        <f>IF($B9="","",IF(TRIM($J9&amp;"")="",0,SUMPRODUCT((파견수련계획!$Q$4:$Q$83=TRIM($J9&amp;""))*(파견수련계획!$S$4:$S$83="구리병원")*파견수련계획!$W$4:$W$83))+IF($AG9="구리병원",MAX(0,DAY(EOMONTH(요약!$B$3,0))-N($X9)),0))</f>
        <v/>
      </c>
      <c r="AJ9" s="10">
        <f>IF(OR($B9="",TRIM($J9&amp;"")=""),"",IFERROR(MATCH(TRIM($J9&amp;"")&amp;"|월",파견수련계획!$Z$4:$Z$83,0),""))</f>
        <v/>
      </c>
      <c r="AK9" s="10">
        <f>IF(OR($B9="",TRIM($J9&amp;"")=""),"",IFERROR(MATCH(TRIM($J9&amp;"")&amp;"|다기관",파견수련계획!$AE$4:$AE$83,0),""))</f>
        <v/>
      </c>
      <c r="AL9" s="10">
        <f>IF($AK9="","","다기관 "&amp;TEXT(INDEX(파견수련계획!$AB$4:$AB$83,$AK9),"yyyy-mm-dd")&amp;"~"&amp;IF(ISNUMBER(INDEX(파견수련계획!$AC$4:$AC$83,$AK9)),TEXT(INDEX(파견수련계획!$AC$4:$AC$83,$AK9),"yyyy-mm-dd"),""))</f>
        <v/>
      </c>
    </row>
    <row r="10">
      <c r="A10" s="10">
        <f>IF(B10="","",ROW()-1)</f>
        <v/>
      </c>
      <c r="B10" s="18" t="n"/>
      <c r="C10" s="10">
        <f>IF($AB10="","",IF(INDEX(기본자료!$C$2:$C$1001,$AB10)="","",INDEX(기본자료!$C$2:$C$1001,$AB10)))</f>
        <v/>
      </c>
      <c r="D10" s="10">
        <f>IF($AB10="","",IF(INDEX(기본자료!$J$2:$J$1001,$AB10)="","",INDEX(기본자료!$J$2:$J$1001,$AB10)))</f>
        <v/>
      </c>
      <c r="E10" s="11">
        <f>IF($AB10="","",IF(INDEX(기본자료!$K$2:$K$1001,$AB10)="","",IF(NOT(ISNUMBER(INDEX(기본자료!$K$2:$K$1001,$AB10))),INDEX(기본자료!$K$2:$K$1001,$AB10),IF(INDEX(기본자료!$K$2:$K$1001,$AB10)&lt;1000000,INDEX(기본자료!$K$2:$K$1001,$AB10),IF(AND(INDEX(기본자료!$K$2:$K$1001,$AB10)&gt;=10000101,INT(MOD(INDEX(기본자료!$K$2:$K$1001,$AB10),10000)/100)&gt;=1,INT(MOD(INDEX(기본자료!$K$2:$K$1001,$AB10),10000)/100)&lt;=12,MOD(INDEX(기본자료!$K$2:$K$1001,$AB10),100)&gt;=1,MOD(INDEX(기본자료!$K$2:$K$1001,$AB10),100)&lt;=31),DATE(INT(INDEX(기본자료!$K$2:$K$1001,$AB10)/10000),INT(MOD(INDEX(기본자료!$K$2:$K$1001,$AB10),10000)/100),MOD(INDEX(기본자료!$K$2:$K$1001,$AB10),100)),INDEX(기본자료!$K$2:$K$1001,$AB10)&amp;"")))))</f>
        <v/>
      </c>
      <c r="F10" s="10">
        <f>IF($AB10="","",IF(INDEX(기본자료!$D$2:$D$1001,$AB10)="","",INDEX(기본자료!$D$2:$D$1001,$AB10)))</f>
        <v/>
      </c>
      <c r="G10" s="10">
        <f>IF($AB10="","",IF(INDEX(기본자료!$E$2:$E$1001,$AB10)="","",INDEX(기본자료!$E$2:$E$1001,$AB10)))</f>
        <v/>
      </c>
      <c r="H10" s="10">
        <f>IF($AB10="","",IF(INDEX(기본자료!$F$2:$F$1001,$AB10)="","",INDEX(기본자료!$F$2:$F$1001,$AB10)))</f>
        <v/>
      </c>
      <c r="I10" s="11">
        <f>IF($AB10="","",IF(INDEX(기본자료!$G$2:$G$1001,$AB10)="","",IF(NOT(ISNUMBER(INDEX(기본자료!$G$2:$G$1001,$AB10))),INDEX(기본자료!$G$2:$G$1001,$AB10),IF(INDEX(기본자료!$G$2:$G$1001,$AB10)&lt;1000000,INDEX(기본자료!$G$2:$G$1001,$AB10),IF(AND(INDEX(기본자료!$G$2:$G$1001,$AB10)&gt;=10000101,INT(MOD(INDEX(기본자료!$G$2:$G$1001,$AB10),10000)/100)&gt;=1,INT(MOD(INDEX(기본자료!$G$2:$G$1001,$AB10),10000)/100)&lt;=12,MOD(INDEX(기본자료!$G$2:$G$1001,$AB10),100)&gt;=1,MOD(INDEX(기본자료!$G$2:$G$1001,$AB10),100)&lt;=31),DATE(INT(INDEX(기본자료!$G$2:$G$1001,$AB10)/10000),INT(MOD(INDEX(기본자료!$G$2:$G$1001,$AB10),10000)/100),MOD(INDEX(기본자료!$G$2:$G$1001,$AB10),100)),INDEX(기본자료!$G$2:$G$1001,$AB10)&amp;"")))))</f>
        <v/>
      </c>
      <c r="J10" s="10">
        <f>IF($AB10="","",IF(INDEX(기본자료!$H$2:$H$1001,$AB10)="","",INDEX(기본자료!$H$2:$H$1001,$AB10)))</f>
        <v/>
      </c>
      <c r="K10" s="10">
        <f>IF($AB10="","",IF(INDEX(기본자료!$I$2:$I$1001,$AB10)="","",INDEX(기본자료!$I$2:$I$1001,$AB10)))</f>
        <v/>
      </c>
      <c r="L10" s="10">
        <f>IF($AB10="","",IF(INDEX(기본자료!$A$2:$A$1001,$AB10)="","",INDEX(기본자료!$A$2:$A$1001,$AB10)))</f>
        <v/>
      </c>
      <c r="M10" s="15" t="n"/>
      <c r="N10" s="10">
        <f>IF($B10="","",IF(AND($U10="파견중",$Q10&lt;&gt;""),$Q10,IF(AND($AD10&lt;&gt;"",LEFT($AD10,1)&lt;&gt;"⚠"),LEFT($AD10,FIND(" ",$AD10)-1),IF($H10="","",IF(RIGHT($H10,2)="병원",$H10,$H10&amp;"병원")))))</f>
        <v/>
      </c>
      <c r="O10" s="10">
        <f>IF($B10="","",IF(AND($U10="파견중",$Q10&lt;&gt;""),IF($R10&lt;&gt;"",$R10,"파견과 미입력"),IF(AND($AD10&lt;&gt;"",LEFT($AD10,1)&lt;&gt;"⚠"),MID($AD10,FIND(" ",$AD10)+1,60),IF($F10="","",IF($F10="인턴","수련교육부(인턴)",$F10)))))</f>
        <v/>
      </c>
      <c r="P10" s="10">
        <f>IF($B10="","",IF($AK10&lt;&gt;"",IF(AND(TODAY()&gt;=INDEX(파견수련계획!$AB$4:$AB$83,$AK10),OR(NOT(ISNUMBER(INDEX(파견수련계획!$AC$4:$AC$83,$AK10))),TODAY()&lt;=INDEX(파견수련계획!$AC$4:$AC$83,$AK10))),"다기관",IF($AF10="","",INDEX(파견수련계획!$T$4:$T$83,$AF10))),IF($AF10="","",INDEX(파견수련계획!$T$4:$T$83,$AF10))))</f>
        <v/>
      </c>
      <c r="Q10" s="10">
        <f>IF($AF10="","",INDEX(파견수련계획!$S$4:$S$83,$AF10))</f>
        <v/>
      </c>
      <c r="R10" s="10">
        <f>IF($AF10="","",INDEX(파견수련계획!$U$4:$U$83,$AF10))</f>
        <v/>
      </c>
      <c r="S10" s="11">
        <f>IF($AF10="","",IF(INDEX(파견수련계획!$H$4:$H$83,$AF10)="","",INDEX(파견수련계획!$H$4:$H$83,$AF10)))</f>
        <v/>
      </c>
      <c r="T10" s="11">
        <f>IF($AF10="","",IF(INDEX(파견수련계획!$I$4:$I$83,$AF10)="","",INDEX(파견수련계획!$I$4:$I$83,$AF10)))</f>
        <v/>
      </c>
      <c r="U10" s="10">
        <f>IF($AF10="","",INDEX(파견수련계획!$X$4:$X$83,$AF10))</f>
        <v/>
      </c>
      <c r="V10" s="17">
        <f>IF($AF10="","",INDEX(파견수련계획!$V$4:$V$83,$AF10))</f>
        <v/>
      </c>
      <c r="W10" s="17">
        <f>IF(AND($U10="파견중",$T10&lt;&gt;""),$T10-TODAY(),"")</f>
        <v/>
      </c>
      <c r="X10" s="17">
        <f>IF(OR($B10="",TRIM($J10&amp;"")=""),"",SUMPRODUCT((파견수련계획!$Q$4:$Q$83=TRIM($J10&amp;""))*파견수련계획!$W$4:$W$83))</f>
        <v/>
      </c>
      <c r="Y10" s="10">
        <f>IF($B10="","",IF($AG10="","",IF(IF(TRIM($J10&amp;"")="",0,SUMPRODUCT((파견수련계획!$Q$4:$Q$83=TRIM($J10&amp;""))*파견수련계획!$AD$4:$AD$83))&gt;0,$AE10,IF(N($X10)&lt;=0,$AG10,IF($AH10+$AI10=DAY(EOMONTH(요약!$B$3,0)),IF(AND($AH10&gt;=요약!$E$3,$AI10&lt;요약!$E$3),"서울병원",IF(AND($AI10&gt;=요약!$E$3,$AH10&lt;요약!$E$3),"구리병원","⚠15일 판정불가(서울 "&amp;$AH10&amp;"일/구리 "&amp;$AI10&amp;"일)")),IF($AJ10="",$AE10,IF(INDEX(파견수련계획!$T$4:$T$83,$AJ10)="통합수련",INDEX(파견수련계획!$S$4:$S$83,$AJ10),$AE10)))))))</f>
        <v/>
      </c>
      <c r="Z10" s="19">
        <f>IF($B10="","",IF($AB10="","기본자료에 없는 사번",IF(COUNTIF($B$2:$B$401,$B10)&gt;1,"중복 사번",IF($AE10="","소속(입사장소) 입력",IF(IF(TRIM($J10&amp;"")="",0,SUMPRODUCT((파견수련계획!$Q$4:$Q$83=TRIM($J10&amp;""))*(파견수련계획!$AA$4:$AA$83&lt;&gt;"")))&gt;0,"파견수련계획 입력오류 확인",IF(LEFT($Y10,1)="⚠","서울·구리 15일 판정 불가(양쪽 모두 이상/미만)",IF(IF($AC10="",0,N(INDEX(인턴근무계획!$T$3:$T$62,$AC10)))&gt;0,"인턴계획 입력오류 확인",IF(AND($AC10&lt;&gt;"",$U10&lt;&gt;"파견중",$N10&lt;&gt;$AE10),"인턴 타지역 근무: 파견 여부 확인","정상"))))))))</f>
        <v/>
      </c>
      <c r="AA10" s="5" t="n"/>
      <c r="AB10" s="10">
        <f>IF($B10="","",IFERROR(MATCH($B10,기본자료!$B$2:$B$1001,0),IFERROR(MATCH($B10&amp;"",기본자료!$B$2:$B$1001,0),IFERROR(MATCH(VALUE($B10),기본자료!$B$2:$B$1001,0),""))))</f>
        <v/>
      </c>
      <c r="AC10" s="10">
        <f>IF($B10="","",IFERROR(MATCH($B10,인턴근무계획!$D$3:$D$62,0),IFERROR(MATCH($B10&amp;"",인턴근무계획!$D$3:$D$62,0),IFERROR(MATCH(VALUE($B10),인턴근무계획!$D$3:$D$62,0),""))))</f>
        <v/>
      </c>
      <c r="AD10" s="10">
        <f>IF(OR($AC10="",인턴현황!$G$3=""),"",INDEX(인턴근무계획!$M$3:$R$62,$AC10,인턴현황!$G$3)&amp;"")</f>
        <v/>
      </c>
      <c r="AE10" s="10">
        <f>IF($B10="","",IF($M10&lt;&gt;"",$M10,IF($AF10&lt;&gt;"",IF(LEFT(INDEX(파견수련계획!$R$4:$R$83,$AF10),1)&lt;&gt;"⚠",INDEX(파견수련계획!$R$4:$R$83,$AF10),IF($H10="","",IF(RIGHT($H10,2)="병원",$H10,$H10&amp;"병원"))),IF($H10="","",IF(RIGHT($H10,2)="병원",$H10,$H10&amp;"병원")))))</f>
        <v/>
      </c>
      <c r="AF10" s="10">
        <f>IF(OR($B10="",TRIM($J10&amp;"")=""),"",IFERROR(MATCH(TRIM($J10&amp;"")&amp;"|파견중",파견수련계획!$Y$4:$Y$83,0),IFERROR(MATCH(TRIM($J10&amp;"")&amp;"|파견예정",파견수련계획!$Y$4:$Y$83,0),IFERROR(MATCH(TRIM($J10&amp;"")&amp;"|파견종료",파견수련계획!$Y$4:$Y$83,0),""))))</f>
        <v/>
      </c>
      <c r="AG10" s="10">
        <f>IF($B10="","",IF(AND(IF(OR($AC10="",인턴현황!$K$2=""),"",INDEX(인턴근무계획!$M$3:$R$62,$AC10,인턴현황!$K$2)&amp;"")&lt;&gt;"",LEFT(IF(OR($AC10="",인턴현황!$K$2=""),"",INDEX(인턴근무계획!$M$3:$R$62,$AC10,인턴현황!$K$2)&amp;""),1)&lt;&gt;"⚠"),LEFT(IF(OR($AC10="",인턴현황!$K$2=""),"",INDEX(인턴근무계획!$M$3:$R$62,$AC10,인턴현황!$K$2)&amp;""),FIND(" ",IF(OR($AC10="",인턴현황!$K$2=""),"",INDEX(인턴근무계획!$M$3:$R$62,$AC10,인턴현황!$K$2)&amp;""))-1),$AE10))</f>
        <v/>
      </c>
      <c r="AH10" s="17">
        <f>IF($B10="","",IF(TRIM($J10&amp;"")="",0,SUMPRODUCT((파견수련계획!$Q$4:$Q$83=TRIM($J10&amp;""))*(파견수련계획!$S$4:$S$83="서울병원")*파견수련계획!$W$4:$W$83))+IF($AG10="서울병원",MAX(0,DAY(EOMONTH(요약!$B$3,0))-N($X10)),0))</f>
        <v/>
      </c>
      <c r="AI10" s="17">
        <f>IF($B10="","",IF(TRIM($J10&amp;"")="",0,SUMPRODUCT((파견수련계획!$Q$4:$Q$83=TRIM($J10&amp;""))*(파견수련계획!$S$4:$S$83="구리병원")*파견수련계획!$W$4:$W$83))+IF($AG10="구리병원",MAX(0,DAY(EOMONTH(요약!$B$3,0))-N($X10)),0))</f>
        <v/>
      </c>
      <c r="AJ10" s="10">
        <f>IF(OR($B10="",TRIM($J10&amp;"")=""),"",IFERROR(MATCH(TRIM($J10&amp;"")&amp;"|월",파견수련계획!$Z$4:$Z$83,0),""))</f>
        <v/>
      </c>
      <c r="AK10" s="10">
        <f>IF(OR($B10="",TRIM($J10&amp;"")=""),"",IFERROR(MATCH(TRIM($J10&amp;"")&amp;"|다기관",파견수련계획!$AE$4:$AE$83,0),""))</f>
        <v/>
      </c>
      <c r="AL10" s="10">
        <f>IF($AK10="","","다기관 "&amp;TEXT(INDEX(파견수련계획!$AB$4:$AB$83,$AK10),"yyyy-mm-dd")&amp;"~"&amp;IF(ISNUMBER(INDEX(파견수련계획!$AC$4:$AC$83,$AK10)),TEXT(INDEX(파견수련계획!$AC$4:$AC$83,$AK10),"yyyy-mm-dd"),""))</f>
        <v/>
      </c>
    </row>
    <row r="11">
      <c r="A11" s="10">
        <f>IF(B11="","",ROW()-1)</f>
        <v/>
      </c>
      <c r="B11" s="18" t="n"/>
      <c r="C11" s="10">
        <f>IF($AB11="","",IF(INDEX(기본자료!$C$2:$C$1001,$AB11)="","",INDEX(기본자료!$C$2:$C$1001,$AB11)))</f>
        <v/>
      </c>
      <c r="D11" s="10">
        <f>IF($AB11="","",IF(INDEX(기본자료!$J$2:$J$1001,$AB11)="","",INDEX(기본자료!$J$2:$J$1001,$AB11)))</f>
        <v/>
      </c>
      <c r="E11" s="11">
        <f>IF($AB11="","",IF(INDEX(기본자료!$K$2:$K$1001,$AB11)="","",IF(NOT(ISNUMBER(INDEX(기본자료!$K$2:$K$1001,$AB11))),INDEX(기본자료!$K$2:$K$1001,$AB11),IF(INDEX(기본자료!$K$2:$K$1001,$AB11)&lt;1000000,INDEX(기본자료!$K$2:$K$1001,$AB11),IF(AND(INDEX(기본자료!$K$2:$K$1001,$AB11)&gt;=10000101,INT(MOD(INDEX(기본자료!$K$2:$K$1001,$AB11),10000)/100)&gt;=1,INT(MOD(INDEX(기본자료!$K$2:$K$1001,$AB11),10000)/100)&lt;=12,MOD(INDEX(기본자료!$K$2:$K$1001,$AB11),100)&gt;=1,MOD(INDEX(기본자료!$K$2:$K$1001,$AB11),100)&lt;=31),DATE(INT(INDEX(기본자료!$K$2:$K$1001,$AB11)/10000),INT(MOD(INDEX(기본자료!$K$2:$K$1001,$AB11),10000)/100),MOD(INDEX(기본자료!$K$2:$K$1001,$AB11),100)),INDEX(기본자료!$K$2:$K$1001,$AB11)&amp;"")))))</f>
        <v/>
      </c>
      <c r="F11" s="10">
        <f>IF($AB11="","",IF(INDEX(기본자료!$D$2:$D$1001,$AB11)="","",INDEX(기본자료!$D$2:$D$1001,$AB11)))</f>
        <v/>
      </c>
      <c r="G11" s="10">
        <f>IF($AB11="","",IF(INDEX(기본자료!$E$2:$E$1001,$AB11)="","",INDEX(기본자료!$E$2:$E$1001,$AB11)))</f>
        <v/>
      </c>
      <c r="H11" s="10">
        <f>IF($AB11="","",IF(INDEX(기본자료!$F$2:$F$1001,$AB11)="","",INDEX(기본자료!$F$2:$F$1001,$AB11)))</f>
        <v/>
      </c>
      <c r="I11" s="11">
        <f>IF($AB11="","",IF(INDEX(기본자료!$G$2:$G$1001,$AB11)="","",IF(NOT(ISNUMBER(INDEX(기본자료!$G$2:$G$1001,$AB11))),INDEX(기본자료!$G$2:$G$1001,$AB11),IF(INDEX(기본자료!$G$2:$G$1001,$AB11)&lt;1000000,INDEX(기본자료!$G$2:$G$1001,$AB11),IF(AND(INDEX(기본자료!$G$2:$G$1001,$AB11)&gt;=10000101,INT(MOD(INDEX(기본자료!$G$2:$G$1001,$AB11),10000)/100)&gt;=1,INT(MOD(INDEX(기본자료!$G$2:$G$1001,$AB11),10000)/100)&lt;=12,MOD(INDEX(기본자료!$G$2:$G$1001,$AB11),100)&gt;=1,MOD(INDEX(기본자료!$G$2:$G$1001,$AB11),100)&lt;=31),DATE(INT(INDEX(기본자료!$G$2:$G$1001,$AB11)/10000),INT(MOD(INDEX(기본자료!$G$2:$G$1001,$AB11),10000)/100),MOD(INDEX(기본자료!$G$2:$G$1001,$AB11),100)),INDEX(기본자료!$G$2:$G$1001,$AB11)&amp;"")))))</f>
        <v/>
      </c>
      <c r="J11" s="10">
        <f>IF($AB11="","",IF(INDEX(기본자료!$H$2:$H$1001,$AB11)="","",INDEX(기본자료!$H$2:$H$1001,$AB11)))</f>
        <v/>
      </c>
      <c r="K11" s="10">
        <f>IF($AB11="","",IF(INDEX(기본자료!$I$2:$I$1001,$AB11)="","",INDEX(기본자료!$I$2:$I$1001,$AB11)))</f>
        <v/>
      </c>
      <c r="L11" s="10">
        <f>IF($AB11="","",IF(INDEX(기본자료!$A$2:$A$1001,$AB11)="","",INDEX(기본자료!$A$2:$A$1001,$AB11)))</f>
        <v/>
      </c>
      <c r="M11" s="15" t="n"/>
      <c r="N11" s="10">
        <f>IF($B11="","",IF(AND($U11="파견중",$Q11&lt;&gt;""),$Q11,IF(AND($AD11&lt;&gt;"",LEFT($AD11,1)&lt;&gt;"⚠"),LEFT($AD11,FIND(" ",$AD11)-1),IF($H11="","",IF(RIGHT($H11,2)="병원",$H11,$H11&amp;"병원")))))</f>
        <v/>
      </c>
      <c r="O11" s="10">
        <f>IF($B11="","",IF(AND($U11="파견중",$Q11&lt;&gt;""),IF($R11&lt;&gt;"",$R11,"파견과 미입력"),IF(AND($AD11&lt;&gt;"",LEFT($AD11,1)&lt;&gt;"⚠"),MID($AD11,FIND(" ",$AD11)+1,60),IF($F11="","",IF($F11="인턴","수련교육부(인턴)",$F11)))))</f>
        <v/>
      </c>
      <c r="P11" s="10">
        <f>IF($B11="","",IF($AK11&lt;&gt;"",IF(AND(TODAY()&gt;=INDEX(파견수련계획!$AB$4:$AB$83,$AK11),OR(NOT(ISNUMBER(INDEX(파견수련계획!$AC$4:$AC$83,$AK11))),TODAY()&lt;=INDEX(파견수련계획!$AC$4:$AC$83,$AK11))),"다기관",IF($AF11="","",INDEX(파견수련계획!$T$4:$T$83,$AF11))),IF($AF11="","",INDEX(파견수련계획!$T$4:$T$83,$AF11))))</f>
        <v/>
      </c>
      <c r="Q11" s="10">
        <f>IF($AF11="","",INDEX(파견수련계획!$S$4:$S$83,$AF11))</f>
        <v/>
      </c>
      <c r="R11" s="10">
        <f>IF($AF11="","",INDEX(파견수련계획!$U$4:$U$83,$AF11))</f>
        <v/>
      </c>
      <c r="S11" s="11">
        <f>IF($AF11="","",IF(INDEX(파견수련계획!$H$4:$H$83,$AF11)="","",INDEX(파견수련계획!$H$4:$H$83,$AF11)))</f>
        <v/>
      </c>
      <c r="T11" s="11">
        <f>IF($AF11="","",IF(INDEX(파견수련계획!$I$4:$I$83,$AF11)="","",INDEX(파견수련계획!$I$4:$I$83,$AF11)))</f>
        <v/>
      </c>
      <c r="U11" s="10">
        <f>IF($AF11="","",INDEX(파견수련계획!$X$4:$X$83,$AF11))</f>
        <v/>
      </c>
      <c r="V11" s="17">
        <f>IF($AF11="","",INDEX(파견수련계획!$V$4:$V$83,$AF11))</f>
        <v/>
      </c>
      <c r="W11" s="17">
        <f>IF(AND($U11="파견중",$T11&lt;&gt;""),$T11-TODAY(),"")</f>
        <v/>
      </c>
      <c r="X11" s="17">
        <f>IF(OR($B11="",TRIM($J11&amp;"")=""),"",SUMPRODUCT((파견수련계획!$Q$4:$Q$83=TRIM($J11&amp;""))*파견수련계획!$W$4:$W$83))</f>
        <v/>
      </c>
      <c r="Y11" s="10">
        <f>IF($B11="","",IF($AG11="","",IF(IF(TRIM($J11&amp;"")="",0,SUMPRODUCT((파견수련계획!$Q$4:$Q$83=TRIM($J11&amp;""))*파견수련계획!$AD$4:$AD$83))&gt;0,$AE11,IF(N($X11)&lt;=0,$AG11,IF($AH11+$AI11=DAY(EOMONTH(요약!$B$3,0)),IF(AND($AH11&gt;=요약!$E$3,$AI11&lt;요약!$E$3),"서울병원",IF(AND($AI11&gt;=요약!$E$3,$AH11&lt;요약!$E$3),"구리병원","⚠15일 판정불가(서울 "&amp;$AH11&amp;"일/구리 "&amp;$AI11&amp;"일)")),IF($AJ11="",$AE11,IF(INDEX(파견수련계획!$T$4:$T$83,$AJ11)="통합수련",INDEX(파견수련계획!$S$4:$S$83,$AJ11),$AE11)))))))</f>
        <v/>
      </c>
      <c r="Z11" s="19">
        <f>IF($B11="","",IF($AB11="","기본자료에 없는 사번",IF(COUNTIF($B$2:$B$401,$B11)&gt;1,"중복 사번",IF($AE11="","소속(입사장소) 입력",IF(IF(TRIM($J11&amp;"")="",0,SUMPRODUCT((파견수련계획!$Q$4:$Q$83=TRIM($J11&amp;""))*(파견수련계획!$AA$4:$AA$83&lt;&gt;"")))&gt;0,"파견수련계획 입력오류 확인",IF(LEFT($Y11,1)="⚠","서울·구리 15일 판정 불가(양쪽 모두 이상/미만)",IF(IF($AC11="",0,N(INDEX(인턴근무계획!$T$3:$T$62,$AC11)))&gt;0,"인턴계획 입력오류 확인",IF(AND($AC11&lt;&gt;"",$U11&lt;&gt;"파견중",$N11&lt;&gt;$AE11),"인턴 타지역 근무: 파견 여부 확인","정상"))))))))</f>
        <v/>
      </c>
      <c r="AA11" s="5" t="n"/>
      <c r="AB11" s="10">
        <f>IF($B11="","",IFERROR(MATCH($B11,기본자료!$B$2:$B$1001,0),IFERROR(MATCH($B11&amp;"",기본자료!$B$2:$B$1001,0),IFERROR(MATCH(VALUE($B11),기본자료!$B$2:$B$1001,0),""))))</f>
        <v/>
      </c>
      <c r="AC11" s="10">
        <f>IF($B11="","",IFERROR(MATCH($B11,인턴근무계획!$D$3:$D$62,0),IFERROR(MATCH($B11&amp;"",인턴근무계획!$D$3:$D$62,0),IFERROR(MATCH(VALUE($B11),인턴근무계획!$D$3:$D$62,0),""))))</f>
        <v/>
      </c>
      <c r="AD11" s="10">
        <f>IF(OR($AC11="",인턴현황!$G$3=""),"",INDEX(인턴근무계획!$M$3:$R$62,$AC11,인턴현황!$G$3)&amp;"")</f>
        <v/>
      </c>
      <c r="AE11" s="10">
        <f>IF($B11="","",IF($M11&lt;&gt;"",$M11,IF($AF11&lt;&gt;"",IF(LEFT(INDEX(파견수련계획!$R$4:$R$83,$AF11),1)&lt;&gt;"⚠",INDEX(파견수련계획!$R$4:$R$83,$AF11),IF($H11="","",IF(RIGHT($H11,2)="병원",$H11,$H11&amp;"병원"))),IF($H11="","",IF(RIGHT($H11,2)="병원",$H11,$H11&amp;"병원")))))</f>
        <v/>
      </c>
      <c r="AF11" s="10">
        <f>IF(OR($B11="",TRIM($J11&amp;"")=""),"",IFERROR(MATCH(TRIM($J11&amp;"")&amp;"|파견중",파견수련계획!$Y$4:$Y$83,0),IFERROR(MATCH(TRIM($J11&amp;"")&amp;"|파견예정",파견수련계획!$Y$4:$Y$83,0),IFERROR(MATCH(TRIM($J11&amp;"")&amp;"|파견종료",파견수련계획!$Y$4:$Y$83,0),""))))</f>
        <v/>
      </c>
      <c r="AG11" s="10">
        <f>IF($B11="","",IF(AND(IF(OR($AC11="",인턴현황!$K$2=""),"",INDEX(인턴근무계획!$M$3:$R$62,$AC11,인턴현황!$K$2)&amp;"")&lt;&gt;"",LEFT(IF(OR($AC11="",인턴현황!$K$2=""),"",INDEX(인턴근무계획!$M$3:$R$62,$AC11,인턴현황!$K$2)&amp;""),1)&lt;&gt;"⚠"),LEFT(IF(OR($AC11="",인턴현황!$K$2=""),"",INDEX(인턴근무계획!$M$3:$R$62,$AC11,인턴현황!$K$2)&amp;""),FIND(" ",IF(OR($AC11="",인턴현황!$K$2=""),"",INDEX(인턴근무계획!$M$3:$R$62,$AC11,인턴현황!$K$2)&amp;""))-1),$AE11))</f>
        <v/>
      </c>
      <c r="AH11" s="17">
        <f>IF($B11="","",IF(TRIM($J11&amp;"")="",0,SUMPRODUCT((파견수련계획!$Q$4:$Q$83=TRIM($J11&amp;""))*(파견수련계획!$S$4:$S$83="서울병원")*파견수련계획!$W$4:$W$83))+IF($AG11="서울병원",MAX(0,DAY(EOMONTH(요약!$B$3,0))-N($X11)),0))</f>
        <v/>
      </c>
      <c r="AI11" s="17">
        <f>IF($B11="","",IF(TRIM($J11&amp;"")="",0,SUMPRODUCT((파견수련계획!$Q$4:$Q$83=TRIM($J11&amp;""))*(파견수련계획!$S$4:$S$83="구리병원")*파견수련계획!$W$4:$W$83))+IF($AG11="구리병원",MAX(0,DAY(EOMONTH(요약!$B$3,0))-N($X11)),0))</f>
        <v/>
      </c>
      <c r="AJ11" s="10">
        <f>IF(OR($B11="",TRIM($J11&amp;"")=""),"",IFERROR(MATCH(TRIM($J11&amp;"")&amp;"|월",파견수련계획!$Z$4:$Z$83,0),""))</f>
        <v/>
      </c>
      <c r="AK11" s="10">
        <f>IF(OR($B11="",TRIM($J11&amp;"")=""),"",IFERROR(MATCH(TRIM($J11&amp;"")&amp;"|다기관",파견수련계획!$AE$4:$AE$83,0),""))</f>
        <v/>
      </c>
      <c r="AL11" s="10">
        <f>IF($AK11="","","다기관 "&amp;TEXT(INDEX(파견수련계획!$AB$4:$AB$83,$AK11),"yyyy-mm-dd")&amp;"~"&amp;IF(ISNUMBER(INDEX(파견수련계획!$AC$4:$AC$83,$AK11)),TEXT(INDEX(파견수련계획!$AC$4:$AC$83,$AK11),"yyyy-mm-dd"),""))</f>
        <v/>
      </c>
    </row>
    <row r="12">
      <c r="A12" s="10">
        <f>IF(B12="","",ROW()-1)</f>
        <v/>
      </c>
      <c r="B12" s="18" t="n"/>
      <c r="C12" s="10">
        <f>IF($AB12="","",IF(INDEX(기본자료!$C$2:$C$1001,$AB12)="","",INDEX(기본자료!$C$2:$C$1001,$AB12)))</f>
        <v/>
      </c>
      <c r="D12" s="10">
        <f>IF($AB12="","",IF(INDEX(기본자료!$J$2:$J$1001,$AB12)="","",INDEX(기본자료!$J$2:$J$1001,$AB12)))</f>
        <v/>
      </c>
      <c r="E12" s="11">
        <f>IF($AB12="","",IF(INDEX(기본자료!$K$2:$K$1001,$AB12)="","",IF(NOT(ISNUMBER(INDEX(기본자료!$K$2:$K$1001,$AB12))),INDEX(기본자료!$K$2:$K$1001,$AB12),IF(INDEX(기본자료!$K$2:$K$1001,$AB12)&lt;1000000,INDEX(기본자료!$K$2:$K$1001,$AB12),IF(AND(INDEX(기본자료!$K$2:$K$1001,$AB12)&gt;=10000101,INT(MOD(INDEX(기본자료!$K$2:$K$1001,$AB12),10000)/100)&gt;=1,INT(MOD(INDEX(기본자료!$K$2:$K$1001,$AB12),10000)/100)&lt;=12,MOD(INDEX(기본자료!$K$2:$K$1001,$AB12),100)&gt;=1,MOD(INDEX(기본자료!$K$2:$K$1001,$AB12),100)&lt;=31),DATE(INT(INDEX(기본자료!$K$2:$K$1001,$AB12)/10000),INT(MOD(INDEX(기본자료!$K$2:$K$1001,$AB12),10000)/100),MOD(INDEX(기본자료!$K$2:$K$1001,$AB12),100)),INDEX(기본자료!$K$2:$K$1001,$AB12)&amp;"")))))</f>
        <v/>
      </c>
      <c r="F12" s="10">
        <f>IF($AB12="","",IF(INDEX(기본자료!$D$2:$D$1001,$AB12)="","",INDEX(기본자료!$D$2:$D$1001,$AB12)))</f>
        <v/>
      </c>
      <c r="G12" s="10">
        <f>IF($AB12="","",IF(INDEX(기본자료!$E$2:$E$1001,$AB12)="","",INDEX(기본자료!$E$2:$E$1001,$AB12)))</f>
        <v/>
      </c>
      <c r="H12" s="10">
        <f>IF($AB12="","",IF(INDEX(기본자료!$F$2:$F$1001,$AB12)="","",INDEX(기본자료!$F$2:$F$1001,$AB12)))</f>
        <v/>
      </c>
      <c r="I12" s="11">
        <f>IF($AB12="","",IF(INDEX(기본자료!$G$2:$G$1001,$AB12)="","",IF(NOT(ISNUMBER(INDEX(기본자료!$G$2:$G$1001,$AB12))),INDEX(기본자료!$G$2:$G$1001,$AB12),IF(INDEX(기본자료!$G$2:$G$1001,$AB12)&lt;1000000,INDEX(기본자료!$G$2:$G$1001,$AB12),IF(AND(INDEX(기본자료!$G$2:$G$1001,$AB12)&gt;=10000101,INT(MOD(INDEX(기본자료!$G$2:$G$1001,$AB12),10000)/100)&gt;=1,INT(MOD(INDEX(기본자료!$G$2:$G$1001,$AB12),10000)/100)&lt;=12,MOD(INDEX(기본자료!$G$2:$G$1001,$AB12),100)&gt;=1,MOD(INDEX(기본자료!$G$2:$G$1001,$AB12),100)&lt;=31),DATE(INT(INDEX(기본자료!$G$2:$G$1001,$AB12)/10000),INT(MOD(INDEX(기본자료!$G$2:$G$1001,$AB12),10000)/100),MOD(INDEX(기본자료!$G$2:$G$1001,$AB12),100)),INDEX(기본자료!$G$2:$G$1001,$AB12)&amp;"")))))</f>
        <v/>
      </c>
      <c r="J12" s="10">
        <f>IF($AB12="","",IF(INDEX(기본자료!$H$2:$H$1001,$AB12)="","",INDEX(기본자료!$H$2:$H$1001,$AB12)))</f>
        <v/>
      </c>
      <c r="K12" s="10">
        <f>IF($AB12="","",IF(INDEX(기본자료!$I$2:$I$1001,$AB12)="","",INDEX(기본자료!$I$2:$I$1001,$AB12)))</f>
        <v/>
      </c>
      <c r="L12" s="10">
        <f>IF($AB12="","",IF(INDEX(기본자료!$A$2:$A$1001,$AB12)="","",INDEX(기본자료!$A$2:$A$1001,$AB12)))</f>
        <v/>
      </c>
      <c r="M12" s="15" t="n"/>
      <c r="N12" s="10">
        <f>IF($B12="","",IF(AND($U12="파견중",$Q12&lt;&gt;""),$Q12,IF(AND($AD12&lt;&gt;"",LEFT($AD12,1)&lt;&gt;"⚠"),LEFT($AD12,FIND(" ",$AD12)-1),IF($H12="","",IF(RIGHT($H12,2)="병원",$H12,$H12&amp;"병원")))))</f>
        <v/>
      </c>
      <c r="O12" s="10">
        <f>IF($B12="","",IF(AND($U12="파견중",$Q12&lt;&gt;""),IF($R12&lt;&gt;"",$R12,"파견과 미입력"),IF(AND($AD12&lt;&gt;"",LEFT($AD12,1)&lt;&gt;"⚠"),MID($AD12,FIND(" ",$AD12)+1,60),IF($F12="","",IF($F12="인턴","수련교육부(인턴)",$F12)))))</f>
        <v/>
      </c>
      <c r="P12" s="10">
        <f>IF($B12="","",IF($AK12&lt;&gt;"",IF(AND(TODAY()&gt;=INDEX(파견수련계획!$AB$4:$AB$83,$AK12),OR(NOT(ISNUMBER(INDEX(파견수련계획!$AC$4:$AC$83,$AK12))),TODAY()&lt;=INDEX(파견수련계획!$AC$4:$AC$83,$AK12))),"다기관",IF($AF12="","",INDEX(파견수련계획!$T$4:$T$83,$AF12))),IF($AF12="","",INDEX(파견수련계획!$T$4:$T$83,$AF12))))</f>
        <v/>
      </c>
      <c r="Q12" s="10">
        <f>IF($AF12="","",INDEX(파견수련계획!$S$4:$S$83,$AF12))</f>
        <v/>
      </c>
      <c r="R12" s="10">
        <f>IF($AF12="","",INDEX(파견수련계획!$U$4:$U$83,$AF12))</f>
        <v/>
      </c>
      <c r="S12" s="11">
        <f>IF($AF12="","",IF(INDEX(파견수련계획!$H$4:$H$83,$AF12)="","",INDEX(파견수련계획!$H$4:$H$83,$AF12)))</f>
        <v/>
      </c>
      <c r="T12" s="11">
        <f>IF($AF12="","",IF(INDEX(파견수련계획!$I$4:$I$83,$AF12)="","",INDEX(파견수련계획!$I$4:$I$83,$AF12)))</f>
        <v/>
      </c>
      <c r="U12" s="10">
        <f>IF($AF12="","",INDEX(파견수련계획!$X$4:$X$83,$AF12))</f>
        <v/>
      </c>
      <c r="V12" s="17">
        <f>IF($AF12="","",INDEX(파견수련계획!$V$4:$V$83,$AF12))</f>
        <v/>
      </c>
      <c r="W12" s="17">
        <f>IF(AND($U12="파견중",$T12&lt;&gt;""),$T12-TODAY(),"")</f>
        <v/>
      </c>
      <c r="X12" s="17">
        <f>IF(OR($B12="",TRIM($J12&amp;"")=""),"",SUMPRODUCT((파견수련계획!$Q$4:$Q$83=TRIM($J12&amp;""))*파견수련계획!$W$4:$W$83))</f>
        <v/>
      </c>
      <c r="Y12" s="10">
        <f>IF($B12="","",IF($AG12="","",IF(IF(TRIM($J12&amp;"")="",0,SUMPRODUCT((파견수련계획!$Q$4:$Q$83=TRIM($J12&amp;""))*파견수련계획!$AD$4:$AD$83))&gt;0,$AE12,IF(N($X12)&lt;=0,$AG12,IF($AH12+$AI12=DAY(EOMONTH(요약!$B$3,0)),IF(AND($AH12&gt;=요약!$E$3,$AI12&lt;요약!$E$3),"서울병원",IF(AND($AI12&gt;=요약!$E$3,$AH12&lt;요약!$E$3),"구리병원","⚠15일 판정불가(서울 "&amp;$AH12&amp;"일/구리 "&amp;$AI12&amp;"일)")),IF($AJ12="",$AE12,IF(INDEX(파견수련계획!$T$4:$T$83,$AJ12)="통합수련",INDEX(파견수련계획!$S$4:$S$83,$AJ12),$AE12)))))))</f>
        <v/>
      </c>
      <c r="Z12" s="19">
        <f>IF($B12="","",IF($AB12="","기본자료에 없는 사번",IF(COUNTIF($B$2:$B$401,$B12)&gt;1,"중복 사번",IF($AE12="","소속(입사장소) 입력",IF(IF(TRIM($J12&amp;"")="",0,SUMPRODUCT((파견수련계획!$Q$4:$Q$83=TRIM($J12&amp;""))*(파견수련계획!$AA$4:$AA$83&lt;&gt;"")))&gt;0,"파견수련계획 입력오류 확인",IF(LEFT($Y12,1)="⚠","서울·구리 15일 판정 불가(양쪽 모두 이상/미만)",IF(IF($AC12="",0,N(INDEX(인턴근무계획!$T$3:$T$62,$AC12)))&gt;0,"인턴계획 입력오류 확인",IF(AND($AC12&lt;&gt;"",$U12&lt;&gt;"파견중",$N12&lt;&gt;$AE12),"인턴 타지역 근무: 파견 여부 확인","정상"))))))))</f>
        <v/>
      </c>
      <c r="AA12" s="5" t="n"/>
      <c r="AB12" s="10">
        <f>IF($B12="","",IFERROR(MATCH($B12,기본자료!$B$2:$B$1001,0),IFERROR(MATCH($B12&amp;"",기본자료!$B$2:$B$1001,0),IFERROR(MATCH(VALUE($B12),기본자료!$B$2:$B$1001,0),""))))</f>
        <v/>
      </c>
      <c r="AC12" s="10">
        <f>IF($B12="","",IFERROR(MATCH($B12,인턴근무계획!$D$3:$D$62,0),IFERROR(MATCH($B12&amp;"",인턴근무계획!$D$3:$D$62,0),IFERROR(MATCH(VALUE($B12),인턴근무계획!$D$3:$D$62,0),""))))</f>
        <v/>
      </c>
      <c r="AD12" s="10">
        <f>IF(OR($AC12="",인턴현황!$G$3=""),"",INDEX(인턴근무계획!$M$3:$R$62,$AC12,인턴현황!$G$3)&amp;"")</f>
        <v/>
      </c>
      <c r="AE12" s="10">
        <f>IF($B12="","",IF($M12&lt;&gt;"",$M12,IF($AF12&lt;&gt;"",IF(LEFT(INDEX(파견수련계획!$R$4:$R$83,$AF12),1)&lt;&gt;"⚠",INDEX(파견수련계획!$R$4:$R$83,$AF12),IF($H12="","",IF(RIGHT($H12,2)="병원",$H12,$H12&amp;"병원"))),IF($H12="","",IF(RIGHT($H12,2)="병원",$H12,$H12&amp;"병원")))))</f>
        <v/>
      </c>
      <c r="AF12" s="10">
        <f>IF(OR($B12="",TRIM($J12&amp;"")=""),"",IFERROR(MATCH(TRIM($J12&amp;"")&amp;"|파견중",파견수련계획!$Y$4:$Y$83,0),IFERROR(MATCH(TRIM($J12&amp;"")&amp;"|파견예정",파견수련계획!$Y$4:$Y$83,0),IFERROR(MATCH(TRIM($J12&amp;"")&amp;"|파견종료",파견수련계획!$Y$4:$Y$83,0),""))))</f>
        <v/>
      </c>
      <c r="AG12" s="10">
        <f>IF($B12="","",IF(AND(IF(OR($AC12="",인턴현황!$K$2=""),"",INDEX(인턴근무계획!$M$3:$R$62,$AC12,인턴현황!$K$2)&amp;"")&lt;&gt;"",LEFT(IF(OR($AC12="",인턴현황!$K$2=""),"",INDEX(인턴근무계획!$M$3:$R$62,$AC12,인턴현황!$K$2)&amp;""),1)&lt;&gt;"⚠"),LEFT(IF(OR($AC12="",인턴현황!$K$2=""),"",INDEX(인턴근무계획!$M$3:$R$62,$AC12,인턴현황!$K$2)&amp;""),FIND(" ",IF(OR($AC12="",인턴현황!$K$2=""),"",INDEX(인턴근무계획!$M$3:$R$62,$AC12,인턴현황!$K$2)&amp;""))-1),$AE12))</f>
        <v/>
      </c>
      <c r="AH12" s="17">
        <f>IF($B12="","",IF(TRIM($J12&amp;"")="",0,SUMPRODUCT((파견수련계획!$Q$4:$Q$83=TRIM($J12&amp;""))*(파견수련계획!$S$4:$S$83="서울병원")*파견수련계획!$W$4:$W$83))+IF($AG12="서울병원",MAX(0,DAY(EOMONTH(요약!$B$3,0))-N($X12)),0))</f>
        <v/>
      </c>
      <c r="AI12" s="17">
        <f>IF($B12="","",IF(TRIM($J12&amp;"")="",0,SUMPRODUCT((파견수련계획!$Q$4:$Q$83=TRIM($J12&amp;""))*(파견수련계획!$S$4:$S$83="구리병원")*파견수련계획!$W$4:$W$83))+IF($AG12="구리병원",MAX(0,DAY(EOMONTH(요약!$B$3,0))-N($X12)),0))</f>
        <v/>
      </c>
      <c r="AJ12" s="10">
        <f>IF(OR($B12="",TRIM($J12&amp;"")=""),"",IFERROR(MATCH(TRIM($J12&amp;"")&amp;"|월",파견수련계획!$Z$4:$Z$83,0),""))</f>
        <v/>
      </c>
      <c r="AK12" s="10">
        <f>IF(OR($B12="",TRIM($J12&amp;"")=""),"",IFERROR(MATCH(TRIM($J12&amp;"")&amp;"|다기관",파견수련계획!$AE$4:$AE$83,0),""))</f>
        <v/>
      </c>
      <c r="AL12" s="10">
        <f>IF($AK12="","","다기관 "&amp;TEXT(INDEX(파견수련계획!$AB$4:$AB$83,$AK12),"yyyy-mm-dd")&amp;"~"&amp;IF(ISNUMBER(INDEX(파견수련계획!$AC$4:$AC$83,$AK12)),TEXT(INDEX(파견수련계획!$AC$4:$AC$83,$AK12),"yyyy-mm-dd"),""))</f>
        <v/>
      </c>
    </row>
    <row r="13">
      <c r="A13" s="10">
        <f>IF(B13="","",ROW()-1)</f>
        <v/>
      </c>
      <c r="B13" s="18" t="n"/>
      <c r="C13" s="10">
        <f>IF($AB13="","",IF(INDEX(기본자료!$C$2:$C$1001,$AB13)="","",INDEX(기본자료!$C$2:$C$1001,$AB13)))</f>
        <v/>
      </c>
      <c r="D13" s="10">
        <f>IF($AB13="","",IF(INDEX(기본자료!$J$2:$J$1001,$AB13)="","",INDEX(기본자료!$J$2:$J$1001,$AB13)))</f>
        <v/>
      </c>
      <c r="E13" s="11">
        <f>IF($AB13="","",IF(INDEX(기본자료!$K$2:$K$1001,$AB13)="","",IF(NOT(ISNUMBER(INDEX(기본자료!$K$2:$K$1001,$AB13))),INDEX(기본자료!$K$2:$K$1001,$AB13),IF(INDEX(기본자료!$K$2:$K$1001,$AB13)&lt;1000000,INDEX(기본자료!$K$2:$K$1001,$AB13),IF(AND(INDEX(기본자료!$K$2:$K$1001,$AB13)&gt;=10000101,INT(MOD(INDEX(기본자료!$K$2:$K$1001,$AB13),10000)/100)&gt;=1,INT(MOD(INDEX(기본자료!$K$2:$K$1001,$AB13),10000)/100)&lt;=12,MOD(INDEX(기본자료!$K$2:$K$1001,$AB13),100)&gt;=1,MOD(INDEX(기본자료!$K$2:$K$1001,$AB13),100)&lt;=31),DATE(INT(INDEX(기본자료!$K$2:$K$1001,$AB13)/10000),INT(MOD(INDEX(기본자료!$K$2:$K$1001,$AB13),10000)/100),MOD(INDEX(기본자료!$K$2:$K$1001,$AB13),100)),INDEX(기본자료!$K$2:$K$1001,$AB13)&amp;"")))))</f>
        <v/>
      </c>
      <c r="F13" s="10">
        <f>IF($AB13="","",IF(INDEX(기본자료!$D$2:$D$1001,$AB13)="","",INDEX(기본자료!$D$2:$D$1001,$AB13)))</f>
        <v/>
      </c>
      <c r="G13" s="10">
        <f>IF($AB13="","",IF(INDEX(기본자료!$E$2:$E$1001,$AB13)="","",INDEX(기본자료!$E$2:$E$1001,$AB13)))</f>
        <v/>
      </c>
      <c r="H13" s="10">
        <f>IF($AB13="","",IF(INDEX(기본자료!$F$2:$F$1001,$AB13)="","",INDEX(기본자료!$F$2:$F$1001,$AB13)))</f>
        <v/>
      </c>
      <c r="I13" s="11">
        <f>IF($AB13="","",IF(INDEX(기본자료!$G$2:$G$1001,$AB13)="","",IF(NOT(ISNUMBER(INDEX(기본자료!$G$2:$G$1001,$AB13))),INDEX(기본자료!$G$2:$G$1001,$AB13),IF(INDEX(기본자료!$G$2:$G$1001,$AB13)&lt;1000000,INDEX(기본자료!$G$2:$G$1001,$AB13),IF(AND(INDEX(기본자료!$G$2:$G$1001,$AB13)&gt;=10000101,INT(MOD(INDEX(기본자료!$G$2:$G$1001,$AB13),10000)/100)&gt;=1,INT(MOD(INDEX(기본자료!$G$2:$G$1001,$AB13),10000)/100)&lt;=12,MOD(INDEX(기본자료!$G$2:$G$1001,$AB13),100)&gt;=1,MOD(INDEX(기본자료!$G$2:$G$1001,$AB13),100)&lt;=31),DATE(INT(INDEX(기본자료!$G$2:$G$1001,$AB13)/10000),INT(MOD(INDEX(기본자료!$G$2:$G$1001,$AB13),10000)/100),MOD(INDEX(기본자료!$G$2:$G$1001,$AB13),100)),INDEX(기본자료!$G$2:$G$1001,$AB13)&amp;"")))))</f>
        <v/>
      </c>
      <c r="J13" s="10">
        <f>IF($AB13="","",IF(INDEX(기본자료!$H$2:$H$1001,$AB13)="","",INDEX(기본자료!$H$2:$H$1001,$AB13)))</f>
        <v/>
      </c>
      <c r="K13" s="10">
        <f>IF($AB13="","",IF(INDEX(기본자료!$I$2:$I$1001,$AB13)="","",INDEX(기본자료!$I$2:$I$1001,$AB13)))</f>
        <v/>
      </c>
      <c r="L13" s="10">
        <f>IF($AB13="","",IF(INDEX(기본자료!$A$2:$A$1001,$AB13)="","",INDEX(기본자료!$A$2:$A$1001,$AB13)))</f>
        <v/>
      </c>
      <c r="M13" s="15" t="n"/>
      <c r="N13" s="10">
        <f>IF($B13="","",IF(AND($U13="파견중",$Q13&lt;&gt;""),$Q13,IF(AND($AD13&lt;&gt;"",LEFT($AD13,1)&lt;&gt;"⚠"),LEFT($AD13,FIND(" ",$AD13)-1),IF($H13="","",IF(RIGHT($H13,2)="병원",$H13,$H13&amp;"병원")))))</f>
        <v/>
      </c>
      <c r="O13" s="10">
        <f>IF($B13="","",IF(AND($U13="파견중",$Q13&lt;&gt;""),IF($R13&lt;&gt;"",$R13,"파견과 미입력"),IF(AND($AD13&lt;&gt;"",LEFT($AD13,1)&lt;&gt;"⚠"),MID($AD13,FIND(" ",$AD13)+1,60),IF($F13="","",IF($F13="인턴","수련교육부(인턴)",$F13)))))</f>
        <v/>
      </c>
      <c r="P13" s="10">
        <f>IF($B13="","",IF($AK13&lt;&gt;"",IF(AND(TODAY()&gt;=INDEX(파견수련계획!$AB$4:$AB$83,$AK13),OR(NOT(ISNUMBER(INDEX(파견수련계획!$AC$4:$AC$83,$AK13))),TODAY()&lt;=INDEX(파견수련계획!$AC$4:$AC$83,$AK13))),"다기관",IF($AF13="","",INDEX(파견수련계획!$T$4:$T$83,$AF13))),IF($AF13="","",INDEX(파견수련계획!$T$4:$T$83,$AF13))))</f>
        <v/>
      </c>
      <c r="Q13" s="10">
        <f>IF($AF13="","",INDEX(파견수련계획!$S$4:$S$83,$AF13))</f>
        <v/>
      </c>
      <c r="R13" s="10">
        <f>IF($AF13="","",INDEX(파견수련계획!$U$4:$U$83,$AF13))</f>
        <v/>
      </c>
      <c r="S13" s="11">
        <f>IF($AF13="","",IF(INDEX(파견수련계획!$H$4:$H$83,$AF13)="","",INDEX(파견수련계획!$H$4:$H$83,$AF13)))</f>
        <v/>
      </c>
      <c r="T13" s="11">
        <f>IF($AF13="","",IF(INDEX(파견수련계획!$I$4:$I$83,$AF13)="","",INDEX(파견수련계획!$I$4:$I$83,$AF13)))</f>
        <v/>
      </c>
      <c r="U13" s="10">
        <f>IF($AF13="","",INDEX(파견수련계획!$X$4:$X$83,$AF13))</f>
        <v/>
      </c>
      <c r="V13" s="17">
        <f>IF($AF13="","",INDEX(파견수련계획!$V$4:$V$83,$AF13))</f>
        <v/>
      </c>
      <c r="W13" s="17">
        <f>IF(AND($U13="파견중",$T13&lt;&gt;""),$T13-TODAY(),"")</f>
        <v/>
      </c>
      <c r="X13" s="17">
        <f>IF(OR($B13="",TRIM($J13&amp;"")=""),"",SUMPRODUCT((파견수련계획!$Q$4:$Q$83=TRIM($J13&amp;""))*파견수련계획!$W$4:$W$83))</f>
        <v/>
      </c>
      <c r="Y13" s="10">
        <f>IF($B13="","",IF($AG13="","",IF(IF(TRIM($J13&amp;"")="",0,SUMPRODUCT((파견수련계획!$Q$4:$Q$83=TRIM($J13&amp;""))*파견수련계획!$AD$4:$AD$83))&gt;0,$AE13,IF(N($X13)&lt;=0,$AG13,IF($AH13+$AI13=DAY(EOMONTH(요약!$B$3,0)),IF(AND($AH13&gt;=요약!$E$3,$AI13&lt;요약!$E$3),"서울병원",IF(AND($AI13&gt;=요약!$E$3,$AH13&lt;요약!$E$3),"구리병원","⚠15일 판정불가(서울 "&amp;$AH13&amp;"일/구리 "&amp;$AI13&amp;"일)")),IF($AJ13="",$AE13,IF(INDEX(파견수련계획!$T$4:$T$83,$AJ13)="통합수련",INDEX(파견수련계획!$S$4:$S$83,$AJ13),$AE13)))))))</f>
        <v/>
      </c>
      <c r="Z13" s="19">
        <f>IF($B13="","",IF($AB13="","기본자료에 없는 사번",IF(COUNTIF($B$2:$B$401,$B13)&gt;1,"중복 사번",IF($AE13="","소속(입사장소) 입력",IF(IF(TRIM($J13&amp;"")="",0,SUMPRODUCT((파견수련계획!$Q$4:$Q$83=TRIM($J13&amp;""))*(파견수련계획!$AA$4:$AA$83&lt;&gt;"")))&gt;0,"파견수련계획 입력오류 확인",IF(LEFT($Y13,1)="⚠","서울·구리 15일 판정 불가(양쪽 모두 이상/미만)",IF(IF($AC13="",0,N(INDEX(인턴근무계획!$T$3:$T$62,$AC13)))&gt;0,"인턴계획 입력오류 확인",IF(AND($AC13&lt;&gt;"",$U13&lt;&gt;"파견중",$N13&lt;&gt;$AE13),"인턴 타지역 근무: 파견 여부 확인","정상"))))))))</f>
        <v/>
      </c>
      <c r="AA13" s="5" t="n"/>
      <c r="AB13" s="10">
        <f>IF($B13="","",IFERROR(MATCH($B13,기본자료!$B$2:$B$1001,0),IFERROR(MATCH($B13&amp;"",기본자료!$B$2:$B$1001,0),IFERROR(MATCH(VALUE($B13),기본자료!$B$2:$B$1001,0),""))))</f>
        <v/>
      </c>
      <c r="AC13" s="10">
        <f>IF($B13="","",IFERROR(MATCH($B13,인턴근무계획!$D$3:$D$62,0),IFERROR(MATCH($B13&amp;"",인턴근무계획!$D$3:$D$62,0),IFERROR(MATCH(VALUE($B13),인턴근무계획!$D$3:$D$62,0),""))))</f>
        <v/>
      </c>
      <c r="AD13" s="10">
        <f>IF(OR($AC13="",인턴현황!$G$3=""),"",INDEX(인턴근무계획!$M$3:$R$62,$AC13,인턴현황!$G$3)&amp;"")</f>
        <v/>
      </c>
      <c r="AE13" s="10">
        <f>IF($B13="","",IF($M13&lt;&gt;"",$M13,IF($AF13&lt;&gt;"",IF(LEFT(INDEX(파견수련계획!$R$4:$R$83,$AF13),1)&lt;&gt;"⚠",INDEX(파견수련계획!$R$4:$R$83,$AF13),IF($H13="","",IF(RIGHT($H13,2)="병원",$H13,$H13&amp;"병원"))),IF($H13="","",IF(RIGHT($H13,2)="병원",$H13,$H13&amp;"병원")))))</f>
        <v/>
      </c>
      <c r="AF13" s="10">
        <f>IF(OR($B13="",TRIM($J13&amp;"")=""),"",IFERROR(MATCH(TRIM($J13&amp;"")&amp;"|파견중",파견수련계획!$Y$4:$Y$83,0),IFERROR(MATCH(TRIM($J13&amp;"")&amp;"|파견예정",파견수련계획!$Y$4:$Y$83,0),IFERROR(MATCH(TRIM($J13&amp;"")&amp;"|파견종료",파견수련계획!$Y$4:$Y$83,0),""))))</f>
        <v/>
      </c>
      <c r="AG13" s="10">
        <f>IF($B13="","",IF(AND(IF(OR($AC13="",인턴현황!$K$2=""),"",INDEX(인턴근무계획!$M$3:$R$62,$AC13,인턴현황!$K$2)&amp;"")&lt;&gt;"",LEFT(IF(OR($AC13="",인턴현황!$K$2=""),"",INDEX(인턴근무계획!$M$3:$R$62,$AC13,인턴현황!$K$2)&amp;""),1)&lt;&gt;"⚠"),LEFT(IF(OR($AC13="",인턴현황!$K$2=""),"",INDEX(인턴근무계획!$M$3:$R$62,$AC13,인턴현황!$K$2)&amp;""),FIND(" ",IF(OR($AC13="",인턴현황!$K$2=""),"",INDEX(인턴근무계획!$M$3:$R$62,$AC13,인턴현황!$K$2)&amp;""))-1),$AE13))</f>
        <v/>
      </c>
      <c r="AH13" s="17">
        <f>IF($B13="","",IF(TRIM($J13&amp;"")="",0,SUMPRODUCT((파견수련계획!$Q$4:$Q$83=TRIM($J13&amp;""))*(파견수련계획!$S$4:$S$83="서울병원")*파견수련계획!$W$4:$W$83))+IF($AG13="서울병원",MAX(0,DAY(EOMONTH(요약!$B$3,0))-N($X13)),0))</f>
        <v/>
      </c>
      <c r="AI13" s="17">
        <f>IF($B13="","",IF(TRIM($J13&amp;"")="",0,SUMPRODUCT((파견수련계획!$Q$4:$Q$83=TRIM($J13&amp;""))*(파견수련계획!$S$4:$S$83="구리병원")*파견수련계획!$W$4:$W$83))+IF($AG13="구리병원",MAX(0,DAY(EOMONTH(요약!$B$3,0))-N($X13)),0))</f>
        <v/>
      </c>
      <c r="AJ13" s="10">
        <f>IF(OR($B13="",TRIM($J13&amp;"")=""),"",IFERROR(MATCH(TRIM($J13&amp;"")&amp;"|월",파견수련계획!$Z$4:$Z$83,0),""))</f>
        <v/>
      </c>
      <c r="AK13" s="10">
        <f>IF(OR($B13="",TRIM($J13&amp;"")=""),"",IFERROR(MATCH(TRIM($J13&amp;"")&amp;"|다기관",파견수련계획!$AE$4:$AE$83,0),""))</f>
        <v/>
      </c>
      <c r="AL13" s="10">
        <f>IF($AK13="","","다기관 "&amp;TEXT(INDEX(파견수련계획!$AB$4:$AB$83,$AK13),"yyyy-mm-dd")&amp;"~"&amp;IF(ISNUMBER(INDEX(파견수련계획!$AC$4:$AC$83,$AK13)),TEXT(INDEX(파견수련계획!$AC$4:$AC$83,$AK13),"yyyy-mm-dd"),""))</f>
        <v/>
      </c>
    </row>
    <row r="14">
      <c r="A14" s="10">
        <f>IF(B14="","",ROW()-1)</f>
        <v/>
      </c>
      <c r="B14" s="18" t="n"/>
      <c r="C14" s="10">
        <f>IF($AB14="","",IF(INDEX(기본자료!$C$2:$C$1001,$AB14)="","",INDEX(기본자료!$C$2:$C$1001,$AB14)))</f>
        <v/>
      </c>
      <c r="D14" s="10">
        <f>IF($AB14="","",IF(INDEX(기본자료!$J$2:$J$1001,$AB14)="","",INDEX(기본자료!$J$2:$J$1001,$AB14)))</f>
        <v/>
      </c>
      <c r="E14" s="11">
        <f>IF($AB14="","",IF(INDEX(기본자료!$K$2:$K$1001,$AB14)="","",IF(NOT(ISNUMBER(INDEX(기본자료!$K$2:$K$1001,$AB14))),INDEX(기본자료!$K$2:$K$1001,$AB14),IF(INDEX(기본자료!$K$2:$K$1001,$AB14)&lt;1000000,INDEX(기본자료!$K$2:$K$1001,$AB14),IF(AND(INDEX(기본자료!$K$2:$K$1001,$AB14)&gt;=10000101,INT(MOD(INDEX(기본자료!$K$2:$K$1001,$AB14),10000)/100)&gt;=1,INT(MOD(INDEX(기본자료!$K$2:$K$1001,$AB14),10000)/100)&lt;=12,MOD(INDEX(기본자료!$K$2:$K$1001,$AB14),100)&gt;=1,MOD(INDEX(기본자료!$K$2:$K$1001,$AB14),100)&lt;=31),DATE(INT(INDEX(기본자료!$K$2:$K$1001,$AB14)/10000),INT(MOD(INDEX(기본자료!$K$2:$K$1001,$AB14),10000)/100),MOD(INDEX(기본자료!$K$2:$K$1001,$AB14),100)),INDEX(기본자료!$K$2:$K$1001,$AB14)&amp;"")))))</f>
        <v/>
      </c>
      <c r="F14" s="10">
        <f>IF($AB14="","",IF(INDEX(기본자료!$D$2:$D$1001,$AB14)="","",INDEX(기본자료!$D$2:$D$1001,$AB14)))</f>
        <v/>
      </c>
      <c r="G14" s="10">
        <f>IF($AB14="","",IF(INDEX(기본자료!$E$2:$E$1001,$AB14)="","",INDEX(기본자료!$E$2:$E$1001,$AB14)))</f>
        <v/>
      </c>
      <c r="H14" s="10">
        <f>IF($AB14="","",IF(INDEX(기본자료!$F$2:$F$1001,$AB14)="","",INDEX(기본자료!$F$2:$F$1001,$AB14)))</f>
        <v/>
      </c>
      <c r="I14" s="11">
        <f>IF($AB14="","",IF(INDEX(기본자료!$G$2:$G$1001,$AB14)="","",IF(NOT(ISNUMBER(INDEX(기본자료!$G$2:$G$1001,$AB14))),INDEX(기본자료!$G$2:$G$1001,$AB14),IF(INDEX(기본자료!$G$2:$G$1001,$AB14)&lt;1000000,INDEX(기본자료!$G$2:$G$1001,$AB14),IF(AND(INDEX(기본자료!$G$2:$G$1001,$AB14)&gt;=10000101,INT(MOD(INDEX(기본자료!$G$2:$G$1001,$AB14),10000)/100)&gt;=1,INT(MOD(INDEX(기본자료!$G$2:$G$1001,$AB14),10000)/100)&lt;=12,MOD(INDEX(기본자료!$G$2:$G$1001,$AB14),100)&gt;=1,MOD(INDEX(기본자료!$G$2:$G$1001,$AB14),100)&lt;=31),DATE(INT(INDEX(기본자료!$G$2:$G$1001,$AB14)/10000),INT(MOD(INDEX(기본자료!$G$2:$G$1001,$AB14),10000)/100),MOD(INDEX(기본자료!$G$2:$G$1001,$AB14),100)),INDEX(기본자료!$G$2:$G$1001,$AB14)&amp;"")))))</f>
        <v/>
      </c>
      <c r="J14" s="10">
        <f>IF($AB14="","",IF(INDEX(기본자료!$H$2:$H$1001,$AB14)="","",INDEX(기본자료!$H$2:$H$1001,$AB14)))</f>
        <v/>
      </c>
      <c r="K14" s="10">
        <f>IF($AB14="","",IF(INDEX(기본자료!$I$2:$I$1001,$AB14)="","",INDEX(기본자료!$I$2:$I$1001,$AB14)))</f>
        <v/>
      </c>
      <c r="L14" s="10">
        <f>IF($AB14="","",IF(INDEX(기본자료!$A$2:$A$1001,$AB14)="","",INDEX(기본자료!$A$2:$A$1001,$AB14)))</f>
        <v/>
      </c>
      <c r="M14" s="15" t="n"/>
      <c r="N14" s="10">
        <f>IF($B14="","",IF(AND($U14="파견중",$Q14&lt;&gt;""),$Q14,IF(AND($AD14&lt;&gt;"",LEFT($AD14,1)&lt;&gt;"⚠"),LEFT($AD14,FIND(" ",$AD14)-1),IF($H14="","",IF(RIGHT($H14,2)="병원",$H14,$H14&amp;"병원")))))</f>
        <v/>
      </c>
      <c r="O14" s="10">
        <f>IF($B14="","",IF(AND($U14="파견중",$Q14&lt;&gt;""),IF($R14&lt;&gt;"",$R14,"파견과 미입력"),IF(AND($AD14&lt;&gt;"",LEFT($AD14,1)&lt;&gt;"⚠"),MID($AD14,FIND(" ",$AD14)+1,60),IF($F14="","",IF($F14="인턴","수련교육부(인턴)",$F14)))))</f>
        <v/>
      </c>
      <c r="P14" s="10">
        <f>IF($B14="","",IF($AK14&lt;&gt;"",IF(AND(TODAY()&gt;=INDEX(파견수련계획!$AB$4:$AB$83,$AK14),OR(NOT(ISNUMBER(INDEX(파견수련계획!$AC$4:$AC$83,$AK14))),TODAY()&lt;=INDEX(파견수련계획!$AC$4:$AC$83,$AK14))),"다기관",IF($AF14="","",INDEX(파견수련계획!$T$4:$T$83,$AF14))),IF($AF14="","",INDEX(파견수련계획!$T$4:$T$83,$AF14))))</f>
        <v/>
      </c>
      <c r="Q14" s="10">
        <f>IF($AF14="","",INDEX(파견수련계획!$S$4:$S$83,$AF14))</f>
        <v/>
      </c>
      <c r="R14" s="10">
        <f>IF($AF14="","",INDEX(파견수련계획!$U$4:$U$83,$AF14))</f>
        <v/>
      </c>
      <c r="S14" s="11">
        <f>IF($AF14="","",IF(INDEX(파견수련계획!$H$4:$H$83,$AF14)="","",INDEX(파견수련계획!$H$4:$H$83,$AF14)))</f>
        <v/>
      </c>
      <c r="T14" s="11">
        <f>IF($AF14="","",IF(INDEX(파견수련계획!$I$4:$I$83,$AF14)="","",INDEX(파견수련계획!$I$4:$I$83,$AF14)))</f>
        <v/>
      </c>
      <c r="U14" s="10">
        <f>IF($AF14="","",INDEX(파견수련계획!$X$4:$X$83,$AF14))</f>
        <v/>
      </c>
      <c r="V14" s="17">
        <f>IF($AF14="","",INDEX(파견수련계획!$V$4:$V$83,$AF14))</f>
        <v/>
      </c>
      <c r="W14" s="17">
        <f>IF(AND($U14="파견중",$T14&lt;&gt;""),$T14-TODAY(),"")</f>
        <v/>
      </c>
      <c r="X14" s="17">
        <f>IF(OR($B14="",TRIM($J14&amp;"")=""),"",SUMPRODUCT((파견수련계획!$Q$4:$Q$83=TRIM($J14&amp;""))*파견수련계획!$W$4:$W$83))</f>
        <v/>
      </c>
      <c r="Y14" s="10">
        <f>IF($B14="","",IF($AG14="","",IF(IF(TRIM($J14&amp;"")="",0,SUMPRODUCT((파견수련계획!$Q$4:$Q$83=TRIM($J14&amp;""))*파견수련계획!$AD$4:$AD$83))&gt;0,$AE14,IF(N($X14)&lt;=0,$AG14,IF($AH14+$AI14=DAY(EOMONTH(요약!$B$3,0)),IF(AND($AH14&gt;=요약!$E$3,$AI14&lt;요약!$E$3),"서울병원",IF(AND($AI14&gt;=요약!$E$3,$AH14&lt;요약!$E$3),"구리병원","⚠15일 판정불가(서울 "&amp;$AH14&amp;"일/구리 "&amp;$AI14&amp;"일)")),IF($AJ14="",$AE14,IF(INDEX(파견수련계획!$T$4:$T$83,$AJ14)="통합수련",INDEX(파견수련계획!$S$4:$S$83,$AJ14),$AE14)))))))</f>
        <v/>
      </c>
      <c r="Z14" s="19">
        <f>IF($B14="","",IF($AB14="","기본자료에 없는 사번",IF(COUNTIF($B$2:$B$401,$B14)&gt;1,"중복 사번",IF($AE14="","소속(입사장소) 입력",IF(IF(TRIM($J14&amp;"")="",0,SUMPRODUCT((파견수련계획!$Q$4:$Q$83=TRIM($J14&amp;""))*(파견수련계획!$AA$4:$AA$83&lt;&gt;"")))&gt;0,"파견수련계획 입력오류 확인",IF(LEFT($Y14,1)="⚠","서울·구리 15일 판정 불가(양쪽 모두 이상/미만)",IF(IF($AC14="",0,N(INDEX(인턴근무계획!$T$3:$T$62,$AC14)))&gt;0,"인턴계획 입력오류 확인",IF(AND($AC14&lt;&gt;"",$U14&lt;&gt;"파견중",$N14&lt;&gt;$AE14),"인턴 타지역 근무: 파견 여부 확인","정상"))))))))</f>
        <v/>
      </c>
      <c r="AA14" s="5" t="n"/>
      <c r="AB14" s="10">
        <f>IF($B14="","",IFERROR(MATCH($B14,기본자료!$B$2:$B$1001,0),IFERROR(MATCH($B14&amp;"",기본자료!$B$2:$B$1001,0),IFERROR(MATCH(VALUE($B14),기본자료!$B$2:$B$1001,0),""))))</f>
        <v/>
      </c>
      <c r="AC14" s="10">
        <f>IF($B14="","",IFERROR(MATCH($B14,인턴근무계획!$D$3:$D$62,0),IFERROR(MATCH($B14&amp;"",인턴근무계획!$D$3:$D$62,0),IFERROR(MATCH(VALUE($B14),인턴근무계획!$D$3:$D$62,0),""))))</f>
        <v/>
      </c>
      <c r="AD14" s="10">
        <f>IF(OR($AC14="",인턴현황!$G$3=""),"",INDEX(인턴근무계획!$M$3:$R$62,$AC14,인턴현황!$G$3)&amp;"")</f>
        <v/>
      </c>
      <c r="AE14" s="10">
        <f>IF($B14="","",IF($M14&lt;&gt;"",$M14,IF($AF14&lt;&gt;"",IF(LEFT(INDEX(파견수련계획!$R$4:$R$83,$AF14),1)&lt;&gt;"⚠",INDEX(파견수련계획!$R$4:$R$83,$AF14),IF($H14="","",IF(RIGHT($H14,2)="병원",$H14,$H14&amp;"병원"))),IF($H14="","",IF(RIGHT($H14,2)="병원",$H14,$H14&amp;"병원")))))</f>
        <v/>
      </c>
      <c r="AF14" s="10">
        <f>IF(OR($B14="",TRIM($J14&amp;"")=""),"",IFERROR(MATCH(TRIM($J14&amp;"")&amp;"|파견중",파견수련계획!$Y$4:$Y$83,0),IFERROR(MATCH(TRIM($J14&amp;"")&amp;"|파견예정",파견수련계획!$Y$4:$Y$83,0),IFERROR(MATCH(TRIM($J14&amp;"")&amp;"|파견종료",파견수련계획!$Y$4:$Y$83,0),""))))</f>
        <v/>
      </c>
      <c r="AG14" s="10">
        <f>IF($B14="","",IF(AND(IF(OR($AC14="",인턴현황!$K$2=""),"",INDEX(인턴근무계획!$M$3:$R$62,$AC14,인턴현황!$K$2)&amp;"")&lt;&gt;"",LEFT(IF(OR($AC14="",인턴현황!$K$2=""),"",INDEX(인턴근무계획!$M$3:$R$62,$AC14,인턴현황!$K$2)&amp;""),1)&lt;&gt;"⚠"),LEFT(IF(OR($AC14="",인턴현황!$K$2=""),"",INDEX(인턴근무계획!$M$3:$R$62,$AC14,인턴현황!$K$2)&amp;""),FIND(" ",IF(OR($AC14="",인턴현황!$K$2=""),"",INDEX(인턴근무계획!$M$3:$R$62,$AC14,인턴현황!$K$2)&amp;""))-1),$AE14))</f>
        <v/>
      </c>
      <c r="AH14" s="17">
        <f>IF($B14="","",IF(TRIM($J14&amp;"")="",0,SUMPRODUCT((파견수련계획!$Q$4:$Q$83=TRIM($J14&amp;""))*(파견수련계획!$S$4:$S$83="서울병원")*파견수련계획!$W$4:$W$83))+IF($AG14="서울병원",MAX(0,DAY(EOMONTH(요약!$B$3,0))-N($X14)),0))</f>
        <v/>
      </c>
      <c r="AI14" s="17">
        <f>IF($B14="","",IF(TRIM($J14&amp;"")="",0,SUMPRODUCT((파견수련계획!$Q$4:$Q$83=TRIM($J14&amp;""))*(파견수련계획!$S$4:$S$83="구리병원")*파견수련계획!$W$4:$W$83))+IF($AG14="구리병원",MAX(0,DAY(EOMONTH(요약!$B$3,0))-N($X14)),0))</f>
        <v/>
      </c>
      <c r="AJ14" s="10">
        <f>IF(OR($B14="",TRIM($J14&amp;"")=""),"",IFERROR(MATCH(TRIM($J14&amp;"")&amp;"|월",파견수련계획!$Z$4:$Z$83,0),""))</f>
        <v/>
      </c>
      <c r="AK14" s="10">
        <f>IF(OR($B14="",TRIM($J14&amp;"")=""),"",IFERROR(MATCH(TRIM($J14&amp;"")&amp;"|다기관",파견수련계획!$AE$4:$AE$83,0),""))</f>
        <v/>
      </c>
      <c r="AL14" s="10">
        <f>IF($AK14="","","다기관 "&amp;TEXT(INDEX(파견수련계획!$AB$4:$AB$83,$AK14),"yyyy-mm-dd")&amp;"~"&amp;IF(ISNUMBER(INDEX(파견수련계획!$AC$4:$AC$83,$AK14)),TEXT(INDEX(파견수련계획!$AC$4:$AC$83,$AK14),"yyyy-mm-dd"),""))</f>
        <v/>
      </c>
    </row>
    <row r="15">
      <c r="A15" s="10">
        <f>IF(B15="","",ROW()-1)</f>
        <v/>
      </c>
      <c r="B15" s="18" t="n"/>
      <c r="C15" s="10">
        <f>IF($AB15="","",IF(INDEX(기본자료!$C$2:$C$1001,$AB15)="","",INDEX(기본자료!$C$2:$C$1001,$AB15)))</f>
        <v/>
      </c>
      <c r="D15" s="10">
        <f>IF($AB15="","",IF(INDEX(기본자료!$J$2:$J$1001,$AB15)="","",INDEX(기본자료!$J$2:$J$1001,$AB15)))</f>
        <v/>
      </c>
      <c r="E15" s="11">
        <f>IF($AB15="","",IF(INDEX(기본자료!$K$2:$K$1001,$AB15)="","",IF(NOT(ISNUMBER(INDEX(기본자료!$K$2:$K$1001,$AB15))),INDEX(기본자료!$K$2:$K$1001,$AB15),IF(INDEX(기본자료!$K$2:$K$1001,$AB15)&lt;1000000,INDEX(기본자료!$K$2:$K$1001,$AB15),IF(AND(INDEX(기본자료!$K$2:$K$1001,$AB15)&gt;=10000101,INT(MOD(INDEX(기본자료!$K$2:$K$1001,$AB15),10000)/100)&gt;=1,INT(MOD(INDEX(기본자료!$K$2:$K$1001,$AB15),10000)/100)&lt;=12,MOD(INDEX(기본자료!$K$2:$K$1001,$AB15),100)&gt;=1,MOD(INDEX(기본자료!$K$2:$K$1001,$AB15),100)&lt;=31),DATE(INT(INDEX(기본자료!$K$2:$K$1001,$AB15)/10000),INT(MOD(INDEX(기본자료!$K$2:$K$1001,$AB15),10000)/100),MOD(INDEX(기본자료!$K$2:$K$1001,$AB15),100)),INDEX(기본자료!$K$2:$K$1001,$AB15)&amp;"")))))</f>
        <v/>
      </c>
      <c r="F15" s="10">
        <f>IF($AB15="","",IF(INDEX(기본자료!$D$2:$D$1001,$AB15)="","",INDEX(기본자료!$D$2:$D$1001,$AB15)))</f>
        <v/>
      </c>
      <c r="G15" s="10">
        <f>IF($AB15="","",IF(INDEX(기본자료!$E$2:$E$1001,$AB15)="","",INDEX(기본자료!$E$2:$E$1001,$AB15)))</f>
        <v/>
      </c>
      <c r="H15" s="10">
        <f>IF($AB15="","",IF(INDEX(기본자료!$F$2:$F$1001,$AB15)="","",INDEX(기본자료!$F$2:$F$1001,$AB15)))</f>
        <v/>
      </c>
      <c r="I15" s="11">
        <f>IF($AB15="","",IF(INDEX(기본자료!$G$2:$G$1001,$AB15)="","",IF(NOT(ISNUMBER(INDEX(기본자료!$G$2:$G$1001,$AB15))),INDEX(기본자료!$G$2:$G$1001,$AB15),IF(INDEX(기본자료!$G$2:$G$1001,$AB15)&lt;1000000,INDEX(기본자료!$G$2:$G$1001,$AB15),IF(AND(INDEX(기본자료!$G$2:$G$1001,$AB15)&gt;=10000101,INT(MOD(INDEX(기본자료!$G$2:$G$1001,$AB15),10000)/100)&gt;=1,INT(MOD(INDEX(기본자료!$G$2:$G$1001,$AB15),10000)/100)&lt;=12,MOD(INDEX(기본자료!$G$2:$G$1001,$AB15),100)&gt;=1,MOD(INDEX(기본자료!$G$2:$G$1001,$AB15),100)&lt;=31),DATE(INT(INDEX(기본자료!$G$2:$G$1001,$AB15)/10000),INT(MOD(INDEX(기본자료!$G$2:$G$1001,$AB15),10000)/100),MOD(INDEX(기본자료!$G$2:$G$1001,$AB15),100)),INDEX(기본자료!$G$2:$G$1001,$AB15)&amp;"")))))</f>
        <v/>
      </c>
      <c r="J15" s="10">
        <f>IF($AB15="","",IF(INDEX(기본자료!$H$2:$H$1001,$AB15)="","",INDEX(기본자료!$H$2:$H$1001,$AB15)))</f>
        <v/>
      </c>
      <c r="K15" s="10">
        <f>IF($AB15="","",IF(INDEX(기본자료!$I$2:$I$1001,$AB15)="","",INDEX(기본자료!$I$2:$I$1001,$AB15)))</f>
        <v/>
      </c>
      <c r="L15" s="10">
        <f>IF($AB15="","",IF(INDEX(기본자료!$A$2:$A$1001,$AB15)="","",INDEX(기본자료!$A$2:$A$1001,$AB15)))</f>
        <v/>
      </c>
      <c r="M15" s="15" t="n"/>
      <c r="N15" s="10">
        <f>IF($B15="","",IF(AND($U15="파견중",$Q15&lt;&gt;""),$Q15,IF(AND($AD15&lt;&gt;"",LEFT($AD15,1)&lt;&gt;"⚠"),LEFT($AD15,FIND(" ",$AD15)-1),IF($H15="","",IF(RIGHT($H15,2)="병원",$H15,$H15&amp;"병원")))))</f>
        <v/>
      </c>
      <c r="O15" s="10">
        <f>IF($B15="","",IF(AND($U15="파견중",$Q15&lt;&gt;""),IF($R15&lt;&gt;"",$R15,"파견과 미입력"),IF(AND($AD15&lt;&gt;"",LEFT($AD15,1)&lt;&gt;"⚠"),MID($AD15,FIND(" ",$AD15)+1,60),IF($F15="","",IF($F15="인턴","수련교육부(인턴)",$F15)))))</f>
        <v/>
      </c>
      <c r="P15" s="10">
        <f>IF($B15="","",IF($AK15&lt;&gt;"",IF(AND(TODAY()&gt;=INDEX(파견수련계획!$AB$4:$AB$83,$AK15),OR(NOT(ISNUMBER(INDEX(파견수련계획!$AC$4:$AC$83,$AK15))),TODAY()&lt;=INDEX(파견수련계획!$AC$4:$AC$83,$AK15))),"다기관",IF($AF15="","",INDEX(파견수련계획!$T$4:$T$83,$AF15))),IF($AF15="","",INDEX(파견수련계획!$T$4:$T$83,$AF15))))</f>
        <v/>
      </c>
      <c r="Q15" s="10">
        <f>IF($AF15="","",INDEX(파견수련계획!$S$4:$S$83,$AF15))</f>
        <v/>
      </c>
      <c r="R15" s="10">
        <f>IF($AF15="","",INDEX(파견수련계획!$U$4:$U$83,$AF15))</f>
        <v/>
      </c>
      <c r="S15" s="11">
        <f>IF($AF15="","",IF(INDEX(파견수련계획!$H$4:$H$83,$AF15)="","",INDEX(파견수련계획!$H$4:$H$83,$AF15)))</f>
        <v/>
      </c>
      <c r="T15" s="11">
        <f>IF($AF15="","",IF(INDEX(파견수련계획!$I$4:$I$83,$AF15)="","",INDEX(파견수련계획!$I$4:$I$83,$AF15)))</f>
        <v/>
      </c>
      <c r="U15" s="10">
        <f>IF($AF15="","",INDEX(파견수련계획!$X$4:$X$83,$AF15))</f>
        <v/>
      </c>
      <c r="V15" s="17">
        <f>IF($AF15="","",INDEX(파견수련계획!$V$4:$V$83,$AF15))</f>
        <v/>
      </c>
      <c r="W15" s="17">
        <f>IF(AND($U15="파견중",$T15&lt;&gt;""),$T15-TODAY(),"")</f>
        <v/>
      </c>
      <c r="X15" s="17">
        <f>IF(OR($B15="",TRIM($J15&amp;"")=""),"",SUMPRODUCT((파견수련계획!$Q$4:$Q$83=TRIM($J15&amp;""))*파견수련계획!$W$4:$W$83))</f>
        <v/>
      </c>
      <c r="Y15" s="10">
        <f>IF($B15="","",IF($AG15="","",IF(IF(TRIM($J15&amp;"")="",0,SUMPRODUCT((파견수련계획!$Q$4:$Q$83=TRIM($J15&amp;""))*파견수련계획!$AD$4:$AD$83))&gt;0,$AE15,IF(N($X15)&lt;=0,$AG15,IF($AH15+$AI15=DAY(EOMONTH(요약!$B$3,0)),IF(AND($AH15&gt;=요약!$E$3,$AI15&lt;요약!$E$3),"서울병원",IF(AND($AI15&gt;=요약!$E$3,$AH15&lt;요약!$E$3),"구리병원","⚠15일 판정불가(서울 "&amp;$AH15&amp;"일/구리 "&amp;$AI15&amp;"일)")),IF($AJ15="",$AE15,IF(INDEX(파견수련계획!$T$4:$T$83,$AJ15)="통합수련",INDEX(파견수련계획!$S$4:$S$83,$AJ15),$AE15)))))))</f>
        <v/>
      </c>
      <c r="Z15" s="19">
        <f>IF($B15="","",IF($AB15="","기본자료에 없는 사번",IF(COUNTIF($B$2:$B$401,$B15)&gt;1,"중복 사번",IF($AE15="","소속(입사장소) 입력",IF(IF(TRIM($J15&amp;"")="",0,SUMPRODUCT((파견수련계획!$Q$4:$Q$83=TRIM($J15&amp;""))*(파견수련계획!$AA$4:$AA$83&lt;&gt;"")))&gt;0,"파견수련계획 입력오류 확인",IF(LEFT($Y15,1)="⚠","서울·구리 15일 판정 불가(양쪽 모두 이상/미만)",IF(IF($AC15="",0,N(INDEX(인턴근무계획!$T$3:$T$62,$AC15)))&gt;0,"인턴계획 입력오류 확인",IF(AND($AC15&lt;&gt;"",$U15&lt;&gt;"파견중",$N15&lt;&gt;$AE15),"인턴 타지역 근무: 파견 여부 확인","정상"))))))))</f>
        <v/>
      </c>
      <c r="AA15" s="5" t="n"/>
      <c r="AB15" s="10">
        <f>IF($B15="","",IFERROR(MATCH($B15,기본자료!$B$2:$B$1001,0),IFERROR(MATCH($B15&amp;"",기본자료!$B$2:$B$1001,0),IFERROR(MATCH(VALUE($B15),기본자료!$B$2:$B$1001,0),""))))</f>
        <v/>
      </c>
      <c r="AC15" s="10">
        <f>IF($B15="","",IFERROR(MATCH($B15,인턴근무계획!$D$3:$D$62,0),IFERROR(MATCH($B15&amp;"",인턴근무계획!$D$3:$D$62,0),IFERROR(MATCH(VALUE($B15),인턴근무계획!$D$3:$D$62,0),""))))</f>
        <v/>
      </c>
      <c r="AD15" s="10">
        <f>IF(OR($AC15="",인턴현황!$G$3=""),"",INDEX(인턴근무계획!$M$3:$R$62,$AC15,인턴현황!$G$3)&amp;"")</f>
        <v/>
      </c>
      <c r="AE15" s="10">
        <f>IF($B15="","",IF($M15&lt;&gt;"",$M15,IF($AF15&lt;&gt;"",IF(LEFT(INDEX(파견수련계획!$R$4:$R$83,$AF15),1)&lt;&gt;"⚠",INDEX(파견수련계획!$R$4:$R$83,$AF15),IF($H15="","",IF(RIGHT($H15,2)="병원",$H15,$H15&amp;"병원"))),IF($H15="","",IF(RIGHT($H15,2)="병원",$H15,$H15&amp;"병원")))))</f>
        <v/>
      </c>
      <c r="AF15" s="10">
        <f>IF(OR($B15="",TRIM($J15&amp;"")=""),"",IFERROR(MATCH(TRIM($J15&amp;"")&amp;"|파견중",파견수련계획!$Y$4:$Y$83,0),IFERROR(MATCH(TRIM($J15&amp;"")&amp;"|파견예정",파견수련계획!$Y$4:$Y$83,0),IFERROR(MATCH(TRIM($J15&amp;"")&amp;"|파견종료",파견수련계획!$Y$4:$Y$83,0),""))))</f>
        <v/>
      </c>
      <c r="AG15" s="10">
        <f>IF($B15="","",IF(AND(IF(OR($AC15="",인턴현황!$K$2=""),"",INDEX(인턴근무계획!$M$3:$R$62,$AC15,인턴현황!$K$2)&amp;"")&lt;&gt;"",LEFT(IF(OR($AC15="",인턴현황!$K$2=""),"",INDEX(인턴근무계획!$M$3:$R$62,$AC15,인턴현황!$K$2)&amp;""),1)&lt;&gt;"⚠"),LEFT(IF(OR($AC15="",인턴현황!$K$2=""),"",INDEX(인턴근무계획!$M$3:$R$62,$AC15,인턴현황!$K$2)&amp;""),FIND(" ",IF(OR($AC15="",인턴현황!$K$2=""),"",INDEX(인턴근무계획!$M$3:$R$62,$AC15,인턴현황!$K$2)&amp;""))-1),$AE15))</f>
        <v/>
      </c>
      <c r="AH15" s="17">
        <f>IF($B15="","",IF(TRIM($J15&amp;"")="",0,SUMPRODUCT((파견수련계획!$Q$4:$Q$83=TRIM($J15&amp;""))*(파견수련계획!$S$4:$S$83="서울병원")*파견수련계획!$W$4:$W$83))+IF($AG15="서울병원",MAX(0,DAY(EOMONTH(요약!$B$3,0))-N($X15)),0))</f>
        <v/>
      </c>
      <c r="AI15" s="17">
        <f>IF($B15="","",IF(TRIM($J15&amp;"")="",0,SUMPRODUCT((파견수련계획!$Q$4:$Q$83=TRIM($J15&amp;""))*(파견수련계획!$S$4:$S$83="구리병원")*파견수련계획!$W$4:$W$83))+IF($AG15="구리병원",MAX(0,DAY(EOMONTH(요약!$B$3,0))-N($X15)),0))</f>
        <v/>
      </c>
      <c r="AJ15" s="10">
        <f>IF(OR($B15="",TRIM($J15&amp;"")=""),"",IFERROR(MATCH(TRIM($J15&amp;"")&amp;"|월",파견수련계획!$Z$4:$Z$83,0),""))</f>
        <v/>
      </c>
      <c r="AK15" s="10">
        <f>IF(OR($B15="",TRIM($J15&amp;"")=""),"",IFERROR(MATCH(TRIM($J15&amp;"")&amp;"|다기관",파견수련계획!$AE$4:$AE$83,0),""))</f>
        <v/>
      </c>
      <c r="AL15" s="10">
        <f>IF($AK15="","","다기관 "&amp;TEXT(INDEX(파견수련계획!$AB$4:$AB$83,$AK15),"yyyy-mm-dd")&amp;"~"&amp;IF(ISNUMBER(INDEX(파견수련계획!$AC$4:$AC$83,$AK15)),TEXT(INDEX(파견수련계획!$AC$4:$AC$83,$AK15),"yyyy-mm-dd"),""))</f>
        <v/>
      </c>
    </row>
    <row r="16">
      <c r="A16" s="10">
        <f>IF(B16="","",ROW()-1)</f>
        <v/>
      </c>
      <c r="B16" s="18" t="n"/>
      <c r="C16" s="10">
        <f>IF($AB16="","",IF(INDEX(기본자료!$C$2:$C$1001,$AB16)="","",INDEX(기본자료!$C$2:$C$1001,$AB16)))</f>
        <v/>
      </c>
      <c r="D16" s="10">
        <f>IF($AB16="","",IF(INDEX(기본자료!$J$2:$J$1001,$AB16)="","",INDEX(기본자료!$J$2:$J$1001,$AB16)))</f>
        <v/>
      </c>
      <c r="E16" s="11">
        <f>IF($AB16="","",IF(INDEX(기본자료!$K$2:$K$1001,$AB16)="","",IF(NOT(ISNUMBER(INDEX(기본자료!$K$2:$K$1001,$AB16))),INDEX(기본자료!$K$2:$K$1001,$AB16),IF(INDEX(기본자료!$K$2:$K$1001,$AB16)&lt;1000000,INDEX(기본자료!$K$2:$K$1001,$AB16),IF(AND(INDEX(기본자료!$K$2:$K$1001,$AB16)&gt;=10000101,INT(MOD(INDEX(기본자료!$K$2:$K$1001,$AB16),10000)/100)&gt;=1,INT(MOD(INDEX(기본자료!$K$2:$K$1001,$AB16),10000)/100)&lt;=12,MOD(INDEX(기본자료!$K$2:$K$1001,$AB16),100)&gt;=1,MOD(INDEX(기본자료!$K$2:$K$1001,$AB16),100)&lt;=31),DATE(INT(INDEX(기본자료!$K$2:$K$1001,$AB16)/10000),INT(MOD(INDEX(기본자료!$K$2:$K$1001,$AB16),10000)/100),MOD(INDEX(기본자료!$K$2:$K$1001,$AB16),100)),INDEX(기본자료!$K$2:$K$1001,$AB16)&amp;"")))))</f>
        <v/>
      </c>
      <c r="F16" s="10">
        <f>IF($AB16="","",IF(INDEX(기본자료!$D$2:$D$1001,$AB16)="","",INDEX(기본자료!$D$2:$D$1001,$AB16)))</f>
        <v/>
      </c>
      <c r="G16" s="10">
        <f>IF($AB16="","",IF(INDEX(기본자료!$E$2:$E$1001,$AB16)="","",INDEX(기본자료!$E$2:$E$1001,$AB16)))</f>
        <v/>
      </c>
      <c r="H16" s="10">
        <f>IF($AB16="","",IF(INDEX(기본자료!$F$2:$F$1001,$AB16)="","",INDEX(기본자료!$F$2:$F$1001,$AB16)))</f>
        <v/>
      </c>
      <c r="I16" s="11">
        <f>IF($AB16="","",IF(INDEX(기본자료!$G$2:$G$1001,$AB16)="","",IF(NOT(ISNUMBER(INDEX(기본자료!$G$2:$G$1001,$AB16))),INDEX(기본자료!$G$2:$G$1001,$AB16),IF(INDEX(기본자료!$G$2:$G$1001,$AB16)&lt;1000000,INDEX(기본자료!$G$2:$G$1001,$AB16),IF(AND(INDEX(기본자료!$G$2:$G$1001,$AB16)&gt;=10000101,INT(MOD(INDEX(기본자료!$G$2:$G$1001,$AB16),10000)/100)&gt;=1,INT(MOD(INDEX(기본자료!$G$2:$G$1001,$AB16),10000)/100)&lt;=12,MOD(INDEX(기본자료!$G$2:$G$1001,$AB16),100)&gt;=1,MOD(INDEX(기본자료!$G$2:$G$1001,$AB16),100)&lt;=31),DATE(INT(INDEX(기본자료!$G$2:$G$1001,$AB16)/10000),INT(MOD(INDEX(기본자료!$G$2:$G$1001,$AB16),10000)/100),MOD(INDEX(기본자료!$G$2:$G$1001,$AB16),100)),INDEX(기본자료!$G$2:$G$1001,$AB16)&amp;"")))))</f>
        <v/>
      </c>
      <c r="J16" s="10">
        <f>IF($AB16="","",IF(INDEX(기본자료!$H$2:$H$1001,$AB16)="","",INDEX(기본자료!$H$2:$H$1001,$AB16)))</f>
        <v/>
      </c>
      <c r="K16" s="10">
        <f>IF($AB16="","",IF(INDEX(기본자료!$I$2:$I$1001,$AB16)="","",INDEX(기본자료!$I$2:$I$1001,$AB16)))</f>
        <v/>
      </c>
      <c r="L16" s="10">
        <f>IF($AB16="","",IF(INDEX(기본자료!$A$2:$A$1001,$AB16)="","",INDEX(기본자료!$A$2:$A$1001,$AB16)))</f>
        <v/>
      </c>
      <c r="M16" s="15" t="n"/>
      <c r="N16" s="10">
        <f>IF($B16="","",IF(AND($U16="파견중",$Q16&lt;&gt;""),$Q16,IF(AND($AD16&lt;&gt;"",LEFT($AD16,1)&lt;&gt;"⚠"),LEFT($AD16,FIND(" ",$AD16)-1),IF($H16="","",IF(RIGHT($H16,2)="병원",$H16,$H16&amp;"병원")))))</f>
        <v/>
      </c>
      <c r="O16" s="10">
        <f>IF($B16="","",IF(AND($U16="파견중",$Q16&lt;&gt;""),IF($R16&lt;&gt;"",$R16,"파견과 미입력"),IF(AND($AD16&lt;&gt;"",LEFT($AD16,1)&lt;&gt;"⚠"),MID($AD16,FIND(" ",$AD16)+1,60),IF($F16="","",IF($F16="인턴","수련교육부(인턴)",$F16)))))</f>
        <v/>
      </c>
      <c r="P16" s="10">
        <f>IF($B16="","",IF($AK16&lt;&gt;"",IF(AND(TODAY()&gt;=INDEX(파견수련계획!$AB$4:$AB$83,$AK16),OR(NOT(ISNUMBER(INDEX(파견수련계획!$AC$4:$AC$83,$AK16))),TODAY()&lt;=INDEX(파견수련계획!$AC$4:$AC$83,$AK16))),"다기관",IF($AF16="","",INDEX(파견수련계획!$T$4:$T$83,$AF16))),IF($AF16="","",INDEX(파견수련계획!$T$4:$T$83,$AF16))))</f>
        <v/>
      </c>
      <c r="Q16" s="10">
        <f>IF($AF16="","",INDEX(파견수련계획!$S$4:$S$83,$AF16))</f>
        <v/>
      </c>
      <c r="R16" s="10">
        <f>IF($AF16="","",INDEX(파견수련계획!$U$4:$U$83,$AF16))</f>
        <v/>
      </c>
      <c r="S16" s="11">
        <f>IF($AF16="","",IF(INDEX(파견수련계획!$H$4:$H$83,$AF16)="","",INDEX(파견수련계획!$H$4:$H$83,$AF16)))</f>
        <v/>
      </c>
      <c r="T16" s="11">
        <f>IF($AF16="","",IF(INDEX(파견수련계획!$I$4:$I$83,$AF16)="","",INDEX(파견수련계획!$I$4:$I$83,$AF16)))</f>
        <v/>
      </c>
      <c r="U16" s="10">
        <f>IF($AF16="","",INDEX(파견수련계획!$X$4:$X$83,$AF16))</f>
        <v/>
      </c>
      <c r="V16" s="17">
        <f>IF($AF16="","",INDEX(파견수련계획!$V$4:$V$83,$AF16))</f>
        <v/>
      </c>
      <c r="W16" s="17">
        <f>IF(AND($U16="파견중",$T16&lt;&gt;""),$T16-TODAY(),"")</f>
        <v/>
      </c>
      <c r="X16" s="17">
        <f>IF(OR($B16="",TRIM($J16&amp;"")=""),"",SUMPRODUCT((파견수련계획!$Q$4:$Q$83=TRIM($J16&amp;""))*파견수련계획!$W$4:$W$83))</f>
        <v/>
      </c>
      <c r="Y16" s="10">
        <f>IF($B16="","",IF($AG16="","",IF(IF(TRIM($J16&amp;"")="",0,SUMPRODUCT((파견수련계획!$Q$4:$Q$83=TRIM($J16&amp;""))*파견수련계획!$AD$4:$AD$83))&gt;0,$AE16,IF(N($X16)&lt;=0,$AG16,IF($AH16+$AI16=DAY(EOMONTH(요약!$B$3,0)),IF(AND($AH16&gt;=요약!$E$3,$AI16&lt;요약!$E$3),"서울병원",IF(AND($AI16&gt;=요약!$E$3,$AH16&lt;요약!$E$3),"구리병원","⚠15일 판정불가(서울 "&amp;$AH16&amp;"일/구리 "&amp;$AI16&amp;"일)")),IF($AJ16="",$AE16,IF(INDEX(파견수련계획!$T$4:$T$83,$AJ16)="통합수련",INDEX(파견수련계획!$S$4:$S$83,$AJ16),$AE16)))))))</f>
        <v/>
      </c>
      <c r="Z16" s="19">
        <f>IF($B16="","",IF($AB16="","기본자료에 없는 사번",IF(COUNTIF($B$2:$B$401,$B16)&gt;1,"중복 사번",IF($AE16="","소속(입사장소) 입력",IF(IF(TRIM($J16&amp;"")="",0,SUMPRODUCT((파견수련계획!$Q$4:$Q$83=TRIM($J16&amp;""))*(파견수련계획!$AA$4:$AA$83&lt;&gt;"")))&gt;0,"파견수련계획 입력오류 확인",IF(LEFT($Y16,1)="⚠","서울·구리 15일 판정 불가(양쪽 모두 이상/미만)",IF(IF($AC16="",0,N(INDEX(인턴근무계획!$T$3:$T$62,$AC16)))&gt;0,"인턴계획 입력오류 확인",IF(AND($AC16&lt;&gt;"",$U16&lt;&gt;"파견중",$N16&lt;&gt;$AE16),"인턴 타지역 근무: 파견 여부 확인","정상"))))))))</f>
        <v/>
      </c>
      <c r="AA16" s="5" t="n"/>
      <c r="AB16" s="10">
        <f>IF($B16="","",IFERROR(MATCH($B16,기본자료!$B$2:$B$1001,0),IFERROR(MATCH($B16&amp;"",기본자료!$B$2:$B$1001,0),IFERROR(MATCH(VALUE($B16),기본자료!$B$2:$B$1001,0),""))))</f>
        <v/>
      </c>
      <c r="AC16" s="10">
        <f>IF($B16="","",IFERROR(MATCH($B16,인턴근무계획!$D$3:$D$62,0),IFERROR(MATCH($B16&amp;"",인턴근무계획!$D$3:$D$62,0),IFERROR(MATCH(VALUE($B16),인턴근무계획!$D$3:$D$62,0),""))))</f>
        <v/>
      </c>
      <c r="AD16" s="10">
        <f>IF(OR($AC16="",인턴현황!$G$3=""),"",INDEX(인턴근무계획!$M$3:$R$62,$AC16,인턴현황!$G$3)&amp;"")</f>
        <v/>
      </c>
      <c r="AE16" s="10">
        <f>IF($B16="","",IF($M16&lt;&gt;"",$M16,IF($AF16&lt;&gt;"",IF(LEFT(INDEX(파견수련계획!$R$4:$R$83,$AF16),1)&lt;&gt;"⚠",INDEX(파견수련계획!$R$4:$R$83,$AF16),IF($H16="","",IF(RIGHT($H16,2)="병원",$H16,$H16&amp;"병원"))),IF($H16="","",IF(RIGHT($H16,2)="병원",$H16,$H16&amp;"병원")))))</f>
        <v/>
      </c>
      <c r="AF16" s="10">
        <f>IF(OR($B16="",TRIM($J16&amp;"")=""),"",IFERROR(MATCH(TRIM($J16&amp;"")&amp;"|파견중",파견수련계획!$Y$4:$Y$83,0),IFERROR(MATCH(TRIM($J16&amp;"")&amp;"|파견예정",파견수련계획!$Y$4:$Y$83,0),IFERROR(MATCH(TRIM($J16&amp;"")&amp;"|파견종료",파견수련계획!$Y$4:$Y$83,0),""))))</f>
        <v/>
      </c>
      <c r="AG16" s="10">
        <f>IF($B16="","",IF(AND(IF(OR($AC16="",인턴현황!$K$2=""),"",INDEX(인턴근무계획!$M$3:$R$62,$AC16,인턴현황!$K$2)&amp;"")&lt;&gt;"",LEFT(IF(OR($AC16="",인턴현황!$K$2=""),"",INDEX(인턴근무계획!$M$3:$R$62,$AC16,인턴현황!$K$2)&amp;""),1)&lt;&gt;"⚠"),LEFT(IF(OR($AC16="",인턴현황!$K$2=""),"",INDEX(인턴근무계획!$M$3:$R$62,$AC16,인턴현황!$K$2)&amp;""),FIND(" ",IF(OR($AC16="",인턴현황!$K$2=""),"",INDEX(인턴근무계획!$M$3:$R$62,$AC16,인턴현황!$K$2)&amp;""))-1),$AE16))</f>
        <v/>
      </c>
      <c r="AH16" s="17">
        <f>IF($B16="","",IF(TRIM($J16&amp;"")="",0,SUMPRODUCT((파견수련계획!$Q$4:$Q$83=TRIM($J16&amp;""))*(파견수련계획!$S$4:$S$83="서울병원")*파견수련계획!$W$4:$W$83))+IF($AG16="서울병원",MAX(0,DAY(EOMONTH(요약!$B$3,0))-N($X16)),0))</f>
        <v/>
      </c>
      <c r="AI16" s="17">
        <f>IF($B16="","",IF(TRIM($J16&amp;"")="",0,SUMPRODUCT((파견수련계획!$Q$4:$Q$83=TRIM($J16&amp;""))*(파견수련계획!$S$4:$S$83="구리병원")*파견수련계획!$W$4:$W$83))+IF($AG16="구리병원",MAX(0,DAY(EOMONTH(요약!$B$3,0))-N($X16)),0))</f>
        <v/>
      </c>
      <c r="AJ16" s="10">
        <f>IF(OR($B16="",TRIM($J16&amp;"")=""),"",IFERROR(MATCH(TRIM($J16&amp;"")&amp;"|월",파견수련계획!$Z$4:$Z$83,0),""))</f>
        <v/>
      </c>
      <c r="AK16" s="10">
        <f>IF(OR($B16="",TRIM($J16&amp;"")=""),"",IFERROR(MATCH(TRIM($J16&amp;"")&amp;"|다기관",파견수련계획!$AE$4:$AE$83,0),""))</f>
        <v/>
      </c>
      <c r="AL16" s="10">
        <f>IF($AK16="","","다기관 "&amp;TEXT(INDEX(파견수련계획!$AB$4:$AB$83,$AK16),"yyyy-mm-dd")&amp;"~"&amp;IF(ISNUMBER(INDEX(파견수련계획!$AC$4:$AC$83,$AK16)),TEXT(INDEX(파견수련계획!$AC$4:$AC$83,$AK16),"yyyy-mm-dd"),""))</f>
        <v/>
      </c>
    </row>
    <row r="17">
      <c r="A17" s="10">
        <f>IF(B17="","",ROW()-1)</f>
        <v/>
      </c>
      <c r="B17" s="18" t="n"/>
      <c r="C17" s="10">
        <f>IF($AB17="","",IF(INDEX(기본자료!$C$2:$C$1001,$AB17)="","",INDEX(기본자료!$C$2:$C$1001,$AB17)))</f>
        <v/>
      </c>
      <c r="D17" s="10">
        <f>IF($AB17="","",IF(INDEX(기본자료!$J$2:$J$1001,$AB17)="","",INDEX(기본자료!$J$2:$J$1001,$AB17)))</f>
        <v/>
      </c>
      <c r="E17" s="11">
        <f>IF($AB17="","",IF(INDEX(기본자료!$K$2:$K$1001,$AB17)="","",IF(NOT(ISNUMBER(INDEX(기본자료!$K$2:$K$1001,$AB17))),INDEX(기본자료!$K$2:$K$1001,$AB17),IF(INDEX(기본자료!$K$2:$K$1001,$AB17)&lt;1000000,INDEX(기본자료!$K$2:$K$1001,$AB17),IF(AND(INDEX(기본자료!$K$2:$K$1001,$AB17)&gt;=10000101,INT(MOD(INDEX(기본자료!$K$2:$K$1001,$AB17),10000)/100)&gt;=1,INT(MOD(INDEX(기본자료!$K$2:$K$1001,$AB17),10000)/100)&lt;=12,MOD(INDEX(기본자료!$K$2:$K$1001,$AB17),100)&gt;=1,MOD(INDEX(기본자료!$K$2:$K$1001,$AB17),100)&lt;=31),DATE(INT(INDEX(기본자료!$K$2:$K$1001,$AB17)/10000),INT(MOD(INDEX(기본자료!$K$2:$K$1001,$AB17),10000)/100),MOD(INDEX(기본자료!$K$2:$K$1001,$AB17),100)),INDEX(기본자료!$K$2:$K$1001,$AB17)&amp;"")))))</f>
        <v/>
      </c>
      <c r="F17" s="10">
        <f>IF($AB17="","",IF(INDEX(기본자료!$D$2:$D$1001,$AB17)="","",INDEX(기본자료!$D$2:$D$1001,$AB17)))</f>
        <v/>
      </c>
      <c r="G17" s="10">
        <f>IF($AB17="","",IF(INDEX(기본자료!$E$2:$E$1001,$AB17)="","",INDEX(기본자료!$E$2:$E$1001,$AB17)))</f>
        <v/>
      </c>
      <c r="H17" s="10">
        <f>IF($AB17="","",IF(INDEX(기본자료!$F$2:$F$1001,$AB17)="","",INDEX(기본자료!$F$2:$F$1001,$AB17)))</f>
        <v/>
      </c>
      <c r="I17" s="11">
        <f>IF($AB17="","",IF(INDEX(기본자료!$G$2:$G$1001,$AB17)="","",IF(NOT(ISNUMBER(INDEX(기본자료!$G$2:$G$1001,$AB17))),INDEX(기본자료!$G$2:$G$1001,$AB17),IF(INDEX(기본자료!$G$2:$G$1001,$AB17)&lt;1000000,INDEX(기본자료!$G$2:$G$1001,$AB17),IF(AND(INDEX(기본자료!$G$2:$G$1001,$AB17)&gt;=10000101,INT(MOD(INDEX(기본자료!$G$2:$G$1001,$AB17),10000)/100)&gt;=1,INT(MOD(INDEX(기본자료!$G$2:$G$1001,$AB17),10000)/100)&lt;=12,MOD(INDEX(기본자료!$G$2:$G$1001,$AB17),100)&gt;=1,MOD(INDEX(기본자료!$G$2:$G$1001,$AB17),100)&lt;=31),DATE(INT(INDEX(기본자료!$G$2:$G$1001,$AB17)/10000),INT(MOD(INDEX(기본자료!$G$2:$G$1001,$AB17),10000)/100),MOD(INDEX(기본자료!$G$2:$G$1001,$AB17),100)),INDEX(기본자료!$G$2:$G$1001,$AB17)&amp;"")))))</f>
        <v/>
      </c>
      <c r="J17" s="10">
        <f>IF($AB17="","",IF(INDEX(기본자료!$H$2:$H$1001,$AB17)="","",INDEX(기본자료!$H$2:$H$1001,$AB17)))</f>
        <v/>
      </c>
      <c r="K17" s="10">
        <f>IF($AB17="","",IF(INDEX(기본자료!$I$2:$I$1001,$AB17)="","",INDEX(기본자료!$I$2:$I$1001,$AB17)))</f>
        <v/>
      </c>
      <c r="L17" s="10">
        <f>IF($AB17="","",IF(INDEX(기본자료!$A$2:$A$1001,$AB17)="","",INDEX(기본자료!$A$2:$A$1001,$AB17)))</f>
        <v/>
      </c>
      <c r="M17" s="15" t="n"/>
      <c r="N17" s="10">
        <f>IF($B17="","",IF(AND($U17="파견중",$Q17&lt;&gt;""),$Q17,IF(AND($AD17&lt;&gt;"",LEFT($AD17,1)&lt;&gt;"⚠"),LEFT($AD17,FIND(" ",$AD17)-1),IF($H17="","",IF(RIGHT($H17,2)="병원",$H17,$H17&amp;"병원")))))</f>
        <v/>
      </c>
      <c r="O17" s="10">
        <f>IF($B17="","",IF(AND($U17="파견중",$Q17&lt;&gt;""),IF($R17&lt;&gt;"",$R17,"파견과 미입력"),IF(AND($AD17&lt;&gt;"",LEFT($AD17,1)&lt;&gt;"⚠"),MID($AD17,FIND(" ",$AD17)+1,60),IF($F17="","",IF($F17="인턴","수련교육부(인턴)",$F17)))))</f>
        <v/>
      </c>
      <c r="P17" s="10">
        <f>IF($B17="","",IF($AK17&lt;&gt;"",IF(AND(TODAY()&gt;=INDEX(파견수련계획!$AB$4:$AB$83,$AK17),OR(NOT(ISNUMBER(INDEX(파견수련계획!$AC$4:$AC$83,$AK17))),TODAY()&lt;=INDEX(파견수련계획!$AC$4:$AC$83,$AK17))),"다기관",IF($AF17="","",INDEX(파견수련계획!$T$4:$T$83,$AF17))),IF($AF17="","",INDEX(파견수련계획!$T$4:$T$83,$AF17))))</f>
        <v/>
      </c>
      <c r="Q17" s="10">
        <f>IF($AF17="","",INDEX(파견수련계획!$S$4:$S$83,$AF17))</f>
        <v/>
      </c>
      <c r="R17" s="10">
        <f>IF($AF17="","",INDEX(파견수련계획!$U$4:$U$83,$AF17))</f>
        <v/>
      </c>
      <c r="S17" s="11">
        <f>IF($AF17="","",IF(INDEX(파견수련계획!$H$4:$H$83,$AF17)="","",INDEX(파견수련계획!$H$4:$H$83,$AF17)))</f>
        <v/>
      </c>
      <c r="T17" s="11">
        <f>IF($AF17="","",IF(INDEX(파견수련계획!$I$4:$I$83,$AF17)="","",INDEX(파견수련계획!$I$4:$I$83,$AF17)))</f>
        <v/>
      </c>
      <c r="U17" s="10">
        <f>IF($AF17="","",INDEX(파견수련계획!$X$4:$X$83,$AF17))</f>
        <v/>
      </c>
      <c r="V17" s="17">
        <f>IF($AF17="","",INDEX(파견수련계획!$V$4:$V$83,$AF17))</f>
        <v/>
      </c>
      <c r="W17" s="17">
        <f>IF(AND($U17="파견중",$T17&lt;&gt;""),$T17-TODAY(),"")</f>
        <v/>
      </c>
      <c r="X17" s="17">
        <f>IF(OR($B17="",TRIM($J17&amp;"")=""),"",SUMPRODUCT((파견수련계획!$Q$4:$Q$83=TRIM($J17&amp;""))*파견수련계획!$W$4:$W$83))</f>
        <v/>
      </c>
      <c r="Y17" s="10">
        <f>IF($B17="","",IF($AG17="","",IF(IF(TRIM($J17&amp;"")="",0,SUMPRODUCT((파견수련계획!$Q$4:$Q$83=TRIM($J17&amp;""))*파견수련계획!$AD$4:$AD$83))&gt;0,$AE17,IF(N($X17)&lt;=0,$AG17,IF($AH17+$AI17=DAY(EOMONTH(요약!$B$3,0)),IF(AND($AH17&gt;=요약!$E$3,$AI17&lt;요약!$E$3),"서울병원",IF(AND($AI17&gt;=요약!$E$3,$AH17&lt;요약!$E$3),"구리병원","⚠15일 판정불가(서울 "&amp;$AH17&amp;"일/구리 "&amp;$AI17&amp;"일)")),IF($AJ17="",$AE17,IF(INDEX(파견수련계획!$T$4:$T$83,$AJ17)="통합수련",INDEX(파견수련계획!$S$4:$S$83,$AJ17),$AE17)))))))</f>
        <v/>
      </c>
      <c r="Z17" s="19">
        <f>IF($B17="","",IF($AB17="","기본자료에 없는 사번",IF(COUNTIF($B$2:$B$401,$B17)&gt;1,"중복 사번",IF($AE17="","소속(입사장소) 입력",IF(IF(TRIM($J17&amp;"")="",0,SUMPRODUCT((파견수련계획!$Q$4:$Q$83=TRIM($J17&amp;""))*(파견수련계획!$AA$4:$AA$83&lt;&gt;"")))&gt;0,"파견수련계획 입력오류 확인",IF(LEFT($Y17,1)="⚠","서울·구리 15일 판정 불가(양쪽 모두 이상/미만)",IF(IF($AC17="",0,N(INDEX(인턴근무계획!$T$3:$T$62,$AC17)))&gt;0,"인턴계획 입력오류 확인",IF(AND($AC17&lt;&gt;"",$U17&lt;&gt;"파견중",$N17&lt;&gt;$AE17),"인턴 타지역 근무: 파견 여부 확인","정상"))))))))</f>
        <v/>
      </c>
      <c r="AA17" s="5" t="n"/>
      <c r="AB17" s="10">
        <f>IF($B17="","",IFERROR(MATCH($B17,기본자료!$B$2:$B$1001,0),IFERROR(MATCH($B17&amp;"",기본자료!$B$2:$B$1001,0),IFERROR(MATCH(VALUE($B17),기본자료!$B$2:$B$1001,0),""))))</f>
        <v/>
      </c>
      <c r="AC17" s="10">
        <f>IF($B17="","",IFERROR(MATCH($B17,인턴근무계획!$D$3:$D$62,0),IFERROR(MATCH($B17&amp;"",인턴근무계획!$D$3:$D$62,0),IFERROR(MATCH(VALUE($B17),인턴근무계획!$D$3:$D$62,0),""))))</f>
        <v/>
      </c>
      <c r="AD17" s="10">
        <f>IF(OR($AC17="",인턴현황!$G$3=""),"",INDEX(인턴근무계획!$M$3:$R$62,$AC17,인턴현황!$G$3)&amp;"")</f>
        <v/>
      </c>
      <c r="AE17" s="10">
        <f>IF($B17="","",IF($M17&lt;&gt;"",$M17,IF($AF17&lt;&gt;"",IF(LEFT(INDEX(파견수련계획!$R$4:$R$83,$AF17),1)&lt;&gt;"⚠",INDEX(파견수련계획!$R$4:$R$83,$AF17),IF($H17="","",IF(RIGHT($H17,2)="병원",$H17,$H17&amp;"병원"))),IF($H17="","",IF(RIGHT($H17,2)="병원",$H17,$H17&amp;"병원")))))</f>
        <v/>
      </c>
      <c r="AF17" s="10">
        <f>IF(OR($B17="",TRIM($J17&amp;"")=""),"",IFERROR(MATCH(TRIM($J17&amp;"")&amp;"|파견중",파견수련계획!$Y$4:$Y$83,0),IFERROR(MATCH(TRIM($J17&amp;"")&amp;"|파견예정",파견수련계획!$Y$4:$Y$83,0),IFERROR(MATCH(TRIM($J17&amp;"")&amp;"|파견종료",파견수련계획!$Y$4:$Y$83,0),""))))</f>
        <v/>
      </c>
      <c r="AG17" s="10">
        <f>IF($B17="","",IF(AND(IF(OR($AC17="",인턴현황!$K$2=""),"",INDEX(인턴근무계획!$M$3:$R$62,$AC17,인턴현황!$K$2)&amp;"")&lt;&gt;"",LEFT(IF(OR($AC17="",인턴현황!$K$2=""),"",INDEX(인턴근무계획!$M$3:$R$62,$AC17,인턴현황!$K$2)&amp;""),1)&lt;&gt;"⚠"),LEFT(IF(OR($AC17="",인턴현황!$K$2=""),"",INDEX(인턴근무계획!$M$3:$R$62,$AC17,인턴현황!$K$2)&amp;""),FIND(" ",IF(OR($AC17="",인턴현황!$K$2=""),"",INDEX(인턴근무계획!$M$3:$R$62,$AC17,인턴현황!$K$2)&amp;""))-1),$AE17))</f>
        <v/>
      </c>
      <c r="AH17" s="17">
        <f>IF($B17="","",IF(TRIM($J17&amp;"")="",0,SUMPRODUCT((파견수련계획!$Q$4:$Q$83=TRIM($J17&amp;""))*(파견수련계획!$S$4:$S$83="서울병원")*파견수련계획!$W$4:$W$83))+IF($AG17="서울병원",MAX(0,DAY(EOMONTH(요약!$B$3,0))-N($X17)),0))</f>
        <v/>
      </c>
      <c r="AI17" s="17">
        <f>IF($B17="","",IF(TRIM($J17&amp;"")="",0,SUMPRODUCT((파견수련계획!$Q$4:$Q$83=TRIM($J17&amp;""))*(파견수련계획!$S$4:$S$83="구리병원")*파견수련계획!$W$4:$W$83))+IF($AG17="구리병원",MAX(0,DAY(EOMONTH(요약!$B$3,0))-N($X17)),0))</f>
        <v/>
      </c>
      <c r="AJ17" s="10">
        <f>IF(OR($B17="",TRIM($J17&amp;"")=""),"",IFERROR(MATCH(TRIM($J17&amp;"")&amp;"|월",파견수련계획!$Z$4:$Z$83,0),""))</f>
        <v/>
      </c>
      <c r="AK17" s="10">
        <f>IF(OR($B17="",TRIM($J17&amp;"")=""),"",IFERROR(MATCH(TRIM($J17&amp;"")&amp;"|다기관",파견수련계획!$AE$4:$AE$83,0),""))</f>
        <v/>
      </c>
      <c r="AL17" s="10">
        <f>IF($AK17="","","다기관 "&amp;TEXT(INDEX(파견수련계획!$AB$4:$AB$83,$AK17),"yyyy-mm-dd")&amp;"~"&amp;IF(ISNUMBER(INDEX(파견수련계획!$AC$4:$AC$83,$AK17)),TEXT(INDEX(파견수련계획!$AC$4:$AC$83,$AK17),"yyyy-mm-dd"),""))</f>
        <v/>
      </c>
    </row>
    <row r="18">
      <c r="A18" s="10">
        <f>IF(B18="","",ROW()-1)</f>
        <v/>
      </c>
      <c r="B18" s="18" t="n"/>
      <c r="C18" s="10">
        <f>IF($AB18="","",IF(INDEX(기본자료!$C$2:$C$1001,$AB18)="","",INDEX(기본자료!$C$2:$C$1001,$AB18)))</f>
        <v/>
      </c>
      <c r="D18" s="10">
        <f>IF($AB18="","",IF(INDEX(기본자료!$J$2:$J$1001,$AB18)="","",INDEX(기본자료!$J$2:$J$1001,$AB18)))</f>
        <v/>
      </c>
      <c r="E18" s="11">
        <f>IF($AB18="","",IF(INDEX(기본자료!$K$2:$K$1001,$AB18)="","",IF(NOT(ISNUMBER(INDEX(기본자료!$K$2:$K$1001,$AB18))),INDEX(기본자료!$K$2:$K$1001,$AB18),IF(INDEX(기본자료!$K$2:$K$1001,$AB18)&lt;1000000,INDEX(기본자료!$K$2:$K$1001,$AB18),IF(AND(INDEX(기본자료!$K$2:$K$1001,$AB18)&gt;=10000101,INT(MOD(INDEX(기본자료!$K$2:$K$1001,$AB18),10000)/100)&gt;=1,INT(MOD(INDEX(기본자료!$K$2:$K$1001,$AB18),10000)/100)&lt;=12,MOD(INDEX(기본자료!$K$2:$K$1001,$AB18),100)&gt;=1,MOD(INDEX(기본자료!$K$2:$K$1001,$AB18),100)&lt;=31),DATE(INT(INDEX(기본자료!$K$2:$K$1001,$AB18)/10000),INT(MOD(INDEX(기본자료!$K$2:$K$1001,$AB18),10000)/100),MOD(INDEX(기본자료!$K$2:$K$1001,$AB18),100)),INDEX(기본자료!$K$2:$K$1001,$AB18)&amp;"")))))</f>
        <v/>
      </c>
      <c r="F18" s="10">
        <f>IF($AB18="","",IF(INDEX(기본자료!$D$2:$D$1001,$AB18)="","",INDEX(기본자료!$D$2:$D$1001,$AB18)))</f>
        <v/>
      </c>
      <c r="G18" s="10">
        <f>IF($AB18="","",IF(INDEX(기본자료!$E$2:$E$1001,$AB18)="","",INDEX(기본자료!$E$2:$E$1001,$AB18)))</f>
        <v/>
      </c>
      <c r="H18" s="10">
        <f>IF($AB18="","",IF(INDEX(기본자료!$F$2:$F$1001,$AB18)="","",INDEX(기본자료!$F$2:$F$1001,$AB18)))</f>
        <v/>
      </c>
      <c r="I18" s="11">
        <f>IF($AB18="","",IF(INDEX(기본자료!$G$2:$G$1001,$AB18)="","",IF(NOT(ISNUMBER(INDEX(기본자료!$G$2:$G$1001,$AB18))),INDEX(기본자료!$G$2:$G$1001,$AB18),IF(INDEX(기본자료!$G$2:$G$1001,$AB18)&lt;1000000,INDEX(기본자료!$G$2:$G$1001,$AB18),IF(AND(INDEX(기본자료!$G$2:$G$1001,$AB18)&gt;=10000101,INT(MOD(INDEX(기본자료!$G$2:$G$1001,$AB18),10000)/100)&gt;=1,INT(MOD(INDEX(기본자료!$G$2:$G$1001,$AB18),10000)/100)&lt;=12,MOD(INDEX(기본자료!$G$2:$G$1001,$AB18),100)&gt;=1,MOD(INDEX(기본자료!$G$2:$G$1001,$AB18),100)&lt;=31),DATE(INT(INDEX(기본자료!$G$2:$G$1001,$AB18)/10000),INT(MOD(INDEX(기본자료!$G$2:$G$1001,$AB18),10000)/100),MOD(INDEX(기본자료!$G$2:$G$1001,$AB18),100)),INDEX(기본자료!$G$2:$G$1001,$AB18)&amp;"")))))</f>
        <v/>
      </c>
      <c r="J18" s="10">
        <f>IF($AB18="","",IF(INDEX(기본자료!$H$2:$H$1001,$AB18)="","",INDEX(기본자료!$H$2:$H$1001,$AB18)))</f>
        <v/>
      </c>
      <c r="K18" s="10">
        <f>IF($AB18="","",IF(INDEX(기본자료!$I$2:$I$1001,$AB18)="","",INDEX(기본자료!$I$2:$I$1001,$AB18)))</f>
        <v/>
      </c>
      <c r="L18" s="10">
        <f>IF($AB18="","",IF(INDEX(기본자료!$A$2:$A$1001,$AB18)="","",INDEX(기본자료!$A$2:$A$1001,$AB18)))</f>
        <v/>
      </c>
      <c r="M18" s="15" t="n"/>
      <c r="N18" s="10">
        <f>IF($B18="","",IF(AND($U18="파견중",$Q18&lt;&gt;""),$Q18,IF(AND($AD18&lt;&gt;"",LEFT($AD18,1)&lt;&gt;"⚠"),LEFT($AD18,FIND(" ",$AD18)-1),IF($H18="","",IF(RIGHT($H18,2)="병원",$H18,$H18&amp;"병원")))))</f>
        <v/>
      </c>
      <c r="O18" s="10">
        <f>IF($B18="","",IF(AND($U18="파견중",$Q18&lt;&gt;""),IF($R18&lt;&gt;"",$R18,"파견과 미입력"),IF(AND($AD18&lt;&gt;"",LEFT($AD18,1)&lt;&gt;"⚠"),MID($AD18,FIND(" ",$AD18)+1,60),IF($F18="","",IF($F18="인턴","수련교육부(인턴)",$F18)))))</f>
        <v/>
      </c>
      <c r="P18" s="10">
        <f>IF($B18="","",IF($AK18&lt;&gt;"",IF(AND(TODAY()&gt;=INDEX(파견수련계획!$AB$4:$AB$83,$AK18),OR(NOT(ISNUMBER(INDEX(파견수련계획!$AC$4:$AC$83,$AK18))),TODAY()&lt;=INDEX(파견수련계획!$AC$4:$AC$83,$AK18))),"다기관",IF($AF18="","",INDEX(파견수련계획!$T$4:$T$83,$AF18))),IF($AF18="","",INDEX(파견수련계획!$T$4:$T$83,$AF18))))</f>
        <v/>
      </c>
      <c r="Q18" s="10">
        <f>IF($AF18="","",INDEX(파견수련계획!$S$4:$S$83,$AF18))</f>
        <v/>
      </c>
      <c r="R18" s="10">
        <f>IF($AF18="","",INDEX(파견수련계획!$U$4:$U$83,$AF18))</f>
        <v/>
      </c>
      <c r="S18" s="11">
        <f>IF($AF18="","",IF(INDEX(파견수련계획!$H$4:$H$83,$AF18)="","",INDEX(파견수련계획!$H$4:$H$83,$AF18)))</f>
        <v/>
      </c>
      <c r="T18" s="11">
        <f>IF($AF18="","",IF(INDEX(파견수련계획!$I$4:$I$83,$AF18)="","",INDEX(파견수련계획!$I$4:$I$83,$AF18)))</f>
        <v/>
      </c>
      <c r="U18" s="10">
        <f>IF($AF18="","",INDEX(파견수련계획!$X$4:$X$83,$AF18))</f>
        <v/>
      </c>
      <c r="V18" s="17">
        <f>IF($AF18="","",INDEX(파견수련계획!$V$4:$V$83,$AF18))</f>
        <v/>
      </c>
      <c r="W18" s="17">
        <f>IF(AND($U18="파견중",$T18&lt;&gt;""),$T18-TODAY(),"")</f>
        <v/>
      </c>
      <c r="X18" s="17">
        <f>IF(OR($B18="",TRIM($J18&amp;"")=""),"",SUMPRODUCT((파견수련계획!$Q$4:$Q$83=TRIM($J18&amp;""))*파견수련계획!$W$4:$W$83))</f>
        <v/>
      </c>
      <c r="Y18" s="10">
        <f>IF($B18="","",IF($AG18="","",IF(IF(TRIM($J18&amp;"")="",0,SUMPRODUCT((파견수련계획!$Q$4:$Q$83=TRIM($J18&amp;""))*파견수련계획!$AD$4:$AD$83))&gt;0,$AE18,IF(N($X18)&lt;=0,$AG18,IF($AH18+$AI18=DAY(EOMONTH(요약!$B$3,0)),IF(AND($AH18&gt;=요약!$E$3,$AI18&lt;요약!$E$3),"서울병원",IF(AND($AI18&gt;=요약!$E$3,$AH18&lt;요약!$E$3),"구리병원","⚠15일 판정불가(서울 "&amp;$AH18&amp;"일/구리 "&amp;$AI18&amp;"일)")),IF($AJ18="",$AE18,IF(INDEX(파견수련계획!$T$4:$T$83,$AJ18)="통합수련",INDEX(파견수련계획!$S$4:$S$83,$AJ18),$AE18)))))))</f>
        <v/>
      </c>
      <c r="Z18" s="19">
        <f>IF($B18="","",IF($AB18="","기본자료에 없는 사번",IF(COUNTIF($B$2:$B$401,$B18)&gt;1,"중복 사번",IF($AE18="","소속(입사장소) 입력",IF(IF(TRIM($J18&amp;"")="",0,SUMPRODUCT((파견수련계획!$Q$4:$Q$83=TRIM($J18&amp;""))*(파견수련계획!$AA$4:$AA$83&lt;&gt;"")))&gt;0,"파견수련계획 입력오류 확인",IF(LEFT($Y18,1)="⚠","서울·구리 15일 판정 불가(양쪽 모두 이상/미만)",IF(IF($AC18="",0,N(INDEX(인턴근무계획!$T$3:$T$62,$AC18)))&gt;0,"인턴계획 입력오류 확인",IF(AND($AC18&lt;&gt;"",$U18&lt;&gt;"파견중",$N18&lt;&gt;$AE18),"인턴 타지역 근무: 파견 여부 확인","정상"))))))))</f>
        <v/>
      </c>
      <c r="AA18" s="5" t="n"/>
      <c r="AB18" s="10">
        <f>IF($B18="","",IFERROR(MATCH($B18,기본자료!$B$2:$B$1001,0),IFERROR(MATCH($B18&amp;"",기본자료!$B$2:$B$1001,0),IFERROR(MATCH(VALUE($B18),기본자료!$B$2:$B$1001,0),""))))</f>
        <v/>
      </c>
      <c r="AC18" s="10">
        <f>IF($B18="","",IFERROR(MATCH($B18,인턴근무계획!$D$3:$D$62,0),IFERROR(MATCH($B18&amp;"",인턴근무계획!$D$3:$D$62,0),IFERROR(MATCH(VALUE($B18),인턴근무계획!$D$3:$D$62,0),""))))</f>
        <v/>
      </c>
      <c r="AD18" s="10">
        <f>IF(OR($AC18="",인턴현황!$G$3=""),"",INDEX(인턴근무계획!$M$3:$R$62,$AC18,인턴현황!$G$3)&amp;"")</f>
        <v/>
      </c>
      <c r="AE18" s="10">
        <f>IF($B18="","",IF($M18&lt;&gt;"",$M18,IF($AF18&lt;&gt;"",IF(LEFT(INDEX(파견수련계획!$R$4:$R$83,$AF18),1)&lt;&gt;"⚠",INDEX(파견수련계획!$R$4:$R$83,$AF18),IF($H18="","",IF(RIGHT($H18,2)="병원",$H18,$H18&amp;"병원"))),IF($H18="","",IF(RIGHT($H18,2)="병원",$H18,$H18&amp;"병원")))))</f>
        <v/>
      </c>
      <c r="AF18" s="10">
        <f>IF(OR($B18="",TRIM($J18&amp;"")=""),"",IFERROR(MATCH(TRIM($J18&amp;"")&amp;"|파견중",파견수련계획!$Y$4:$Y$83,0),IFERROR(MATCH(TRIM($J18&amp;"")&amp;"|파견예정",파견수련계획!$Y$4:$Y$83,0),IFERROR(MATCH(TRIM($J18&amp;"")&amp;"|파견종료",파견수련계획!$Y$4:$Y$83,0),""))))</f>
        <v/>
      </c>
      <c r="AG18" s="10">
        <f>IF($B18="","",IF(AND(IF(OR($AC18="",인턴현황!$K$2=""),"",INDEX(인턴근무계획!$M$3:$R$62,$AC18,인턴현황!$K$2)&amp;"")&lt;&gt;"",LEFT(IF(OR($AC18="",인턴현황!$K$2=""),"",INDEX(인턴근무계획!$M$3:$R$62,$AC18,인턴현황!$K$2)&amp;""),1)&lt;&gt;"⚠"),LEFT(IF(OR($AC18="",인턴현황!$K$2=""),"",INDEX(인턴근무계획!$M$3:$R$62,$AC18,인턴현황!$K$2)&amp;""),FIND(" ",IF(OR($AC18="",인턴현황!$K$2=""),"",INDEX(인턴근무계획!$M$3:$R$62,$AC18,인턴현황!$K$2)&amp;""))-1),$AE18))</f>
        <v/>
      </c>
      <c r="AH18" s="17">
        <f>IF($B18="","",IF(TRIM($J18&amp;"")="",0,SUMPRODUCT((파견수련계획!$Q$4:$Q$83=TRIM($J18&amp;""))*(파견수련계획!$S$4:$S$83="서울병원")*파견수련계획!$W$4:$W$83))+IF($AG18="서울병원",MAX(0,DAY(EOMONTH(요약!$B$3,0))-N($X18)),0))</f>
        <v/>
      </c>
      <c r="AI18" s="17">
        <f>IF($B18="","",IF(TRIM($J18&amp;"")="",0,SUMPRODUCT((파견수련계획!$Q$4:$Q$83=TRIM($J18&amp;""))*(파견수련계획!$S$4:$S$83="구리병원")*파견수련계획!$W$4:$W$83))+IF($AG18="구리병원",MAX(0,DAY(EOMONTH(요약!$B$3,0))-N($X18)),0))</f>
        <v/>
      </c>
      <c r="AJ18" s="10">
        <f>IF(OR($B18="",TRIM($J18&amp;"")=""),"",IFERROR(MATCH(TRIM($J18&amp;"")&amp;"|월",파견수련계획!$Z$4:$Z$83,0),""))</f>
        <v/>
      </c>
      <c r="AK18" s="10">
        <f>IF(OR($B18="",TRIM($J18&amp;"")=""),"",IFERROR(MATCH(TRIM($J18&amp;"")&amp;"|다기관",파견수련계획!$AE$4:$AE$83,0),""))</f>
        <v/>
      </c>
      <c r="AL18" s="10">
        <f>IF($AK18="","","다기관 "&amp;TEXT(INDEX(파견수련계획!$AB$4:$AB$83,$AK18),"yyyy-mm-dd")&amp;"~"&amp;IF(ISNUMBER(INDEX(파견수련계획!$AC$4:$AC$83,$AK18)),TEXT(INDEX(파견수련계획!$AC$4:$AC$83,$AK18),"yyyy-mm-dd"),""))</f>
        <v/>
      </c>
    </row>
    <row r="19">
      <c r="A19" s="10">
        <f>IF(B19="","",ROW()-1)</f>
        <v/>
      </c>
      <c r="B19" s="18" t="n"/>
      <c r="C19" s="10">
        <f>IF($AB19="","",IF(INDEX(기본자료!$C$2:$C$1001,$AB19)="","",INDEX(기본자료!$C$2:$C$1001,$AB19)))</f>
        <v/>
      </c>
      <c r="D19" s="10">
        <f>IF($AB19="","",IF(INDEX(기본자료!$J$2:$J$1001,$AB19)="","",INDEX(기본자료!$J$2:$J$1001,$AB19)))</f>
        <v/>
      </c>
      <c r="E19" s="11">
        <f>IF($AB19="","",IF(INDEX(기본자료!$K$2:$K$1001,$AB19)="","",IF(NOT(ISNUMBER(INDEX(기본자료!$K$2:$K$1001,$AB19))),INDEX(기본자료!$K$2:$K$1001,$AB19),IF(INDEX(기본자료!$K$2:$K$1001,$AB19)&lt;1000000,INDEX(기본자료!$K$2:$K$1001,$AB19),IF(AND(INDEX(기본자료!$K$2:$K$1001,$AB19)&gt;=10000101,INT(MOD(INDEX(기본자료!$K$2:$K$1001,$AB19),10000)/100)&gt;=1,INT(MOD(INDEX(기본자료!$K$2:$K$1001,$AB19),10000)/100)&lt;=12,MOD(INDEX(기본자료!$K$2:$K$1001,$AB19),100)&gt;=1,MOD(INDEX(기본자료!$K$2:$K$1001,$AB19),100)&lt;=31),DATE(INT(INDEX(기본자료!$K$2:$K$1001,$AB19)/10000),INT(MOD(INDEX(기본자료!$K$2:$K$1001,$AB19),10000)/100),MOD(INDEX(기본자료!$K$2:$K$1001,$AB19),100)),INDEX(기본자료!$K$2:$K$1001,$AB19)&amp;"")))))</f>
        <v/>
      </c>
      <c r="F19" s="10">
        <f>IF($AB19="","",IF(INDEX(기본자료!$D$2:$D$1001,$AB19)="","",INDEX(기본자료!$D$2:$D$1001,$AB19)))</f>
        <v/>
      </c>
      <c r="G19" s="10">
        <f>IF($AB19="","",IF(INDEX(기본자료!$E$2:$E$1001,$AB19)="","",INDEX(기본자료!$E$2:$E$1001,$AB19)))</f>
        <v/>
      </c>
      <c r="H19" s="10">
        <f>IF($AB19="","",IF(INDEX(기본자료!$F$2:$F$1001,$AB19)="","",INDEX(기본자료!$F$2:$F$1001,$AB19)))</f>
        <v/>
      </c>
      <c r="I19" s="11">
        <f>IF($AB19="","",IF(INDEX(기본자료!$G$2:$G$1001,$AB19)="","",IF(NOT(ISNUMBER(INDEX(기본자료!$G$2:$G$1001,$AB19))),INDEX(기본자료!$G$2:$G$1001,$AB19),IF(INDEX(기본자료!$G$2:$G$1001,$AB19)&lt;1000000,INDEX(기본자료!$G$2:$G$1001,$AB19),IF(AND(INDEX(기본자료!$G$2:$G$1001,$AB19)&gt;=10000101,INT(MOD(INDEX(기본자료!$G$2:$G$1001,$AB19),10000)/100)&gt;=1,INT(MOD(INDEX(기본자료!$G$2:$G$1001,$AB19),10000)/100)&lt;=12,MOD(INDEX(기본자료!$G$2:$G$1001,$AB19),100)&gt;=1,MOD(INDEX(기본자료!$G$2:$G$1001,$AB19),100)&lt;=31),DATE(INT(INDEX(기본자료!$G$2:$G$1001,$AB19)/10000),INT(MOD(INDEX(기본자료!$G$2:$G$1001,$AB19),10000)/100),MOD(INDEX(기본자료!$G$2:$G$1001,$AB19),100)),INDEX(기본자료!$G$2:$G$1001,$AB19)&amp;"")))))</f>
        <v/>
      </c>
      <c r="J19" s="10">
        <f>IF($AB19="","",IF(INDEX(기본자료!$H$2:$H$1001,$AB19)="","",INDEX(기본자료!$H$2:$H$1001,$AB19)))</f>
        <v/>
      </c>
      <c r="K19" s="10">
        <f>IF($AB19="","",IF(INDEX(기본자료!$I$2:$I$1001,$AB19)="","",INDEX(기본자료!$I$2:$I$1001,$AB19)))</f>
        <v/>
      </c>
      <c r="L19" s="10">
        <f>IF($AB19="","",IF(INDEX(기본자료!$A$2:$A$1001,$AB19)="","",INDEX(기본자료!$A$2:$A$1001,$AB19)))</f>
        <v/>
      </c>
      <c r="M19" s="15" t="n"/>
      <c r="N19" s="10">
        <f>IF($B19="","",IF(AND($U19="파견중",$Q19&lt;&gt;""),$Q19,IF(AND($AD19&lt;&gt;"",LEFT($AD19,1)&lt;&gt;"⚠"),LEFT($AD19,FIND(" ",$AD19)-1),IF($H19="","",IF(RIGHT($H19,2)="병원",$H19,$H19&amp;"병원")))))</f>
        <v/>
      </c>
      <c r="O19" s="10">
        <f>IF($B19="","",IF(AND($U19="파견중",$Q19&lt;&gt;""),IF($R19&lt;&gt;"",$R19,"파견과 미입력"),IF(AND($AD19&lt;&gt;"",LEFT($AD19,1)&lt;&gt;"⚠"),MID($AD19,FIND(" ",$AD19)+1,60),IF($F19="","",IF($F19="인턴","수련교육부(인턴)",$F19)))))</f>
        <v/>
      </c>
      <c r="P19" s="10">
        <f>IF($B19="","",IF($AK19&lt;&gt;"",IF(AND(TODAY()&gt;=INDEX(파견수련계획!$AB$4:$AB$83,$AK19),OR(NOT(ISNUMBER(INDEX(파견수련계획!$AC$4:$AC$83,$AK19))),TODAY()&lt;=INDEX(파견수련계획!$AC$4:$AC$83,$AK19))),"다기관",IF($AF19="","",INDEX(파견수련계획!$T$4:$T$83,$AF19))),IF($AF19="","",INDEX(파견수련계획!$T$4:$T$83,$AF19))))</f>
        <v/>
      </c>
      <c r="Q19" s="10">
        <f>IF($AF19="","",INDEX(파견수련계획!$S$4:$S$83,$AF19))</f>
        <v/>
      </c>
      <c r="R19" s="10">
        <f>IF($AF19="","",INDEX(파견수련계획!$U$4:$U$83,$AF19))</f>
        <v/>
      </c>
      <c r="S19" s="11">
        <f>IF($AF19="","",IF(INDEX(파견수련계획!$H$4:$H$83,$AF19)="","",INDEX(파견수련계획!$H$4:$H$83,$AF19)))</f>
        <v/>
      </c>
      <c r="T19" s="11">
        <f>IF($AF19="","",IF(INDEX(파견수련계획!$I$4:$I$83,$AF19)="","",INDEX(파견수련계획!$I$4:$I$83,$AF19)))</f>
        <v/>
      </c>
      <c r="U19" s="10">
        <f>IF($AF19="","",INDEX(파견수련계획!$X$4:$X$83,$AF19))</f>
        <v/>
      </c>
      <c r="V19" s="17">
        <f>IF($AF19="","",INDEX(파견수련계획!$V$4:$V$83,$AF19))</f>
        <v/>
      </c>
      <c r="W19" s="17">
        <f>IF(AND($U19="파견중",$T19&lt;&gt;""),$T19-TODAY(),"")</f>
        <v/>
      </c>
      <c r="X19" s="17">
        <f>IF(OR($B19="",TRIM($J19&amp;"")=""),"",SUMPRODUCT((파견수련계획!$Q$4:$Q$83=TRIM($J19&amp;""))*파견수련계획!$W$4:$W$83))</f>
        <v/>
      </c>
      <c r="Y19" s="10">
        <f>IF($B19="","",IF($AG19="","",IF(IF(TRIM($J19&amp;"")="",0,SUMPRODUCT((파견수련계획!$Q$4:$Q$83=TRIM($J19&amp;""))*파견수련계획!$AD$4:$AD$83))&gt;0,$AE19,IF(N($X19)&lt;=0,$AG19,IF($AH19+$AI19=DAY(EOMONTH(요약!$B$3,0)),IF(AND($AH19&gt;=요약!$E$3,$AI19&lt;요약!$E$3),"서울병원",IF(AND($AI19&gt;=요약!$E$3,$AH19&lt;요약!$E$3),"구리병원","⚠15일 판정불가(서울 "&amp;$AH19&amp;"일/구리 "&amp;$AI19&amp;"일)")),IF($AJ19="",$AE19,IF(INDEX(파견수련계획!$T$4:$T$83,$AJ19)="통합수련",INDEX(파견수련계획!$S$4:$S$83,$AJ19),$AE19)))))))</f>
        <v/>
      </c>
      <c r="Z19" s="19">
        <f>IF($B19="","",IF($AB19="","기본자료에 없는 사번",IF(COUNTIF($B$2:$B$401,$B19)&gt;1,"중복 사번",IF($AE19="","소속(입사장소) 입력",IF(IF(TRIM($J19&amp;"")="",0,SUMPRODUCT((파견수련계획!$Q$4:$Q$83=TRIM($J19&amp;""))*(파견수련계획!$AA$4:$AA$83&lt;&gt;"")))&gt;0,"파견수련계획 입력오류 확인",IF(LEFT($Y19,1)="⚠","서울·구리 15일 판정 불가(양쪽 모두 이상/미만)",IF(IF($AC19="",0,N(INDEX(인턴근무계획!$T$3:$T$62,$AC19)))&gt;0,"인턴계획 입력오류 확인",IF(AND($AC19&lt;&gt;"",$U19&lt;&gt;"파견중",$N19&lt;&gt;$AE19),"인턴 타지역 근무: 파견 여부 확인","정상"))))))))</f>
        <v/>
      </c>
      <c r="AA19" s="5" t="n"/>
      <c r="AB19" s="10">
        <f>IF($B19="","",IFERROR(MATCH($B19,기본자료!$B$2:$B$1001,0),IFERROR(MATCH($B19&amp;"",기본자료!$B$2:$B$1001,0),IFERROR(MATCH(VALUE($B19),기본자료!$B$2:$B$1001,0),""))))</f>
        <v/>
      </c>
      <c r="AC19" s="10">
        <f>IF($B19="","",IFERROR(MATCH($B19,인턴근무계획!$D$3:$D$62,0),IFERROR(MATCH($B19&amp;"",인턴근무계획!$D$3:$D$62,0),IFERROR(MATCH(VALUE($B19),인턴근무계획!$D$3:$D$62,0),""))))</f>
        <v/>
      </c>
      <c r="AD19" s="10">
        <f>IF(OR($AC19="",인턴현황!$G$3=""),"",INDEX(인턴근무계획!$M$3:$R$62,$AC19,인턴현황!$G$3)&amp;"")</f>
        <v/>
      </c>
      <c r="AE19" s="10">
        <f>IF($B19="","",IF($M19&lt;&gt;"",$M19,IF($AF19&lt;&gt;"",IF(LEFT(INDEX(파견수련계획!$R$4:$R$83,$AF19),1)&lt;&gt;"⚠",INDEX(파견수련계획!$R$4:$R$83,$AF19),IF($H19="","",IF(RIGHT($H19,2)="병원",$H19,$H19&amp;"병원"))),IF($H19="","",IF(RIGHT($H19,2)="병원",$H19,$H19&amp;"병원")))))</f>
        <v/>
      </c>
      <c r="AF19" s="10">
        <f>IF(OR($B19="",TRIM($J19&amp;"")=""),"",IFERROR(MATCH(TRIM($J19&amp;"")&amp;"|파견중",파견수련계획!$Y$4:$Y$83,0),IFERROR(MATCH(TRIM($J19&amp;"")&amp;"|파견예정",파견수련계획!$Y$4:$Y$83,0),IFERROR(MATCH(TRIM($J19&amp;"")&amp;"|파견종료",파견수련계획!$Y$4:$Y$83,0),""))))</f>
        <v/>
      </c>
      <c r="AG19" s="10">
        <f>IF($B19="","",IF(AND(IF(OR($AC19="",인턴현황!$K$2=""),"",INDEX(인턴근무계획!$M$3:$R$62,$AC19,인턴현황!$K$2)&amp;"")&lt;&gt;"",LEFT(IF(OR($AC19="",인턴현황!$K$2=""),"",INDEX(인턴근무계획!$M$3:$R$62,$AC19,인턴현황!$K$2)&amp;""),1)&lt;&gt;"⚠"),LEFT(IF(OR($AC19="",인턴현황!$K$2=""),"",INDEX(인턴근무계획!$M$3:$R$62,$AC19,인턴현황!$K$2)&amp;""),FIND(" ",IF(OR($AC19="",인턴현황!$K$2=""),"",INDEX(인턴근무계획!$M$3:$R$62,$AC19,인턴현황!$K$2)&amp;""))-1),$AE19))</f>
        <v/>
      </c>
      <c r="AH19" s="17">
        <f>IF($B19="","",IF(TRIM($J19&amp;"")="",0,SUMPRODUCT((파견수련계획!$Q$4:$Q$83=TRIM($J19&amp;""))*(파견수련계획!$S$4:$S$83="서울병원")*파견수련계획!$W$4:$W$83))+IF($AG19="서울병원",MAX(0,DAY(EOMONTH(요약!$B$3,0))-N($X19)),0))</f>
        <v/>
      </c>
      <c r="AI19" s="17">
        <f>IF($B19="","",IF(TRIM($J19&amp;"")="",0,SUMPRODUCT((파견수련계획!$Q$4:$Q$83=TRIM($J19&amp;""))*(파견수련계획!$S$4:$S$83="구리병원")*파견수련계획!$W$4:$W$83))+IF($AG19="구리병원",MAX(0,DAY(EOMONTH(요약!$B$3,0))-N($X19)),0))</f>
        <v/>
      </c>
      <c r="AJ19" s="10">
        <f>IF(OR($B19="",TRIM($J19&amp;"")=""),"",IFERROR(MATCH(TRIM($J19&amp;"")&amp;"|월",파견수련계획!$Z$4:$Z$83,0),""))</f>
        <v/>
      </c>
      <c r="AK19" s="10">
        <f>IF(OR($B19="",TRIM($J19&amp;"")=""),"",IFERROR(MATCH(TRIM($J19&amp;"")&amp;"|다기관",파견수련계획!$AE$4:$AE$83,0),""))</f>
        <v/>
      </c>
      <c r="AL19" s="10">
        <f>IF($AK19="","","다기관 "&amp;TEXT(INDEX(파견수련계획!$AB$4:$AB$83,$AK19),"yyyy-mm-dd")&amp;"~"&amp;IF(ISNUMBER(INDEX(파견수련계획!$AC$4:$AC$83,$AK19)),TEXT(INDEX(파견수련계획!$AC$4:$AC$83,$AK19),"yyyy-mm-dd"),""))</f>
        <v/>
      </c>
    </row>
    <row r="20">
      <c r="A20" s="10">
        <f>IF(B20="","",ROW()-1)</f>
        <v/>
      </c>
      <c r="B20" s="18" t="n"/>
      <c r="C20" s="10">
        <f>IF($AB20="","",IF(INDEX(기본자료!$C$2:$C$1001,$AB20)="","",INDEX(기본자료!$C$2:$C$1001,$AB20)))</f>
        <v/>
      </c>
      <c r="D20" s="10">
        <f>IF($AB20="","",IF(INDEX(기본자료!$J$2:$J$1001,$AB20)="","",INDEX(기본자료!$J$2:$J$1001,$AB20)))</f>
        <v/>
      </c>
      <c r="E20" s="11">
        <f>IF($AB20="","",IF(INDEX(기본자료!$K$2:$K$1001,$AB20)="","",IF(NOT(ISNUMBER(INDEX(기본자료!$K$2:$K$1001,$AB20))),INDEX(기본자료!$K$2:$K$1001,$AB20),IF(INDEX(기본자료!$K$2:$K$1001,$AB20)&lt;1000000,INDEX(기본자료!$K$2:$K$1001,$AB20),IF(AND(INDEX(기본자료!$K$2:$K$1001,$AB20)&gt;=10000101,INT(MOD(INDEX(기본자료!$K$2:$K$1001,$AB20),10000)/100)&gt;=1,INT(MOD(INDEX(기본자료!$K$2:$K$1001,$AB20),10000)/100)&lt;=12,MOD(INDEX(기본자료!$K$2:$K$1001,$AB20),100)&gt;=1,MOD(INDEX(기본자료!$K$2:$K$1001,$AB20),100)&lt;=31),DATE(INT(INDEX(기본자료!$K$2:$K$1001,$AB20)/10000),INT(MOD(INDEX(기본자료!$K$2:$K$1001,$AB20),10000)/100),MOD(INDEX(기본자료!$K$2:$K$1001,$AB20),100)),INDEX(기본자료!$K$2:$K$1001,$AB20)&amp;"")))))</f>
        <v/>
      </c>
      <c r="F20" s="10">
        <f>IF($AB20="","",IF(INDEX(기본자료!$D$2:$D$1001,$AB20)="","",INDEX(기본자료!$D$2:$D$1001,$AB20)))</f>
        <v/>
      </c>
      <c r="G20" s="10">
        <f>IF($AB20="","",IF(INDEX(기본자료!$E$2:$E$1001,$AB20)="","",INDEX(기본자료!$E$2:$E$1001,$AB20)))</f>
        <v/>
      </c>
      <c r="H20" s="10">
        <f>IF($AB20="","",IF(INDEX(기본자료!$F$2:$F$1001,$AB20)="","",INDEX(기본자료!$F$2:$F$1001,$AB20)))</f>
        <v/>
      </c>
      <c r="I20" s="11">
        <f>IF($AB20="","",IF(INDEX(기본자료!$G$2:$G$1001,$AB20)="","",IF(NOT(ISNUMBER(INDEX(기본자료!$G$2:$G$1001,$AB20))),INDEX(기본자료!$G$2:$G$1001,$AB20),IF(INDEX(기본자료!$G$2:$G$1001,$AB20)&lt;1000000,INDEX(기본자료!$G$2:$G$1001,$AB20),IF(AND(INDEX(기본자료!$G$2:$G$1001,$AB20)&gt;=10000101,INT(MOD(INDEX(기본자료!$G$2:$G$1001,$AB20),10000)/100)&gt;=1,INT(MOD(INDEX(기본자료!$G$2:$G$1001,$AB20),10000)/100)&lt;=12,MOD(INDEX(기본자료!$G$2:$G$1001,$AB20),100)&gt;=1,MOD(INDEX(기본자료!$G$2:$G$1001,$AB20),100)&lt;=31),DATE(INT(INDEX(기본자료!$G$2:$G$1001,$AB20)/10000),INT(MOD(INDEX(기본자료!$G$2:$G$1001,$AB20),10000)/100),MOD(INDEX(기본자료!$G$2:$G$1001,$AB20),100)),INDEX(기본자료!$G$2:$G$1001,$AB20)&amp;"")))))</f>
        <v/>
      </c>
      <c r="J20" s="10">
        <f>IF($AB20="","",IF(INDEX(기본자료!$H$2:$H$1001,$AB20)="","",INDEX(기본자료!$H$2:$H$1001,$AB20)))</f>
        <v/>
      </c>
      <c r="K20" s="10">
        <f>IF($AB20="","",IF(INDEX(기본자료!$I$2:$I$1001,$AB20)="","",INDEX(기본자료!$I$2:$I$1001,$AB20)))</f>
        <v/>
      </c>
      <c r="L20" s="10">
        <f>IF($AB20="","",IF(INDEX(기본자료!$A$2:$A$1001,$AB20)="","",INDEX(기본자료!$A$2:$A$1001,$AB20)))</f>
        <v/>
      </c>
      <c r="M20" s="15" t="n"/>
      <c r="N20" s="10">
        <f>IF($B20="","",IF(AND($U20="파견중",$Q20&lt;&gt;""),$Q20,IF(AND($AD20&lt;&gt;"",LEFT($AD20,1)&lt;&gt;"⚠"),LEFT($AD20,FIND(" ",$AD20)-1),IF($H20="","",IF(RIGHT($H20,2)="병원",$H20,$H20&amp;"병원")))))</f>
        <v/>
      </c>
      <c r="O20" s="10">
        <f>IF($B20="","",IF(AND($U20="파견중",$Q20&lt;&gt;""),IF($R20&lt;&gt;"",$R20,"파견과 미입력"),IF(AND($AD20&lt;&gt;"",LEFT($AD20,1)&lt;&gt;"⚠"),MID($AD20,FIND(" ",$AD20)+1,60),IF($F20="","",IF($F20="인턴","수련교육부(인턴)",$F20)))))</f>
        <v/>
      </c>
      <c r="P20" s="10">
        <f>IF($B20="","",IF($AK20&lt;&gt;"",IF(AND(TODAY()&gt;=INDEX(파견수련계획!$AB$4:$AB$83,$AK20),OR(NOT(ISNUMBER(INDEX(파견수련계획!$AC$4:$AC$83,$AK20))),TODAY()&lt;=INDEX(파견수련계획!$AC$4:$AC$83,$AK20))),"다기관",IF($AF20="","",INDEX(파견수련계획!$T$4:$T$83,$AF20))),IF($AF20="","",INDEX(파견수련계획!$T$4:$T$83,$AF20))))</f>
        <v/>
      </c>
      <c r="Q20" s="10">
        <f>IF($AF20="","",INDEX(파견수련계획!$S$4:$S$83,$AF20))</f>
        <v/>
      </c>
      <c r="R20" s="10">
        <f>IF($AF20="","",INDEX(파견수련계획!$U$4:$U$83,$AF20))</f>
        <v/>
      </c>
      <c r="S20" s="11">
        <f>IF($AF20="","",IF(INDEX(파견수련계획!$H$4:$H$83,$AF20)="","",INDEX(파견수련계획!$H$4:$H$83,$AF20)))</f>
        <v/>
      </c>
      <c r="T20" s="11">
        <f>IF($AF20="","",IF(INDEX(파견수련계획!$I$4:$I$83,$AF20)="","",INDEX(파견수련계획!$I$4:$I$83,$AF20)))</f>
        <v/>
      </c>
      <c r="U20" s="10">
        <f>IF($AF20="","",INDEX(파견수련계획!$X$4:$X$83,$AF20))</f>
        <v/>
      </c>
      <c r="V20" s="17">
        <f>IF($AF20="","",INDEX(파견수련계획!$V$4:$V$83,$AF20))</f>
        <v/>
      </c>
      <c r="W20" s="17">
        <f>IF(AND($U20="파견중",$T20&lt;&gt;""),$T20-TODAY(),"")</f>
        <v/>
      </c>
      <c r="X20" s="17">
        <f>IF(OR($B20="",TRIM($J20&amp;"")=""),"",SUMPRODUCT((파견수련계획!$Q$4:$Q$83=TRIM($J20&amp;""))*파견수련계획!$W$4:$W$83))</f>
        <v/>
      </c>
      <c r="Y20" s="10">
        <f>IF($B20="","",IF($AG20="","",IF(IF(TRIM($J20&amp;"")="",0,SUMPRODUCT((파견수련계획!$Q$4:$Q$83=TRIM($J20&amp;""))*파견수련계획!$AD$4:$AD$83))&gt;0,$AE20,IF(N($X20)&lt;=0,$AG20,IF($AH20+$AI20=DAY(EOMONTH(요약!$B$3,0)),IF(AND($AH20&gt;=요약!$E$3,$AI20&lt;요약!$E$3),"서울병원",IF(AND($AI20&gt;=요약!$E$3,$AH20&lt;요약!$E$3),"구리병원","⚠15일 판정불가(서울 "&amp;$AH20&amp;"일/구리 "&amp;$AI20&amp;"일)")),IF($AJ20="",$AE20,IF(INDEX(파견수련계획!$T$4:$T$83,$AJ20)="통합수련",INDEX(파견수련계획!$S$4:$S$83,$AJ20),$AE20)))))))</f>
        <v/>
      </c>
      <c r="Z20" s="19">
        <f>IF($B20="","",IF($AB20="","기본자료에 없는 사번",IF(COUNTIF($B$2:$B$401,$B20)&gt;1,"중복 사번",IF($AE20="","소속(입사장소) 입력",IF(IF(TRIM($J20&amp;"")="",0,SUMPRODUCT((파견수련계획!$Q$4:$Q$83=TRIM($J20&amp;""))*(파견수련계획!$AA$4:$AA$83&lt;&gt;"")))&gt;0,"파견수련계획 입력오류 확인",IF(LEFT($Y20,1)="⚠","서울·구리 15일 판정 불가(양쪽 모두 이상/미만)",IF(IF($AC20="",0,N(INDEX(인턴근무계획!$T$3:$T$62,$AC20)))&gt;0,"인턴계획 입력오류 확인",IF(AND($AC20&lt;&gt;"",$U20&lt;&gt;"파견중",$N20&lt;&gt;$AE20),"인턴 타지역 근무: 파견 여부 확인","정상"))))))))</f>
        <v/>
      </c>
      <c r="AA20" s="5" t="n"/>
      <c r="AB20" s="10">
        <f>IF($B20="","",IFERROR(MATCH($B20,기본자료!$B$2:$B$1001,0),IFERROR(MATCH($B20&amp;"",기본자료!$B$2:$B$1001,0),IFERROR(MATCH(VALUE($B20),기본자료!$B$2:$B$1001,0),""))))</f>
        <v/>
      </c>
      <c r="AC20" s="10">
        <f>IF($B20="","",IFERROR(MATCH($B20,인턴근무계획!$D$3:$D$62,0),IFERROR(MATCH($B20&amp;"",인턴근무계획!$D$3:$D$62,0),IFERROR(MATCH(VALUE($B20),인턴근무계획!$D$3:$D$62,0),""))))</f>
        <v/>
      </c>
      <c r="AD20" s="10">
        <f>IF(OR($AC20="",인턴현황!$G$3=""),"",INDEX(인턴근무계획!$M$3:$R$62,$AC20,인턴현황!$G$3)&amp;"")</f>
        <v/>
      </c>
      <c r="AE20" s="10">
        <f>IF($B20="","",IF($M20&lt;&gt;"",$M20,IF($AF20&lt;&gt;"",IF(LEFT(INDEX(파견수련계획!$R$4:$R$83,$AF20),1)&lt;&gt;"⚠",INDEX(파견수련계획!$R$4:$R$83,$AF20),IF($H20="","",IF(RIGHT($H20,2)="병원",$H20,$H20&amp;"병원"))),IF($H20="","",IF(RIGHT($H20,2)="병원",$H20,$H20&amp;"병원")))))</f>
        <v/>
      </c>
      <c r="AF20" s="10">
        <f>IF(OR($B20="",TRIM($J20&amp;"")=""),"",IFERROR(MATCH(TRIM($J20&amp;"")&amp;"|파견중",파견수련계획!$Y$4:$Y$83,0),IFERROR(MATCH(TRIM($J20&amp;"")&amp;"|파견예정",파견수련계획!$Y$4:$Y$83,0),IFERROR(MATCH(TRIM($J20&amp;"")&amp;"|파견종료",파견수련계획!$Y$4:$Y$83,0),""))))</f>
        <v/>
      </c>
      <c r="AG20" s="10">
        <f>IF($B20="","",IF(AND(IF(OR($AC20="",인턴현황!$K$2=""),"",INDEX(인턴근무계획!$M$3:$R$62,$AC20,인턴현황!$K$2)&amp;"")&lt;&gt;"",LEFT(IF(OR($AC20="",인턴현황!$K$2=""),"",INDEX(인턴근무계획!$M$3:$R$62,$AC20,인턴현황!$K$2)&amp;""),1)&lt;&gt;"⚠"),LEFT(IF(OR($AC20="",인턴현황!$K$2=""),"",INDEX(인턴근무계획!$M$3:$R$62,$AC20,인턴현황!$K$2)&amp;""),FIND(" ",IF(OR($AC20="",인턴현황!$K$2=""),"",INDEX(인턴근무계획!$M$3:$R$62,$AC20,인턴현황!$K$2)&amp;""))-1),$AE20))</f>
        <v/>
      </c>
      <c r="AH20" s="17">
        <f>IF($B20="","",IF(TRIM($J20&amp;"")="",0,SUMPRODUCT((파견수련계획!$Q$4:$Q$83=TRIM($J20&amp;""))*(파견수련계획!$S$4:$S$83="서울병원")*파견수련계획!$W$4:$W$83))+IF($AG20="서울병원",MAX(0,DAY(EOMONTH(요약!$B$3,0))-N($X20)),0))</f>
        <v/>
      </c>
      <c r="AI20" s="17">
        <f>IF($B20="","",IF(TRIM($J20&amp;"")="",0,SUMPRODUCT((파견수련계획!$Q$4:$Q$83=TRIM($J20&amp;""))*(파견수련계획!$S$4:$S$83="구리병원")*파견수련계획!$W$4:$W$83))+IF($AG20="구리병원",MAX(0,DAY(EOMONTH(요약!$B$3,0))-N($X20)),0))</f>
        <v/>
      </c>
      <c r="AJ20" s="10">
        <f>IF(OR($B20="",TRIM($J20&amp;"")=""),"",IFERROR(MATCH(TRIM($J20&amp;"")&amp;"|월",파견수련계획!$Z$4:$Z$83,0),""))</f>
        <v/>
      </c>
      <c r="AK20" s="10">
        <f>IF(OR($B20="",TRIM($J20&amp;"")=""),"",IFERROR(MATCH(TRIM($J20&amp;"")&amp;"|다기관",파견수련계획!$AE$4:$AE$83,0),""))</f>
        <v/>
      </c>
      <c r="AL20" s="10">
        <f>IF($AK20="","","다기관 "&amp;TEXT(INDEX(파견수련계획!$AB$4:$AB$83,$AK20),"yyyy-mm-dd")&amp;"~"&amp;IF(ISNUMBER(INDEX(파견수련계획!$AC$4:$AC$83,$AK20)),TEXT(INDEX(파견수련계획!$AC$4:$AC$83,$AK20),"yyyy-mm-dd"),""))</f>
        <v/>
      </c>
    </row>
    <row r="21">
      <c r="A21" s="10">
        <f>IF(B21="","",ROW()-1)</f>
        <v/>
      </c>
      <c r="B21" s="18" t="n"/>
      <c r="C21" s="10">
        <f>IF($AB21="","",IF(INDEX(기본자료!$C$2:$C$1001,$AB21)="","",INDEX(기본자료!$C$2:$C$1001,$AB21)))</f>
        <v/>
      </c>
      <c r="D21" s="10">
        <f>IF($AB21="","",IF(INDEX(기본자료!$J$2:$J$1001,$AB21)="","",INDEX(기본자료!$J$2:$J$1001,$AB21)))</f>
        <v/>
      </c>
      <c r="E21" s="11">
        <f>IF($AB21="","",IF(INDEX(기본자료!$K$2:$K$1001,$AB21)="","",IF(NOT(ISNUMBER(INDEX(기본자료!$K$2:$K$1001,$AB21))),INDEX(기본자료!$K$2:$K$1001,$AB21),IF(INDEX(기본자료!$K$2:$K$1001,$AB21)&lt;1000000,INDEX(기본자료!$K$2:$K$1001,$AB21),IF(AND(INDEX(기본자료!$K$2:$K$1001,$AB21)&gt;=10000101,INT(MOD(INDEX(기본자료!$K$2:$K$1001,$AB21),10000)/100)&gt;=1,INT(MOD(INDEX(기본자료!$K$2:$K$1001,$AB21),10000)/100)&lt;=12,MOD(INDEX(기본자료!$K$2:$K$1001,$AB21),100)&gt;=1,MOD(INDEX(기본자료!$K$2:$K$1001,$AB21),100)&lt;=31),DATE(INT(INDEX(기본자료!$K$2:$K$1001,$AB21)/10000),INT(MOD(INDEX(기본자료!$K$2:$K$1001,$AB21),10000)/100),MOD(INDEX(기본자료!$K$2:$K$1001,$AB21),100)),INDEX(기본자료!$K$2:$K$1001,$AB21)&amp;"")))))</f>
        <v/>
      </c>
      <c r="F21" s="10">
        <f>IF($AB21="","",IF(INDEX(기본자료!$D$2:$D$1001,$AB21)="","",INDEX(기본자료!$D$2:$D$1001,$AB21)))</f>
        <v/>
      </c>
      <c r="G21" s="10">
        <f>IF($AB21="","",IF(INDEX(기본자료!$E$2:$E$1001,$AB21)="","",INDEX(기본자료!$E$2:$E$1001,$AB21)))</f>
        <v/>
      </c>
      <c r="H21" s="10">
        <f>IF($AB21="","",IF(INDEX(기본자료!$F$2:$F$1001,$AB21)="","",INDEX(기본자료!$F$2:$F$1001,$AB21)))</f>
        <v/>
      </c>
      <c r="I21" s="11">
        <f>IF($AB21="","",IF(INDEX(기본자료!$G$2:$G$1001,$AB21)="","",IF(NOT(ISNUMBER(INDEX(기본자료!$G$2:$G$1001,$AB21))),INDEX(기본자료!$G$2:$G$1001,$AB21),IF(INDEX(기본자료!$G$2:$G$1001,$AB21)&lt;1000000,INDEX(기본자료!$G$2:$G$1001,$AB21),IF(AND(INDEX(기본자료!$G$2:$G$1001,$AB21)&gt;=10000101,INT(MOD(INDEX(기본자료!$G$2:$G$1001,$AB21),10000)/100)&gt;=1,INT(MOD(INDEX(기본자료!$G$2:$G$1001,$AB21),10000)/100)&lt;=12,MOD(INDEX(기본자료!$G$2:$G$1001,$AB21),100)&gt;=1,MOD(INDEX(기본자료!$G$2:$G$1001,$AB21),100)&lt;=31),DATE(INT(INDEX(기본자료!$G$2:$G$1001,$AB21)/10000),INT(MOD(INDEX(기본자료!$G$2:$G$1001,$AB21),10000)/100),MOD(INDEX(기본자료!$G$2:$G$1001,$AB21),100)),INDEX(기본자료!$G$2:$G$1001,$AB21)&amp;"")))))</f>
        <v/>
      </c>
      <c r="J21" s="10">
        <f>IF($AB21="","",IF(INDEX(기본자료!$H$2:$H$1001,$AB21)="","",INDEX(기본자료!$H$2:$H$1001,$AB21)))</f>
        <v/>
      </c>
      <c r="K21" s="10">
        <f>IF($AB21="","",IF(INDEX(기본자료!$I$2:$I$1001,$AB21)="","",INDEX(기본자료!$I$2:$I$1001,$AB21)))</f>
        <v/>
      </c>
      <c r="L21" s="10">
        <f>IF($AB21="","",IF(INDEX(기본자료!$A$2:$A$1001,$AB21)="","",INDEX(기본자료!$A$2:$A$1001,$AB21)))</f>
        <v/>
      </c>
      <c r="M21" s="15" t="n"/>
      <c r="N21" s="10">
        <f>IF($B21="","",IF(AND($U21="파견중",$Q21&lt;&gt;""),$Q21,IF(AND($AD21&lt;&gt;"",LEFT($AD21,1)&lt;&gt;"⚠"),LEFT($AD21,FIND(" ",$AD21)-1),IF($H21="","",IF(RIGHT($H21,2)="병원",$H21,$H21&amp;"병원")))))</f>
        <v/>
      </c>
      <c r="O21" s="10">
        <f>IF($B21="","",IF(AND($U21="파견중",$Q21&lt;&gt;""),IF($R21&lt;&gt;"",$R21,"파견과 미입력"),IF(AND($AD21&lt;&gt;"",LEFT($AD21,1)&lt;&gt;"⚠"),MID($AD21,FIND(" ",$AD21)+1,60),IF($F21="","",IF($F21="인턴","수련교육부(인턴)",$F21)))))</f>
        <v/>
      </c>
      <c r="P21" s="10">
        <f>IF($B21="","",IF($AK21&lt;&gt;"",IF(AND(TODAY()&gt;=INDEX(파견수련계획!$AB$4:$AB$83,$AK21),OR(NOT(ISNUMBER(INDEX(파견수련계획!$AC$4:$AC$83,$AK21))),TODAY()&lt;=INDEX(파견수련계획!$AC$4:$AC$83,$AK21))),"다기관",IF($AF21="","",INDEX(파견수련계획!$T$4:$T$83,$AF21))),IF($AF21="","",INDEX(파견수련계획!$T$4:$T$83,$AF21))))</f>
        <v/>
      </c>
      <c r="Q21" s="10">
        <f>IF($AF21="","",INDEX(파견수련계획!$S$4:$S$83,$AF21))</f>
        <v/>
      </c>
      <c r="R21" s="10">
        <f>IF($AF21="","",INDEX(파견수련계획!$U$4:$U$83,$AF21))</f>
        <v/>
      </c>
      <c r="S21" s="11">
        <f>IF($AF21="","",IF(INDEX(파견수련계획!$H$4:$H$83,$AF21)="","",INDEX(파견수련계획!$H$4:$H$83,$AF21)))</f>
        <v/>
      </c>
      <c r="T21" s="11">
        <f>IF($AF21="","",IF(INDEX(파견수련계획!$I$4:$I$83,$AF21)="","",INDEX(파견수련계획!$I$4:$I$83,$AF21)))</f>
        <v/>
      </c>
      <c r="U21" s="10">
        <f>IF($AF21="","",INDEX(파견수련계획!$X$4:$X$83,$AF21))</f>
        <v/>
      </c>
      <c r="V21" s="17">
        <f>IF($AF21="","",INDEX(파견수련계획!$V$4:$V$83,$AF21))</f>
        <v/>
      </c>
      <c r="W21" s="17">
        <f>IF(AND($U21="파견중",$T21&lt;&gt;""),$T21-TODAY(),"")</f>
        <v/>
      </c>
      <c r="X21" s="17">
        <f>IF(OR($B21="",TRIM($J21&amp;"")=""),"",SUMPRODUCT((파견수련계획!$Q$4:$Q$83=TRIM($J21&amp;""))*파견수련계획!$W$4:$W$83))</f>
        <v/>
      </c>
      <c r="Y21" s="10">
        <f>IF($B21="","",IF($AG21="","",IF(IF(TRIM($J21&amp;"")="",0,SUMPRODUCT((파견수련계획!$Q$4:$Q$83=TRIM($J21&amp;""))*파견수련계획!$AD$4:$AD$83))&gt;0,$AE21,IF(N($X21)&lt;=0,$AG21,IF($AH21+$AI21=DAY(EOMONTH(요약!$B$3,0)),IF(AND($AH21&gt;=요약!$E$3,$AI21&lt;요약!$E$3),"서울병원",IF(AND($AI21&gt;=요약!$E$3,$AH21&lt;요약!$E$3),"구리병원","⚠15일 판정불가(서울 "&amp;$AH21&amp;"일/구리 "&amp;$AI21&amp;"일)")),IF($AJ21="",$AE21,IF(INDEX(파견수련계획!$T$4:$T$83,$AJ21)="통합수련",INDEX(파견수련계획!$S$4:$S$83,$AJ21),$AE21)))))))</f>
        <v/>
      </c>
      <c r="Z21" s="19">
        <f>IF($B21="","",IF($AB21="","기본자료에 없는 사번",IF(COUNTIF($B$2:$B$401,$B21)&gt;1,"중복 사번",IF($AE21="","소속(입사장소) 입력",IF(IF(TRIM($J21&amp;"")="",0,SUMPRODUCT((파견수련계획!$Q$4:$Q$83=TRIM($J21&amp;""))*(파견수련계획!$AA$4:$AA$83&lt;&gt;"")))&gt;0,"파견수련계획 입력오류 확인",IF(LEFT($Y21,1)="⚠","서울·구리 15일 판정 불가(양쪽 모두 이상/미만)",IF(IF($AC21="",0,N(INDEX(인턴근무계획!$T$3:$T$62,$AC21)))&gt;0,"인턴계획 입력오류 확인",IF(AND($AC21&lt;&gt;"",$U21&lt;&gt;"파견중",$N21&lt;&gt;$AE21),"인턴 타지역 근무: 파견 여부 확인","정상"))))))))</f>
        <v/>
      </c>
      <c r="AA21" s="5" t="n"/>
      <c r="AB21" s="10">
        <f>IF($B21="","",IFERROR(MATCH($B21,기본자료!$B$2:$B$1001,0),IFERROR(MATCH($B21&amp;"",기본자료!$B$2:$B$1001,0),IFERROR(MATCH(VALUE($B21),기본자료!$B$2:$B$1001,0),""))))</f>
        <v/>
      </c>
      <c r="AC21" s="10">
        <f>IF($B21="","",IFERROR(MATCH($B21,인턴근무계획!$D$3:$D$62,0),IFERROR(MATCH($B21&amp;"",인턴근무계획!$D$3:$D$62,0),IFERROR(MATCH(VALUE($B21),인턴근무계획!$D$3:$D$62,0),""))))</f>
        <v/>
      </c>
      <c r="AD21" s="10">
        <f>IF(OR($AC21="",인턴현황!$G$3=""),"",INDEX(인턴근무계획!$M$3:$R$62,$AC21,인턴현황!$G$3)&amp;"")</f>
        <v/>
      </c>
      <c r="AE21" s="10">
        <f>IF($B21="","",IF($M21&lt;&gt;"",$M21,IF($AF21&lt;&gt;"",IF(LEFT(INDEX(파견수련계획!$R$4:$R$83,$AF21),1)&lt;&gt;"⚠",INDEX(파견수련계획!$R$4:$R$83,$AF21),IF($H21="","",IF(RIGHT($H21,2)="병원",$H21,$H21&amp;"병원"))),IF($H21="","",IF(RIGHT($H21,2)="병원",$H21,$H21&amp;"병원")))))</f>
        <v/>
      </c>
      <c r="AF21" s="10">
        <f>IF(OR($B21="",TRIM($J21&amp;"")=""),"",IFERROR(MATCH(TRIM($J21&amp;"")&amp;"|파견중",파견수련계획!$Y$4:$Y$83,0),IFERROR(MATCH(TRIM($J21&amp;"")&amp;"|파견예정",파견수련계획!$Y$4:$Y$83,0),IFERROR(MATCH(TRIM($J21&amp;"")&amp;"|파견종료",파견수련계획!$Y$4:$Y$83,0),""))))</f>
        <v/>
      </c>
      <c r="AG21" s="10">
        <f>IF($B21="","",IF(AND(IF(OR($AC21="",인턴현황!$K$2=""),"",INDEX(인턴근무계획!$M$3:$R$62,$AC21,인턴현황!$K$2)&amp;"")&lt;&gt;"",LEFT(IF(OR($AC21="",인턴현황!$K$2=""),"",INDEX(인턴근무계획!$M$3:$R$62,$AC21,인턴현황!$K$2)&amp;""),1)&lt;&gt;"⚠"),LEFT(IF(OR($AC21="",인턴현황!$K$2=""),"",INDEX(인턴근무계획!$M$3:$R$62,$AC21,인턴현황!$K$2)&amp;""),FIND(" ",IF(OR($AC21="",인턴현황!$K$2=""),"",INDEX(인턴근무계획!$M$3:$R$62,$AC21,인턴현황!$K$2)&amp;""))-1),$AE21))</f>
        <v/>
      </c>
      <c r="AH21" s="17">
        <f>IF($B21="","",IF(TRIM($J21&amp;"")="",0,SUMPRODUCT((파견수련계획!$Q$4:$Q$83=TRIM($J21&amp;""))*(파견수련계획!$S$4:$S$83="서울병원")*파견수련계획!$W$4:$W$83))+IF($AG21="서울병원",MAX(0,DAY(EOMONTH(요약!$B$3,0))-N($X21)),0))</f>
        <v/>
      </c>
      <c r="AI21" s="17">
        <f>IF($B21="","",IF(TRIM($J21&amp;"")="",0,SUMPRODUCT((파견수련계획!$Q$4:$Q$83=TRIM($J21&amp;""))*(파견수련계획!$S$4:$S$83="구리병원")*파견수련계획!$W$4:$W$83))+IF($AG21="구리병원",MAX(0,DAY(EOMONTH(요약!$B$3,0))-N($X21)),0))</f>
        <v/>
      </c>
      <c r="AJ21" s="10">
        <f>IF(OR($B21="",TRIM($J21&amp;"")=""),"",IFERROR(MATCH(TRIM($J21&amp;"")&amp;"|월",파견수련계획!$Z$4:$Z$83,0),""))</f>
        <v/>
      </c>
      <c r="AK21" s="10">
        <f>IF(OR($B21="",TRIM($J21&amp;"")=""),"",IFERROR(MATCH(TRIM($J21&amp;"")&amp;"|다기관",파견수련계획!$AE$4:$AE$83,0),""))</f>
        <v/>
      </c>
      <c r="AL21" s="10">
        <f>IF($AK21="","","다기관 "&amp;TEXT(INDEX(파견수련계획!$AB$4:$AB$83,$AK21),"yyyy-mm-dd")&amp;"~"&amp;IF(ISNUMBER(INDEX(파견수련계획!$AC$4:$AC$83,$AK21)),TEXT(INDEX(파견수련계획!$AC$4:$AC$83,$AK21),"yyyy-mm-dd"),""))</f>
        <v/>
      </c>
    </row>
    <row r="22">
      <c r="A22" s="10">
        <f>IF(B22="","",ROW()-1)</f>
        <v/>
      </c>
      <c r="B22" s="18" t="n"/>
      <c r="C22" s="10">
        <f>IF($AB22="","",IF(INDEX(기본자료!$C$2:$C$1001,$AB22)="","",INDEX(기본자료!$C$2:$C$1001,$AB22)))</f>
        <v/>
      </c>
      <c r="D22" s="10">
        <f>IF($AB22="","",IF(INDEX(기본자료!$J$2:$J$1001,$AB22)="","",INDEX(기본자료!$J$2:$J$1001,$AB22)))</f>
        <v/>
      </c>
      <c r="E22" s="11">
        <f>IF($AB22="","",IF(INDEX(기본자료!$K$2:$K$1001,$AB22)="","",IF(NOT(ISNUMBER(INDEX(기본자료!$K$2:$K$1001,$AB22))),INDEX(기본자료!$K$2:$K$1001,$AB22),IF(INDEX(기본자료!$K$2:$K$1001,$AB22)&lt;1000000,INDEX(기본자료!$K$2:$K$1001,$AB22),IF(AND(INDEX(기본자료!$K$2:$K$1001,$AB22)&gt;=10000101,INT(MOD(INDEX(기본자료!$K$2:$K$1001,$AB22),10000)/100)&gt;=1,INT(MOD(INDEX(기본자료!$K$2:$K$1001,$AB22),10000)/100)&lt;=12,MOD(INDEX(기본자료!$K$2:$K$1001,$AB22),100)&gt;=1,MOD(INDEX(기본자료!$K$2:$K$1001,$AB22),100)&lt;=31),DATE(INT(INDEX(기본자료!$K$2:$K$1001,$AB22)/10000),INT(MOD(INDEX(기본자료!$K$2:$K$1001,$AB22),10000)/100),MOD(INDEX(기본자료!$K$2:$K$1001,$AB22),100)),INDEX(기본자료!$K$2:$K$1001,$AB22)&amp;"")))))</f>
        <v/>
      </c>
      <c r="F22" s="10">
        <f>IF($AB22="","",IF(INDEX(기본자료!$D$2:$D$1001,$AB22)="","",INDEX(기본자료!$D$2:$D$1001,$AB22)))</f>
        <v/>
      </c>
      <c r="G22" s="10">
        <f>IF($AB22="","",IF(INDEX(기본자료!$E$2:$E$1001,$AB22)="","",INDEX(기본자료!$E$2:$E$1001,$AB22)))</f>
        <v/>
      </c>
      <c r="H22" s="10">
        <f>IF($AB22="","",IF(INDEX(기본자료!$F$2:$F$1001,$AB22)="","",INDEX(기본자료!$F$2:$F$1001,$AB22)))</f>
        <v/>
      </c>
      <c r="I22" s="11">
        <f>IF($AB22="","",IF(INDEX(기본자료!$G$2:$G$1001,$AB22)="","",IF(NOT(ISNUMBER(INDEX(기본자료!$G$2:$G$1001,$AB22))),INDEX(기본자료!$G$2:$G$1001,$AB22),IF(INDEX(기본자료!$G$2:$G$1001,$AB22)&lt;1000000,INDEX(기본자료!$G$2:$G$1001,$AB22),IF(AND(INDEX(기본자료!$G$2:$G$1001,$AB22)&gt;=10000101,INT(MOD(INDEX(기본자료!$G$2:$G$1001,$AB22),10000)/100)&gt;=1,INT(MOD(INDEX(기본자료!$G$2:$G$1001,$AB22),10000)/100)&lt;=12,MOD(INDEX(기본자료!$G$2:$G$1001,$AB22),100)&gt;=1,MOD(INDEX(기본자료!$G$2:$G$1001,$AB22),100)&lt;=31),DATE(INT(INDEX(기본자료!$G$2:$G$1001,$AB22)/10000),INT(MOD(INDEX(기본자료!$G$2:$G$1001,$AB22),10000)/100),MOD(INDEX(기본자료!$G$2:$G$1001,$AB22),100)),INDEX(기본자료!$G$2:$G$1001,$AB22)&amp;"")))))</f>
        <v/>
      </c>
      <c r="J22" s="10">
        <f>IF($AB22="","",IF(INDEX(기본자료!$H$2:$H$1001,$AB22)="","",INDEX(기본자료!$H$2:$H$1001,$AB22)))</f>
        <v/>
      </c>
      <c r="K22" s="10">
        <f>IF($AB22="","",IF(INDEX(기본자료!$I$2:$I$1001,$AB22)="","",INDEX(기본자료!$I$2:$I$1001,$AB22)))</f>
        <v/>
      </c>
      <c r="L22" s="10">
        <f>IF($AB22="","",IF(INDEX(기본자료!$A$2:$A$1001,$AB22)="","",INDEX(기본자료!$A$2:$A$1001,$AB22)))</f>
        <v/>
      </c>
      <c r="M22" s="15" t="n"/>
      <c r="N22" s="10">
        <f>IF($B22="","",IF(AND($U22="파견중",$Q22&lt;&gt;""),$Q22,IF(AND($AD22&lt;&gt;"",LEFT($AD22,1)&lt;&gt;"⚠"),LEFT($AD22,FIND(" ",$AD22)-1),IF($H22="","",IF(RIGHT($H22,2)="병원",$H22,$H22&amp;"병원")))))</f>
        <v/>
      </c>
      <c r="O22" s="10">
        <f>IF($B22="","",IF(AND($U22="파견중",$Q22&lt;&gt;""),IF($R22&lt;&gt;"",$R22,"파견과 미입력"),IF(AND($AD22&lt;&gt;"",LEFT($AD22,1)&lt;&gt;"⚠"),MID($AD22,FIND(" ",$AD22)+1,60),IF($F22="","",IF($F22="인턴","수련교육부(인턴)",$F22)))))</f>
        <v/>
      </c>
      <c r="P22" s="10">
        <f>IF($B22="","",IF($AK22&lt;&gt;"",IF(AND(TODAY()&gt;=INDEX(파견수련계획!$AB$4:$AB$83,$AK22),OR(NOT(ISNUMBER(INDEX(파견수련계획!$AC$4:$AC$83,$AK22))),TODAY()&lt;=INDEX(파견수련계획!$AC$4:$AC$83,$AK22))),"다기관",IF($AF22="","",INDEX(파견수련계획!$T$4:$T$83,$AF22))),IF($AF22="","",INDEX(파견수련계획!$T$4:$T$83,$AF22))))</f>
        <v/>
      </c>
      <c r="Q22" s="10">
        <f>IF($AF22="","",INDEX(파견수련계획!$S$4:$S$83,$AF22))</f>
        <v/>
      </c>
      <c r="R22" s="10">
        <f>IF($AF22="","",INDEX(파견수련계획!$U$4:$U$83,$AF22))</f>
        <v/>
      </c>
      <c r="S22" s="11">
        <f>IF($AF22="","",IF(INDEX(파견수련계획!$H$4:$H$83,$AF22)="","",INDEX(파견수련계획!$H$4:$H$83,$AF22)))</f>
        <v/>
      </c>
      <c r="T22" s="11">
        <f>IF($AF22="","",IF(INDEX(파견수련계획!$I$4:$I$83,$AF22)="","",INDEX(파견수련계획!$I$4:$I$83,$AF22)))</f>
        <v/>
      </c>
      <c r="U22" s="10">
        <f>IF($AF22="","",INDEX(파견수련계획!$X$4:$X$83,$AF22))</f>
        <v/>
      </c>
      <c r="V22" s="17">
        <f>IF($AF22="","",INDEX(파견수련계획!$V$4:$V$83,$AF22))</f>
        <v/>
      </c>
      <c r="W22" s="17">
        <f>IF(AND($U22="파견중",$T22&lt;&gt;""),$T22-TODAY(),"")</f>
        <v/>
      </c>
      <c r="X22" s="17">
        <f>IF(OR($B22="",TRIM($J22&amp;"")=""),"",SUMPRODUCT((파견수련계획!$Q$4:$Q$83=TRIM($J22&amp;""))*파견수련계획!$W$4:$W$83))</f>
        <v/>
      </c>
      <c r="Y22" s="10">
        <f>IF($B22="","",IF($AG22="","",IF(IF(TRIM($J22&amp;"")="",0,SUMPRODUCT((파견수련계획!$Q$4:$Q$83=TRIM($J22&amp;""))*파견수련계획!$AD$4:$AD$83))&gt;0,$AE22,IF(N($X22)&lt;=0,$AG22,IF($AH22+$AI22=DAY(EOMONTH(요약!$B$3,0)),IF(AND($AH22&gt;=요약!$E$3,$AI22&lt;요약!$E$3),"서울병원",IF(AND($AI22&gt;=요약!$E$3,$AH22&lt;요약!$E$3),"구리병원","⚠15일 판정불가(서울 "&amp;$AH22&amp;"일/구리 "&amp;$AI22&amp;"일)")),IF($AJ22="",$AE22,IF(INDEX(파견수련계획!$T$4:$T$83,$AJ22)="통합수련",INDEX(파견수련계획!$S$4:$S$83,$AJ22),$AE22)))))))</f>
        <v/>
      </c>
      <c r="Z22" s="19">
        <f>IF($B22="","",IF($AB22="","기본자료에 없는 사번",IF(COUNTIF($B$2:$B$401,$B22)&gt;1,"중복 사번",IF($AE22="","소속(입사장소) 입력",IF(IF(TRIM($J22&amp;"")="",0,SUMPRODUCT((파견수련계획!$Q$4:$Q$83=TRIM($J22&amp;""))*(파견수련계획!$AA$4:$AA$83&lt;&gt;"")))&gt;0,"파견수련계획 입력오류 확인",IF(LEFT($Y22,1)="⚠","서울·구리 15일 판정 불가(양쪽 모두 이상/미만)",IF(IF($AC22="",0,N(INDEX(인턴근무계획!$T$3:$T$62,$AC22)))&gt;0,"인턴계획 입력오류 확인",IF(AND($AC22&lt;&gt;"",$U22&lt;&gt;"파견중",$N22&lt;&gt;$AE22),"인턴 타지역 근무: 파견 여부 확인","정상"))))))))</f>
        <v/>
      </c>
      <c r="AA22" s="5" t="n"/>
      <c r="AB22" s="10">
        <f>IF($B22="","",IFERROR(MATCH($B22,기본자료!$B$2:$B$1001,0),IFERROR(MATCH($B22&amp;"",기본자료!$B$2:$B$1001,0),IFERROR(MATCH(VALUE($B22),기본자료!$B$2:$B$1001,0),""))))</f>
        <v/>
      </c>
      <c r="AC22" s="10">
        <f>IF($B22="","",IFERROR(MATCH($B22,인턴근무계획!$D$3:$D$62,0),IFERROR(MATCH($B22&amp;"",인턴근무계획!$D$3:$D$62,0),IFERROR(MATCH(VALUE($B22),인턴근무계획!$D$3:$D$62,0),""))))</f>
        <v/>
      </c>
      <c r="AD22" s="10">
        <f>IF(OR($AC22="",인턴현황!$G$3=""),"",INDEX(인턴근무계획!$M$3:$R$62,$AC22,인턴현황!$G$3)&amp;"")</f>
        <v/>
      </c>
      <c r="AE22" s="10">
        <f>IF($B22="","",IF($M22&lt;&gt;"",$M22,IF($AF22&lt;&gt;"",IF(LEFT(INDEX(파견수련계획!$R$4:$R$83,$AF22),1)&lt;&gt;"⚠",INDEX(파견수련계획!$R$4:$R$83,$AF22),IF($H22="","",IF(RIGHT($H22,2)="병원",$H22,$H22&amp;"병원"))),IF($H22="","",IF(RIGHT($H22,2)="병원",$H22,$H22&amp;"병원")))))</f>
        <v/>
      </c>
      <c r="AF22" s="10">
        <f>IF(OR($B22="",TRIM($J22&amp;"")=""),"",IFERROR(MATCH(TRIM($J22&amp;"")&amp;"|파견중",파견수련계획!$Y$4:$Y$83,0),IFERROR(MATCH(TRIM($J22&amp;"")&amp;"|파견예정",파견수련계획!$Y$4:$Y$83,0),IFERROR(MATCH(TRIM($J22&amp;"")&amp;"|파견종료",파견수련계획!$Y$4:$Y$83,0),""))))</f>
        <v/>
      </c>
      <c r="AG22" s="10">
        <f>IF($B22="","",IF(AND(IF(OR($AC22="",인턴현황!$K$2=""),"",INDEX(인턴근무계획!$M$3:$R$62,$AC22,인턴현황!$K$2)&amp;"")&lt;&gt;"",LEFT(IF(OR($AC22="",인턴현황!$K$2=""),"",INDEX(인턴근무계획!$M$3:$R$62,$AC22,인턴현황!$K$2)&amp;""),1)&lt;&gt;"⚠"),LEFT(IF(OR($AC22="",인턴현황!$K$2=""),"",INDEX(인턴근무계획!$M$3:$R$62,$AC22,인턴현황!$K$2)&amp;""),FIND(" ",IF(OR($AC22="",인턴현황!$K$2=""),"",INDEX(인턴근무계획!$M$3:$R$62,$AC22,인턴현황!$K$2)&amp;""))-1),$AE22))</f>
        <v/>
      </c>
      <c r="AH22" s="17">
        <f>IF($B22="","",IF(TRIM($J22&amp;"")="",0,SUMPRODUCT((파견수련계획!$Q$4:$Q$83=TRIM($J22&amp;""))*(파견수련계획!$S$4:$S$83="서울병원")*파견수련계획!$W$4:$W$83))+IF($AG22="서울병원",MAX(0,DAY(EOMONTH(요약!$B$3,0))-N($X22)),0))</f>
        <v/>
      </c>
      <c r="AI22" s="17">
        <f>IF($B22="","",IF(TRIM($J22&amp;"")="",0,SUMPRODUCT((파견수련계획!$Q$4:$Q$83=TRIM($J22&amp;""))*(파견수련계획!$S$4:$S$83="구리병원")*파견수련계획!$W$4:$W$83))+IF($AG22="구리병원",MAX(0,DAY(EOMONTH(요약!$B$3,0))-N($X22)),0))</f>
        <v/>
      </c>
      <c r="AJ22" s="10">
        <f>IF(OR($B22="",TRIM($J22&amp;"")=""),"",IFERROR(MATCH(TRIM($J22&amp;"")&amp;"|월",파견수련계획!$Z$4:$Z$83,0),""))</f>
        <v/>
      </c>
      <c r="AK22" s="10">
        <f>IF(OR($B22="",TRIM($J22&amp;"")=""),"",IFERROR(MATCH(TRIM($J22&amp;"")&amp;"|다기관",파견수련계획!$AE$4:$AE$83,0),""))</f>
        <v/>
      </c>
      <c r="AL22" s="10">
        <f>IF($AK22="","","다기관 "&amp;TEXT(INDEX(파견수련계획!$AB$4:$AB$83,$AK22),"yyyy-mm-dd")&amp;"~"&amp;IF(ISNUMBER(INDEX(파견수련계획!$AC$4:$AC$83,$AK22)),TEXT(INDEX(파견수련계획!$AC$4:$AC$83,$AK22),"yyyy-mm-dd"),""))</f>
        <v/>
      </c>
    </row>
    <row r="23">
      <c r="A23" s="10">
        <f>IF(B23="","",ROW()-1)</f>
        <v/>
      </c>
      <c r="B23" s="18" t="n"/>
      <c r="C23" s="10">
        <f>IF($AB23="","",IF(INDEX(기본자료!$C$2:$C$1001,$AB23)="","",INDEX(기본자료!$C$2:$C$1001,$AB23)))</f>
        <v/>
      </c>
      <c r="D23" s="10">
        <f>IF($AB23="","",IF(INDEX(기본자료!$J$2:$J$1001,$AB23)="","",INDEX(기본자료!$J$2:$J$1001,$AB23)))</f>
        <v/>
      </c>
      <c r="E23" s="11">
        <f>IF($AB23="","",IF(INDEX(기본자료!$K$2:$K$1001,$AB23)="","",IF(NOT(ISNUMBER(INDEX(기본자료!$K$2:$K$1001,$AB23))),INDEX(기본자료!$K$2:$K$1001,$AB23),IF(INDEX(기본자료!$K$2:$K$1001,$AB23)&lt;1000000,INDEX(기본자료!$K$2:$K$1001,$AB23),IF(AND(INDEX(기본자료!$K$2:$K$1001,$AB23)&gt;=10000101,INT(MOD(INDEX(기본자료!$K$2:$K$1001,$AB23),10000)/100)&gt;=1,INT(MOD(INDEX(기본자료!$K$2:$K$1001,$AB23),10000)/100)&lt;=12,MOD(INDEX(기본자료!$K$2:$K$1001,$AB23),100)&gt;=1,MOD(INDEX(기본자료!$K$2:$K$1001,$AB23),100)&lt;=31),DATE(INT(INDEX(기본자료!$K$2:$K$1001,$AB23)/10000),INT(MOD(INDEX(기본자료!$K$2:$K$1001,$AB23),10000)/100),MOD(INDEX(기본자료!$K$2:$K$1001,$AB23),100)),INDEX(기본자료!$K$2:$K$1001,$AB23)&amp;"")))))</f>
        <v/>
      </c>
      <c r="F23" s="10">
        <f>IF($AB23="","",IF(INDEX(기본자료!$D$2:$D$1001,$AB23)="","",INDEX(기본자료!$D$2:$D$1001,$AB23)))</f>
        <v/>
      </c>
      <c r="G23" s="10">
        <f>IF($AB23="","",IF(INDEX(기본자료!$E$2:$E$1001,$AB23)="","",INDEX(기본자료!$E$2:$E$1001,$AB23)))</f>
        <v/>
      </c>
      <c r="H23" s="10">
        <f>IF($AB23="","",IF(INDEX(기본자료!$F$2:$F$1001,$AB23)="","",INDEX(기본자료!$F$2:$F$1001,$AB23)))</f>
        <v/>
      </c>
      <c r="I23" s="11">
        <f>IF($AB23="","",IF(INDEX(기본자료!$G$2:$G$1001,$AB23)="","",IF(NOT(ISNUMBER(INDEX(기본자료!$G$2:$G$1001,$AB23))),INDEX(기본자료!$G$2:$G$1001,$AB23),IF(INDEX(기본자료!$G$2:$G$1001,$AB23)&lt;1000000,INDEX(기본자료!$G$2:$G$1001,$AB23),IF(AND(INDEX(기본자료!$G$2:$G$1001,$AB23)&gt;=10000101,INT(MOD(INDEX(기본자료!$G$2:$G$1001,$AB23),10000)/100)&gt;=1,INT(MOD(INDEX(기본자료!$G$2:$G$1001,$AB23),10000)/100)&lt;=12,MOD(INDEX(기본자료!$G$2:$G$1001,$AB23),100)&gt;=1,MOD(INDEX(기본자료!$G$2:$G$1001,$AB23),100)&lt;=31),DATE(INT(INDEX(기본자료!$G$2:$G$1001,$AB23)/10000),INT(MOD(INDEX(기본자료!$G$2:$G$1001,$AB23),10000)/100),MOD(INDEX(기본자료!$G$2:$G$1001,$AB23),100)),INDEX(기본자료!$G$2:$G$1001,$AB23)&amp;"")))))</f>
        <v/>
      </c>
      <c r="J23" s="10">
        <f>IF($AB23="","",IF(INDEX(기본자료!$H$2:$H$1001,$AB23)="","",INDEX(기본자료!$H$2:$H$1001,$AB23)))</f>
        <v/>
      </c>
      <c r="K23" s="10">
        <f>IF($AB23="","",IF(INDEX(기본자료!$I$2:$I$1001,$AB23)="","",INDEX(기본자료!$I$2:$I$1001,$AB23)))</f>
        <v/>
      </c>
      <c r="L23" s="10">
        <f>IF($AB23="","",IF(INDEX(기본자료!$A$2:$A$1001,$AB23)="","",INDEX(기본자료!$A$2:$A$1001,$AB23)))</f>
        <v/>
      </c>
      <c r="M23" s="15" t="n"/>
      <c r="N23" s="10">
        <f>IF($B23="","",IF(AND($U23="파견중",$Q23&lt;&gt;""),$Q23,IF(AND($AD23&lt;&gt;"",LEFT($AD23,1)&lt;&gt;"⚠"),LEFT($AD23,FIND(" ",$AD23)-1),IF($H23="","",IF(RIGHT($H23,2)="병원",$H23,$H23&amp;"병원")))))</f>
        <v/>
      </c>
      <c r="O23" s="10">
        <f>IF($B23="","",IF(AND($U23="파견중",$Q23&lt;&gt;""),IF($R23&lt;&gt;"",$R23,"파견과 미입력"),IF(AND($AD23&lt;&gt;"",LEFT($AD23,1)&lt;&gt;"⚠"),MID($AD23,FIND(" ",$AD23)+1,60),IF($F23="","",IF($F23="인턴","수련교육부(인턴)",$F23)))))</f>
        <v/>
      </c>
      <c r="P23" s="10">
        <f>IF($B23="","",IF($AK23&lt;&gt;"",IF(AND(TODAY()&gt;=INDEX(파견수련계획!$AB$4:$AB$83,$AK23),OR(NOT(ISNUMBER(INDEX(파견수련계획!$AC$4:$AC$83,$AK23))),TODAY()&lt;=INDEX(파견수련계획!$AC$4:$AC$83,$AK23))),"다기관",IF($AF23="","",INDEX(파견수련계획!$T$4:$T$83,$AF23))),IF($AF23="","",INDEX(파견수련계획!$T$4:$T$83,$AF23))))</f>
        <v/>
      </c>
      <c r="Q23" s="10">
        <f>IF($AF23="","",INDEX(파견수련계획!$S$4:$S$83,$AF23))</f>
        <v/>
      </c>
      <c r="R23" s="10">
        <f>IF($AF23="","",INDEX(파견수련계획!$U$4:$U$83,$AF23))</f>
        <v/>
      </c>
      <c r="S23" s="11">
        <f>IF($AF23="","",IF(INDEX(파견수련계획!$H$4:$H$83,$AF23)="","",INDEX(파견수련계획!$H$4:$H$83,$AF23)))</f>
        <v/>
      </c>
      <c r="T23" s="11">
        <f>IF($AF23="","",IF(INDEX(파견수련계획!$I$4:$I$83,$AF23)="","",INDEX(파견수련계획!$I$4:$I$83,$AF23)))</f>
        <v/>
      </c>
      <c r="U23" s="10">
        <f>IF($AF23="","",INDEX(파견수련계획!$X$4:$X$83,$AF23))</f>
        <v/>
      </c>
      <c r="V23" s="17">
        <f>IF($AF23="","",INDEX(파견수련계획!$V$4:$V$83,$AF23))</f>
        <v/>
      </c>
      <c r="W23" s="17">
        <f>IF(AND($U23="파견중",$T23&lt;&gt;""),$T23-TODAY(),"")</f>
        <v/>
      </c>
      <c r="X23" s="17">
        <f>IF(OR($B23="",TRIM($J23&amp;"")=""),"",SUMPRODUCT((파견수련계획!$Q$4:$Q$83=TRIM($J23&amp;""))*파견수련계획!$W$4:$W$83))</f>
        <v/>
      </c>
      <c r="Y23" s="10">
        <f>IF($B23="","",IF($AG23="","",IF(IF(TRIM($J23&amp;"")="",0,SUMPRODUCT((파견수련계획!$Q$4:$Q$83=TRIM($J23&amp;""))*파견수련계획!$AD$4:$AD$83))&gt;0,$AE23,IF(N($X23)&lt;=0,$AG23,IF($AH23+$AI23=DAY(EOMONTH(요약!$B$3,0)),IF(AND($AH23&gt;=요약!$E$3,$AI23&lt;요약!$E$3),"서울병원",IF(AND($AI23&gt;=요약!$E$3,$AH23&lt;요약!$E$3),"구리병원","⚠15일 판정불가(서울 "&amp;$AH23&amp;"일/구리 "&amp;$AI23&amp;"일)")),IF($AJ23="",$AE23,IF(INDEX(파견수련계획!$T$4:$T$83,$AJ23)="통합수련",INDEX(파견수련계획!$S$4:$S$83,$AJ23),$AE23)))))))</f>
        <v/>
      </c>
      <c r="Z23" s="19">
        <f>IF($B23="","",IF($AB23="","기본자료에 없는 사번",IF(COUNTIF($B$2:$B$401,$B23)&gt;1,"중복 사번",IF($AE23="","소속(입사장소) 입력",IF(IF(TRIM($J23&amp;"")="",0,SUMPRODUCT((파견수련계획!$Q$4:$Q$83=TRIM($J23&amp;""))*(파견수련계획!$AA$4:$AA$83&lt;&gt;"")))&gt;0,"파견수련계획 입력오류 확인",IF(LEFT($Y23,1)="⚠","서울·구리 15일 판정 불가(양쪽 모두 이상/미만)",IF(IF($AC23="",0,N(INDEX(인턴근무계획!$T$3:$T$62,$AC23)))&gt;0,"인턴계획 입력오류 확인",IF(AND($AC23&lt;&gt;"",$U23&lt;&gt;"파견중",$N23&lt;&gt;$AE23),"인턴 타지역 근무: 파견 여부 확인","정상"))))))))</f>
        <v/>
      </c>
      <c r="AA23" s="5" t="n"/>
      <c r="AB23" s="10">
        <f>IF($B23="","",IFERROR(MATCH($B23,기본자료!$B$2:$B$1001,0),IFERROR(MATCH($B23&amp;"",기본자료!$B$2:$B$1001,0),IFERROR(MATCH(VALUE($B23),기본자료!$B$2:$B$1001,0),""))))</f>
        <v/>
      </c>
      <c r="AC23" s="10">
        <f>IF($B23="","",IFERROR(MATCH($B23,인턴근무계획!$D$3:$D$62,0),IFERROR(MATCH($B23&amp;"",인턴근무계획!$D$3:$D$62,0),IFERROR(MATCH(VALUE($B23),인턴근무계획!$D$3:$D$62,0),""))))</f>
        <v/>
      </c>
      <c r="AD23" s="10">
        <f>IF(OR($AC23="",인턴현황!$G$3=""),"",INDEX(인턴근무계획!$M$3:$R$62,$AC23,인턴현황!$G$3)&amp;"")</f>
        <v/>
      </c>
      <c r="AE23" s="10">
        <f>IF($B23="","",IF($M23&lt;&gt;"",$M23,IF($AF23&lt;&gt;"",IF(LEFT(INDEX(파견수련계획!$R$4:$R$83,$AF23),1)&lt;&gt;"⚠",INDEX(파견수련계획!$R$4:$R$83,$AF23),IF($H23="","",IF(RIGHT($H23,2)="병원",$H23,$H23&amp;"병원"))),IF($H23="","",IF(RIGHT($H23,2)="병원",$H23,$H23&amp;"병원")))))</f>
        <v/>
      </c>
      <c r="AF23" s="10">
        <f>IF(OR($B23="",TRIM($J23&amp;"")=""),"",IFERROR(MATCH(TRIM($J23&amp;"")&amp;"|파견중",파견수련계획!$Y$4:$Y$83,0),IFERROR(MATCH(TRIM($J23&amp;"")&amp;"|파견예정",파견수련계획!$Y$4:$Y$83,0),IFERROR(MATCH(TRIM($J23&amp;"")&amp;"|파견종료",파견수련계획!$Y$4:$Y$83,0),""))))</f>
        <v/>
      </c>
      <c r="AG23" s="10">
        <f>IF($B23="","",IF(AND(IF(OR($AC23="",인턴현황!$K$2=""),"",INDEX(인턴근무계획!$M$3:$R$62,$AC23,인턴현황!$K$2)&amp;"")&lt;&gt;"",LEFT(IF(OR($AC23="",인턴현황!$K$2=""),"",INDEX(인턴근무계획!$M$3:$R$62,$AC23,인턴현황!$K$2)&amp;""),1)&lt;&gt;"⚠"),LEFT(IF(OR($AC23="",인턴현황!$K$2=""),"",INDEX(인턴근무계획!$M$3:$R$62,$AC23,인턴현황!$K$2)&amp;""),FIND(" ",IF(OR($AC23="",인턴현황!$K$2=""),"",INDEX(인턴근무계획!$M$3:$R$62,$AC23,인턴현황!$K$2)&amp;""))-1),$AE23))</f>
        <v/>
      </c>
      <c r="AH23" s="17">
        <f>IF($B23="","",IF(TRIM($J23&amp;"")="",0,SUMPRODUCT((파견수련계획!$Q$4:$Q$83=TRIM($J23&amp;""))*(파견수련계획!$S$4:$S$83="서울병원")*파견수련계획!$W$4:$W$83))+IF($AG23="서울병원",MAX(0,DAY(EOMONTH(요약!$B$3,0))-N($X23)),0))</f>
        <v/>
      </c>
      <c r="AI23" s="17">
        <f>IF($B23="","",IF(TRIM($J23&amp;"")="",0,SUMPRODUCT((파견수련계획!$Q$4:$Q$83=TRIM($J23&amp;""))*(파견수련계획!$S$4:$S$83="구리병원")*파견수련계획!$W$4:$W$83))+IF($AG23="구리병원",MAX(0,DAY(EOMONTH(요약!$B$3,0))-N($X23)),0))</f>
        <v/>
      </c>
      <c r="AJ23" s="10">
        <f>IF(OR($B23="",TRIM($J23&amp;"")=""),"",IFERROR(MATCH(TRIM($J23&amp;"")&amp;"|월",파견수련계획!$Z$4:$Z$83,0),""))</f>
        <v/>
      </c>
      <c r="AK23" s="10">
        <f>IF(OR($B23="",TRIM($J23&amp;"")=""),"",IFERROR(MATCH(TRIM($J23&amp;"")&amp;"|다기관",파견수련계획!$AE$4:$AE$83,0),""))</f>
        <v/>
      </c>
      <c r="AL23" s="10">
        <f>IF($AK23="","","다기관 "&amp;TEXT(INDEX(파견수련계획!$AB$4:$AB$83,$AK23),"yyyy-mm-dd")&amp;"~"&amp;IF(ISNUMBER(INDEX(파견수련계획!$AC$4:$AC$83,$AK23)),TEXT(INDEX(파견수련계획!$AC$4:$AC$83,$AK23),"yyyy-mm-dd"),""))</f>
        <v/>
      </c>
    </row>
    <row r="24">
      <c r="A24" s="10">
        <f>IF(B24="","",ROW()-1)</f>
        <v/>
      </c>
      <c r="B24" s="18" t="n"/>
      <c r="C24" s="10">
        <f>IF($AB24="","",IF(INDEX(기본자료!$C$2:$C$1001,$AB24)="","",INDEX(기본자료!$C$2:$C$1001,$AB24)))</f>
        <v/>
      </c>
      <c r="D24" s="10">
        <f>IF($AB24="","",IF(INDEX(기본자료!$J$2:$J$1001,$AB24)="","",INDEX(기본자료!$J$2:$J$1001,$AB24)))</f>
        <v/>
      </c>
      <c r="E24" s="11">
        <f>IF($AB24="","",IF(INDEX(기본자료!$K$2:$K$1001,$AB24)="","",IF(NOT(ISNUMBER(INDEX(기본자료!$K$2:$K$1001,$AB24))),INDEX(기본자료!$K$2:$K$1001,$AB24),IF(INDEX(기본자료!$K$2:$K$1001,$AB24)&lt;1000000,INDEX(기본자료!$K$2:$K$1001,$AB24),IF(AND(INDEX(기본자료!$K$2:$K$1001,$AB24)&gt;=10000101,INT(MOD(INDEX(기본자료!$K$2:$K$1001,$AB24),10000)/100)&gt;=1,INT(MOD(INDEX(기본자료!$K$2:$K$1001,$AB24),10000)/100)&lt;=12,MOD(INDEX(기본자료!$K$2:$K$1001,$AB24),100)&gt;=1,MOD(INDEX(기본자료!$K$2:$K$1001,$AB24),100)&lt;=31),DATE(INT(INDEX(기본자료!$K$2:$K$1001,$AB24)/10000),INT(MOD(INDEX(기본자료!$K$2:$K$1001,$AB24),10000)/100),MOD(INDEX(기본자료!$K$2:$K$1001,$AB24),100)),INDEX(기본자료!$K$2:$K$1001,$AB24)&amp;"")))))</f>
        <v/>
      </c>
      <c r="F24" s="10">
        <f>IF($AB24="","",IF(INDEX(기본자료!$D$2:$D$1001,$AB24)="","",INDEX(기본자료!$D$2:$D$1001,$AB24)))</f>
        <v/>
      </c>
      <c r="G24" s="10">
        <f>IF($AB24="","",IF(INDEX(기본자료!$E$2:$E$1001,$AB24)="","",INDEX(기본자료!$E$2:$E$1001,$AB24)))</f>
        <v/>
      </c>
      <c r="H24" s="10">
        <f>IF($AB24="","",IF(INDEX(기본자료!$F$2:$F$1001,$AB24)="","",INDEX(기본자료!$F$2:$F$1001,$AB24)))</f>
        <v/>
      </c>
      <c r="I24" s="11">
        <f>IF($AB24="","",IF(INDEX(기본자료!$G$2:$G$1001,$AB24)="","",IF(NOT(ISNUMBER(INDEX(기본자료!$G$2:$G$1001,$AB24))),INDEX(기본자료!$G$2:$G$1001,$AB24),IF(INDEX(기본자료!$G$2:$G$1001,$AB24)&lt;1000000,INDEX(기본자료!$G$2:$G$1001,$AB24),IF(AND(INDEX(기본자료!$G$2:$G$1001,$AB24)&gt;=10000101,INT(MOD(INDEX(기본자료!$G$2:$G$1001,$AB24),10000)/100)&gt;=1,INT(MOD(INDEX(기본자료!$G$2:$G$1001,$AB24),10000)/100)&lt;=12,MOD(INDEX(기본자료!$G$2:$G$1001,$AB24),100)&gt;=1,MOD(INDEX(기본자료!$G$2:$G$1001,$AB24),100)&lt;=31),DATE(INT(INDEX(기본자료!$G$2:$G$1001,$AB24)/10000),INT(MOD(INDEX(기본자료!$G$2:$G$1001,$AB24),10000)/100),MOD(INDEX(기본자료!$G$2:$G$1001,$AB24),100)),INDEX(기본자료!$G$2:$G$1001,$AB24)&amp;"")))))</f>
        <v/>
      </c>
      <c r="J24" s="10">
        <f>IF($AB24="","",IF(INDEX(기본자료!$H$2:$H$1001,$AB24)="","",INDEX(기본자료!$H$2:$H$1001,$AB24)))</f>
        <v/>
      </c>
      <c r="K24" s="10">
        <f>IF($AB24="","",IF(INDEX(기본자료!$I$2:$I$1001,$AB24)="","",INDEX(기본자료!$I$2:$I$1001,$AB24)))</f>
        <v/>
      </c>
      <c r="L24" s="10">
        <f>IF($AB24="","",IF(INDEX(기본자료!$A$2:$A$1001,$AB24)="","",INDEX(기본자료!$A$2:$A$1001,$AB24)))</f>
        <v/>
      </c>
      <c r="M24" s="15" t="n"/>
      <c r="N24" s="10">
        <f>IF($B24="","",IF(AND($U24="파견중",$Q24&lt;&gt;""),$Q24,IF(AND($AD24&lt;&gt;"",LEFT($AD24,1)&lt;&gt;"⚠"),LEFT($AD24,FIND(" ",$AD24)-1),IF($H24="","",IF(RIGHT($H24,2)="병원",$H24,$H24&amp;"병원")))))</f>
        <v/>
      </c>
      <c r="O24" s="10">
        <f>IF($B24="","",IF(AND($U24="파견중",$Q24&lt;&gt;""),IF($R24&lt;&gt;"",$R24,"파견과 미입력"),IF(AND($AD24&lt;&gt;"",LEFT($AD24,1)&lt;&gt;"⚠"),MID($AD24,FIND(" ",$AD24)+1,60),IF($F24="","",IF($F24="인턴","수련교육부(인턴)",$F24)))))</f>
        <v/>
      </c>
      <c r="P24" s="10">
        <f>IF($B24="","",IF($AK24&lt;&gt;"",IF(AND(TODAY()&gt;=INDEX(파견수련계획!$AB$4:$AB$83,$AK24),OR(NOT(ISNUMBER(INDEX(파견수련계획!$AC$4:$AC$83,$AK24))),TODAY()&lt;=INDEX(파견수련계획!$AC$4:$AC$83,$AK24))),"다기관",IF($AF24="","",INDEX(파견수련계획!$T$4:$T$83,$AF24))),IF($AF24="","",INDEX(파견수련계획!$T$4:$T$83,$AF24))))</f>
        <v/>
      </c>
      <c r="Q24" s="10">
        <f>IF($AF24="","",INDEX(파견수련계획!$S$4:$S$83,$AF24))</f>
        <v/>
      </c>
      <c r="R24" s="10">
        <f>IF($AF24="","",INDEX(파견수련계획!$U$4:$U$83,$AF24))</f>
        <v/>
      </c>
      <c r="S24" s="11">
        <f>IF($AF24="","",IF(INDEX(파견수련계획!$H$4:$H$83,$AF24)="","",INDEX(파견수련계획!$H$4:$H$83,$AF24)))</f>
        <v/>
      </c>
      <c r="T24" s="11">
        <f>IF($AF24="","",IF(INDEX(파견수련계획!$I$4:$I$83,$AF24)="","",INDEX(파견수련계획!$I$4:$I$83,$AF24)))</f>
        <v/>
      </c>
      <c r="U24" s="10">
        <f>IF($AF24="","",INDEX(파견수련계획!$X$4:$X$83,$AF24))</f>
        <v/>
      </c>
      <c r="V24" s="17">
        <f>IF($AF24="","",INDEX(파견수련계획!$V$4:$V$83,$AF24))</f>
        <v/>
      </c>
      <c r="W24" s="17">
        <f>IF(AND($U24="파견중",$T24&lt;&gt;""),$T24-TODAY(),"")</f>
        <v/>
      </c>
      <c r="X24" s="17">
        <f>IF(OR($B24="",TRIM($J24&amp;"")=""),"",SUMPRODUCT((파견수련계획!$Q$4:$Q$83=TRIM($J24&amp;""))*파견수련계획!$W$4:$W$83))</f>
        <v/>
      </c>
      <c r="Y24" s="10">
        <f>IF($B24="","",IF($AG24="","",IF(IF(TRIM($J24&amp;"")="",0,SUMPRODUCT((파견수련계획!$Q$4:$Q$83=TRIM($J24&amp;""))*파견수련계획!$AD$4:$AD$83))&gt;0,$AE24,IF(N($X24)&lt;=0,$AG24,IF($AH24+$AI24=DAY(EOMONTH(요약!$B$3,0)),IF(AND($AH24&gt;=요약!$E$3,$AI24&lt;요약!$E$3),"서울병원",IF(AND($AI24&gt;=요약!$E$3,$AH24&lt;요약!$E$3),"구리병원","⚠15일 판정불가(서울 "&amp;$AH24&amp;"일/구리 "&amp;$AI24&amp;"일)")),IF($AJ24="",$AE24,IF(INDEX(파견수련계획!$T$4:$T$83,$AJ24)="통합수련",INDEX(파견수련계획!$S$4:$S$83,$AJ24),$AE24)))))))</f>
        <v/>
      </c>
      <c r="Z24" s="19">
        <f>IF($B24="","",IF($AB24="","기본자료에 없는 사번",IF(COUNTIF($B$2:$B$401,$B24)&gt;1,"중복 사번",IF($AE24="","소속(입사장소) 입력",IF(IF(TRIM($J24&amp;"")="",0,SUMPRODUCT((파견수련계획!$Q$4:$Q$83=TRIM($J24&amp;""))*(파견수련계획!$AA$4:$AA$83&lt;&gt;"")))&gt;0,"파견수련계획 입력오류 확인",IF(LEFT($Y24,1)="⚠","서울·구리 15일 판정 불가(양쪽 모두 이상/미만)",IF(IF($AC24="",0,N(INDEX(인턴근무계획!$T$3:$T$62,$AC24)))&gt;0,"인턴계획 입력오류 확인",IF(AND($AC24&lt;&gt;"",$U24&lt;&gt;"파견중",$N24&lt;&gt;$AE24),"인턴 타지역 근무: 파견 여부 확인","정상"))))))))</f>
        <v/>
      </c>
      <c r="AA24" s="5" t="n"/>
      <c r="AB24" s="10">
        <f>IF($B24="","",IFERROR(MATCH($B24,기본자료!$B$2:$B$1001,0),IFERROR(MATCH($B24&amp;"",기본자료!$B$2:$B$1001,0),IFERROR(MATCH(VALUE($B24),기본자료!$B$2:$B$1001,0),""))))</f>
        <v/>
      </c>
      <c r="AC24" s="10">
        <f>IF($B24="","",IFERROR(MATCH($B24,인턴근무계획!$D$3:$D$62,0),IFERROR(MATCH($B24&amp;"",인턴근무계획!$D$3:$D$62,0),IFERROR(MATCH(VALUE($B24),인턴근무계획!$D$3:$D$62,0),""))))</f>
        <v/>
      </c>
      <c r="AD24" s="10">
        <f>IF(OR($AC24="",인턴현황!$G$3=""),"",INDEX(인턴근무계획!$M$3:$R$62,$AC24,인턴현황!$G$3)&amp;"")</f>
        <v/>
      </c>
      <c r="AE24" s="10">
        <f>IF($B24="","",IF($M24&lt;&gt;"",$M24,IF($AF24&lt;&gt;"",IF(LEFT(INDEX(파견수련계획!$R$4:$R$83,$AF24),1)&lt;&gt;"⚠",INDEX(파견수련계획!$R$4:$R$83,$AF24),IF($H24="","",IF(RIGHT($H24,2)="병원",$H24,$H24&amp;"병원"))),IF($H24="","",IF(RIGHT($H24,2)="병원",$H24,$H24&amp;"병원")))))</f>
        <v/>
      </c>
      <c r="AF24" s="10">
        <f>IF(OR($B24="",TRIM($J24&amp;"")=""),"",IFERROR(MATCH(TRIM($J24&amp;"")&amp;"|파견중",파견수련계획!$Y$4:$Y$83,0),IFERROR(MATCH(TRIM($J24&amp;"")&amp;"|파견예정",파견수련계획!$Y$4:$Y$83,0),IFERROR(MATCH(TRIM($J24&amp;"")&amp;"|파견종료",파견수련계획!$Y$4:$Y$83,0),""))))</f>
        <v/>
      </c>
      <c r="AG24" s="10">
        <f>IF($B24="","",IF(AND(IF(OR($AC24="",인턴현황!$K$2=""),"",INDEX(인턴근무계획!$M$3:$R$62,$AC24,인턴현황!$K$2)&amp;"")&lt;&gt;"",LEFT(IF(OR($AC24="",인턴현황!$K$2=""),"",INDEX(인턴근무계획!$M$3:$R$62,$AC24,인턴현황!$K$2)&amp;""),1)&lt;&gt;"⚠"),LEFT(IF(OR($AC24="",인턴현황!$K$2=""),"",INDEX(인턴근무계획!$M$3:$R$62,$AC24,인턴현황!$K$2)&amp;""),FIND(" ",IF(OR($AC24="",인턴현황!$K$2=""),"",INDEX(인턴근무계획!$M$3:$R$62,$AC24,인턴현황!$K$2)&amp;""))-1),$AE24))</f>
        <v/>
      </c>
      <c r="AH24" s="17">
        <f>IF($B24="","",IF(TRIM($J24&amp;"")="",0,SUMPRODUCT((파견수련계획!$Q$4:$Q$83=TRIM($J24&amp;""))*(파견수련계획!$S$4:$S$83="서울병원")*파견수련계획!$W$4:$W$83))+IF($AG24="서울병원",MAX(0,DAY(EOMONTH(요약!$B$3,0))-N($X24)),0))</f>
        <v/>
      </c>
      <c r="AI24" s="17">
        <f>IF($B24="","",IF(TRIM($J24&amp;"")="",0,SUMPRODUCT((파견수련계획!$Q$4:$Q$83=TRIM($J24&amp;""))*(파견수련계획!$S$4:$S$83="구리병원")*파견수련계획!$W$4:$W$83))+IF($AG24="구리병원",MAX(0,DAY(EOMONTH(요약!$B$3,0))-N($X24)),0))</f>
        <v/>
      </c>
      <c r="AJ24" s="10">
        <f>IF(OR($B24="",TRIM($J24&amp;"")=""),"",IFERROR(MATCH(TRIM($J24&amp;"")&amp;"|월",파견수련계획!$Z$4:$Z$83,0),""))</f>
        <v/>
      </c>
      <c r="AK24" s="10">
        <f>IF(OR($B24="",TRIM($J24&amp;"")=""),"",IFERROR(MATCH(TRIM($J24&amp;"")&amp;"|다기관",파견수련계획!$AE$4:$AE$83,0),""))</f>
        <v/>
      </c>
      <c r="AL24" s="10">
        <f>IF($AK24="","","다기관 "&amp;TEXT(INDEX(파견수련계획!$AB$4:$AB$83,$AK24),"yyyy-mm-dd")&amp;"~"&amp;IF(ISNUMBER(INDEX(파견수련계획!$AC$4:$AC$83,$AK24)),TEXT(INDEX(파견수련계획!$AC$4:$AC$83,$AK24),"yyyy-mm-dd"),""))</f>
        <v/>
      </c>
    </row>
    <row r="25">
      <c r="A25" s="10">
        <f>IF(B25="","",ROW()-1)</f>
        <v/>
      </c>
      <c r="B25" s="18" t="n"/>
      <c r="C25" s="10">
        <f>IF($AB25="","",IF(INDEX(기본자료!$C$2:$C$1001,$AB25)="","",INDEX(기본자료!$C$2:$C$1001,$AB25)))</f>
        <v/>
      </c>
      <c r="D25" s="10">
        <f>IF($AB25="","",IF(INDEX(기본자료!$J$2:$J$1001,$AB25)="","",INDEX(기본자료!$J$2:$J$1001,$AB25)))</f>
        <v/>
      </c>
      <c r="E25" s="11">
        <f>IF($AB25="","",IF(INDEX(기본자료!$K$2:$K$1001,$AB25)="","",IF(NOT(ISNUMBER(INDEX(기본자료!$K$2:$K$1001,$AB25))),INDEX(기본자료!$K$2:$K$1001,$AB25),IF(INDEX(기본자료!$K$2:$K$1001,$AB25)&lt;1000000,INDEX(기본자료!$K$2:$K$1001,$AB25),IF(AND(INDEX(기본자료!$K$2:$K$1001,$AB25)&gt;=10000101,INT(MOD(INDEX(기본자료!$K$2:$K$1001,$AB25),10000)/100)&gt;=1,INT(MOD(INDEX(기본자료!$K$2:$K$1001,$AB25),10000)/100)&lt;=12,MOD(INDEX(기본자료!$K$2:$K$1001,$AB25),100)&gt;=1,MOD(INDEX(기본자료!$K$2:$K$1001,$AB25),100)&lt;=31),DATE(INT(INDEX(기본자료!$K$2:$K$1001,$AB25)/10000),INT(MOD(INDEX(기본자료!$K$2:$K$1001,$AB25),10000)/100),MOD(INDEX(기본자료!$K$2:$K$1001,$AB25),100)),INDEX(기본자료!$K$2:$K$1001,$AB25)&amp;"")))))</f>
        <v/>
      </c>
      <c r="F25" s="10">
        <f>IF($AB25="","",IF(INDEX(기본자료!$D$2:$D$1001,$AB25)="","",INDEX(기본자료!$D$2:$D$1001,$AB25)))</f>
        <v/>
      </c>
      <c r="G25" s="10">
        <f>IF($AB25="","",IF(INDEX(기본자료!$E$2:$E$1001,$AB25)="","",INDEX(기본자료!$E$2:$E$1001,$AB25)))</f>
        <v/>
      </c>
      <c r="H25" s="10">
        <f>IF($AB25="","",IF(INDEX(기본자료!$F$2:$F$1001,$AB25)="","",INDEX(기본자료!$F$2:$F$1001,$AB25)))</f>
        <v/>
      </c>
      <c r="I25" s="11">
        <f>IF($AB25="","",IF(INDEX(기본자료!$G$2:$G$1001,$AB25)="","",IF(NOT(ISNUMBER(INDEX(기본자료!$G$2:$G$1001,$AB25))),INDEX(기본자료!$G$2:$G$1001,$AB25),IF(INDEX(기본자료!$G$2:$G$1001,$AB25)&lt;1000000,INDEX(기본자료!$G$2:$G$1001,$AB25),IF(AND(INDEX(기본자료!$G$2:$G$1001,$AB25)&gt;=10000101,INT(MOD(INDEX(기본자료!$G$2:$G$1001,$AB25),10000)/100)&gt;=1,INT(MOD(INDEX(기본자료!$G$2:$G$1001,$AB25),10000)/100)&lt;=12,MOD(INDEX(기본자료!$G$2:$G$1001,$AB25),100)&gt;=1,MOD(INDEX(기본자료!$G$2:$G$1001,$AB25),100)&lt;=31),DATE(INT(INDEX(기본자료!$G$2:$G$1001,$AB25)/10000),INT(MOD(INDEX(기본자료!$G$2:$G$1001,$AB25),10000)/100),MOD(INDEX(기본자료!$G$2:$G$1001,$AB25),100)),INDEX(기본자료!$G$2:$G$1001,$AB25)&amp;"")))))</f>
        <v/>
      </c>
      <c r="J25" s="10">
        <f>IF($AB25="","",IF(INDEX(기본자료!$H$2:$H$1001,$AB25)="","",INDEX(기본자료!$H$2:$H$1001,$AB25)))</f>
        <v/>
      </c>
      <c r="K25" s="10">
        <f>IF($AB25="","",IF(INDEX(기본자료!$I$2:$I$1001,$AB25)="","",INDEX(기본자료!$I$2:$I$1001,$AB25)))</f>
        <v/>
      </c>
      <c r="L25" s="10">
        <f>IF($AB25="","",IF(INDEX(기본자료!$A$2:$A$1001,$AB25)="","",INDEX(기본자료!$A$2:$A$1001,$AB25)))</f>
        <v/>
      </c>
      <c r="M25" s="15" t="n"/>
      <c r="N25" s="10">
        <f>IF($B25="","",IF(AND($U25="파견중",$Q25&lt;&gt;""),$Q25,IF(AND($AD25&lt;&gt;"",LEFT($AD25,1)&lt;&gt;"⚠"),LEFT($AD25,FIND(" ",$AD25)-1),IF($H25="","",IF(RIGHT($H25,2)="병원",$H25,$H25&amp;"병원")))))</f>
        <v/>
      </c>
      <c r="O25" s="10">
        <f>IF($B25="","",IF(AND($U25="파견중",$Q25&lt;&gt;""),IF($R25&lt;&gt;"",$R25,"파견과 미입력"),IF(AND($AD25&lt;&gt;"",LEFT($AD25,1)&lt;&gt;"⚠"),MID($AD25,FIND(" ",$AD25)+1,60),IF($F25="","",IF($F25="인턴","수련교육부(인턴)",$F25)))))</f>
        <v/>
      </c>
      <c r="P25" s="10">
        <f>IF($B25="","",IF($AK25&lt;&gt;"",IF(AND(TODAY()&gt;=INDEX(파견수련계획!$AB$4:$AB$83,$AK25),OR(NOT(ISNUMBER(INDEX(파견수련계획!$AC$4:$AC$83,$AK25))),TODAY()&lt;=INDEX(파견수련계획!$AC$4:$AC$83,$AK25))),"다기관",IF($AF25="","",INDEX(파견수련계획!$T$4:$T$83,$AF25))),IF($AF25="","",INDEX(파견수련계획!$T$4:$T$83,$AF25))))</f>
        <v/>
      </c>
      <c r="Q25" s="10">
        <f>IF($AF25="","",INDEX(파견수련계획!$S$4:$S$83,$AF25))</f>
        <v/>
      </c>
      <c r="R25" s="10">
        <f>IF($AF25="","",INDEX(파견수련계획!$U$4:$U$83,$AF25))</f>
        <v/>
      </c>
      <c r="S25" s="11">
        <f>IF($AF25="","",IF(INDEX(파견수련계획!$H$4:$H$83,$AF25)="","",INDEX(파견수련계획!$H$4:$H$83,$AF25)))</f>
        <v/>
      </c>
      <c r="T25" s="11">
        <f>IF($AF25="","",IF(INDEX(파견수련계획!$I$4:$I$83,$AF25)="","",INDEX(파견수련계획!$I$4:$I$83,$AF25)))</f>
        <v/>
      </c>
      <c r="U25" s="10">
        <f>IF($AF25="","",INDEX(파견수련계획!$X$4:$X$83,$AF25))</f>
        <v/>
      </c>
      <c r="V25" s="17">
        <f>IF($AF25="","",INDEX(파견수련계획!$V$4:$V$83,$AF25))</f>
        <v/>
      </c>
      <c r="W25" s="17">
        <f>IF(AND($U25="파견중",$T25&lt;&gt;""),$T25-TODAY(),"")</f>
        <v/>
      </c>
      <c r="X25" s="17">
        <f>IF(OR($B25="",TRIM($J25&amp;"")=""),"",SUMPRODUCT((파견수련계획!$Q$4:$Q$83=TRIM($J25&amp;""))*파견수련계획!$W$4:$W$83))</f>
        <v/>
      </c>
      <c r="Y25" s="10">
        <f>IF($B25="","",IF($AG25="","",IF(IF(TRIM($J25&amp;"")="",0,SUMPRODUCT((파견수련계획!$Q$4:$Q$83=TRIM($J25&amp;""))*파견수련계획!$AD$4:$AD$83))&gt;0,$AE25,IF(N($X25)&lt;=0,$AG25,IF($AH25+$AI25=DAY(EOMONTH(요약!$B$3,0)),IF(AND($AH25&gt;=요약!$E$3,$AI25&lt;요약!$E$3),"서울병원",IF(AND($AI25&gt;=요약!$E$3,$AH25&lt;요약!$E$3),"구리병원","⚠15일 판정불가(서울 "&amp;$AH25&amp;"일/구리 "&amp;$AI25&amp;"일)")),IF($AJ25="",$AE25,IF(INDEX(파견수련계획!$T$4:$T$83,$AJ25)="통합수련",INDEX(파견수련계획!$S$4:$S$83,$AJ25),$AE25)))))))</f>
        <v/>
      </c>
      <c r="Z25" s="19">
        <f>IF($B25="","",IF($AB25="","기본자료에 없는 사번",IF(COUNTIF($B$2:$B$401,$B25)&gt;1,"중복 사번",IF($AE25="","소속(입사장소) 입력",IF(IF(TRIM($J25&amp;"")="",0,SUMPRODUCT((파견수련계획!$Q$4:$Q$83=TRIM($J25&amp;""))*(파견수련계획!$AA$4:$AA$83&lt;&gt;"")))&gt;0,"파견수련계획 입력오류 확인",IF(LEFT($Y25,1)="⚠","서울·구리 15일 판정 불가(양쪽 모두 이상/미만)",IF(IF($AC25="",0,N(INDEX(인턴근무계획!$T$3:$T$62,$AC25)))&gt;0,"인턴계획 입력오류 확인",IF(AND($AC25&lt;&gt;"",$U25&lt;&gt;"파견중",$N25&lt;&gt;$AE25),"인턴 타지역 근무: 파견 여부 확인","정상"))))))))</f>
        <v/>
      </c>
      <c r="AA25" s="5" t="n"/>
      <c r="AB25" s="10">
        <f>IF($B25="","",IFERROR(MATCH($B25,기본자료!$B$2:$B$1001,0),IFERROR(MATCH($B25&amp;"",기본자료!$B$2:$B$1001,0),IFERROR(MATCH(VALUE($B25),기본자료!$B$2:$B$1001,0),""))))</f>
        <v/>
      </c>
      <c r="AC25" s="10">
        <f>IF($B25="","",IFERROR(MATCH($B25,인턴근무계획!$D$3:$D$62,0),IFERROR(MATCH($B25&amp;"",인턴근무계획!$D$3:$D$62,0),IFERROR(MATCH(VALUE($B25),인턴근무계획!$D$3:$D$62,0),""))))</f>
        <v/>
      </c>
      <c r="AD25" s="10">
        <f>IF(OR($AC25="",인턴현황!$G$3=""),"",INDEX(인턴근무계획!$M$3:$R$62,$AC25,인턴현황!$G$3)&amp;"")</f>
        <v/>
      </c>
      <c r="AE25" s="10">
        <f>IF($B25="","",IF($M25&lt;&gt;"",$M25,IF($AF25&lt;&gt;"",IF(LEFT(INDEX(파견수련계획!$R$4:$R$83,$AF25),1)&lt;&gt;"⚠",INDEX(파견수련계획!$R$4:$R$83,$AF25),IF($H25="","",IF(RIGHT($H25,2)="병원",$H25,$H25&amp;"병원"))),IF($H25="","",IF(RIGHT($H25,2)="병원",$H25,$H25&amp;"병원")))))</f>
        <v/>
      </c>
      <c r="AF25" s="10">
        <f>IF(OR($B25="",TRIM($J25&amp;"")=""),"",IFERROR(MATCH(TRIM($J25&amp;"")&amp;"|파견중",파견수련계획!$Y$4:$Y$83,0),IFERROR(MATCH(TRIM($J25&amp;"")&amp;"|파견예정",파견수련계획!$Y$4:$Y$83,0),IFERROR(MATCH(TRIM($J25&amp;"")&amp;"|파견종료",파견수련계획!$Y$4:$Y$83,0),""))))</f>
        <v/>
      </c>
      <c r="AG25" s="10">
        <f>IF($B25="","",IF(AND(IF(OR($AC25="",인턴현황!$K$2=""),"",INDEX(인턴근무계획!$M$3:$R$62,$AC25,인턴현황!$K$2)&amp;"")&lt;&gt;"",LEFT(IF(OR($AC25="",인턴현황!$K$2=""),"",INDEX(인턴근무계획!$M$3:$R$62,$AC25,인턴현황!$K$2)&amp;""),1)&lt;&gt;"⚠"),LEFT(IF(OR($AC25="",인턴현황!$K$2=""),"",INDEX(인턴근무계획!$M$3:$R$62,$AC25,인턴현황!$K$2)&amp;""),FIND(" ",IF(OR($AC25="",인턴현황!$K$2=""),"",INDEX(인턴근무계획!$M$3:$R$62,$AC25,인턴현황!$K$2)&amp;""))-1),$AE25))</f>
        <v/>
      </c>
      <c r="AH25" s="17">
        <f>IF($B25="","",IF(TRIM($J25&amp;"")="",0,SUMPRODUCT((파견수련계획!$Q$4:$Q$83=TRIM($J25&amp;""))*(파견수련계획!$S$4:$S$83="서울병원")*파견수련계획!$W$4:$W$83))+IF($AG25="서울병원",MAX(0,DAY(EOMONTH(요약!$B$3,0))-N($X25)),0))</f>
        <v/>
      </c>
      <c r="AI25" s="17">
        <f>IF($B25="","",IF(TRIM($J25&amp;"")="",0,SUMPRODUCT((파견수련계획!$Q$4:$Q$83=TRIM($J25&amp;""))*(파견수련계획!$S$4:$S$83="구리병원")*파견수련계획!$W$4:$W$83))+IF($AG25="구리병원",MAX(0,DAY(EOMONTH(요약!$B$3,0))-N($X25)),0))</f>
        <v/>
      </c>
      <c r="AJ25" s="10">
        <f>IF(OR($B25="",TRIM($J25&amp;"")=""),"",IFERROR(MATCH(TRIM($J25&amp;"")&amp;"|월",파견수련계획!$Z$4:$Z$83,0),""))</f>
        <v/>
      </c>
      <c r="AK25" s="10">
        <f>IF(OR($B25="",TRIM($J25&amp;"")=""),"",IFERROR(MATCH(TRIM($J25&amp;"")&amp;"|다기관",파견수련계획!$AE$4:$AE$83,0),""))</f>
        <v/>
      </c>
      <c r="AL25" s="10">
        <f>IF($AK25="","","다기관 "&amp;TEXT(INDEX(파견수련계획!$AB$4:$AB$83,$AK25),"yyyy-mm-dd")&amp;"~"&amp;IF(ISNUMBER(INDEX(파견수련계획!$AC$4:$AC$83,$AK25)),TEXT(INDEX(파견수련계획!$AC$4:$AC$83,$AK25),"yyyy-mm-dd"),""))</f>
        <v/>
      </c>
    </row>
    <row r="26">
      <c r="A26" s="10">
        <f>IF(B26="","",ROW()-1)</f>
        <v/>
      </c>
      <c r="B26" s="18" t="n"/>
      <c r="C26" s="10">
        <f>IF($AB26="","",IF(INDEX(기본자료!$C$2:$C$1001,$AB26)="","",INDEX(기본자료!$C$2:$C$1001,$AB26)))</f>
        <v/>
      </c>
      <c r="D26" s="10">
        <f>IF($AB26="","",IF(INDEX(기본자료!$J$2:$J$1001,$AB26)="","",INDEX(기본자료!$J$2:$J$1001,$AB26)))</f>
        <v/>
      </c>
      <c r="E26" s="11">
        <f>IF($AB26="","",IF(INDEX(기본자료!$K$2:$K$1001,$AB26)="","",IF(NOT(ISNUMBER(INDEX(기본자료!$K$2:$K$1001,$AB26))),INDEX(기본자료!$K$2:$K$1001,$AB26),IF(INDEX(기본자료!$K$2:$K$1001,$AB26)&lt;1000000,INDEX(기본자료!$K$2:$K$1001,$AB26),IF(AND(INDEX(기본자료!$K$2:$K$1001,$AB26)&gt;=10000101,INT(MOD(INDEX(기본자료!$K$2:$K$1001,$AB26),10000)/100)&gt;=1,INT(MOD(INDEX(기본자료!$K$2:$K$1001,$AB26),10000)/100)&lt;=12,MOD(INDEX(기본자료!$K$2:$K$1001,$AB26),100)&gt;=1,MOD(INDEX(기본자료!$K$2:$K$1001,$AB26),100)&lt;=31),DATE(INT(INDEX(기본자료!$K$2:$K$1001,$AB26)/10000),INT(MOD(INDEX(기본자료!$K$2:$K$1001,$AB26),10000)/100),MOD(INDEX(기본자료!$K$2:$K$1001,$AB26),100)),INDEX(기본자료!$K$2:$K$1001,$AB26)&amp;"")))))</f>
        <v/>
      </c>
      <c r="F26" s="10">
        <f>IF($AB26="","",IF(INDEX(기본자료!$D$2:$D$1001,$AB26)="","",INDEX(기본자료!$D$2:$D$1001,$AB26)))</f>
        <v/>
      </c>
      <c r="G26" s="10">
        <f>IF($AB26="","",IF(INDEX(기본자료!$E$2:$E$1001,$AB26)="","",INDEX(기본자료!$E$2:$E$1001,$AB26)))</f>
        <v/>
      </c>
      <c r="H26" s="10">
        <f>IF($AB26="","",IF(INDEX(기본자료!$F$2:$F$1001,$AB26)="","",INDEX(기본자료!$F$2:$F$1001,$AB26)))</f>
        <v/>
      </c>
      <c r="I26" s="11">
        <f>IF($AB26="","",IF(INDEX(기본자료!$G$2:$G$1001,$AB26)="","",IF(NOT(ISNUMBER(INDEX(기본자료!$G$2:$G$1001,$AB26))),INDEX(기본자료!$G$2:$G$1001,$AB26),IF(INDEX(기본자료!$G$2:$G$1001,$AB26)&lt;1000000,INDEX(기본자료!$G$2:$G$1001,$AB26),IF(AND(INDEX(기본자료!$G$2:$G$1001,$AB26)&gt;=10000101,INT(MOD(INDEX(기본자료!$G$2:$G$1001,$AB26),10000)/100)&gt;=1,INT(MOD(INDEX(기본자료!$G$2:$G$1001,$AB26),10000)/100)&lt;=12,MOD(INDEX(기본자료!$G$2:$G$1001,$AB26),100)&gt;=1,MOD(INDEX(기본자료!$G$2:$G$1001,$AB26),100)&lt;=31),DATE(INT(INDEX(기본자료!$G$2:$G$1001,$AB26)/10000),INT(MOD(INDEX(기본자료!$G$2:$G$1001,$AB26),10000)/100),MOD(INDEX(기본자료!$G$2:$G$1001,$AB26),100)),INDEX(기본자료!$G$2:$G$1001,$AB26)&amp;"")))))</f>
        <v/>
      </c>
      <c r="J26" s="10">
        <f>IF($AB26="","",IF(INDEX(기본자료!$H$2:$H$1001,$AB26)="","",INDEX(기본자료!$H$2:$H$1001,$AB26)))</f>
        <v/>
      </c>
      <c r="K26" s="10">
        <f>IF($AB26="","",IF(INDEX(기본자료!$I$2:$I$1001,$AB26)="","",INDEX(기본자료!$I$2:$I$1001,$AB26)))</f>
        <v/>
      </c>
      <c r="L26" s="10">
        <f>IF($AB26="","",IF(INDEX(기본자료!$A$2:$A$1001,$AB26)="","",INDEX(기본자료!$A$2:$A$1001,$AB26)))</f>
        <v/>
      </c>
      <c r="M26" s="15" t="n"/>
      <c r="N26" s="10">
        <f>IF($B26="","",IF(AND($U26="파견중",$Q26&lt;&gt;""),$Q26,IF(AND($AD26&lt;&gt;"",LEFT($AD26,1)&lt;&gt;"⚠"),LEFT($AD26,FIND(" ",$AD26)-1),IF($H26="","",IF(RIGHT($H26,2)="병원",$H26,$H26&amp;"병원")))))</f>
        <v/>
      </c>
      <c r="O26" s="10">
        <f>IF($B26="","",IF(AND($U26="파견중",$Q26&lt;&gt;""),IF($R26&lt;&gt;"",$R26,"파견과 미입력"),IF(AND($AD26&lt;&gt;"",LEFT($AD26,1)&lt;&gt;"⚠"),MID($AD26,FIND(" ",$AD26)+1,60),IF($F26="","",IF($F26="인턴","수련교육부(인턴)",$F26)))))</f>
        <v/>
      </c>
      <c r="P26" s="10">
        <f>IF($B26="","",IF($AK26&lt;&gt;"",IF(AND(TODAY()&gt;=INDEX(파견수련계획!$AB$4:$AB$83,$AK26),OR(NOT(ISNUMBER(INDEX(파견수련계획!$AC$4:$AC$83,$AK26))),TODAY()&lt;=INDEX(파견수련계획!$AC$4:$AC$83,$AK26))),"다기관",IF($AF26="","",INDEX(파견수련계획!$T$4:$T$83,$AF26))),IF($AF26="","",INDEX(파견수련계획!$T$4:$T$83,$AF26))))</f>
        <v/>
      </c>
      <c r="Q26" s="10">
        <f>IF($AF26="","",INDEX(파견수련계획!$S$4:$S$83,$AF26))</f>
        <v/>
      </c>
      <c r="R26" s="10">
        <f>IF($AF26="","",INDEX(파견수련계획!$U$4:$U$83,$AF26))</f>
        <v/>
      </c>
      <c r="S26" s="11">
        <f>IF($AF26="","",IF(INDEX(파견수련계획!$H$4:$H$83,$AF26)="","",INDEX(파견수련계획!$H$4:$H$83,$AF26)))</f>
        <v/>
      </c>
      <c r="T26" s="11">
        <f>IF($AF26="","",IF(INDEX(파견수련계획!$I$4:$I$83,$AF26)="","",INDEX(파견수련계획!$I$4:$I$83,$AF26)))</f>
        <v/>
      </c>
      <c r="U26" s="10">
        <f>IF($AF26="","",INDEX(파견수련계획!$X$4:$X$83,$AF26))</f>
        <v/>
      </c>
      <c r="V26" s="17">
        <f>IF($AF26="","",INDEX(파견수련계획!$V$4:$V$83,$AF26))</f>
        <v/>
      </c>
      <c r="W26" s="17">
        <f>IF(AND($U26="파견중",$T26&lt;&gt;""),$T26-TODAY(),"")</f>
        <v/>
      </c>
      <c r="X26" s="17">
        <f>IF(OR($B26="",TRIM($J26&amp;"")=""),"",SUMPRODUCT((파견수련계획!$Q$4:$Q$83=TRIM($J26&amp;""))*파견수련계획!$W$4:$W$83))</f>
        <v/>
      </c>
      <c r="Y26" s="10">
        <f>IF($B26="","",IF($AG26="","",IF(IF(TRIM($J26&amp;"")="",0,SUMPRODUCT((파견수련계획!$Q$4:$Q$83=TRIM($J26&amp;""))*파견수련계획!$AD$4:$AD$83))&gt;0,$AE26,IF(N($X26)&lt;=0,$AG26,IF($AH26+$AI26=DAY(EOMONTH(요약!$B$3,0)),IF(AND($AH26&gt;=요약!$E$3,$AI26&lt;요약!$E$3),"서울병원",IF(AND($AI26&gt;=요약!$E$3,$AH26&lt;요약!$E$3),"구리병원","⚠15일 판정불가(서울 "&amp;$AH26&amp;"일/구리 "&amp;$AI26&amp;"일)")),IF($AJ26="",$AE26,IF(INDEX(파견수련계획!$T$4:$T$83,$AJ26)="통합수련",INDEX(파견수련계획!$S$4:$S$83,$AJ26),$AE26)))))))</f>
        <v/>
      </c>
      <c r="Z26" s="19">
        <f>IF($B26="","",IF($AB26="","기본자료에 없는 사번",IF(COUNTIF($B$2:$B$401,$B26)&gt;1,"중복 사번",IF($AE26="","소속(입사장소) 입력",IF(IF(TRIM($J26&amp;"")="",0,SUMPRODUCT((파견수련계획!$Q$4:$Q$83=TRIM($J26&amp;""))*(파견수련계획!$AA$4:$AA$83&lt;&gt;"")))&gt;0,"파견수련계획 입력오류 확인",IF(LEFT($Y26,1)="⚠","서울·구리 15일 판정 불가(양쪽 모두 이상/미만)",IF(IF($AC26="",0,N(INDEX(인턴근무계획!$T$3:$T$62,$AC26)))&gt;0,"인턴계획 입력오류 확인",IF(AND($AC26&lt;&gt;"",$U26&lt;&gt;"파견중",$N26&lt;&gt;$AE26),"인턴 타지역 근무: 파견 여부 확인","정상"))))))))</f>
        <v/>
      </c>
      <c r="AA26" s="5" t="n"/>
      <c r="AB26" s="10">
        <f>IF($B26="","",IFERROR(MATCH($B26,기본자료!$B$2:$B$1001,0),IFERROR(MATCH($B26&amp;"",기본자료!$B$2:$B$1001,0),IFERROR(MATCH(VALUE($B26),기본자료!$B$2:$B$1001,0),""))))</f>
        <v/>
      </c>
      <c r="AC26" s="10">
        <f>IF($B26="","",IFERROR(MATCH($B26,인턴근무계획!$D$3:$D$62,0),IFERROR(MATCH($B26&amp;"",인턴근무계획!$D$3:$D$62,0),IFERROR(MATCH(VALUE($B26),인턴근무계획!$D$3:$D$62,0),""))))</f>
        <v/>
      </c>
      <c r="AD26" s="10">
        <f>IF(OR($AC26="",인턴현황!$G$3=""),"",INDEX(인턴근무계획!$M$3:$R$62,$AC26,인턴현황!$G$3)&amp;"")</f>
        <v/>
      </c>
      <c r="AE26" s="10">
        <f>IF($B26="","",IF($M26&lt;&gt;"",$M26,IF($AF26&lt;&gt;"",IF(LEFT(INDEX(파견수련계획!$R$4:$R$83,$AF26),1)&lt;&gt;"⚠",INDEX(파견수련계획!$R$4:$R$83,$AF26),IF($H26="","",IF(RIGHT($H26,2)="병원",$H26,$H26&amp;"병원"))),IF($H26="","",IF(RIGHT($H26,2)="병원",$H26,$H26&amp;"병원")))))</f>
        <v/>
      </c>
      <c r="AF26" s="10">
        <f>IF(OR($B26="",TRIM($J26&amp;"")=""),"",IFERROR(MATCH(TRIM($J26&amp;"")&amp;"|파견중",파견수련계획!$Y$4:$Y$83,0),IFERROR(MATCH(TRIM($J26&amp;"")&amp;"|파견예정",파견수련계획!$Y$4:$Y$83,0),IFERROR(MATCH(TRIM($J26&amp;"")&amp;"|파견종료",파견수련계획!$Y$4:$Y$83,0),""))))</f>
        <v/>
      </c>
      <c r="AG26" s="10">
        <f>IF($B26="","",IF(AND(IF(OR($AC26="",인턴현황!$K$2=""),"",INDEX(인턴근무계획!$M$3:$R$62,$AC26,인턴현황!$K$2)&amp;"")&lt;&gt;"",LEFT(IF(OR($AC26="",인턴현황!$K$2=""),"",INDEX(인턴근무계획!$M$3:$R$62,$AC26,인턴현황!$K$2)&amp;""),1)&lt;&gt;"⚠"),LEFT(IF(OR($AC26="",인턴현황!$K$2=""),"",INDEX(인턴근무계획!$M$3:$R$62,$AC26,인턴현황!$K$2)&amp;""),FIND(" ",IF(OR($AC26="",인턴현황!$K$2=""),"",INDEX(인턴근무계획!$M$3:$R$62,$AC26,인턴현황!$K$2)&amp;""))-1),$AE26))</f>
        <v/>
      </c>
      <c r="AH26" s="17">
        <f>IF($B26="","",IF(TRIM($J26&amp;"")="",0,SUMPRODUCT((파견수련계획!$Q$4:$Q$83=TRIM($J26&amp;""))*(파견수련계획!$S$4:$S$83="서울병원")*파견수련계획!$W$4:$W$83))+IF($AG26="서울병원",MAX(0,DAY(EOMONTH(요약!$B$3,0))-N($X26)),0))</f>
        <v/>
      </c>
      <c r="AI26" s="17">
        <f>IF($B26="","",IF(TRIM($J26&amp;"")="",0,SUMPRODUCT((파견수련계획!$Q$4:$Q$83=TRIM($J26&amp;""))*(파견수련계획!$S$4:$S$83="구리병원")*파견수련계획!$W$4:$W$83))+IF($AG26="구리병원",MAX(0,DAY(EOMONTH(요약!$B$3,0))-N($X26)),0))</f>
        <v/>
      </c>
      <c r="AJ26" s="10">
        <f>IF(OR($B26="",TRIM($J26&amp;"")=""),"",IFERROR(MATCH(TRIM($J26&amp;"")&amp;"|월",파견수련계획!$Z$4:$Z$83,0),""))</f>
        <v/>
      </c>
      <c r="AK26" s="10">
        <f>IF(OR($B26="",TRIM($J26&amp;"")=""),"",IFERROR(MATCH(TRIM($J26&amp;"")&amp;"|다기관",파견수련계획!$AE$4:$AE$83,0),""))</f>
        <v/>
      </c>
      <c r="AL26" s="10">
        <f>IF($AK26="","","다기관 "&amp;TEXT(INDEX(파견수련계획!$AB$4:$AB$83,$AK26),"yyyy-mm-dd")&amp;"~"&amp;IF(ISNUMBER(INDEX(파견수련계획!$AC$4:$AC$83,$AK26)),TEXT(INDEX(파견수련계획!$AC$4:$AC$83,$AK26),"yyyy-mm-dd"),""))</f>
        <v/>
      </c>
    </row>
    <row r="27">
      <c r="A27" s="10">
        <f>IF(B27="","",ROW()-1)</f>
        <v/>
      </c>
      <c r="B27" s="18" t="n"/>
      <c r="C27" s="10">
        <f>IF($AB27="","",IF(INDEX(기본자료!$C$2:$C$1001,$AB27)="","",INDEX(기본자료!$C$2:$C$1001,$AB27)))</f>
        <v/>
      </c>
      <c r="D27" s="10">
        <f>IF($AB27="","",IF(INDEX(기본자료!$J$2:$J$1001,$AB27)="","",INDEX(기본자료!$J$2:$J$1001,$AB27)))</f>
        <v/>
      </c>
      <c r="E27" s="11">
        <f>IF($AB27="","",IF(INDEX(기본자료!$K$2:$K$1001,$AB27)="","",IF(NOT(ISNUMBER(INDEX(기본자료!$K$2:$K$1001,$AB27))),INDEX(기본자료!$K$2:$K$1001,$AB27),IF(INDEX(기본자료!$K$2:$K$1001,$AB27)&lt;1000000,INDEX(기본자료!$K$2:$K$1001,$AB27),IF(AND(INDEX(기본자료!$K$2:$K$1001,$AB27)&gt;=10000101,INT(MOD(INDEX(기본자료!$K$2:$K$1001,$AB27),10000)/100)&gt;=1,INT(MOD(INDEX(기본자료!$K$2:$K$1001,$AB27),10000)/100)&lt;=12,MOD(INDEX(기본자료!$K$2:$K$1001,$AB27),100)&gt;=1,MOD(INDEX(기본자료!$K$2:$K$1001,$AB27),100)&lt;=31),DATE(INT(INDEX(기본자료!$K$2:$K$1001,$AB27)/10000),INT(MOD(INDEX(기본자료!$K$2:$K$1001,$AB27),10000)/100),MOD(INDEX(기본자료!$K$2:$K$1001,$AB27),100)),INDEX(기본자료!$K$2:$K$1001,$AB27)&amp;"")))))</f>
        <v/>
      </c>
      <c r="F27" s="10">
        <f>IF($AB27="","",IF(INDEX(기본자료!$D$2:$D$1001,$AB27)="","",INDEX(기본자료!$D$2:$D$1001,$AB27)))</f>
        <v/>
      </c>
      <c r="G27" s="10">
        <f>IF($AB27="","",IF(INDEX(기본자료!$E$2:$E$1001,$AB27)="","",INDEX(기본자료!$E$2:$E$1001,$AB27)))</f>
        <v/>
      </c>
      <c r="H27" s="10">
        <f>IF($AB27="","",IF(INDEX(기본자료!$F$2:$F$1001,$AB27)="","",INDEX(기본자료!$F$2:$F$1001,$AB27)))</f>
        <v/>
      </c>
      <c r="I27" s="11">
        <f>IF($AB27="","",IF(INDEX(기본자료!$G$2:$G$1001,$AB27)="","",IF(NOT(ISNUMBER(INDEX(기본자료!$G$2:$G$1001,$AB27))),INDEX(기본자료!$G$2:$G$1001,$AB27),IF(INDEX(기본자료!$G$2:$G$1001,$AB27)&lt;1000000,INDEX(기본자료!$G$2:$G$1001,$AB27),IF(AND(INDEX(기본자료!$G$2:$G$1001,$AB27)&gt;=10000101,INT(MOD(INDEX(기본자료!$G$2:$G$1001,$AB27),10000)/100)&gt;=1,INT(MOD(INDEX(기본자료!$G$2:$G$1001,$AB27),10000)/100)&lt;=12,MOD(INDEX(기본자료!$G$2:$G$1001,$AB27),100)&gt;=1,MOD(INDEX(기본자료!$G$2:$G$1001,$AB27),100)&lt;=31),DATE(INT(INDEX(기본자료!$G$2:$G$1001,$AB27)/10000),INT(MOD(INDEX(기본자료!$G$2:$G$1001,$AB27),10000)/100),MOD(INDEX(기본자료!$G$2:$G$1001,$AB27),100)),INDEX(기본자료!$G$2:$G$1001,$AB27)&amp;"")))))</f>
        <v/>
      </c>
      <c r="J27" s="10">
        <f>IF($AB27="","",IF(INDEX(기본자료!$H$2:$H$1001,$AB27)="","",INDEX(기본자료!$H$2:$H$1001,$AB27)))</f>
        <v/>
      </c>
      <c r="K27" s="10">
        <f>IF($AB27="","",IF(INDEX(기본자료!$I$2:$I$1001,$AB27)="","",INDEX(기본자료!$I$2:$I$1001,$AB27)))</f>
        <v/>
      </c>
      <c r="L27" s="10">
        <f>IF($AB27="","",IF(INDEX(기본자료!$A$2:$A$1001,$AB27)="","",INDEX(기본자료!$A$2:$A$1001,$AB27)))</f>
        <v/>
      </c>
      <c r="M27" s="15" t="n"/>
      <c r="N27" s="10">
        <f>IF($B27="","",IF(AND($U27="파견중",$Q27&lt;&gt;""),$Q27,IF(AND($AD27&lt;&gt;"",LEFT($AD27,1)&lt;&gt;"⚠"),LEFT($AD27,FIND(" ",$AD27)-1),IF($H27="","",IF(RIGHT($H27,2)="병원",$H27,$H27&amp;"병원")))))</f>
        <v/>
      </c>
      <c r="O27" s="10">
        <f>IF($B27="","",IF(AND($U27="파견중",$Q27&lt;&gt;""),IF($R27&lt;&gt;"",$R27,"파견과 미입력"),IF(AND($AD27&lt;&gt;"",LEFT($AD27,1)&lt;&gt;"⚠"),MID($AD27,FIND(" ",$AD27)+1,60),IF($F27="","",IF($F27="인턴","수련교육부(인턴)",$F27)))))</f>
        <v/>
      </c>
      <c r="P27" s="10">
        <f>IF($B27="","",IF($AK27&lt;&gt;"",IF(AND(TODAY()&gt;=INDEX(파견수련계획!$AB$4:$AB$83,$AK27),OR(NOT(ISNUMBER(INDEX(파견수련계획!$AC$4:$AC$83,$AK27))),TODAY()&lt;=INDEX(파견수련계획!$AC$4:$AC$83,$AK27))),"다기관",IF($AF27="","",INDEX(파견수련계획!$T$4:$T$83,$AF27))),IF($AF27="","",INDEX(파견수련계획!$T$4:$T$83,$AF27))))</f>
        <v/>
      </c>
      <c r="Q27" s="10">
        <f>IF($AF27="","",INDEX(파견수련계획!$S$4:$S$83,$AF27))</f>
        <v/>
      </c>
      <c r="R27" s="10">
        <f>IF($AF27="","",INDEX(파견수련계획!$U$4:$U$83,$AF27))</f>
        <v/>
      </c>
      <c r="S27" s="11">
        <f>IF($AF27="","",IF(INDEX(파견수련계획!$H$4:$H$83,$AF27)="","",INDEX(파견수련계획!$H$4:$H$83,$AF27)))</f>
        <v/>
      </c>
      <c r="T27" s="11">
        <f>IF($AF27="","",IF(INDEX(파견수련계획!$I$4:$I$83,$AF27)="","",INDEX(파견수련계획!$I$4:$I$83,$AF27)))</f>
        <v/>
      </c>
      <c r="U27" s="10">
        <f>IF($AF27="","",INDEX(파견수련계획!$X$4:$X$83,$AF27))</f>
        <v/>
      </c>
      <c r="V27" s="17">
        <f>IF($AF27="","",INDEX(파견수련계획!$V$4:$V$83,$AF27))</f>
        <v/>
      </c>
      <c r="W27" s="17">
        <f>IF(AND($U27="파견중",$T27&lt;&gt;""),$T27-TODAY(),"")</f>
        <v/>
      </c>
      <c r="X27" s="17">
        <f>IF(OR($B27="",TRIM($J27&amp;"")=""),"",SUMPRODUCT((파견수련계획!$Q$4:$Q$83=TRIM($J27&amp;""))*파견수련계획!$W$4:$W$83))</f>
        <v/>
      </c>
      <c r="Y27" s="10">
        <f>IF($B27="","",IF($AG27="","",IF(IF(TRIM($J27&amp;"")="",0,SUMPRODUCT((파견수련계획!$Q$4:$Q$83=TRIM($J27&amp;""))*파견수련계획!$AD$4:$AD$83))&gt;0,$AE27,IF(N($X27)&lt;=0,$AG27,IF($AH27+$AI27=DAY(EOMONTH(요약!$B$3,0)),IF(AND($AH27&gt;=요약!$E$3,$AI27&lt;요약!$E$3),"서울병원",IF(AND($AI27&gt;=요약!$E$3,$AH27&lt;요약!$E$3),"구리병원","⚠15일 판정불가(서울 "&amp;$AH27&amp;"일/구리 "&amp;$AI27&amp;"일)")),IF($AJ27="",$AE27,IF(INDEX(파견수련계획!$T$4:$T$83,$AJ27)="통합수련",INDEX(파견수련계획!$S$4:$S$83,$AJ27),$AE27)))))))</f>
        <v/>
      </c>
      <c r="Z27" s="19">
        <f>IF($B27="","",IF($AB27="","기본자료에 없는 사번",IF(COUNTIF($B$2:$B$401,$B27)&gt;1,"중복 사번",IF($AE27="","소속(입사장소) 입력",IF(IF(TRIM($J27&amp;"")="",0,SUMPRODUCT((파견수련계획!$Q$4:$Q$83=TRIM($J27&amp;""))*(파견수련계획!$AA$4:$AA$83&lt;&gt;"")))&gt;0,"파견수련계획 입력오류 확인",IF(LEFT($Y27,1)="⚠","서울·구리 15일 판정 불가(양쪽 모두 이상/미만)",IF(IF($AC27="",0,N(INDEX(인턴근무계획!$T$3:$T$62,$AC27)))&gt;0,"인턴계획 입력오류 확인",IF(AND($AC27&lt;&gt;"",$U27&lt;&gt;"파견중",$N27&lt;&gt;$AE27),"인턴 타지역 근무: 파견 여부 확인","정상"))))))))</f>
        <v/>
      </c>
      <c r="AA27" s="5" t="n"/>
      <c r="AB27" s="10">
        <f>IF($B27="","",IFERROR(MATCH($B27,기본자료!$B$2:$B$1001,0),IFERROR(MATCH($B27&amp;"",기본자료!$B$2:$B$1001,0),IFERROR(MATCH(VALUE($B27),기본자료!$B$2:$B$1001,0),""))))</f>
        <v/>
      </c>
      <c r="AC27" s="10">
        <f>IF($B27="","",IFERROR(MATCH($B27,인턴근무계획!$D$3:$D$62,0),IFERROR(MATCH($B27&amp;"",인턴근무계획!$D$3:$D$62,0),IFERROR(MATCH(VALUE($B27),인턴근무계획!$D$3:$D$62,0),""))))</f>
        <v/>
      </c>
      <c r="AD27" s="10">
        <f>IF(OR($AC27="",인턴현황!$G$3=""),"",INDEX(인턴근무계획!$M$3:$R$62,$AC27,인턴현황!$G$3)&amp;"")</f>
        <v/>
      </c>
      <c r="AE27" s="10">
        <f>IF($B27="","",IF($M27&lt;&gt;"",$M27,IF($AF27&lt;&gt;"",IF(LEFT(INDEX(파견수련계획!$R$4:$R$83,$AF27),1)&lt;&gt;"⚠",INDEX(파견수련계획!$R$4:$R$83,$AF27),IF($H27="","",IF(RIGHT($H27,2)="병원",$H27,$H27&amp;"병원"))),IF($H27="","",IF(RIGHT($H27,2)="병원",$H27,$H27&amp;"병원")))))</f>
        <v/>
      </c>
      <c r="AF27" s="10">
        <f>IF(OR($B27="",TRIM($J27&amp;"")=""),"",IFERROR(MATCH(TRIM($J27&amp;"")&amp;"|파견중",파견수련계획!$Y$4:$Y$83,0),IFERROR(MATCH(TRIM($J27&amp;"")&amp;"|파견예정",파견수련계획!$Y$4:$Y$83,0),IFERROR(MATCH(TRIM($J27&amp;"")&amp;"|파견종료",파견수련계획!$Y$4:$Y$83,0),""))))</f>
        <v/>
      </c>
      <c r="AG27" s="10">
        <f>IF($B27="","",IF(AND(IF(OR($AC27="",인턴현황!$K$2=""),"",INDEX(인턴근무계획!$M$3:$R$62,$AC27,인턴현황!$K$2)&amp;"")&lt;&gt;"",LEFT(IF(OR($AC27="",인턴현황!$K$2=""),"",INDEX(인턴근무계획!$M$3:$R$62,$AC27,인턴현황!$K$2)&amp;""),1)&lt;&gt;"⚠"),LEFT(IF(OR($AC27="",인턴현황!$K$2=""),"",INDEX(인턴근무계획!$M$3:$R$62,$AC27,인턴현황!$K$2)&amp;""),FIND(" ",IF(OR($AC27="",인턴현황!$K$2=""),"",INDEX(인턴근무계획!$M$3:$R$62,$AC27,인턴현황!$K$2)&amp;""))-1),$AE27))</f>
        <v/>
      </c>
      <c r="AH27" s="17">
        <f>IF($B27="","",IF(TRIM($J27&amp;"")="",0,SUMPRODUCT((파견수련계획!$Q$4:$Q$83=TRIM($J27&amp;""))*(파견수련계획!$S$4:$S$83="서울병원")*파견수련계획!$W$4:$W$83))+IF($AG27="서울병원",MAX(0,DAY(EOMONTH(요약!$B$3,0))-N($X27)),0))</f>
        <v/>
      </c>
      <c r="AI27" s="17">
        <f>IF($B27="","",IF(TRIM($J27&amp;"")="",0,SUMPRODUCT((파견수련계획!$Q$4:$Q$83=TRIM($J27&amp;""))*(파견수련계획!$S$4:$S$83="구리병원")*파견수련계획!$W$4:$W$83))+IF($AG27="구리병원",MAX(0,DAY(EOMONTH(요약!$B$3,0))-N($X27)),0))</f>
        <v/>
      </c>
      <c r="AJ27" s="10">
        <f>IF(OR($B27="",TRIM($J27&amp;"")=""),"",IFERROR(MATCH(TRIM($J27&amp;"")&amp;"|월",파견수련계획!$Z$4:$Z$83,0),""))</f>
        <v/>
      </c>
      <c r="AK27" s="10">
        <f>IF(OR($B27="",TRIM($J27&amp;"")=""),"",IFERROR(MATCH(TRIM($J27&amp;"")&amp;"|다기관",파견수련계획!$AE$4:$AE$83,0),""))</f>
        <v/>
      </c>
      <c r="AL27" s="10">
        <f>IF($AK27="","","다기관 "&amp;TEXT(INDEX(파견수련계획!$AB$4:$AB$83,$AK27),"yyyy-mm-dd")&amp;"~"&amp;IF(ISNUMBER(INDEX(파견수련계획!$AC$4:$AC$83,$AK27)),TEXT(INDEX(파견수련계획!$AC$4:$AC$83,$AK27),"yyyy-mm-dd"),""))</f>
        <v/>
      </c>
    </row>
    <row r="28">
      <c r="A28" s="10">
        <f>IF(B28="","",ROW()-1)</f>
        <v/>
      </c>
      <c r="B28" s="18" t="n"/>
      <c r="C28" s="10">
        <f>IF($AB28="","",IF(INDEX(기본자료!$C$2:$C$1001,$AB28)="","",INDEX(기본자료!$C$2:$C$1001,$AB28)))</f>
        <v/>
      </c>
      <c r="D28" s="10">
        <f>IF($AB28="","",IF(INDEX(기본자료!$J$2:$J$1001,$AB28)="","",INDEX(기본자료!$J$2:$J$1001,$AB28)))</f>
        <v/>
      </c>
      <c r="E28" s="11">
        <f>IF($AB28="","",IF(INDEX(기본자료!$K$2:$K$1001,$AB28)="","",IF(NOT(ISNUMBER(INDEX(기본자료!$K$2:$K$1001,$AB28))),INDEX(기본자료!$K$2:$K$1001,$AB28),IF(INDEX(기본자료!$K$2:$K$1001,$AB28)&lt;1000000,INDEX(기본자료!$K$2:$K$1001,$AB28),IF(AND(INDEX(기본자료!$K$2:$K$1001,$AB28)&gt;=10000101,INT(MOD(INDEX(기본자료!$K$2:$K$1001,$AB28),10000)/100)&gt;=1,INT(MOD(INDEX(기본자료!$K$2:$K$1001,$AB28),10000)/100)&lt;=12,MOD(INDEX(기본자료!$K$2:$K$1001,$AB28),100)&gt;=1,MOD(INDEX(기본자료!$K$2:$K$1001,$AB28),100)&lt;=31),DATE(INT(INDEX(기본자료!$K$2:$K$1001,$AB28)/10000),INT(MOD(INDEX(기본자료!$K$2:$K$1001,$AB28),10000)/100),MOD(INDEX(기본자료!$K$2:$K$1001,$AB28),100)),INDEX(기본자료!$K$2:$K$1001,$AB28)&amp;"")))))</f>
        <v/>
      </c>
      <c r="F28" s="10">
        <f>IF($AB28="","",IF(INDEX(기본자료!$D$2:$D$1001,$AB28)="","",INDEX(기본자료!$D$2:$D$1001,$AB28)))</f>
        <v/>
      </c>
      <c r="G28" s="10">
        <f>IF($AB28="","",IF(INDEX(기본자료!$E$2:$E$1001,$AB28)="","",INDEX(기본자료!$E$2:$E$1001,$AB28)))</f>
        <v/>
      </c>
      <c r="H28" s="10">
        <f>IF($AB28="","",IF(INDEX(기본자료!$F$2:$F$1001,$AB28)="","",INDEX(기본자료!$F$2:$F$1001,$AB28)))</f>
        <v/>
      </c>
      <c r="I28" s="11">
        <f>IF($AB28="","",IF(INDEX(기본자료!$G$2:$G$1001,$AB28)="","",IF(NOT(ISNUMBER(INDEX(기본자료!$G$2:$G$1001,$AB28))),INDEX(기본자료!$G$2:$G$1001,$AB28),IF(INDEX(기본자료!$G$2:$G$1001,$AB28)&lt;1000000,INDEX(기본자료!$G$2:$G$1001,$AB28),IF(AND(INDEX(기본자료!$G$2:$G$1001,$AB28)&gt;=10000101,INT(MOD(INDEX(기본자료!$G$2:$G$1001,$AB28),10000)/100)&gt;=1,INT(MOD(INDEX(기본자료!$G$2:$G$1001,$AB28),10000)/100)&lt;=12,MOD(INDEX(기본자료!$G$2:$G$1001,$AB28),100)&gt;=1,MOD(INDEX(기본자료!$G$2:$G$1001,$AB28),100)&lt;=31),DATE(INT(INDEX(기본자료!$G$2:$G$1001,$AB28)/10000),INT(MOD(INDEX(기본자료!$G$2:$G$1001,$AB28),10000)/100),MOD(INDEX(기본자료!$G$2:$G$1001,$AB28),100)),INDEX(기본자료!$G$2:$G$1001,$AB28)&amp;"")))))</f>
        <v/>
      </c>
      <c r="J28" s="10">
        <f>IF($AB28="","",IF(INDEX(기본자료!$H$2:$H$1001,$AB28)="","",INDEX(기본자료!$H$2:$H$1001,$AB28)))</f>
        <v/>
      </c>
      <c r="K28" s="10">
        <f>IF($AB28="","",IF(INDEX(기본자료!$I$2:$I$1001,$AB28)="","",INDEX(기본자료!$I$2:$I$1001,$AB28)))</f>
        <v/>
      </c>
      <c r="L28" s="10">
        <f>IF($AB28="","",IF(INDEX(기본자료!$A$2:$A$1001,$AB28)="","",INDEX(기본자료!$A$2:$A$1001,$AB28)))</f>
        <v/>
      </c>
      <c r="M28" s="15" t="n"/>
      <c r="N28" s="10">
        <f>IF($B28="","",IF(AND($U28="파견중",$Q28&lt;&gt;""),$Q28,IF(AND($AD28&lt;&gt;"",LEFT($AD28,1)&lt;&gt;"⚠"),LEFT($AD28,FIND(" ",$AD28)-1),IF($H28="","",IF(RIGHT($H28,2)="병원",$H28,$H28&amp;"병원")))))</f>
        <v/>
      </c>
      <c r="O28" s="10">
        <f>IF($B28="","",IF(AND($U28="파견중",$Q28&lt;&gt;""),IF($R28&lt;&gt;"",$R28,"파견과 미입력"),IF(AND($AD28&lt;&gt;"",LEFT($AD28,1)&lt;&gt;"⚠"),MID($AD28,FIND(" ",$AD28)+1,60),IF($F28="","",IF($F28="인턴","수련교육부(인턴)",$F28)))))</f>
        <v/>
      </c>
      <c r="P28" s="10">
        <f>IF($B28="","",IF($AK28&lt;&gt;"",IF(AND(TODAY()&gt;=INDEX(파견수련계획!$AB$4:$AB$83,$AK28),OR(NOT(ISNUMBER(INDEX(파견수련계획!$AC$4:$AC$83,$AK28))),TODAY()&lt;=INDEX(파견수련계획!$AC$4:$AC$83,$AK28))),"다기관",IF($AF28="","",INDEX(파견수련계획!$T$4:$T$83,$AF28))),IF($AF28="","",INDEX(파견수련계획!$T$4:$T$83,$AF28))))</f>
        <v/>
      </c>
      <c r="Q28" s="10">
        <f>IF($AF28="","",INDEX(파견수련계획!$S$4:$S$83,$AF28))</f>
        <v/>
      </c>
      <c r="R28" s="10">
        <f>IF($AF28="","",INDEX(파견수련계획!$U$4:$U$83,$AF28))</f>
        <v/>
      </c>
      <c r="S28" s="11">
        <f>IF($AF28="","",IF(INDEX(파견수련계획!$H$4:$H$83,$AF28)="","",INDEX(파견수련계획!$H$4:$H$83,$AF28)))</f>
        <v/>
      </c>
      <c r="T28" s="11">
        <f>IF($AF28="","",IF(INDEX(파견수련계획!$I$4:$I$83,$AF28)="","",INDEX(파견수련계획!$I$4:$I$83,$AF28)))</f>
        <v/>
      </c>
      <c r="U28" s="10">
        <f>IF($AF28="","",INDEX(파견수련계획!$X$4:$X$83,$AF28))</f>
        <v/>
      </c>
      <c r="V28" s="17">
        <f>IF($AF28="","",INDEX(파견수련계획!$V$4:$V$83,$AF28))</f>
        <v/>
      </c>
      <c r="W28" s="17">
        <f>IF(AND($U28="파견중",$T28&lt;&gt;""),$T28-TODAY(),"")</f>
        <v/>
      </c>
      <c r="X28" s="17">
        <f>IF(OR($B28="",TRIM($J28&amp;"")=""),"",SUMPRODUCT((파견수련계획!$Q$4:$Q$83=TRIM($J28&amp;""))*파견수련계획!$W$4:$W$83))</f>
        <v/>
      </c>
      <c r="Y28" s="10">
        <f>IF($B28="","",IF($AG28="","",IF(IF(TRIM($J28&amp;"")="",0,SUMPRODUCT((파견수련계획!$Q$4:$Q$83=TRIM($J28&amp;""))*파견수련계획!$AD$4:$AD$83))&gt;0,$AE28,IF(N($X28)&lt;=0,$AG28,IF($AH28+$AI28=DAY(EOMONTH(요약!$B$3,0)),IF(AND($AH28&gt;=요약!$E$3,$AI28&lt;요약!$E$3),"서울병원",IF(AND($AI28&gt;=요약!$E$3,$AH28&lt;요약!$E$3),"구리병원","⚠15일 판정불가(서울 "&amp;$AH28&amp;"일/구리 "&amp;$AI28&amp;"일)")),IF($AJ28="",$AE28,IF(INDEX(파견수련계획!$T$4:$T$83,$AJ28)="통합수련",INDEX(파견수련계획!$S$4:$S$83,$AJ28),$AE28)))))))</f>
        <v/>
      </c>
      <c r="Z28" s="19">
        <f>IF($B28="","",IF($AB28="","기본자료에 없는 사번",IF(COUNTIF($B$2:$B$401,$B28)&gt;1,"중복 사번",IF($AE28="","소속(입사장소) 입력",IF(IF(TRIM($J28&amp;"")="",0,SUMPRODUCT((파견수련계획!$Q$4:$Q$83=TRIM($J28&amp;""))*(파견수련계획!$AA$4:$AA$83&lt;&gt;"")))&gt;0,"파견수련계획 입력오류 확인",IF(LEFT($Y28,1)="⚠","서울·구리 15일 판정 불가(양쪽 모두 이상/미만)",IF(IF($AC28="",0,N(INDEX(인턴근무계획!$T$3:$T$62,$AC28)))&gt;0,"인턴계획 입력오류 확인",IF(AND($AC28&lt;&gt;"",$U28&lt;&gt;"파견중",$N28&lt;&gt;$AE28),"인턴 타지역 근무: 파견 여부 확인","정상"))))))))</f>
        <v/>
      </c>
      <c r="AA28" s="5" t="n"/>
      <c r="AB28" s="10">
        <f>IF($B28="","",IFERROR(MATCH($B28,기본자료!$B$2:$B$1001,0),IFERROR(MATCH($B28&amp;"",기본자료!$B$2:$B$1001,0),IFERROR(MATCH(VALUE($B28),기본자료!$B$2:$B$1001,0),""))))</f>
        <v/>
      </c>
      <c r="AC28" s="10">
        <f>IF($B28="","",IFERROR(MATCH($B28,인턴근무계획!$D$3:$D$62,0),IFERROR(MATCH($B28&amp;"",인턴근무계획!$D$3:$D$62,0),IFERROR(MATCH(VALUE($B28),인턴근무계획!$D$3:$D$62,0),""))))</f>
        <v/>
      </c>
      <c r="AD28" s="10">
        <f>IF(OR($AC28="",인턴현황!$G$3=""),"",INDEX(인턴근무계획!$M$3:$R$62,$AC28,인턴현황!$G$3)&amp;"")</f>
        <v/>
      </c>
      <c r="AE28" s="10">
        <f>IF($B28="","",IF($M28&lt;&gt;"",$M28,IF($AF28&lt;&gt;"",IF(LEFT(INDEX(파견수련계획!$R$4:$R$83,$AF28),1)&lt;&gt;"⚠",INDEX(파견수련계획!$R$4:$R$83,$AF28),IF($H28="","",IF(RIGHT($H28,2)="병원",$H28,$H28&amp;"병원"))),IF($H28="","",IF(RIGHT($H28,2)="병원",$H28,$H28&amp;"병원")))))</f>
        <v/>
      </c>
      <c r="AF28" s="10">
        <f>IF(OR($B28="",TRIM($J28&amp;"")=""),"",IFERROR(MATCH(TRIM($J28&amp;"")&amp;"|파견중",파견수련계획!$Y$4:$Y$83,0),IFERROR(MATCH(TRIM($J28&amp;"")&amp;"|파견예정",파견수련계획!$Y$4:$Y$83,0),IFERROR(MATCH(TRIM($J28&amp;"")&amp;"|파견종료",파견수련계획!$Y$4:$Y$83,0),""))))</f>
        <v/>
      </c>
      <c r="AG28" s="10">
        <f>IF($B28="","",IF(AND(IF(OR($AC28="",인턴현황!$K$2=""),"",INDEX(인턴근무계획!$M$3:$R$62,$AC28,인턴현황!$K$2)&amp;"")&lt;&gt;"",LEFT(IF(OR($AC28="",인턴현황!$K$2=""),"",INDEX(인턴근무계획!$M$3:$R$62,$AC28,인턴현황!$K$2)&amp;""),1)&lt;&gt;"⚠"),LEFT(IF(OR($AC28="",인턴현황!$K$2=""),"",INDEX(인턴근무계획!$M$3:$R$62,$AC28,인턴현황!$K$2)&amp;""),FIND(" ",IF(OR($AC28="",인턴현황!$K$2=""),"",INDEX(인턴근무계획!$M$3:$R$62,$AC28,인턴현황!$K$2)&amp;""))-1),$AE28))</f>
        <v/>
      </c>
      <c r="AH28" s="17">
        <f>IF($B28="","",IF(TRIM($J28&amp;"")="",0,SUMPRODUCT((파견수련계획!$Q$4:$Q$83=TRIM($J28&amp;""))*(파견수련계획!$S$4:$S$83="서울병원")*파견수련계획!$W$4:$W$83))+IF($AG28="서울병원",MAX(0,DAY(EOMONTH(요약!$B$3,0))-N($X28)),0))</f>
        <v/>
      </c>
      <c r="AI28" s="17">
        <f>IF($B28="","",IF(TRIM($J28&amp;"")="",0,SUMPRODUCT((파견수련계획!$Q$4:$Q$83=TRIM($J28&amp;""))*(파견수련계획!$S$4:$S$83="구리병원")*파견수련계획!$W$4:$W$83))+IF($AG28="구리병원",MAX(0,DAY(EOMONTH(요약!$B$3,0))-N($X28)),0))</f>
        <v/>
      </c>
      <c r="AJ28" s="10">
        <f>IF(OR($B28="",TRIM($J28&amp;"")=""),"",IFERROR(MATCH(TRIM($J28&amp;"")&amp;"|월",파견수련계획!$Z$4:$Z$83,0),""))</f>
        <v/>
      </c>
      <c r="AK28" s="10">
        <f>IF(OR($B28="",TRIM($J28&amp;"")=""),"",IFERROR(MATCH(TRIM($J28&amp;"")&amp;"|다기관",파견수련계획!$AE$4:$AE$83,0),""))</f>
        <v/>
      </c>
      <c r="AL28" s="10">
        <f>IF($AK28="","","다기관 "&amp;TEXT(INDEX(파견수련계획!$AB$4:$AB$83,$AK28),"yyyy-mm-dd")&amp;"~"&amp;IF(ISNUMBER(INDEX(파견수련계획!$AC$4:$AC$83,$AK28)),TEXT(INDEX(파견수련계획!$AC$4:$AC$83,$AK28),"yyyy-mm-dd"),""))</f>
        <v/>
      </c>
    </row>
    <row r="29">
      <c r="A29" s="10">
        <f>IF(B29="","",ROW()-1)</f>
        <v/>
      </c>
      <c r="B29" s="18" t="n"/>
      <c r="C29" s="10">
        <f>IF($AB29="","",IF(INDEX(기본자료!$C$2:$C$1001,$AB29)="","",INDEX(기본자료!$C$2:$C$1001,$AB29)))</f>
        <v/>
      </c>
      <c r="D29" s="10">
        <f>IF($AB29="","",IF(INDEX(기본자료!$J$2:$J$1001,$AB29)="","",INDEX(기본자료!$J$2:$J$1001,$AB29)))</f>
        <v/>
      </c>
      <c r="E29" s="11">
        <f>IF($AB29="","",IF(INDEX(기본자료!$K$2:$K$1001,$AB29)="","",IF(NOT(ISNUMBER(INDEX(기본자료!$K$2:$K$1001,$AB29))),INDEX(기본자료!$K$2:$K$1001,$AB29),IF(INDEX(기본자료!$K$2:$K$1001,$AB29)&lt;1000000,INDEX(기본자료!$K$2:$K$1001,$AB29),IF(AND(INDEX(기본자료!$K$2:$K$1001,$AB29)&gt;=10000101,INT(MOD(INDEX(기본자료!$K$2:$K$1001,$AB29),10000)/100)&gt;=1,INT(MOD(INDEX(기본자료!$K$2:$K$1001,$AB29),10000)/100)&lt;=12,MOD(INDEX(기본자료!$K$2:$K$1001,$AB29),100)&gt;=1,MOD(INDEX(기본자료!$K$2:$K$1001,$AB29),100)&lt;=31),DATE(INT(INDEX(기본자료!$K$2:$K$1001,$AB29)/10000),INT(MOD(INDEX(기본자료!$K$2:$K$1001,$AB29),10000)/100),MOD(INDEX(기본자료!$K$2:$K$1001,$AB29),100)),INDEX(기본자료!$K$2:$K$1001,$AB29)&amp;"")))))</f>
        <v/>
      </c>
      <c r="F29" s="10">
        <f>IF($AB29="","",IF(INDEX(기본자료!$D$2:$D$1001,$AB29)="","",INDEX(기본자료!$D$2:$D$1001,$AB29)))</f>
        <v/>
      </c>
      <c r="G29" s="10">
        <f>IF($AB29="","",IF(INDEX(기본자료!$E$2:$E$1001,$AB29)="","",INDEX(기본자료!$E$2:$E$1001,$AB29)))</f>
        <v/>
      </c>
      <c r="H29" s="10">
        <f>IF($AB29="","",IF(INDEX(기본자료!$F$2:$F$1001,$AB29)="","",INDEX(기본자료!$F$2:$F$1001,$AB29)))</f>
        <v/>
      </c>
      <c r="I29" s="11">
        <f>IF($AB29="","",IF(INDEX(기본자료!$G$2:$G$1001,$AB29)="","",IF(NOT(ISNUMBER(INDEX(기본자료!$G$2:$G$1001,$AB29))),INDEX(기본자료!$G$2:$G$1001,$AB29),IF(INDEX(기본자료!$G$2:$G$1001,$AB29)&lt;1000000,INDEX(기본자료!$G$2:$G$1001,$AB29),IF(AND(INDEX(기본자료!$G$2:$G$1001,$AB29)&gt;=10000101,INT(MOD(INDEX(기본자료!$G$2:$G$1001,$AB29),10000)/100)&gt;=1,INT(MOD(INDEX(기본자료!$G$2:$G$1001,$AB29),10000)/100)&lt;=12,MOD(INDEX(기본자료!$G$2:$G$1001,$AB29),100)&gt;=1,MOD(INDEX(기본자료!$G$2:$G$1001,$AB29),100)&lt;=31),DATE(INT(INDEX(기본자료!$G$2:$G$1001,$AB29)/10000),INT(MOD(INDEX(기본자료!$G$2:$G$1001,$AB29),10000)/100),MOD(INDEX(기본자료!$G$2:$G$1001,$AB29),100)),INDEX(기본자료!$G$2:$G$1001,$AB29)&amp;"")))))</f>
        <v/>
      </c>
      <c r="J29" s="10">
        <f>IF($AB29="","",IF(INDEX(기본자료!$H$2:$H$1001,$AB29)="","",INDEX(기본자료!$H$2:$H$1001,$AB29)))</f>
        <v/>
      </c>
      <c r="K29" s="10">
        <f>IF($AB29="","",IF(INDEX(기본자료!$I$2:$I$1001,$AB29)="","",INDEX(기본자료!$I$2:$I$1001,$AB29)))</f>
        <v/>
      </c>
      <c r="L29" s="10">
        <f>IF($AB29="","",IF(INDEX(기본자료!$A$2:$A$1001,$AB29)="","",INDEX(기본자료!$A$2:$A$1001,$AB29)))</f>
        <v/>
      </c>
      <c r="M29" s="15" t="n"/>
      <c r="N29" s="10">
        <f>IF($B29="","",IF(AND($U29="파견중",$Q29&lt;&gt;""),$Q29,IF(AND($AD29&lt;&gt;"",LEFT($AD29,1)&lt;&gt;"⚠"),LEFT($AD29,FIND(" ",$AD29)-1),IF($H29="","",IF(RIGHT($H29,2)="병원",$H29,$H29&amp;"병원")))))</f>
        <v/>
      </c>
      <c r="O29" s="10">
        <f>IF($B29="","",IF(AND($U29="파견중",$Q29&lt;&gt;""),IF($R29&lt;&gt;"",$R29,"파견과 미입력"),IF(AND($AD29&lt;&gt;"",LEFT($AD29,1)&lt;&gt;"⚠"),MID($AD29,FIND(" ",$AD29)+1,60),IF($F29="","",IF($F29="인턴","수련교육부(인턴)",$F29)))))</f>
        <v/>
      </c>
      <c r="P29" s="10">
        <f>IF($B29="","",IF($AK29&lt;&gt;"",IF(AND(TODAY()&gt;=INDEX(파견수련계획!$AB$4:$AB$83,$AK29),OR(NOT(ISNUMBER(INDEX(파견수련계획!$AC$4:$AC$83,$AK29))),TODAY()&lt;=INDEX(파견수련계획!$AC$4:$AC$83,$AK29))),"다기관",IF($AF29="","",INDEX(파견수련계획!$T$4:$T$83,$AF29))),IF($AF29="","",INDEX(파견수련계획!$T$4:$T$83,$AF29))))</f>
        <v/>
      </c>
      <c r="Q29" s="10">
        <f>IF($AF29="","",INDEX(파견수련계획!$S$4:$S$83,$AF29))</f>
        <v/>
      </c>
      <c r="R29" s="10">
        <f>IF($AF29="","",INDEX(파견수련계획!$U$4:$U$83,$AF29))</f>
        <v/>
      </c>
      <c r="S29" s="11">
        <f>IF($AF29="","",IF(INDEX(파견수련계획!$H$4:$H$83,$AF29)="","",INDEX(파견수련계획!$H$4:$H$83,$AF29)))</f>
        <v/>
      </c>
      <c r="T29" s="11">
        <f>IF($AF29="","",IF(INDEX(파견수련계획!$I$4:$I$83,$AF29)="","",INDEX(파견수련계획!$I$4:$I$83,$AF29)))</f>
        <v/>
      </c>
      <c r="U29" s="10">
        <f>IF($AF29="","",INDEX(파견수련계획!$X$4:$X$83,$AF29))</f>
        <v/>
      </c>
      <c r="V29" s="17">
        <f>IF($AF29="","",INDEX(파견수련계획!$V$4:$V$83,$AF29))</f>
        <v/>
      </c>
      <c r="W29" s="17">
        <f>IF(AND($U29="파견중",$T29&lt;&gt;""),$T29-TODAY(),"")</f>
        <v/>
      </c>
      <c r="X29" s="17">
        <f>IF(OR($B29="",TRIM($J29&amp;"")=""),"",SUMPRODUCT((파견수련계획!$Q$4:$Q$83=TRIM($J29&amp;""))*파견수련계획!$W$4:$W$83))</f>
        <v/>
      </c>
      <c r="Y29" s="10">
        <f>IF($B29="","",IF($AG29="","",IF(IF(TRIM($J29&amp;"")="",0,SUMPRODUCT((파견수련계획!$Q$4:$Q$83=TRIM($J29&amp;""))*파견수련계획!$AD$4:$AD$83))&gt;0,$AE29,IF(N($X29)&lt;=0,$AG29,IF($AH29+$AI29=DAY(EOMONTH(요약!$B$3,0)),IF(AND($AH29&gt;=요약!$E$3,$AI29&lt;요약!$E$3),"서울병원",IF(AND($AI29&gt;=요약!$E$3,$AH29&lt;요약!$E$3),"구리병원","⚠15일 판정불가(서울 "&amp;$AH29&amp;"일/구리 "&amp;$AI29&amp;"일)")),IF($AJ29="",$AE29,IF(INDEX(파견수련계획!$T$4:$T$83,$AJ29)="통합수련",INDEX(파견수련계획!$S$4:$S$83,$AJ29),$AE29)))))))</f>
        <v/>
      </c>
      <c r="Z29" s="19">
        <f>IF($B29="","",IF($AB29="","기본자료에 없는 사번",IF(COUNTIF($B$2:$B$401,$B29)&gt;1,"중복 사번",IF($AE29="","소속(입사장소) 입력",IF(IF(TRIM($J29&amp;"")="",0,SUMPRODUCT((파견수련계획!$Q$4:$Q$83=TRIM($J29&amp;""))*(파견수련계획!$AA$4:$AA$83&lt;&gt;"")))&gt;0,"파견수련계획 입력오류 확인",IF(LEFT($Y29,1)="⚠","서울·구리 15일 판정 불가(양쪽 모두 이상/미만)",IF(IF($AC29="",0,N(INDEX(인턴근무계획!$T$3:$T$62,$AC29)))&gt;0,"인턴계획 입력오류 확인",IF(AND($AC29&lt;&gt;"",$U29&lt;&gt;"파견중",$N29&lt;&gt;$AE29),"인턴 타지역 근무: 파견 여부 확인","정상"))))))))</f>
        <v/>
      </c>
      <c r="AA29" s="5" t="n"/>
      <c r="AB29" s="10">
        <f>IF($B29="","",IFERROR(MATCH($B29,기본자료!$B$2:$B$1001,0),IFERROR(MATCH($B29&amp;"",기본자료!$B$2:$B$1001,0),IFERROR(MATCH(VALUE($B29),기본자료!$B$2:$B$1001,0),""))))</f>
        <v/>
      </c>
      <c r="AC29" s="10">
        <f>IF($B29="","",IFERROR(MATCH($B29,인턴근무계획!$D$3:$D$62,0),IFERROR(MATCH($B29&amp;"",인턴근무계획!$D$3:$D$62,0),IFERROR(MATCH(VALUE($B29),인턴근무계획!$D$3:$D$62,0),""))))</f>
        <v/>
      </c>
      <c r="AD29" s="10">
        <f>IF(OR($AC29="",인턴현황!$G$3=""),"",INDEX(인턴근무계획!$M$3:$R$62,$AC29,인턴현황!$G$3)&amp;"")</f>
        <v/>
      </c>
      <c r="AE29" s="10">
        <f>IF($B29="","",IF($M29&lt;&gt;"",$M29,IF($AF29&lt;&gt;"",IF(LEFT(INDEX(파견수련계획!$R$4:$R$83,$AF29),1)&lt;&gt;"⚠",INDEX(파견수련계획!$R$4:$R$83,$AF29),IF($H29="","",IF(RIGHT($H29,2)="병원",$H29,$H29&amp;"병원"))),IF($H29="","",IF(RIGHT($H29,2)="병원",$H29,$H29&amp;"병원")))))</f>
        <v/>
      </c>
      <c r="AF29" s="10">
        <f>IF(OR($B29="",TRIM($J29&amp;"")=""),"",IFERROR(MATCH(TRIM($J29&amp;"")&amp;"|파견중",파견수련계획!$Y$4:$Y$83,0),IFERROR(MATCH(TRIM($J29&amp;"")&amp;"|파견예정",파견수련계획!$Y$4:$Y$83,0),IFERROR(MATCH(TRIM($J29&amp;"")&amp;"|파견종료",파견수련계획!$Y$4:$Y$83,0),""))))</f>
        <v/>
      </c>
      <c r="AG29" s="10">
        <f>IF($B29="","",IF(AND(IF(OR($AC29="",인턴현황!$K$2=""),"",INDEX(인턴근무계획!$M$3:$R$62,$AC29,인턴현황!$K$2)&amp;"")&lt;&gt;"",LEFT(IF(OR($AC29="",인턴현황!$K$2=""),"",INDEX(인턴근무계획!$M$3:$R$62,$AC29,인턴현황!$K$2)&amp;""),1)&lt;&gt;"⚠"),LEFT(IF(OR($AC29="",인턴현황!$K$2=""),"",INDEX(인턴근무계획!$M$3:$R$62,$AC29,인턴현황!$K$2)&amp;""),FIND(" ",IF(OR($AC29="",인턴현황!$K$2=""),"",INDEX(인턴근무계획!$M$3:$R$62,$AC29,인턴현황!$K$2)&amp;""))-1),$AE29))</f>
        <v/>
      </c>
      <c r="AH29" s="17">
        <f>IF($B29="","",IF(TRIM($J29&amp;"")="",0,SUMPRODUCT((파견수련계획!$Q$4:$Q$83=TRIM($J29&amp;""))*(파견수련계획!$S$4:$S$83="서울병원")*파견수련계획!$W$4:$W$83))+IF($AG29="서울병원",MAX(0,DAY(EOMONTH(요약!$B$3,0))-N($X29)),0))</f>
        <v/>
      </c>
      <c r="AI29" s="17">
        <f>IF($B29="","",IF(TRIM($J29&amp;"")="",0,SUMPRODUCT((파견수련계획!$Q$4:$Q$83=TRIM($J29&amp;""))*(파견수련계획!$S$4:$S$83="구리병원")*파견수련계획!$W$4:$W$83))+IF($AG29="구리병원",MAX(0,DAY(EOMONTH(요약!$B$3,0))-N($X29)),0))</f>
        <v/>
      </c>
      <c r="AJ29" s="10">
        <f>IF(OR($B29="",TRIM($J29&amp;"")=""),"",IFERROR(MATCH(TRIM($J29&amp;"")&amp;"|월",파견수련계획!$Z$4:$Z$83,0),""))</f>
        <v/>
      </c>
      <c r="AK29" s="10">
        <f>IF(OR($B29="",TRIM($J29&amp;"")=""),"",IFERROR(MATCH(TRIM($J29&amp;"")&amp;"|다기관",파견수련계획!$AE$4:$AE$83,0),""))</f>
        <v/>
      </c>
      <c r="AL29" s="10">
        <f>IF($AK29="","","다기관 "&amp;TEXT(INDEX(파견수련계획!$AB$4:$AB$83,$AK29),"yyyy-mm-dd")&amp;"~"&amp;IF(ISNUMBER(INDEX(파견수련계획!$AC$4:$AC$83,$AK29)),TEXT(INDEX(파견수련계획!$AC$4:$AC$83,$AK29),"yyyy-mm-dd"),""))</f>
        <v/>
      </c>
    </row>
    <row r="30">
      <c r="A30" s="10">
        <f>IF(B30="","",ROW()-1)</f>
        <v/>
      </c>
      <c r="B30" s="18" t="n"/>
      <c r="C30" s="10">
        <f>IF($AB30="","",IF(INDEX(기본자료!$C$2:$C$1001,$AB30)="","",INDEX(기본자료!$C$2:$C$1001,$AB30)))</f>
        <v/>
      </c>
      <c r="D30" s="10">
        <f>IF($AB30="","",IF(INDEX(기본자료!$J$2:$J$1001,$AB30)="","",INDEX(기본자료!$J$2:$J$1001,$AB30)))</f>
        <v/>
      </c>
      <c r="E30" s="11">
        <f>IF($AB30="","",IF(INDEX(기본자료!$K$2:$K$1001,$AB30)="","",IF(NOT(ISNUMBER(INDEX(기본자료!$K$2:$K$1001,$AB30))),INDEX(기본자료!$K$2:$K$1001,$AB30),IF(INDEX(기본자료!$K$2:$K$1001,$AB30)&lt;1000000,INDEX(기본자료!$K$2:$K$1001,$AB30),IF(AND(INDEX(기본자료!$K$2:$K$1001,$AB30)&gt;=10000101,INT(MOD(INDEX(기본자료!$K$2:$K$1001,$AB30),10000)/100)&gt;=1,INT(MOD(INDEX(기본자료!$K$2:$K$1001,$AB30),10000)/100)&lt;=12,MOD(INDEX(기본자료!$K$2:$K$1001,$AB30),100)&gt;=1,MOD(INDEX(기본자료!$K$2:$K$1001,$AB30),100)&lt;=31),DATE(INT(INDEX(기본자료!$K$2:$K$1001,$AB30)/10000),INT(MOD(INDEX(기본자료!$K$2:$K$1001,$AB30),10000)/100),MOD(INDEX(기본자료!$K$2:$K$1001,$AB30),100)),INDEX(기본자료!$K$2:$K$1001,$AB30)&amp;"")))))</f>
        <v/>
      </c>
      <c r="F30" s="10">
        <f>IF($AB30="","",IF(INDEX(기본자료!$D$2:$D$1001,$AB30)="","",INDEX(기본자료!$D$2:$D$1001,$AB30)))</f>
        <v/>
      </c>
      <c r="G30" s="10">
        <f>IF($AB30="","",IF(INDEX(기본자료!$E$2:$E$1001,$AB30)="","",INDEX(기본자료!$E$2:$E$1001,$AB30)))</f>
        <v/>
      </c>
      <c r="H30" s="10">
        <f>IF($AB30="","",IF(INDEX(기본자료!$F$2:$F$1001,$AB30)="","",INDEX(기본자료!$F$2:$F$1001,$AB30)))</f>
        <v/>
      </c>
      <c r="I30" s="11">
        <f>IF($AB30="","",IF(INDEX(기본자료!$G$2:$G$1001,$AB30)="","",IF(NOT(ISNUMBER(INDEX(기본자료!$G$2:$G$1001,$AB30))),INDEX(기본자료!$G$2:$G$1001,$AB30),IF(INDEX(기본자료!$G$2:$G$1001,$AB30)&lt;1000000,INDEX(기본자료!$G$2:$G$1001,$AB30),IF(AND(INDEX(기본자료!$G$2:$G$1001,$AB30)&gt;=10000101,INT(MOD(INDEX(기본자료!$G$2:$G$1001,$AB30),10000)/100)&gt;=1,INT(MOD(INDEX(기본자료!$G$2:$G$1001,$AB30),10000)/100)&lt;=12,MOD(INDEX(기본자료!$G$2:$G$1001,$AB30),100)&gt;=1,MOD(INDEX(기본자료!$G$2:$G$1001,$AB30),100)&lt;=31),DATE(INT(INDEX(기본자료!$G$2:$G$1001,$AB30)/10000),INT(MOD(INDEX(기본자료!$G$2:$G$1001,$AB30),10000)/100),MOD(INDEX(기본자료!$G$2:$G$1001,$AB30),100)),INDEX(기본자료!$G$2:$G$1001,$AB30)&amp;"")))))</f>
        <v/>
      </c>
      <c r="J30" s="10">
        <f>IF($AB30="","",IF(INDEX(기본자료!$H$2:$H$1001,$AB30)="","",INDEX(기본자료!$H$2:$H$1001,$AB30)))</f>
        <v/>
      </c>
      <c r="K30" s="10">
        <f>IF($AB30="","",IF(INDEX(기본자료!$I$2:$I$1001,$AB30)="","",INDEX(기본자료!$I$2:$I$1001,$AB30)))</f>
        <v/>
      </c>
      <c r="L30" s="10">
        <f>IF($AB30="","",IF(INDEX(기본자료!$A$2:$A$1001,$AB30)="","",INDEX(기본자료!$A$2:$A$1001,$AB30)))</f>
        <v/>
      </c>
      <c r="M30" s="15" t="n"/>
      <c r="N30" s="10">
        <f>IF($B30="","",IF(AND($U30="파견중",$Q30&lt;&gt;""),$Q30,IF(AND($AD30&lt;&gt;"",LEFT($AD30,1)&lt;&gt;"⚠"),LEFT($AD30,FIND(" ",$AD30)-1),IF($H30="","",IF(RIGHT($H30,2)="병원",$H30,$H30&amp;"병원")))))</f>
        <v/>
      </c>
      <c r="O30" s="10">
        <f>IF($B30="","",IF(AND($U30="파견중",$Q30&lt;&gt;""),IF($R30&lt;&gt;"",$R30,"파견과 미입력"),IF(AND($AD30&lt;&gt;"",LEFT($AD30,1)&lt;&gt;"⚠"),MID($AD30,FIND(" ",$AD30)+1,60),IF($F30="","",IF($F30="인턴","수련교육부(인턴)",$F30)))))</f>
        <v/>
      </c>
      <c r="P30" s="10">
        <f>IF($B30="","",IF($AK30&lt;&gt;"",IF(AND(TODAY()&gt;=INDEX(파견수련계획!$AB$4:$AB$83,$AK30),OR(NOT(ISNUMBER(INDEX(파견수련계획!$AC$4:$AC$83,$AK30))),TODAY()&lt;=INDEX(파견수련계획!$AC$4:$AC$83,$AK30))),"다기관",IF($AF30="","",INDEX(파견수련계획!$T$4:$T$83,$AF30))),IF($AF30="","",INDEX(파견수련계획!$T$4:$T$83,$AF30))))</f>
        <v/>
      </c>
      <c r="Q30" s="10">
        <f>IF($AF30="","",INDEX(파견수련계획!$S$4:$S$83,$AF30))</f>
        <v/>
      </c>
      <c r="R30" s="10">
        <f>IF($AF30="","",INDEX(파견수련계획!$U$4:$U$83,$AF30))</f>
        <v/>
      </c>
      <c r="S30" s="11">
        <f>IF($AF30="","",IF(INDEX(파견수련계획!$H$4:$H$83,$AF30)="","",INDEX(파견수련계획!$H$4:$H$83,$AF30)))</f>
        <v/>
      </c>
      <c r="T30" s="11">
        <f>IF($AF30="","",IF(INDEX(파견수련계획!$I$4:$I$83,$AF30)="","",INDEX(파견수련계획!$I$4:$I$83,$AF30)))</f>
        <v/>
      </c>
      <c r="U30" s="10">
        <f>IF($AF30="","",INDEX(파견수련계획!$X$4:$X$83,$AF30))</f>
        <v/>
      </c>
      <c r="V30" s="17">
        <f>IF($AF30="","",INDEX(파견수련계획!$V$4:$V$83,$AF30))</f>
        <v/>
      </c>
      <c r="W30" s="17">
        <f>IF(AND($U30="파견중",$T30&lt;&gt;""),$T30-TODAY(),"")</f>
        <v/>
      </c>
      <c r="X30" s="17">
        <f>IF(OR($B30="",TRIM($J30&amp;"")=""),"",SUMPRODUCT((파견수련계획!$Q$4:$Q$83=TRIM($J30&amp;""))*파견수련계획!$W$4:$W$83))</f>
        <v/>
      </c>
      <c r="Y30" s="10">
        <f>IF($B30="","",IF($AG30="","",IF(IF(TRIM($J30&amp;"")="",0,SUMPRODUCT((파견수련계획!$Q$4:$Q$83=TRIM($J30&amp;""))*파견수련계획!$AD$4:$AD$83))&gt;0,$AE30,IF(N($X30)&lt;=0,$AG30,IF($AH30+$AI30=DAY(EOMONTH(요약!$B$3,0)),IF(AND($AH30&gt;=요약!$E$3,$AI30&lt;요약!$E$3),"서울병원",IF(AND($AI30&gt;=요약!$E$3,$AH30&lt;요약!$E$3),"구리병원","⚠15일 판정불가(서울 "&amp;$AH30&amp;"일/구리 "&amp;$AI30&amp;"일)")),IF($AJ30="",$AE30,IF(INDEX(파견수련계획!$T$4:$T$83,$AJ30)="통합수련",INDEX(파견수련계획!$S$4:$S$83,$AJ30),$AE30)))))))</f>
        <v/>
      </c>
      <c r="Z30" s="19">
        <f>IF($B30="","",IF($AB30="","기본자료에 없는 사번",IF(COUNTIF($B$2:$B$401,$B30)&gt;1,"중복 사번",IF($AE30="","소속(입사장소) 입력",IF(IF(TRIM($J30&amp;"")="",0,SUMPRODUCT((파견수련계획!$Q$4:$Q$83=TRIM($J30&amp;""))*(파견수련계획!$AA$4:$AA$83&lt;&gt;"")))&gt;0,"파견수련계획 입력오류 확인",IF(LEFT($Y30,1)="⚠","서울·구리 15일 판정 불가(양쪽 모두 이상/미만)",IF(IF($AC30="",0,N(INDEX(인턴근무계획!$T$3:$T$62,$AC30)))&gt;0,"인턴계획 입력오류 확인",IF(AND($AC30&lt;&gt;"",$U30&lt;&gt;"파견중",$N30&lt;&gt;$AE30),"인턴 타지역 근무: 파견 여부 확인","정상"))))))))</f>
        <v/>
      </c>
      <c r="AA30" s="5" t="n"/>
      <c r="AB30" s="10">
        <f>IF($B30="","",IFERROR(MATCH($B30,기본자료!$B$2:$B$1001,0),IFERROR(MATCH($B30&amp;"",기본자료!$B$2:$B$1001,0),IFERROR(MATCH(VALUE($B30),기본자료!$B$2:$B$1001,0),""))))</f>
        <v/>
      </c>
      <c r="AC30" s="10">
        <f>IF($B30="","",IFERROR(MATCH($B30,인턴근무계획!$D$3:$D$62,0),IFERROR(MATCH($B30&amp;"",인턴근무계획!$D$3:$D$62,0),IFERROR(MATCH(VALUE($B30),인턴근무계획!$D$3:$D$62,0),""))))</f>
        <v/>
      </c>
      <c r="AD30" s="10">
        <f>IF(OR($AC30="",인턴현황!$G$3=""),"",INDEX(인턴근무계획!$M$3:$R$62,$AC30,인턴현황!$G$3)&amp;"")</f>
        <v/>
      </c>
      <c r="AE30" s="10">
        <f>IF($B30="","",IF($M30&lt;&gt;"",$M30,IF($AF30&lt;&gt;"",IF(LEFT(INDEX(파견수련계획!$R$4:$R$83,$AF30),1)&lt;&gt;"⚠",INDEX(파견수련계획!$R$4:$R$83,$AF30),IF($H30="","",IF(RIGHT($H30,2)="병원",$H30,$H30&amp;"병원"))),IF($H30="","",IF(RIGHT($H30,2)="병원",$H30,$H30&amp;"병원")))))</f>
        <v/>
      </c>
      <c r="AF30" s="10">
        <f>IF(OR($B30="",TRIM($J30&amp;"")=""),"",IFERROR(MATCH(TRIM($J30&amp;"")&amp;"|파견중",파견수련계획!$Y$4:$Y$83,0),IFERROR(MATCH(TRIM($J30&amp;"")&amp;"|파견예정",파견수련계획!$Y$4:$Y$83,0),IFERROR(MATCH(TRIM($J30&amp;"")&amp;"|파견종료",파견수련계획!$Y$4:$Y$83,0),""))))</f>
        <v/>
      </c>
      <c r="AG30" s="10">
        <f>IF($B30="","",IF(AND(IF(OR($AC30="",인턴현황!$K$2=""),"",INDEX(인턴근무계획!$M$3:$R$62,$AC30,인턴현황!$K$2)&amp;"")&lt;&gt;"",LEFT(IF(OR($AC30="",인턴현황!$K$2=""),"",INDEX(인턴근무계획!$M$3:$R$62,$AC30,인턴현황!$K$2)&amp;""),1)&lt;&gt;"⚠"),LEFT(IF(OR($AC30="",인턴현황!$K$2=""),"",INDEX(인턴근무계획!$M$3:$R$62,$AC30,인턴현황!$K$2)&amp;""),FIND(" ",IF(OR($AC30="",인턴현황!$K$2=""),"",INDEX(인턴근무계획!$M$3:$R$62,$AC30,인턴현황!$K$2)&amp;""))-1),$AE30))</f>
        <v/>
      </c>
      <c r="AH30" s="17">
        <f>IF($B30="","",IF(TRIM($J30&amp;"")="",0,SUMPRODUCT((파견수련계획!$Q$4:$Q$83=TRIM($J30&amp;""))*(파견수련계획!$S$4:$S$83="서울병원")*파견수련계획!$W$4:$W$83))+IF($AG30="서울병원",MAX(0,DAY(EOMONTH(요약!$B$3,0))-N($X30)),0))</f>
        <v/>
      </c>
      <c r="AI30" s="17">
        <f>IF($B30="","",IF(TRIM($J30&amp;"")="",0,SUMPRODUCT((파견수련계획!$Q$4:$Q$83=TRIM($J30&amp;""))*(파견수련계획!$S$4:$S$83="구리병원")*파견수련계획!$W$4:$W$83))+IF($AG30="구리병원",MAX(0,DAY(EOMONTH(요약!$B$3,0))-N($X30)),0))</f>
        <v/>
      </c>
      <c r="AJ30" s="10">
        <f>IF(OR($B30="",TRIM($J30&amp;"")=""),"",IFERROR(MATCH(TRIM($J30&amp;"")&amp;"|월",파견수련계획!$Z$4:$Z$83,0),""))</f>
        <v/>
      </c>
      <c r="AK30" s="10">
        <f>IF(OR($B30="",TRIM($J30&amp;"")=""),"",IFERROR(MATCH(TRIM($J30&amp;"")&amp;"|다기관",파견수련계획!$AE$4:$AE$83,0),""))</f>
        <v/>
      </c>
      <c r="AL30" s="10">
        <f>IF($AK30="","","다기관 "&amp;TEXT(INDEX(파견수련계획!$AB$4:$AB$83,$AK30),"yyyy-mm-dd")&amp;"~"&amp;IF(ISNUMBER(INDEX(파견수련계획!$AC$4:$AC$83,$AK30)),TEXT(INDEX(파견수련계획!$AC$4:$AC$83,$AK30),"yyyy-mm-dd"),""))</f>
        <v/>
      </c>
    </row>
    <row r="31">
      <c r="A31" s="10">
        <f>IF(B31="","",ROW()-1)</f>
        <v/>
      </c>
      <c r="B31" s="18" t="n"/>
      <c r="C31" s="10">
        <f>IF($AB31="","",IF(INDEX(기본자료!$C$2:$C$1001,$AB31)="","",INDEX(기본자료!$C$2:$C$1001,$AB31)))</f>
        <v/>
      </c>
      <c r="D31" s="10">
        <f>IF($AB31="","",IF(INDEX(기본자료!$J$2:$J$1001,$AB31)="","",INDEX(기본자료!$J$2:$J$1001,$AB31)))</f>
        <v/>
      </c>
      <c r="E31" s="11">
        <f>IF($AB31="","",IF(INDEX(기본자료!$K$2:$K$1001,$AB31)="","",IF(NOT(ISNUMBER(INDEX(기본자료!$K$2:$K$1001,$AB31))),INDEX(기본자료!$K$2:$K$1001,$AB31),IF(INDEX(기본자료!$K$2:$K$1001,$AB31)&lt;1000000,INDEX(기본자료!$K$2:$K$1001,$AB31),IF(AND(INDEX(기본자료!$K$2:$K$1001,$AB31)&gt;=10000101,INT(MOD(INDEX(기본자료!$K$2:$K$1001,$AB31),10000)/100)&gt;=1,INT(MOD(INDEX(기본자료!$K$2:$K$1001,$AB31),10000)/100)&lt;=12,MOD(INDEX(기본자료!$K$2:$K$1001,$AB31),100)&gt;=1,MOD(INDEX(기본자료!$K$2:$K$1001,$AB31),100)&lt;=31),DATE(INT(INDEX(기본자료!$K$2:$K$1001,$AB31)/10000),INT(MOD(INDEX(기본자료!$K$2:$K$1001,$AB31),10000)/100),MOD(INDEX(기본자료!$K$2:$K$1001,$AB31),100)),INDEX(기본자료!$K$2:$K$1001,$AB31)&amp;"")))))</f>
        <v/>
      </c>
      <c r="F31" s="10">
        <f>IF($AB31="","",IF(INDEX(기본자료!$D$2:$D$1001,$AB31)="","",INDEX(기본자료!$D$2:$D$1001,$AB31)))</f>
        <v/>
      </c>
      <c r="G31" s="10">
        <f>IF($AB31="","",IF(INDEX(기본자료!$E$2:$E$1001,$AB31)="","",INDEX(기본자료!$E$2:$E$1001,$AB31)))</f>
        <v/>
      </c>
      <c r="H31" s="10">
        <f>IF($AB31="","",IF(INDEX(기본자료!$F$2:$F$1001,$AB31)="","",INDEX(기본자료!$F$2:$F$1001,$AB31)))</f>
        <v/>
      </c>
      <c r="I31" s="11">
        <f>IF($AB31="","",IF(INDEX(기본자료!$G$2:$G$1001,$AB31)="","",IF(NOT(ISNUMBER(INDEX(기본자료!$G$2:$G$1001,$AB31))),INDEX(기본자료!$G$2:$G$1001,$AB31),IF(INDEX(기본자료!$G$2:$G$1001,$AB31)&lt;1000000,INDEX(기본자료!$G$2:$G$1001,$AB31),IF(AND(INDEX(기본자료!$G$2:$G$1001,$AB31)&gt;=10000101,INT(MOD(INDEX(기본자료!$G$2:$G$1001,$AB31),10000)/100)&gt;=1,INT(MOD(INDEX(기본자료!$G$2:$G$1001,$AB31),10000)/100)&lt;=12,MOD(INDEX(기본자료!$G$2:$G$1001,$AB31),100)&gt;=1,MOD(INDEX(기본자료!$G$2:$G$1001,$AB31),100)&lt;=31),DATE(INT(INDEX(기본자료!$G$2:$G$1001,$AB31)/10000),INT(MOD(INDEX(기본자료!$G$2:$G$1001,$AB31),10000)/100),MOD(INDEX(기본자료!$G$2:$G$1001,$AB31),100)),INDEX(기본자료!$G$2:$G$1001,$AB31)&amp;"")))))</f>
        <v/>
      </c>
      <c r="J31" s="10">
        <f>IF($AB31="","",IF(INDEX(기본자료!$H$2:$H$1001,$AB31)="","",INDEX(기본자료!$H$2:$H$1001,$AB31)))</f>
        <v/>
      </c>
      <c r="K31" s="10">
        <f>IF($AB31="","",IF(INDEX(기본자료!$I$2:$I$1001,$AB31)="","",INDEX(기본자료!$I$2:$I$1001,$AB31)))</f>
        <v/>
      </c>
      <c r="L31" s="10">
        <f>IF($AB31="","",IF(INDEX(기본자료!$A$2:$A$1001,$AB31)="","",INDEX(기본자료!$A$2:$A$1001,$AB31)))</f>
        <v/>
      </c>
      <c r="M31" s="15" t="n"/>
      <c r="N31" s="10">
        <f>IF($B31="","",IF(AND($U31="파견중",$Q31&lt;&gt;""),$Q31,IF(AND($AD31&lt;&gt;"",LEFT($AD31,1)&lt;&gt;"⚠"),LEFT($AD31,FIND(" ",$AD31)-1),IF($H31="","",IF(RIGHT($H31,2)="병원",$H31,$H31&amp;"병원")))))</f>
        <v/>
      </c>
      <c r="O31" s="10">
        <f>IF($B31="","",IF(AND($U31="파견중",$Q31&lt;&gt;""),IF($R31&lt;&gt;"",$R31,"파견과 미입력"),IF(AND($AD31&lt;&gt;"",LEFT($AD31,1)&lt;&gt;"⚠"),MID($AD31,FIND(" ",$AD31)+1,60),IF($F31="","",IF($F31="인턴","수련교육부(인턴)",$F31)))))</f>
        <v/>
      </c>
      <c r="P31" s="10">
        <f>IF($B31="","",IF($AK31&lt;&gt;"",IF(AND(TODAY()&gt;=INDEX(파견수련계획!$AB$4:$AB$83,$AK31),OR(NOT(ISNUMBER(INDEX(파견수련계획!$AC$4:$AC$83,$AK31))),TODAY()&lt;=INDEX(파견수련계획!$AC$4:$AC$83,$AK31))),"다기관",IF($AF31="","",INDEX(파견수련계획!$T$4:$T$83,$AF31))),IF($AF31="","",INDEX(파견수련계획!$T$4:$T$83,$AF31))))</f>
        <v/>
      </c>
      <c r="Q31" s="10">
        <f>IF($AF31="","",INDEX(파견수련계획!$S$4:$S$83,$AF31))</f>
        <v/>
      </c>
      <c r="R31" s="10">
        <f>IF($AF31="","",INDEX(파견수련계획!$U$4:$U$83,$AF31))</f>
        <v/>
      </c>
      <c r="S31" s="11">
        <f>IF($AF31="","",IF(INDEX(파견수련계획!$H$4:$H$83,$AF31)="","",INDEX(파견수련계획!$H$4:$H$83,$AF31)))</f>
        <v/>
      </c>
      <c r="T31" s="11">
        <f>IF($AF31="","",IF(INDEX(파견수련계획!$I$4:$I$83,$AF31)="","",INDEX(파견수련계획!$I$4:$I$83,$AF31)))</f>
        <v/>
      </c>
      <c r="U31" s="10">
        <f>IF($AF31="","",INDEX(파견수련계획!$X$4:$X$83,$AF31))</f>
        <v/>
      </c>
      <c r="V31" s="17">
        <f>IF($AF31="","",INDEX(파견수련계획!$V$4:$V$83,$AF31))</f>
        <v/>
      </c>
      <c r="W31" s="17">
        <f>IF(AND($U31="파견중",$T31&lt;&gt;""),$T31-TODAY(),"")</f>
        <v/>
      </c>
      <c r="X31" s="17">
        <f>IF(OR($B31="",TRIM($J31&amp;"")=""),"",SUMPRODUCT((파견수련계획!$Q$4:$Q$83=TRIM($J31&amp;""))*파견수련계획!$W$4:$W$83))</f>
        <v/>
      </c>
      <c r="Y31" s="10">
        <f>IF($B31="","",IF($AG31="","",IF(IF(TRIM($J31&amp;"")="",0,SUMPRODUCT((파견수련계획!$Q$4:$Q$83=TRIM($J31&amp;""))*파견수련계획!$AD$4:$AD$83))&gt;0,$AE31,IF(N($X31)&lt;=0,$AG31,IF($AH31+$AI31=DAY(EOMONTH(요약!$B$3,0)),IF(AND($AH31&gt;=요약!$E$3,$AI31&lt;요약!$E$3),"서울병원",IF(AND($AI31&gt;=요약!$E$3,$AH31&lt;요약!$E$3),"구리병원","⚠15일 판정불가(서울 "&amp;$AH31&amp;"일/구리 "&amp;$AI31&amp;"일)")),IF($AJ31="",$AE31,IF(INDEX(파견수련계획!$T$4:$T$83,$AJ31)="통합수련",INDEX(파견수련계획!$S$4:$S$83,$AJ31),$AE31)))))))</f>
        <v/>
      </c>
      <c r="Z31" s="19">
        <f>IF($B31="","",IF($AB31="","기본자료에 없는 사번",IF(COUNTIF($B$2:$B$401,$B31)&gt;1,"중복 사번",IF($AE31="","소속(입사장소) 입력",IF(IF(TRIM($J31&amp;"")="",0,SUMPRODUCT((파견수련계획!$Q$4:$Q$83=TRIM($J31&amp;""))*(파견수련계획!$AA$4:$AA$83&lt;&gt;"")))&gt;0,"파견수련계획 입력오류 확인",IF(LEFT($Y31,1)="⚠","서울·구리 15일 판정 불가(양쪽 모두 이상/미만)",IF(IF($AC31="",0,N(INDEX(인턴근무계획!$T$3:$T$62,$AC31)))&gt;0,"인턴계획 입력오류 확인",IF(AND($AC31&lt;&gt;"",$U31&lt;&gt;"파견중",$N31&lt;&gt;$AE31),"인턴 타지역 근무: 파견 여부 확인","정상"))))))))</f>
        <v/>
      </c>
      <c r="AA31" s="5" t="n"/>
      <c r="AB31" s="10">
        <f>IF($B31="","",IFERROR(MATCH($B31,기본자료!$B$2:$B$1001,0),IFERROR(MATCH($B31&amp;"",기본자료!$B$2:$B$1001,0),IFERROR(MATCH(VALUE($B31),기본자료!$B$2:$B$1001,0),""))))</f>
        <v/>
      </c>
      <c r="AC31" s="10">
        <f>IF($B31="","",IFERROR(MATCH($B31,인턴근무계획!$D$3:$D$62,0),IFERROR(MATCH($B31&amp;"",인턴근무계획!$D$3:$D$62,0),IFERROR(MATCH(VALUE($B31),인턴근무계획!$D$3:$D$62,0),""))))</f>
        <v/>
      </c>
      <c r="AD31" s="10">
        <f>IF(OR($AC31="",인턴현황!$G$3=""),"",INDEX(인턴근무계획!$M$3:$R$62,$AC31,인턴현황!$G$3)&amp;"")</f>
        <v/>
      </c>
      <c r="AE31" s="10">
        <f>IF($B31="","",IF($M31&lt;&gt;"",$M31,IF($AF31&lt;&gt;"",IF(LEFT(INDEX(파견수련계획!$R$4:$R$83,$AF31),1)&lt;&gt;"⚠",INDEX(파견수련계획!$R$4:$R$83,$AF31),IF($H31="","",IF(RIGHT($H31,2)="병원",$H31,$H31&amp;"병원"))),IF($H31="","",IF(RIGHT($H31,2)="병원",$H31,$H31&amp;"병원")))))</f>
        <v/>
      </c>
      <c r="AF31" s="10">
        <f>IF(OR($B31="",TRIM($J31&amp;"")=""),"",IFERROR(MATCH(TRIM($J31&amp;"")&amp;"|파견중",파견수련계획!$Y$4:$Y$83,0),IFERROR(MATCH(TRIM($J31&amp;"")&amp;"|파견예정",파견수련계획!$Y$4:$Y$83,0),IFERROR(MATCH(TRIM($J31&amp;"")&amp;"|파견종료",파견수련계획!$Y$4:$Y$83,0),""))))</f>
        <v/>
      </c>
      <c r="AG31" s="10">
        <f>IF($B31="","",IF(AND(IF(OR($AC31="",인턴현황!$K$2=""),"",INDEX(인턴근무계획!$M$3:$R$62,$AC31,인턴현황!$K$2)&amp;"")&lt;&gt;"",LEFT(IF(OR($AC31="",인턴현황!$K$2=""),"",INDEX(인턴근무계획!$M$3:$R$62,$AC31,인턴현황!$K$2)&amp;""),1)&lt;&gt;"⚠"),LEFT(IF(OR($AC31="",인턴현황!$K$2=""),"",INDEX(인턴근무계획!$M$3:$R$62,$AC31,인턴현황!$K$2)&amp;""),FIND(" ",IF(OR($AC31="",인턴현황!$K$2=""),"",INDEX(인턴근무계획!$M$3:$R$62,$AC31,인턴현황!$K$2)&amp;""))-1),$AE31))</f>
        <v/>
      </c>
      <c r="AH31" s="17">
        <f>IF($B31="","",IF(TRIM($J31&amp;"")="",0,SUMPRODUCT((파견수련계획!$Q$4:$Q$83=TRIM($J31&amp;""))*(파견수련계획!$S$4:$S$83="서울병원")*파견수련계획!$W$4:$W$83))+IF($AG31="서울병원",MAX(0,DAY(EOMONTH(요약!$B$3,0))-N($X31)),0))</f>
        <v/>
      </c>
      <c r="AI31" s="17">
        <f>IF($B31="","",IF(TRIM($J31&amp;"")="",0,SUMPRODUCT((파견수련계획!$Q$4:$Q$83=TRIM($J31&amp;""))*(파견수련계획!$S$4:$S$83="구리병원")*파견수련계획!$W$4:$W$83))+IF($AG31="구리병원",MAX(0,DAY(EOMONTH(요약!$B$3,0))-N($X31)),0))</f>
        <v/>
      </c>
      <c r="AJ31" s="10">
        <f>IF(OR($B31="",TRIM($J31&amp;"")=""),"",IFERROR(MATCH(TRIM($J31&amp;"")&amp;"|월",파견수련계획!$Z$4:$Z$83,0),""))</f>
        <v/>
      </c>
      <c r="AK31" s="10">
        <f>IF(OR($B31="",TRIM($J31&amp;"")=""),"",IFERROR(MATCH(TRIM($J31&amp;"")&amp;"|다기관",파견수련계획!$AE$4:$AE$83,0),""))</f>
        <v/>
      </c>
      <c r="AL31" s="10">
        <f>IF($AK31="","","다기관 "&amp;TEXT(INDEX(파견수련계획!$AB$4:$AB$83,$AK31),"yyyy-mm-dd")&amp;"~"&amp;IF(ISNUMBER(INDEX(파견수련계획!$AC$4:$AC$83,$AK31)),TEXT(INDEX(파견수련계획!$AC$4:$AC$83,$AK31),"yyyy-mm-dd"),""))</f>
        <v/>
      </c>
    </row>
    <row r="32">
      <c r="A32" s="10">
        <f>IF(B32="","",ROW()-1)</f>
        <v/>
      </c>
      <c r="B32" s="18" t="n"/>
      <c r="C32" s="10">
        <f>IF($AB32="","",IF(INDEX(기본자료!$C$2:$C$1001,$AB32)="","",INDEX(기본자료!$C$2:$C$1001,$AB32)))</f>
        <v/>
      </c>
      <c r="D32" s="10">
        <f>IF($AB32="","",IF(INDEX(기본자료!$J$2:$J$1001,$AB32)="","",INDEX(기본자료!$J$2:$J$1001,$AB32)))</f>
        <v/>
      </c>
      <c r="E32" s="11">
        <f>IF($AB32="","",IF(INDEX(기본자료!$K$2:$K$1001,$AB32)="","",IF(NOT(ISNUMBER(INDEX(기본자료!$K$2:$K$1001,$AB32))),INDEX(기본자료!$K$2:$K$1001,$AB32),IF(INDEX(기본자료!$K$2:$K$1001,$AB32)&lt;1000000,INDEX(기본자료!$K$2:$K$1001,$AB32),IF(AND(INDEX(기본자료!$K$2:$K$1001,$AB32)&gt;=10000101,INT(MOD(INDEX(기본자료!$K$2:$K$1001,$AB32),10000)/100)&gt;=1,INT(MOD(INDEX(기본자료!$K$2:$K$1001,$AB32),10000)/100)&lt;=12,MOD(INDEX(기본자료!$K$2:$K$1001,$AB32),100)&gt;=1,MOD(INDEX(기본자료!$K$2:$K$1001,$AB32),100)&lt;=31),DATE(INT(INDEX(기본자료!$K$2:$K$1001,$AB32)/10000),INT(MOD(INDEX(기본자료!$K$2:$K$1001,$AB32),10000)/100),MOD(INDEX(기본자료!$K$2:$K$1001,$AB32),100)),INDEX(기본자료!$K$2:$K$1001,$AB32)&amp;"")))))</f>
        <v/>
      </c>
      <c r="F32" s="10">
        <f>IF($AB32="","",IF(INDEX(기본자료!$D$2:$D$1001,$AB32)="","",INDEX(기본자료!$D$2:$D$1001,$AB32)))</f>
        <v/>
      </c>
      <c r="G32" s="10">
        <f>IF($AB32="","",IF(INDEX(기본자료!$E$2:$E$1001,$AB32)="","",INDEX(기본자료!$E$2:$E$1001,$AB32)))</f>
        <v/>
      </c>
      <c r="H32" s="10">
        <f>IF($AB32="","",IF(INDEX(기본자료!$F$2:$F$1001,$AB32)="","",INDEX(기본자료!$F$2:$F$1001,$AB32)))</f>
        <v/>
      </c>
      <c r="I32" s="11">
        <f>IF($AB32="","",IF(INDEX(기본자료!$G$2:$G$1001,$AB32)="","",IF(NOT(ISNUMBER(INDEX(기본자료!$G$2:$G$1001,$AB32))),INDEX(기본자료!$G$2:$G$1001,$AB32),IF(INDEX(기본자료!$G$2:$G$1001,$AB32)&lt;1000000,INDEX(기본자료!$G$2:$G$1001,$AB32),IF(AND(INDEX(기본자료!$G$2:$G$1001,$AB32)&gt;=10000101,INT(MOD(INDEX(기본자료!$G$2:$G$1001,$AB32),10000)/100)&gt;=1,INT(MOD(INDEX(기본자료!$G$2:$G$1001,$AB32),10000)/100)&lt;=12,MOD(INDEX(기본자료!$G$2:$G$1001,$AB32),100)&gt;=1,MOD(INDEX(기본자료!$G$2:$G$1001,$AB32),100)&lt;=31),DATE(INT(INDEX(기본자료!$G$2:$G$1001,$AB32)/10000),INT(MOD(INDEX(기본자료!$G$2:$G$1001,$AB32),10000)/100),MOD(INDEX(기본자료!$G$2:$G$1001,$AB32),100)),INDEX(기본자료!$G$2:$G$1001,$AB32)&amp;"")))))</f>
        <v/>
      </c>
      <c r="J32" s="10">
        <f>IF($AB32="","",IF(INDEX(기본자료!$H$2:$H$1001,$AB32)="","",INDEX(기본자료!$H$2:$H$1001,$AB32)))</f>
        <v/>
      </c>
      <c r="K32" s="10">
        <f>IF($AB32="","",IF(INDEX(기본자료!$I$2:$I$1001,$AB32)="","",INDEX(기본자료!$I$2:$I$1001,$AB32)))</f>
        <v/>
      </c>
      <c r="L32" s="10">
        <f>IF($AB32="","",IF(INDEX(기본자료!$A$2:$A$1001,$AB32)="","",INDEX(기본자료!$A$2:$A$1001,$AB32)))</f>
        <v/>
      </c>
      <c r="M32" s="15" t="n"/>
      <c r="N32" s="10">
        <f>IF($B32="","",IF(AND($U32="파견중",$Q32&lt;&gt;""),$Q32,IF(AND($AD32&lt;&gt;"",LEFT($AD32,1)&lt;&gt;"⚠"),LEFT($AD32,FIND(" ",$AD32)-1),IF($H32="","",IF(RIGHT($H32,2)="병원",$H32,$H32&amp;"병원")))))</f>
        <v/>
      </c>
      <c r="O32" s="10">
        <f>IF($B32="","",IF(AND($U32="파견중",$Q32&lt;&gt;""),IF($R32&lt;&gt;"",$R32,"파견과 미입력"),IF(AND($AD32&lt;&gt;"",LEFT($AD32,1)&lt;&gt;"⚠"),MID($AD32,FIND(" ",$AD32)+1,60),IF($F32="","",IF($F32="인턴","수련교육부(인턴)",$F32)))))</f>
        <v/>
      </c>
      <c r="P32" s="10">
        <f>IF($B32="","",IF($AK32&lt;&gt;"",IF(AND(TODAY()&gt;=INDEX(파견수련계획!$AB$4:$AB$83,$AK32),OR(NOT(ISNUMBER(INDEX(파견수련계획!$AC$4:$AC$83,$AK32))),TODAY()&lt;=INDEX(파견수련계획!$AC$4:$AC$83,$AK32))),"다기관",IF($AF32="","",INDEX(파견수련계획!$T$4:$T$83,$AF32))),IF($AF32="","",INDEX(파견수련계획!$T$4:$T$83,$AF32))))</f>
        <v/>
      </c>
      <c r="Q32" s="10">
        <f>IF($AF32="","",INDEX(파견수련계획!$S$4:$S$83,$AF32))</f>
        <v/>
      </c>
      <c r="R32" s="10">
        <f>IF($AF32="","",INDEX(파견수련계획!$U$4:$U$83,$AF32))</f>
        <v/>
      </c>
      <c r="S32" s="11">
        <f>IF($AF32="","",IF(INDEX(파견수련계획!$H$4:$H$83,$AF32)="","",INDEX(파견수련계획!$H$4:$H$83,$AF32)))</f>
        <v/>
      </c>
      <c r="T32" s="11">
        <f>IF($AF32="","",IF(INDEX(파견수련계획!$I$4:$I$83,$AF32)="","",INDEX(파견수련계획!$I$4:$I$83,$AF32)))</f>
        <v/>
      </c>
      <c r="U32" s="10">
        <f>IF($AF32="","",INDEX(파견수련계획!$X$4:$X$83,$AF32))</f>
        <v/>
      </c>
      <c r="V32" s="17">
        <f>IF($AF32="","",INDEX(파견수련계획!$V$4:$V$83,$AF32))</f>
        <v/>
      </c>
      <c r="W32" s="17">
        <f>IF(AND($U32="파견중",$T32&lt;&gt;""),$T32-TODAY(),"")</f>
        <v/>
      </c>
      <c r="X32" s="17">
        <f>IF(OR($B32="",TRIM($J32&amp;"")=""),"",SUMPRODUCT((파견수련계획!$Q$4:$Q$83=TRIM($J32&amp;""))*파견수련계획!$W$4:$W$83))</f>
        <v/>
      </c>
      <c r="Y32" s="10">
        <f>IF($B32="","",IF($AG32="","",IF(IF(TRIM($J32&amp;"")="",0,SUMPRODUCT((파견수련계획!$Q$4:$Q$83=TRIM($J32&amp;""))*파견수련계획!$AD$4:$AD$83))&gt;0,$AE32,IF(N($X32)&lt;=0,$AG32,IF($AH32+$AI32=DAY(EOMONTH(요약!$B$3,0)),IF(AND($AH32&gt;=요약!$E$3,$AI32&lt;요약!$E$3),"서울병원",IF(AND($AI32&gt;=요약!$E$3,$AH32&lt;요약!$E$3),"구리병원","⚠15일 판정불가(서울 "&amp;$AH32&amp;"일/구리 "&amp;$AI32&amp;"일)")),IF($AJ32="",$AE32,IF(INDEX(파견수련계획!$T$4:$T$83,$AJ32)="통합수련",INDEX(파견수련계획!$S$4:$S$83,$AJ32),$AE32)))))))</f>
        <v/>
      </c>
      <c r="Z32" s="19">
        <f>IF($B32="","",IF($AB32="","기본자료에 없는 사번",IF(COUNTIF($B$2:$B$401,$B32)&gt;1,"중복 사번",IF($AE32="","소속(입사장소) 입력",IF(IF(TRIM($J32&amp;"")="",0,SUMPRODUCT((파견수련계획!$Q$4:$Q$83=TRIM($J32&amp;""))*(파견수련계획!$AA$4:$AA$83&lt;&gt;"")))&gt;0,"파견수련계획 입력오류 확인",IF(LEFT($Y32,1)="⚠","서울·구리 15일 판정 불가(양쪽 모두 이상/미만)",IF(IF($AC32="",0,N(INDEX(인턴근무계획!$T$3:$T$62,$AC32)))&gt;0,"인턴계획 입력오류 확인",IF(AND($AC32&lt;&gt;"",$U32&lt;&gt;"파견중",$N32&lt;&gt;$AE32),"인턴 타지역 근무: 파견 여부 확인","정상"))))))))</f>
        <v/>
      </c>
      <c r="AA32" s="5" t="n"/>
      <c r="AB32" s="10">
        <f>IF($B32="","",IFERROR(MATCH($B32,기본자료!$B$2:$B$1001,0),IFERROR(MATCH($B32&amp;"",기본자료!$B$2:$B$1001,0),IFERROR(MATCH(VALUE($B32),기본자료!$B$2:$B$1001,0),""))))</f>
        <v/>
      </c>
      <c r="AC32" s="10">
        <f>IF($B32="","",IFERROR(MATCH($B32,인턴근무계획!$D$3:$D$62,0),IFERROR(MATCH($B32&amp;"",인턴근무계획!$D$3:$D$62,0),IFERROR(MATCH(VALUE($B32),인턴근무계획!$D$3:$D$62,0),""))))</f>
        <v/>
      </c>
      <c r="AD32" s="10">
        <f>IF(OR($AC32="",인턴현황!$G$3=""),"",INDEX(인턴근무계획!$M$3:$R$62,$AC32,인턴현황!$G$3)&amp;"")</f>
        <v/>
      </c>
      <c r="AE32" s="10">
        <f>IF($B32="","",IF($M32&lt;&gt;"",$M32,IF($AF32&lt;&gt;"",IF(LEFT(INDEX(파견수련계획!$R$4:$R$83,$AF32),1)&lt;&gt;"⚠",INDEX(파견수련계획!$R$4:$R$83,$AF32),IF($H32="","",IF(RIGHT($H32,2)="병원",$H32,$H32&amp;"병원"))),IF($H32="","",IF(RIGHT($H32,2)="병원",$H32,$H32&amp;"병원")))))</f>
        <v/>
      </c>
      <c r="AF32" s="10">
        <f>IF(OR($B32="",TRIM($J32&amp;"")=""),"",IFERROR(MATCH(TRIM($J32&amp;"")&amp;"|파견중",파견수련계획!$Y$4:$Y$83,0),IFERROR(MATCH(TRIM($J32&amp;"")&amp;"|파견예정",파견수련계획!$Y$4:$Y$83,0),IFERROR(MATCH(TRIM($J32&amp;"")&amp;"|파견종료",파견수련계획!$Y$4:$Y$83,0),""))))</f>
        <v/>
      </c>
      <c r="AG32" s="10">
        <f>IF($B32="","",IF(AND(IF(OR($AC32="",인턴현황!$K$2=""),"",INDEX(인턴근무계획!$M$3:$R$62,$AC32,인턴현황!$K$2)&amp;"")&lt;&gt;"",LEFT(IF(OR($AC32="",인턴현황!$K$2=""),"",INDEX(인턴근무계획!$M$3:$R$62,$AC32,인턴현황!$K$2)&amp;""),1)&lt;&gt;"⚠"),LEFT(IF(OR($AC32="",인턴현황!$K$2=""),"",INDEX(인턴근무계획!$M$3:$R$62,$AC32,인턴현황!$K$2)&amp;""),FIND(" ",IF(OR($AC32="",인턴현황!$K$2=""),"",INDEX(인턴근무계획!$M$3:$R$62,$AC32,인턴현황!$K$2)&amp;""))-1),$AE32))</f>
        <v/>
      </c>
      <c r="AH32" s="17">
        <f>IF($B32="","",IF(TRIM($J32&amp;"")="",0,SUMPRODUCT((파견수련계획!$Q$4:$Q$83=TRIM($J32&amp;""))*(파견수련계획!$S$4:$S$83="서울병원")*파견수련계획!$W$4:$W$83))+IF($AG32="서울병원",MAX(0,DAY(EOMONTH(요약!$B$3,0))-N($X32)),0))</f>
        <v/>
      </c>
      <c r="AI32" s="17">
        <f>IF($B32="","",IF(TRIM($J32&amp;"")="",0,SUMPRODUCT((파견수련계획!$Q$4:$Q$83=TRIM($J32&amp;""))*(파견수련계획!$S$4:$S$83="구리병원")*파견수련계획!$W$4:$W$83))+IF($AG32="구리병원",MAX(0,DAY(EOMONTH(요약!$B$3,0))-N($X32)),0))</f>
        <v/>
      </c>
      <c r="AJ32" s="10">
        <f>IF(OR($B32="",TRIM($J32&amp;"")=""),"",IFERROR(MATCH(TRIM($J32&amp;"")&amp;"|월",파견수련계획!$Z$4:$Z$83,0),""))</f>
        <v/>
      </c>
      <c r="AK32" s="10">
        <f>IF(OR($B32="",TRIM($J32&amp;"")=""),"",IFERROR(MATCH(TRIM($J32&amp;"")&amp;"|다기관",파견수련계획!$AE$4:$AE$83,0),""))</f>
        <v/>
      </c>
      <c r="AL32" s="10">
        <f>IF($AK32="","","다기관 "&amp;TEXT(INDEX(파견수련계획!$AB$4:$AB$83,$AK32),"yyyy-mm-dd")&amp;"~"&amp;IF(ISNUMBER(INDEX(파견수련계획!$AC$4:$AC$83,$AK32)),TEXT(INDEX(파견수련계획!$AC$4:$AC$83,$AK32),"yyyy-mm-dd"),""))</f>
        <v/>
      </c>
    </row>
    <row r="33">
      <c r="A33" s="10">
        <f>IF(B33="","",ROW()-1)</f>
        <v/>
      </c>
      <c r="B33" s="18" t="n"/>
      <c r="C33" s="10">
        <f>IF($AB33="","",IF(INDEX(기본자료!$C$2:$C$1001,$AB33)="","",INDEX(기본자료!$C$2:$C$1001,$AB33)))</f>
        <v/>
      </c>
      <c r="D33" s="10">
        <f>IF($AB33="","",IF(INDEX(기본자료!$J$2:$J$1001,$AB33)="","",INDEX(기본자료!$J$2:$J$1001,$AB33)))</f>
        <v/>
      </c>
      <c r="E33" s="11">
        <f>IF($AB33="","",IF(INDEX(기본자료!$K$2:$K$1001,$AB33)="","",IF(NOT(ISNUMBER(INDEX(기본자료!$K$2:$K$1001,$AB33))),INDEX(기본자료!$K$2:$K$1001,$AB33),IF(INDEX(기본자료!$K$2:$K$1001,$AB33)&lt;1000000,INDEX(기본자료!$K$2:$K$1001,$AB33),IF(AND(INDEX(기본자료!$K$2:$K$1001,$AB33)&gt;=10000101,INT(MOD(INDEX(기본자료!$K$2:$K$1001,$AB33),10000)/100)&gt;=1,INT(MOD(INDEX(기본자료!$K$2:$K$1001,$AB33),10000)/100)&lt;=12,MOD(INDEX(기본자료!$K$2:$K$1001,$AB33),100)&gt;=1,MOD(INDEX(기본자료!$K$2:$K$1001,$AB33),100)&lt;=31),DATE(INT(INDEX(기본자료!$K$2:$K$1001,$AB33)/10000),INT(MOD(INDEX(기본자료!$K$2:$K$1001,$AB33),10000)/100),MOD(INDEX(기본자료!$K$2:$K$1001,$AB33),100)),INDEX(기본자료!$K$2:$K$1001,$AB33)&amp;"")))))</f>
        <v/>
      </c>
      <c r="F33" s="10">
        <f>IF($AB33="","",IF(INDEX(기본자료!$D$2:$D$1001,$AB33)="","",INDEX(기본자료!$D$2:$D$1001,$AB33)))</f>
        <v/>
      </c>
      <c r="G33" s="10">
        <f>IF($AB33="","",IF(INDEX(기본자료!$E$2:$E$1001,$AB33)="","",INDEX(기본자료!$E$2:$E$1001,$AB33)))</f>
        <v/>
      </c>
      <c r="H33" s="10">
        <f>IF($AB33="","",IF(INDEX(기본자료!$F$2:$F$1001,$AB33)="","",INDEX(기본자료!$F$2:$F$1001,$AB33)))</f>
        <v/>
      </c>
      <c r="I33" s="11">
        <f>IF($AB33="","",IF(INDEX(기본자료!$G$2:$G$1001,$AB33)="","",IF(NOT(ISNUMBER(INDEX(기본자료!$G$2:$G$1001,$AB33))),INDEX(기본자료!$G$2:$G$1001,$AB33),IF(INDEX(기본자료!$G$2:$G$1001,$AB33)&lt;1000000,INDEX(기본자료!$G$2:$G$1001,$AB33),IF(AND(INDEX(기본자료!$G$2:$G$1001,$AB33)&gt;=10000101,INT(MOD(INDEX(기본자료!$G$2:$G$1001,$AB33),10000)/100)&gt;=1,INT(MOD(INDEX(기본자료!$G$2:$G$1001,$AB33),10000)/100)&lt;=12,MOD(INDEX(기본자료!$G$2:$G$1001,$AB33),100)&gt;=1,MOD(INDEX(기본자료!$G$2:$G$1001,$AB33),100)&lt;=31),DATE(INT(INDEX(기본자료!$G$2:$G$1001,$AB33)/10000),INT(MOD(INDEX(기본자료!$G$2:$G$1001,$AB33),10000)/100),MOD(INDEX(기본자료!$G$2:$G$1001,$AB33),100)),INDEX(기본자료!$G$2:$G$1001,$AB33)&amp;"")))))</f>
        <v/>
      </c>
      <c r="J33" s="10">
        <f>IF($AB33="","",IF(INDEX(기본자료!$H$2:$H$1001,$AB33)="","",INDEX(기본자료!$H$2:$H$1001,$AB33)))</f>
        <v/>
      </c>
      <c r="K33" s="10">
        <f>IF($AB33="","",IF(INDEX(기본자료!$I$2:$I$1001,$AB33)="","",INDEX(기본자료!$I$2:$I$1001,$AB33)))</f>
        <v/>
      </c>
      <c r="L33" s="10">
        <f>IF($AB33="","",IF(INDEX(기본자료!$A$2:$A$1001,$AB33)="","",INDEX(기본자료!$A$2:$A$1001,$AB33)))</f>
        <v/>
      </c>
      <c r="M33" s="15" t="n"/>
      <c r="N33" s="10">
        <f>IF($B33="","",IF(AND($U33="파견중",$Q33&lt;&gt;""),$Q33,IF(AND($AD33&lt;&gt;"",LEFT($AD33,1)&lt;&gt;"⚠"),LEFT($AD33,FIND(" ",$AD33)-1),IF($H33="","",IF(RIGHT($H33,2)="병원",$H33,$H33&amp;"병원")))))</f>
        <v/>
      </c>
      <c r="O33" s="10">
        <f>IF($B33="","",IF(AND($U33="파견중",$Q33&lt;&gt;""),IF($R33&lt;&gt;"",$R33,"파견과 미입력"),IF(AND($AD33&lt;&gt;"",LEFT($AD33,1)&lt;&gt;"⚠"),MID($AD33,FIND(" ",$AD33)+1,60),IF($F33="","",IF($F33="인턴","수련교육부(인턴)",$F33)))))</f>
        <v/>
      </c>
      <c r="P33" s="10">
        <f>IF($B33="","",IF($AK33&lt;&gt;"",IF(AND(TODAY()&gt;=INDEX(파견수련계획!$AB$4:$AB$83,$AK33),OR(NOT(ISNUMBER(INDEX(파견수련계획!$AC$4:$AC$83,$AK33))),TODAY()&lt;=INDEX(파견수련계획!$AC$4:$AC$83,$AK33))),"다기관",IF($AF33="","",INDEX(파견수련계획!$T$4:$T$83,$AF33))),IF($AF33="","",INDEX(파견수련계획!$T$4:$T$83,$AF33))))</f>
        <v/>
      </c>
      <c r="Q33" s="10">
        <f>IF($AF33="","",INDEX(파견수련계획!$S$4:$S$83,$AF33))</f>
        <v/>
      </c>
      <c r="R33" s="10">
        <f>IF($AF33="","",INDEX(파견수련계획!$U$4:$U$83,$AF33))</f>
        <v/>
      </c>
      <c r="S33" s="11">
        <f>IF($AF33="","",IF(INDEX(파견수련계획!$H$4:$H$83,$AF33)="","",INDEX(파견수련계획!$H$4:$H$83,$AF33)))</f>
        <v/>
      </c>
      <c r="T33" s="11">
        <f>IF($AF33="","",IF(INDEX(파견수련계획!$I$4:$I$83,$AF33)="","",INDEX(파견수련계획!$I$4:$I$83,$AF33)))</f>
        <v/>
      </c>
      <c r="U33" s="10">
        <f>IF($AF33="","",INDEX(파견수련계획!$X$4:$X$83,$AF33))</f>
        <v/>
      </c>
      <c r="V33" s="17">
        <f>IF($AF33="","",INDEX(파견수련계획!$V$4:$V$83,$AF33))</f>
        <v/>
      </c>
      <c r="W33" s="17">
        <f>IF(AND($U33="파견중",$T33&lt;&gt;""),$T33-TODAY(),"")</f>
        <v/>
      </c>
      <c r="X33" s="17">
        <f>IF(OR($B33="",TRIM($J33&amp;"")=""),"",SUMPRODUCT((파견수련계획!$Q$4:$Q$83=TRIM($J33&amp;""))*파견수련계획!$W$4:$W$83))</f>
        <v/>
      </c>
      <c r="Y33" s="10">
        <f>IF($B33="","",IF($AG33="","",IF(IF(TRIM($J33&amp;"")="",0,SUMPRODUCT((파견수련계획!$Q$4:$Q$83=TRIM($J33&amp;""))*파견수련계획!$AD$4:$AD$83))&gt;0,$AE33,IF(N($X33)&lt;=0,$AG33,IF($AH33+$AI33=DAY(EOMONTH(요약!$B$3,0)),IF(AND($AH33&gt;=요약!$E$3,$AI33&lt;요약!$E$3),"서울병원",IF(AND($AI33&gt;=요약!$E$3,$AH33&lt;요약!$E$3),"구리병원","⚠15일 판정불가(서울 "&amp;$AH33&amp;"일/구리 "&amp;$AI33&amp;"일)")),IF($AJ33="",$AE33,IF(INDEX(파견수련계획!$T$4:$T$83,$AJ33)="통합수련",INDEX(파견수련계획!$S$4:$S$83,$AJ33),$AE33)))))))</f>
        <v/>
      </c>
      <c r="Z33" s="19">
        <f>IF($B33="","",IF($AB33="","기본자료에 없는 사번",IF(COUNTIF($B$2:$B$401,$B33)&gt;1,"중복 사번",IF($AE33="","소속(입사장소) 입력",IF(IF(TRIM($J33&amp;"")="",0,SUMPRODUCT((파견수련계획!$Q$4:$Q$83=TRIM($J33&amp;""))*(파견수련계획!$AA$4:$AA$83&lt;&gt;"")))&gt;0,"파견수련계획 입력오류 확인",IF(LEFT($Y33,1)="⚠","서울·구리 15일 판정 불가(양쪽 모두 이상/미만)",IF(IF($AC33="",0,N(INDEX(인턴근무계획!$T$3:$T$62,$AC33)))&gt;0,"인턴계획 입력오류 확인",IF(AND($AC33&lt;&gt;"",$U33&lt;&gt;"파견중",$N33&lt;&gt;$AE33),"인턴 타지역 근무: 파견 여부 확인","정상"))))))))</f>
        <v/>
      </c>
      <c r="AA33" s="5" t="n"/>
      <c r="AB33" s="10">
        <f>IF($B33="","",IFERROR(MATCH($B33,기본자료!$B$2:$B$1001,0),IFERROR(MATCH($B33&amp;"",기본자료!$B$2:$B$1001,0),IFERROR(MATCH(VALUE($B33),기본자료!$B$2:$B$1001,0),""))))</f>
        <v/>
      </c>
      <c r="AC33" s="10">
        <f>IF($B33="","",IFERROR(MATCH($B33,인턴근무계획!$D$3:$D$62,0),IFERROR(MATCH($B33&amp;"",인턴근무계획!$D$3:$D$62,0),IFERROR(MATCH(VALUE($B33),인턴근무계획!$D$3:$D$62,0),""))))</f>
        <v/>
      </c>
      <c r="AD33" s="10">
        <f>IF(OR($AC33="",인턴현황!$G$3=""),"",INDEX(인턴근무계획!$M$3:$R$62,$AC33,인턴현황!$G$3)&amp;"")</f>
        <v/>
      </c>
      <c r="AE33" s="10">
        <f>IF($B33="","",IF($M33&lt;&gt;"",$M33,IF($AF33&lt;&gt;"",IF(LEFT(INDEX(파견수련계획!$R$4:$R$83,$AF33),1)&lt;&gt;"⚠",INDEX(파견수련계획!$R$4:$R$83,$AF33),IF($H33="","",IF(RIGHT($H33,2)="병원",$H33,$H33&amp;"병원"))),IF($H33="","",IF(RIGHT($H33,2)="병원",$H33,$H33&amp;"병원")))))</f>
        <v/>
      </c>
      <c r="AF33" s="10">
        <f>IF(OR($B33="",TRIM($J33&amp;"")=""),"",IFERROR(MATCH(TRIM($J33&amp;"")&amp;"|파견중",파견수련계획!$Y$4:$Y$83,0),IFERROR(MATCH(TRIM($J33&amp;"")&amp;"|파견예정",파견수련계획!$Y$4:$Y$83,0),IFERROR(MATCH(TRIM($J33&amp;"")&amp;"|파견종료",파견수련계획!$Y$4:$Y$83,0),""))))</f>
        <v/>
      </c>
      <c r="AG33" s="10">
        <f>IF($B33="","",IF(AND(IF(OR($AC33="",인턴현황!$K$2=""),"",INDEX(인턴근무계획!$M$3:$R$62,$AC33,인턴현황!$K$2)&amp;"")&lt;&gt;"",LEFT(IF(OR($AC33="",인턴현황!$K$2=""),"",INDEX(인턴근무계획!$M$3:$R$62,$AC33,인턴현황!$K$2)&amp;""),1)&lt;&gt;"⚠"),LEFT(IF(OR($AC33="",인턴현황!$K$2=""),"",INDEX(인턴근무계획!$M$3:$R$62,$AC33,인턴현황!$K$2)&amp;""),FIND(" ",IF(OR($AC33="",인턴현황!$K$2=""),"",INDEX(인턴근무계획!$M$3:$R$62,$AC33,인턴현황!$K$2)&amp;""))-1),$AE33))</f>
        <v/>
      </c>
      <c r="AH33" s="17">
        <f>IF($B33="","",IF(TRIM($J33&amp;"")="",0,SUMPRODUCT((파견수련계획!$Q$4:$Q$83=TRIM($J33&amp;""))*(파견수련계획!$S$4:$S$83="서울병원")*파견수련계획!$W$4:$W$83))+IF($AG33="서울병원",MAX(0,DAY(EOMONTH(요약!$B$3,0))-N($X33)),0))</f>
        <v/>
      </c>
      <c r="AI33" s="17">
        <f>IF($B33="","",IF(TRIM($J33&amp;"")="",0,SUMPRODUCT((파견수련계획!$Q$4:$Q$83=TRIM($J33&amp;""))*(파견수련계획!$S$4:$S$83="구리병원")*파견수련계획!$W$4:$W$83))+IF($AG33="구리병원",MAX(0,DAY(EOMONTH(요약!$B$3,0))-N($X33)),0))</f>
        <v/>
      </c>
      <c r="AJ33" s="10">
        <f>IF(OR($B33="",TRIM($J33&amp;"")=""),"",IFERROR(MATCH(TRIM($J33&amp;"")&amp;"|월",파견수련계획!$Z$4:$Z$83,0),""))</f>
        <v/>
      </c>
      <c r="AK33" s="10">
        <f>IF(OR($B33="",TRIM($J33&amp;"")=""),"",IFERROR(MATCH(TRIM($J33&amp;"")&amp;"|다기관",파견수련계획!$AE$4:$AE$83,0),""))</f>
        <v/>
      </c>
      <c r="AL33" s="10">
        <f>IF($AK33="","","다기관 "&amp;TEXT(INDEX(파견수련계획!$AB$4:$AB$83,$AK33),"yyyy-mm-dd")&amp;"~"&amp;IF(ISNUMBER(INDEX(파견수련계획!$AC$4:$AC$83,$AK33)),TEXT(INDEX(파견수련계획!$AC$4:$AC$83,$AK33),"yyyy-mm-dd"),""))</f>
        <v/>
      </c>
    </row>
    <row r="34">
      <c r="A34" s="10">
        <f>IF(B34="","",ROW()-1)</f>
        <v/>
      </c>
      <c r="B34" s="18" t="n"/>
      <c r="C34" s="10">
        <f>IF($AB34="","",IF(INDEX(기본자료!$C$2:$C$1001,$AB34)="","",INDEX(기본자료!$C$2:$C$1001,$AB34)))</f>
        <v/>
      </c>
      <c r="D34" s="10">
        <f>IF($AB34="","",IF(INDEX(기본자료!$J$2:$J$1001,$AB34)="","",INDEX(기본자료!$J$2:$J$1001,$AB34)))</f>
        <v/>
      </c>
      <c r="E34" s="11">
        <f>IF($AB34="","",IF(INDEX(기본자료!$K$2:$K$1001,$AB34)="","",IF(NOT(ISNUMBER(INDEX(기본자료!$K$2:$K$1001,$AB34))),INDEX(기본자료!$K$2:$K$1001,$AB34),IF(INDEX(기본자료!$K$2:$K$1001,$AB34)&lt;1000000,INDEX(기본자료!$K$2:$K$1001,$AB34),IF(AND(INDEX(기본자료!$K$2:$K$1001,$AB34)&gt;=10000101,INT(MOD(INDEX(기본자료!$K$2:$K$1001,$AB34),10000)/100)&gt;=1,INT(MOD(INDEX(기본자료!$K$2:$K$1001,$AB34),10000)/100)&lt;=12,MOD(INDEX(기본자료!$K$2:$K$1001,$AB34),100)&gt;=1,MOD(INDEX(기본자료!$K$2:$K$1001,$AB34),100)&lt;=31),DATE(INT(INDEX(기본자료!$K$2:$K$1001,$AB34)/10000),INT(MOD(INDEX(기본자료!$K$2:$K$1001,$AB34),10000)/100),MOD(INDEX(기본자료!$K$2:$K$1001,$AB34),100)),INDEX(기본자료!$K$2:$K$1001,$AB34)&amp;"")))))</f>
        <v/>
      </c>
      <c r="F34" s="10">
        <f>IF($AB34="","",IF(INDEX(기본자료!$D$2:$D$1001,$AB34)="","",INDEX(기본자료!$D$2:$D$1001,$AB34)))</f>
        <v/>
      </c>
      <c r="G34" s="10">
        <f>IF($AB34="","",IF(INDEX(기본자료!$E$2:$E$1001,$AB34)="","",INDEX(기본자료!$E$2:$E$1001,$AB34)))</f>
        <v/>
      </c>
      <c r="H34" s="10">
        <f>IF($AB34="","",IF(INDEX(기본자료!$F$2:$F$1001,$AB34)="","",INDEX(기본자료!$F$2:$F$1001,$AB34)))</f>
        <v/>
      </c>
      <c r="I34" s="11">
        <f>IF($AB34="","",IF(INDEX(기본자료!$G$2:$G$1001,$AB34)="","",IF(NOT(ISNUMBER(INDEX(기본자료!$G$2:$G$1001,$AB34))),INDEX(기본자료!$G$2:$G$1001,$AB34),IF(INDEX(기본자료!$G$2:$G$1001,$AB34)&lt;1000000,INDEX(기본자료!$G$2:$G$1001,$AB34),IF(AND(INDEX(기본자료!$G$2:$G$1001,$AB34)&gt;=10000101,INT(MOD(INDEX(기본자료!$G$2:$G$1001,$AB34),10000)/100)&gt;=1,INT(MOD(INDEX(기본자료!$G$2:$G$1001,$AB34),10000)/100)&lt;=12,MOD(INDEX(기본자료!$G$2:$G$1001,$AB34),100)&gt;=1,MOD(INDEX(기본자료!$G$2:$G$1001,$AB34),100)&lt;=31),DATE(INT(INDEX(기본자료!$G$2:$G$1001,$AB34)/10000),INT(MOD(INDEX(기본자료!$G$2:$G$1001,$AB34),10000)/100),MOD(INDEX(기본자료!$G$2:$G$1001,$AB34),100)),INDEX(기본자료!$G$2:$G$1001,$AB34)&amp;"")))))</f>
        <v/>
      </c>
      <c r="J34" s="10">
        <f>IF($AB34="","",IF(INDEX(기본자료!$H$2:$H$1001,$AB34)="","",INDEX(기본자료!$H$2:$H$1001,$AB34)))</f>
        <v/>
      </c>
      <c r="K34" s="10">
        <f>IF($AB34="","",IF(INDEX(기본자료!$I$2:$I$1001,$AB34)="","",INDEX(기본자료!$I$2:$I$1001,$AB34)))</f>
        <v/>
      </c>
      <c r="L34" s="10">
        <f>IF($AB34="","",IF(INDEX(기본자료!$A$2:$A$1001,$AB34)="","",INDEX(기본자료!$A$2:$A$1001,$AB34)))</f>
        <v/>
      </c>
      <c r="M34" s="15" t="n"/>
      <c r="N34" s="10">
        <f>IF($B34="","",IF(AND($U34="파견중",$Q34&lt;&gt;""),$Q34,IF(AND($AD34&lt;&gt;"",LEFT($AD34,1)&lt;&gt;"⚠"),LEFT($AD34,FIND(" ",$AD34)-1),IF($H34="","",IF(RIGHT($H34,2)="병원",$H34,$H34&amp;"병원")))))</f>
        <v/>
      </c>
      <c r="O34" s="10">
        <f>IF($B34="","",IF(AND($U34="파견중",$Q34&lt;&gt;""),IF($R34&lt;&gt;"",$R34,"파견과 미입력"),IF(AND($AD34&lt;&gt;"",LEFT($AD34,1)&lt;&gt;"⚠"),MID($AD34,FIND(" ",$AD34)+1,60),IF($F34="","",IF($F34="인턴","수련교육부(인턴)",$F34)))))</f>
        <v/>
      </c>
      <c r="P34" s="10">
        <f>IF($B34="","",IF($AK34&lt;&gt;"",IF(AND(TODAY()&gt;=INDEX(파견수련계획!$AB$4:$AB$83,$AK34),OR(NOT(ISNUMBER(INDEX(파견수련계획!$AC$4:$AC$83,$AK34))),TODAY()&lt;=INDEX(파견수련계획!$AC$4:$AC$83,$AK34))),"다기관",IF($AF34="","",INDEX(파견수련계획!$T$4:$T$83,$AF34))),IF($AF34="","",INDEX(파견수련계획!$T$4:$T$83,$AF34))))</f>
        <v/>
      </c>
      <c r="Q34" s="10">
        <f>IF($AF34="","",INDEX(파견수련계획!$S$4:$S$83,$AF34))</f>
        <v/>
      </c>
      <c r="R34" s="10">
        <f>IF($AF34="","",INDEX(파견수련계획!$U$4:$U$83,$AF34))</f>
        <v/>
      </c>
      <c r="S34" s="11">
        <f>IF($AF34="","",IF(INDEX(파견수련계획!$H$4:$H$83,$AF34)="","",INDEX(파견수련계획!$H$4:$H$83,$AF34)))</f>
        <v/>
      </c>
      <c r="T34" s="11">
        <f>IF($AF34="","",IF(INDEX(파견수련계획!$I$4:$I$83,$AF34)="","",INDEX(파견수련계획!$I$4:$I$83,$AF34)))</f>
        <v/>
      </c>
      <c r="U34" s="10">
        <f>IF($AF34="","",INDEX(파견수련계획!$X$4:$X$83,$AF34))</f>
        <v/>
      </c>
      <c r="V34" s="17">
        <f>IF($AF34="","",INDEX(파견수련계획!$V$4:$V$83,$AF34))</f>
        <v/>
      </c>
      <c r="W34" s="17">
        <f>IF(AND($U34="파견중",$T34&lt;&gt;""),$T34-TODAY(),"")</f>
        <v/>
      </c>
      <c r="X34" s="17">
        <f>IF(OR($B34="",TRIM($J34&amp;"")=""),"",SUMPRODUCT((파견수련계획!$Q$4:$Q$83=TRIM($J34&amp;""))*파견수련계획!$W$4:$W$83))</f>
        <v/>
      </c>
      <c r="Y34" s="10">
        <f>IF($B34="","",IF($AG34="","",IF(IF(TRIM($J34&amp;"")="",0,SUMPRODUCT((파견수련계획!$Q$4:$Q$83=TRIM($J34&amp;""))*파견수련계획!$AD$4:$AD$83))&gt;0,$AE34,IF(N($X34)&lt;=0,$AG34,IF($AH34+$AI34=DAY(EOMONTH(요약!$B$3,0)),IF(AND($AH34&gt;=요약!$E$3,$AI34&lt;요약!$E$3),"서울병원",IF(AND($AI34&gt;=요약!$E$3,$AH34&lt;요약!$E$3),"구리병원","⚠15일 판정불가(서울 "&amp;$AH34&amp;"일/구리 "&amp;$AI34&amp;"일)")),IF($AJ34="",$AE34,IF(INDEX(파견수련계획!$T$4:$T$83,$AJ34)="통합수련",INDEX(파견수련계획!$S$4:$S$83,$AJ34),$AE34)))))))</f>
        <v/>
      </c>
      <c r="Z34" s="19">
        <f>IF($B34="","",IF($AB34="","기본자료에 없는 사번",IF(COUNTIF($B$2:$B$401,$B34)&gt;1,"중복 사번",IF($AE34="","소속(입사장소) 입력",IF(IF(TRIM($J34&amp;"")="",0,SUMPRODUCT((파견수련계획!$Q$4:$Q$83=TRIM($J34&amp;""))*(파견수련계획!$AA$4:$AA$83&lt;&gt;"")))&gt;0,"파견수련계획 입력오류 확인",IF(LEFT($Y34,1)="⚠","서울·구리 15일 판정 불가(양쪽 모두 이상/미만)",IF(IF($AC34="",0,N(INDEX(인턴근무계획!$T$3:$T$62,$AC34)))&gt;0,"인턴계획 입력오류 확인",IF(AND($AC34&lt;&gt;"",$U34&lt;&gt;"파견중",$N34&lt;&gt;$AE34),"인턴 타지역 근무: 파견 여부 확인","정상"))))))))</f>
        <v/>
      </c>
      <c r="AA34" s="5" t="n"/>
      <c r="AB34" s="10">
        <f>IF($B34="","",IFERROR(MATCH($B34,기본자료!$B$2:$B$1001,0),IFERROR(MATCH($B34&amp;"",기본자료!$B$2:$B$1001,0),IFERROR(MATCH(VALUE($B34),기본자료!$B$2:$B$1001,0),""))))</f>
        <v/>
      </c>
      <c r="AC34" s="10">
        <f>IF($B34="","",IFERROR(MATCH($B34,인턴근무계획!$D$3:$D$62,0),IFERROR(MATCH($B34&amp;"",인턴근무계획!$D$3:$D$62,0),IFERROR(MATCH(VALUE($B34),인턴근무계획!$D$3:$D$62,0),""))))</f>
        <v/>
      </c>
      <c r="AD34" s="10">
        <f>IF(OR($AC34="",인턴현황!$G$3=""),"",INDEX(인턴근무계획!$M$3:$R$62,$AC34,인턴현황!$G$3)&amp;"")</f>
        <v/>
      </c>
      <c r="AE34" s="10">
        <f>IF($B34="","",IF($M34&lt;&gt;"",$M34,IF($AF34&lt;&gt;"",IF(LEFT(INDEX(파견수련계획!$R$4:$R$83,$AF34),1)&lt;&gt;"⚠",INDEX(파견수련계획!$R$4:$R$83,$AF34),IF($H34="","",IF(RIGHT($H34,2)="병원",$H34,$H34&amp;"병원"))),IF($H34="","",IF(RIGHT($H34,2)="병원",$H34,$H34&amp;"병원")))))</f>
        <v/>
      </c>
      <c r="AF34" s="10">
        <f>IF(OR($B34="",TRIM($J34&amp;"")=""),"",IFERROR(MATCH(TRIM($J34&amp;"")&amp;"|파견중",파견수련계획!$Y$4:$Y$83,0),IFERROR(MATCH(TRIM($J34&amp;"")&amp;"|파견예정",파견수련계획!$Y$4:$Y$83,0),IFERROR(MATCH(TRIM($J34&amp;"")&amp;"|파견종료",파견수련계획!$Y$4:$Y$83,0),""))))</f>
        <v/>
      </c>
      <c r="AG34" s="10">
        <f>IF($B34="","",IF(AND(IF(OR($AC34="",인턴현황!$K$2=""),"",INDEX(인턴근무계획!$M$3:$R$62,$AC34,인턴현황!$K$2)&amp;"")&lt;&gt;"",LEFT(IF(OR($AC34="",인턴현황!$K$2=""),"",INDEX(인턴근무계획!$M$3:$R$62,$AC34,인턴현황!$K$2)&amp;""),1)&lt;&gt;"⚠"),LEFT(IF(OR($AC34="",인턴현황!$K$2=""),"",INDEX(인턴근무계획!$M$3:$R$62,$AC34,인턴현황!$K$2)&amp;""),FIND(" ",IF(OR($AC34="",인턴현황!$K$2=""),"",INDEX(인턴근무계획!$M$3:$R$62,$AC34,인턴현황!$K$2)&amp;""))-1),$AE34))</f>
        <v/>
      </c>
      <c r="AH34" s="17">
        <f>IF($B34="","",IF(TRIM($J34&amp;"")="",0,SUMPRODUCT((파견수련계획!$Q$4:$Q$83=TRIM($J34&amp;""))*(파견수련계획!$S$4:$S$83="서울병원")*파견수련계획!$W$4:$W$83))+IF($AG34="서울병원",MAX(0,DAY(EOMONTH(요약!$B$3,0))-N($X34)),0))</f>
        <v/>
      </c>
      <c r="AI34" s="17">
        <f>IF($B34="","",IF(TRIM($J34&amp;"")="",0,SUMPRODUCT((파견수련계획!$Q$4:$Q$83=TRIM($J34&amp;""))*(파견수련계획!$S$4:$S$83="구리병원")*파견수련계획!$W$4:$W$83))+IF($AG34="구리병원",MAX(0,DAY(EOMONTH(요약!$B$3,0))-N($X34)),0))</f>
        <v/>
      </c>
      <c r="AJ34" s="10">
        <f>IF(OR($B34="",TRIM($J34&amp;"")=""),"",IFERROR(MATCH(TRIM($J34&amp;"")&amp;"|월",파견수련계획!$Z$4:$Z$83,0),""))</f>
        <v/>
      </c>
      <c r="AK34" s="10">
        <f>IF(OR($B34="",TRIM($J34&amp;"")=""),"",IFERROR(MATCH(TRIM($J34&amp;"")&amp;"|다기관",파견수련계획!$AE$4:$AE$83,0),""))</f>
        <v/>
      </c>
      <c r="AL34" s="10">
        <f>IF($AK34="","","다기관 "&amp;TEXT(INDEX(파견수련계획!$AB$4:$AB$83,$AK34),"yyyy-mm-dd")&amp;"~"&amp;IF(ISNUMBER(INDEX(파견수련계획!$AC$4:$AC$83,$AK34)),TEXT(INDEX(파견수련계획!$AC$4:$AC$83,$AK34),"yyyy-mm-dd"),""))</f>
        <v/>
      </c>
    </row>
    <row r="35">
      <c r="A35" s="10">
        <f>IF(B35="","",ROW()-1)</f>
        <v/>
      </c>
      <c r="B35" s="18" t="n"/>
      <c r="C35" s="10">
        <f>IF($AB35="","",IF(INDEX(기본자료!$C$2:$C$1001,$AB35)="","",INDEX(기본자료!$C$2:$C$1001,$AB35)))</f>
        <v/>
      </c>
      <c r="D35" s="10">
        <f>IF($AB35="","",IF(INDEX(기본자료!$J$2:$J$1001,$AB35)="","",INDEX(기본자료!$J$2:$J$1001,$AB35)))</f>
        <v/>
      </c>
      <c r="E35" s="11">
        <f>IF($AB35="","",IF(INDEX(기본자료!$K$2:$K$1001,$AB35)="","",IF(NOT(ISNUMBER(INDEX(기본자료!$K$2:$K$1001,$AB35))),INDEX(기본자료!$K$2:$K$1001,$AB35),IF(INDEX(기본자료!$K$2:$K$1001,$AB35)&lt;1000000,INDEX(기본자료!$K$2:$K$1001,$AB35),IF(AND(INDEX(기본자료!$K$2:$K$1001,$AB35)&gt;=10000101,INT(MOD(INDEX(기본자료!$K$2:$K$1001,$AB35),10000)/100)&gt;=1,INT(MOD(INDEX(기본자료!$K$2:$K$1001,$AB35),10000)/100)&lt;=12,MOD(INDEX(기본자료!$K$2:$K$1001,$AB35),100)&gt;=1,MOD(INDEX(기본자료!$K$2:$K$1001,$AB35),100)&lt;=31),DATE(INT(INDEX(기본자료!$K$2:$K$1001,$AB35)/10000),INT(MOD(INDEX(기본자료!$K$2:$K$1001,$AB35),10000)/100),MOD(INDEX(기본자료!$K$2:$K$1001,$AB35),100)),INDEX(기본자료!$K$2:$K$1001,$AB35)&amp;"")))))</f>
        <v/>
      </c>
      <c r="F35" s="10">
        <f>IF($AB35="","",IF(INDEX(기본자료!$D$2:$D$1001,$AB35)="","",INDEX(기본자료!$D$2:$D$1001,$AB35)))</f>
        <v/>
      </c>
      <c r="G35" s="10">
        <f>IF($AB35="","",IF(INDEX(기본자료!$E$2:$E$1001,$AB35)="","",INDEX(기본자료!$E$2:$E$1001,$AB35)))</f>
        <v/>
      </c>
      <c r="H35" s="10">
        <f>IF($AB35="","",IF(INDEX(기본자료!$F$2:$F$1001,$AB35)="","",INDEX(기본자료!$F$2:$F$1001,$AB35)))</f>
        <v/>
      </c>
      <c r="I35" s="11">
        <f>IF($AB35="","",IF(INDEX(기본자료!$G$2:$G$1001,$AB35)="","",IF(NOT(ISNUMBER(INDEX(기본자료!$G$2:$G$1001,$AB35))),INDEX(기본자료!$G$2:$G$1001,$AB35),IF(INDEX(기본자료!$G$2:$G$1001,$AB35)&lt;1000000,INDEX(기본자료!$G$2:$G$1001,$AB35),IF(AND(INDEX(기본자료!$G$2:$G$1001,$AB35)&gt;=10000101,INT(MOD(INDEX(기본자료!$G$2:$G$1001,$AB35),10000)/100)&gt;=1,INT(MOD(INDEX(기본자료!$G$2:$G$1001,$AB35),10000)/100)&lt;=12,MOD(INDEX(기본자료!$G$2:$G$1001,$AB35),100)&gt;=1,MOD(INDEX(기본자료!$G$2:$G$1001,$AB35),100)&lt;=31),DATE(INT(INDEX(기본자료!$G$2:$G$1001,$AB35)/10000),INT(MOD(INDEX(기본자료!$G$2:$G$1001,$AB35),10000)/100),MOD(INDEX(기본자료!$G$2:$G$1001,$AB35),100)),INDEX(기본자료!$G$2:$G$1001,$AB35)&amp;"")))))</f>
        <v/>
      </c>
      <c r="J35" s="10">
        <f>IF($AB35="","",IF(INDEX(기본자료!$H$2:$H$1001,$AB35)="","",INDEX(기본자료!$H$2:$H$1001,$AB35)))</f>
        <v/>
      </c>
      <c r="K35" s="10">
        <f>IF($AB35="","",IF(INDEX(기본자료!$I$2:$I$1001,$AB35)="","",INDEX(기본자료!$I$2:$I$1001,$AB35)))</f>
        <v/>
      </c>
      <c r="L35" s="10">
        <f>IF($AB35="","",IF(INDEX(기본자료!$A$2:$A$1001,$AB35)="","",INDEX(기본자료!$A$2:$A$1001,$AB35)))</f>
        <v/>
      </c>
      <c r="M35" s="15" t="n"/>
      <c r="N35" s="10">
        <f>IF($B35="","",IF(AND($U35="파견중",$Q35&lt;&gt;""),$Q35,IF(AND($AD35&lt;&gt;"",LEFT($AD35,1)&lt;&gt;"⚠"),LEFT($AD35,FIND(" ",$AD35)-1),IF($H35="","",IF(RIGHT($H35,2)="병원",$H35,$H35&amp;"병원")))))</f>
        <v/>
      </c>
      <c r="O35" s="10">
        <f>IF($B35="","",IF(AND($U35="파견중",$Q35&lt;&gt;""),IF($R35&lt;&gt;"",$R35,"파견과 미입력"),IF(AND($AD35&lt;&gt;"",LEFT($AD35,1)&lt;&gt;"⚠"),MID($AD35,FIND(" ",$AD35)+1,60),IF($F35="","",IF($F35="인턴","수련교육부(인턴)",$F35)))))</f>
        <v/>
      </c>
      <c r="P35" s="10">
        <f>IF($B35="","",IF($AK35&lt;&gt;"",IF(AND(TODAY()&gt;=INDEX(파견수련계획!$AB$4:$AB$83,$AK35),OR(NOT(ISNUMBER(INDEX(파견수련계획!$AC$4:$AC$83,$AK35))),TODAY()&lt;=INDEX(파견수련계획!$AC$4:$AC$83,$AK35))),"다기관",IF($AF35="","",INDEX(파견수련계획!$T$4:$T$83,$AF35))),IF($AF35="","",INDEX(파견수련계획!$T$4:$T$83,$AF35))))</f>
        <v/>
      </c>
      <c r="Q35" s="10">
        <f>IF($AF35="","",INDEX(파견수련계획!$S$4:$S$83,$AF35))</f>
        <v/>
      </c>
      <c r="R35" s="10">
        <f>IF($AF35="","",INDEX(파견수련계획!$U$4:$U$83,$AF35))</f>
        <v/>
      </c>
      <c r="S35" s="11">
        <f>IF($AF35="","",IF(INDEX(파견수련계획!$H$4:$H$83,$AF35)="","",INDEX(파견수련계획!$H$4:$H$83,$AF35)))</f>
        <v/>
      </c>
      <c r="T35" s="11">
        <f>IF($AF35="","",IF(INDEX(파견수련계획!$I$4:$I$83,$AF35)="","",INDEX(파견수련계획!$I$4:$I$83,$AF35)))</f>
        <v/>
      </c>
      <c r="U35" s="10">
        <f>IF($AF35="","",INDEX(파견수련계획!$X$4:$X$83,$AF35))</f>
        <v/>
      </c>
      <c r="V35" s="17">
        <f>IF($AF35="","",INDEX(파견수련계획!$V$4:$V$83,$AF35))</f>
        <v/>
      </c>
      <c r="W35" s="17">
        <f>IF(AND($U35="파견중",$T35&lt;&gt;""),$T35-TODAY(),"")</f>
        <v/>
      </c>
      <c r="X35" s="17">
        <f>IF(OR($B35="",TRIM($J35&amp;"")=""),"",SUMPRODUCT((파견수련계획!$Q$4:$Q$83=TRIM($J35&amp;""))*파견수련계획!$W$4:$W$83))</f>
        <v/>
      </c>
      <c r="Y35" s="10">
        <f>IF($B35="","",IF($AG35="","",IF(IF(TRIM($J35&amp;"")="",0,SUMPRODUCT((파견수련계획!$Q$4:$Q$83=TRIM($J35&amp;""))*파견수련계획!$AD$4:$AD$83))&gt;0,$AE35,IF(N($X35)&lt;=0,$AG35,IF($AH35+$AI35=DAY(EOMONTH(요약!$B$3,0)),IF(AND($AH35&gt;=요약!$E$3,$AI35&lt;요약!$E$3),"서울병원",IF(AND($AI35&gt;=요약!$E$3,$AH35&lt;요약!$E$3),"구리병원","⚠15일 판정불가(서울 "&amp;$AH35&amp;"일/구리 "&amp;$AI35&amp;"일)")),IF($AJ35="",$AE35,IF(INDEX(파견수련계획!$T$4:$T$83,$AJ35)="통합수련",INDEX(파견수련계획!$S$4:$S$83,$AJ35),$AE35)))))))</f>
        <v/>
      </c>
      <c r="Z35" s="19">
        <f>IF($B35="","",IF($AB35="","기본자료에 없는 사번",IF(COUNTIF($B$2:$B$401,$B35)&gt;1,"중복 사번",IF($AE35="","소속(입사장소) 입력",IF(IF(TRIM($J35&amp;"")="",0,SUMPRODUCT((파견수련계획!$Q$4:$Q$83=TRIM($J35&amp;""))*(파견수련계획!$AA$4:$AA$83&lt;&gt;"")))&gt;0,"파견수련계획 입력오류 확인",IF(LEFT($Y35,1)="⚠","서울·구리 15일 판정 불가(양쪽 모두 이상/미만)",IF(IF($AC35="",0,N(INDEX(인턴근무계획!$T$3:$T$62,$AC35)))&gt;0,"인턴계획 입력오류 확인",IF(AND($AC35&lt;&gt;"",$U35&lt;&gt;"파견중",$N35&lt;&gt;$AE35),"인턴 타지역 근무: 파견 여부 확인","정상"))))))))</f>
        <v/>
      </c>
      <c r="AA35" s="5" t="n"/>
      <c r="AB35" s="10">
        <f>IF($B35="","",IFERROR(MATCH($B35,기본자료!$B$2:$B$1001,0),IFERROR(MATCH($B35&amp;"",기본자료!$B$2:$B$1001,0),IFERROR(MATCH(VALUE($B35),기본자료!$B$2:$B$1001,0),""))))</f>
        <v/>
      </c>
      <c r="AC35" s="10">
        <f>IF($B35="","",IFERROR(MATCH($B35,인턴근무계획!$D$3:$D$62,0),IFERROR(MATCH($B35&amp;"",인턴근무계획!$D$3:$D$62,0),IFERROR(MATCH(VALUE($B35),인턴근무계획!$D$3:$D$62,0),""))))</f>
        <v/>
      </c>
      <c r="AD35" s="10">
        <f>IF(OR($AC35="",인턴현황!$G$3=""),"",INDEX(인턴근무계획!$M$3:$R$62,$AC35,인턴현황!$G$3)&amp;"")</f>
        <v/>
      </c>
      <c r="AE35" s="10">
        <f>IF($B35="","",IF($M35&lt;&gt;"",$M35,IF($AF35&lt;&gt;"",IF(LEFT(INDEX(파견수련계획!$R$4:$R$83,$AF35),1)&lt;&gt;"⚠",INDEX(파견수련계획!$R$4:$R$83,$AF35),IF($H35="","",IF(RIGHT($H35,2)="병원",$H35,$H35&amp;"병원"))),IF($H35="","",IF(RIGHT($H35,2)="병원",$H35,$H35&amp;"병원")))))</f>
        <v/>
      </c>
      <c r="AF35" s="10">
        <f>IF(OR($B35="",TRIM($J35&amp;"")=""),"",IFERROR(MATCH(TRIM($J35&amp;"")&amp;"|파견중",파견수련계획!$Y$4:$Y$83,0),IFERROR(MATCH(TRIM($J35&amp;"")&amp;"|파견예정",파견수련계획!$Y$4:$Y$83,0),IFERROR(MATCH(TRIM($J35&amp;"")&amp;"|파견종료",파견수련계획!$Y$4:$Y$83,0),""))))</f>
        <v/>
      </c>
      <c r="AG35" s="10">
        <f>IF($B35="","",IF(AND(IF(OR($AC35="",인턴현황!$K$2=""),"",INDEX(인턴근무계획!$M$3:$R$62,$AC35,인턴현황!$K$2)&amp;"")&lt;&gt;"",LEFT(IF(OR($AC35="",인턴현황!$K$2=""),"",INDEX(인턴근무계획!$M$3:$R$62,$AC35,인턴현황!$K$2)&amp;""),1)&lt;&gt;"⚠"),LEFT(IF(OR($AC35="",인턴현황!$K$2=""),"",INDEX(인턴근무계획!$M$3:$R$62,$AC35,인턴현황!$K$2)&amp;""),FIND(" ",IF(OR($AC35="",인턴현황!$K$2=""),"",INDEX(인턴근무계획!$M$3:$R$62,$AC35,인턴현황!$K$2)&amp;""))-1),$AE35))</f>
        <v/>
      </c>
      <c r="AH35" s="17">
        <f>IF($B35="","",IF(TRIM($J35&amp;"")="",0,SUMPRODUCT((파견수련계획!$Q$4:$Q$83=TRIM($J35&amp;""))*(파견수련계획!$S$4:$S$83="서울병원")*파견수련계획!$W$4:$W$83))+IF($AG35="서울병원",MAX(0,DAY(EOMONTH(요약!$B$3,0))-N($X35)),0))</f>
        <v/>
      </c>
      <c r="AI35" s="17">
        <f>IF($B35="","",IF(TRIM($J35&amp;"")="",0,SUMPRODUCT((파견수련계획!$Q$4:$Q$83=TRIM($J35&amp;""))*(파견수련계획!$S$4:$S$83="구리병원")*파견수련계획!$W$4:$W$83))+IF($AG35="구리병원",MAX(0,DAY(EOMONTH(요약!$B$3,0))-N($X35)),0))</f>
        <v/>
      </c>
      <c r="AJ35" s="10">
        <f>IF(OR($B35="",TRIM($J35&amp;"")=""),"",IFERROR(MATCH(TRIM($J35&amp;"")&amp;"|월",파견수련계획!$Z$4:$Z$83,0),""))</f>
        <v/>
      </c>
      <c r="AK35" s="10">
        <f>IF(OR($B35="",TRIM($J35&amp;"")=""),"",IFERROR(MATCH(TRIM($J35&amp;"")&amp;"|다기관",파견수련계획!$AE$4:$AE$83,0),""))</f>
        <v/>
      </c>
      <c r="AL35" s="10">
        <f>IF($AK35="","","다기관 "&amp;TEXT(INDEX(파견수련계획!$AB$4:$AB$83,$AK35),"yyyy-mm-dd")&amp;"~"&amp;IF(ISNUMBER(INDEX(파견수련계획!$AC$4:$AC$83,$AK35)),TEXT(INDEX(파견수련계획!$AC$4:$AC$83,$AK35),"yyyy-mm-dd"),""))</f>
        <v/>
      </c>
    </row>
    <row r="36">
      <c r="A36" s="10">
        <f>IF(B36="","",ROW()-1)</f>
        <v/>
      </c>
      <c r="B36" s="18" t="n"/>
      <c r="C36" s="10">
        <f>IF($AB36="","",IF(INDEX(기본자료!$C$2:$C$1001,$AB36)="","",INDEX(기본자료!$C$2:$C$1001,$AB36)))</f>
        <v/>
      </c>
      <c r="D36" s="10">
        <f>IF($AB36="","",IF(INDEX(기본자료!$J$2:$J$1001,$AB36)="","",INDEX(기본자료!$J$2:$J$1001,$AB36)))</f>
        <v/>
      </c>
      <c r="E36" s="11">
        <f>IF($AB36="","",IF(INDEX(기본자료!$K$2:$K$1001,$AB36)="","",IF(NOT(ISNUMBER(INDEX(기본자료!$K$2:$K$1001,$AB36))),INDEX(기본자료!$K$2:$K$1001,$AB36),IF(INDEX(기본자료!$K$2:$K$1001,$AB36)&lt;1000000,INDEX(기본자료!$K$2:$K$1001,$AB36),IF(AND(INDEX(기본자료!$K$2:$K$1001,$AB36)&gt;=10000101,INT(MOD(INDEX(기본자료!$K$2:$K$1001,$AB36),10000)/100)&gt;=1,INT(MOD(INDEX(기본자료!$K$2:$K$1001,$AB36),10000)/100)&lt;=12,MOD(INDEX(기본자료!$K$2:$K$1001,$AB36),100)&gt;=1,MOD(INDEX(기본자료!$K$2:$K$1001,$AB36),100)&lt;=31),DATE(INT(INDEX(기본자료!$K$2:$K$1001,$AB36)/10000),INT(MOD(INDEX(기본자료!$K$2:$K$1001,$AB36),10000)/100),MOD(INDEX(기본자료!$K$2:$K$1001,$AB36),100)),INDEX(기본자료!$K$2:$K$1001,$AB36)&amp;"")))))</f>
        <v/>
      </c>
      <c r="F36" s="10">
        <f>IF($AB36="","",IF(INDEX(기본자료!$D$2:$D$1001,$AB36)="","",INDEX(기본자료!$D$2:$D$1001,$AB36)))</f>
        <v/>
      </c>
      <c r="G36" s="10">
        <f>IF($AB36="","",IF(INDEX(기본자료!$E$2:$E$1001,$AB36)="","",INDEX(기본자료!$E$2:$E$1001,$AB36)))</f>
        <v/>
      </c>
      <c r="H36" s="10">
        <f>IF($AB36="","",IF(INDEX(기본자료!$F$2:$F$1001,$AB36)="","",INDEX(기본자료!$F$2:$F$1001,$AB36)))</f>
        <v/>
      </c>
      <c r="I36" s="11">
        <f>IF($AB36="","",IF(INDEX(기본자료!$G$2:$G$1001,$AB36)="","",IF(NOT(ISNUMBER(INDEX(기본자료!$G$2:$G$1001,$AB36))),INDEX(기본자료!$G$2:$G$1001,$AB36),IF(INDEX(기본자료!$G$2:$G$1001,$AB36)&lt;1000000,INDEX(기본자료!$G$2:$G$1001,$AB36),IF(AND(INDEX(기본자료!$G$2:$G$1001,$AB36)&gt;=10000101,INT(MOD(INDEX(기본자료!$G$2:$G$1001,$AB36),10000)/100)&gt;=1,INT(MOD(INDEX(기본자료!$G$2:$G$1001,$AB36),10000)/100)&lt;=12,MOD(INDEX(기본자료!$G$2:$G$1001,$AB36),100)&gt;=1,MOD(INDEX(기본자료!$G$2:$G$1001,$AB36),100)&lt;=31),DATE(INT(INDEX(기본자료!$G$2:$G$1001,$AB36)/10000),INT(MOD(INDEX(기본자료!$G$2:$G$1001,$AB36),10000)/100),MOD(INDEX(기본자료!$G$2:$G$1001,$AB36),100)),INDEX(기본자료!$G$2:$G$1001,$AB36)&amp;"")))))</f>
        <v/>
      </c>
      <c r="J36" s="10">
        <f>IF($AB36="","",IF(INDEX(기본자료!$H$2:$H$1001,$AB36)="","",INDEX(기본자료!$H$2:$H$1001,$AB36)))</f>
        <v/>
      </c>
      <c r="K36" s="10">
        <f>IF($AB36="","",IF(INDEX(기본자료!$I$2:$I$1001,$AB36)="","",INDEX(기본자료!$I$2:$I$1001,$AB36)))</f>
        <v/>
      </c>
      <c r="L36" s="10">
        <f>IF($AB36="","",IF(INDEX(기본자료!$A$2:$A$1001,$AB36)="","",INDEX(기본자료!$A$2:$A$1001,$AB36)))</f>
        <v/>
      </c>
      <c r="M36" s="15" t="n"/>
      <c r="N36" s="10">
        <f>IF($B36="","",IF(AND($U36="파견중",$Q36&lt;&gt;""),$Q36,IF(AND($AD36&lt;&gt;"",LEFT($AD36,1)&lt;&gt;"⚠"),LEFT($AD36,FIND(" ",$AD36)-1),IF($H36="","",IF(RIGHT($H36,2)="병원",$H36,$H36&amp;"병원")))))</f>
        <v/>
      </c>
      <c r="O36" s="10">
        <f>IF($B36="","",IF(AND($U36="파견중",$Q36&lt;&gt;""),IF($R36&lt;&gt;"",$R36,"파견과 미입력"),IF(AND($AD36&lt;&gt;"",LEFT($AD36,1)&lt;&gt;"⚠"),MID($AD36,FIND(" ",$AD36)+1,60),IF($F36="","",IF($F36="인턴","수련교육부(인턴)",$F36)))))</f>
        <v/>
      </c>
      <c r="P36" s="10">
        <f>IF($B36="","",IF($AK36&lt;&gt;"",IF(AND(TODAY()&gt;=INDEX(파견수련계획!$AB$4:$AB$83,$AK36),OR(NOT(ISNUMBER(INDEX(파견수련계획!$AC$4:$AC$83,$AK36))),TODAY()&lt;=INDEX(파견수련계획!$AC$4:$AC$83,$AK36))),"다기관",IF($AF36="","",INDEX(파견수련계획!$T$4:$T$83,$AF36))),IF($AF36="","",INDEX(파견수련계획!$T$4:$T$83,$AF36))))</f>
        <v/>
      </c>
      <c r="Q36" s="10">
        <f>IF($AF36="","",INDEX(파견수련계획!$S$4:$S$83,$AF36))</f>
        <v/>
      </c>
      <c r="R36" s="10">
        <f>IF($AF36="","",INDEX(파견수련계획!$U$4:$U$83,$AF36))</f>
        <v/>
      </c>
      <c r="S36" s="11">
        <f>IF($AF36="","",IF(INDEX(파견수련계획!$H$4:$H$83,$AF36)="","",INDEX(파견수련계획!$H$4:$H$83,$AF36)))</f>
        <v/>
      </c>
      <c r="T36" s="11">
        <f>IF($AF36="","",IF(INDEX(파견수련계획!$I$4:$I$83,$AF36)="","",INDEX(파견수련계획!$I$4:$I$83,$AF36)))</f>
        <v/>
      </c>
      <c r="U36" s="10">
        <f>IF($AF36="","",INDEX(파견수련계획!$X$4:$X$83,$AF36))</f>
        <v/>
      </c>
      <c r="V36" s="17">
        <f>IF($AF36="","",INDEX(파견수련계획!$V$4:$V$83,$AF36))</f>
        <v/>
      </c>
      <c r="W36" s="17">
        <f>IF(AND($U36="파견중",$T36&lt;&gt;""),$T36-TODAY(),"")</f>
        <v/>
      </c>
      <c r="X36" s="17">
        <f>IF(OR($B36="",TRIM($J36&amp;"")=""),"",SUMPRODUCT((파견수련계획!$Q$4:$Q$83=TRIM($J36&amp;""))*파견수련계획!$W$4:$W$83))</f>
        <v/>
      </c>
      <c r="Y36" s="10">
        <f>IF($B36="","",IF($AG36="","",IF(IF(TRIM($J36&amp;"")="",0,SUMPRODUCT((파견수련계획!$Q$4:$Q$83=TRIM($J36&amp;""))*파견수련계획!$AD$4:$AD$83))&gt;0,$AE36,IF(N($X36)&lt;=0,$AG36,IF($AH36+$AI36=DAY(EOMONTH(요약!$B$3,0)),IF(AND($AH36&gt;=요약!$E$3,$AI36&lt;요약!$E$3),"서울병원",IF(AND($AI36&gt;=요약!$E$3,$AH36&lt;요약!$E$3),"구리병원","⚠15일 판정불가(서울 "&amp;$AH36&amp;"일/구리 "&amp;$AI36&amp;"일)")),IF($AJ36="",$AE36,IF(INDEX(파견수련계획!$T$4:$T$83,$AJ36)="통합수련",INDEX(파견수련계획!$S$4:$S$83,$AJ36),$AE36)))))))</f>
        <v/>
      </c>
      <c r="Z36" s="19">
        <f>IF($B36="","",IF($AB36="","기본자료에 없는 사번",IF(COUNTIF($B$2:$B$401,$B36)&gt;1,"중복 사번",IF($AE36="","소속(입사장소) 입력",IF(IF(TRIM($J36&amp;"")="",0,SUMPRODUCT((파견수련계획!$Q$4:$Q$83=TRIM($J36&amp;""))*(파견수련계획!$AA$4:$AA$83&lt;&gt;"")))&gt;0,"파견수련계획 입력오류 확인",IF(LEFT($Y36,1)="⚠","서울·구리 15일 판정 불가(양쪽 모두 이상/미만)",IF(IF($AC36="",0,N(INDEX(인턴근무계획!$T$3:$T$62,$AC36)))&gt;0,"인턴계획 입력오류 확인",IF(AND($AC36&lt;&gt;"",$U36&lt;&gt;"파견중",$N36&lt;&gt;$AE36),"인턴 타지역 근무: 파견 여부 확인","정상"))))))))</f>
        <v/>
      </c>
      <c r="AA36" s="5" t="n"/>
      <c r="AB36" s="10">
        <f>IF($B36="","",IFERROR(MATCH($B36,기본자료!$B$2:$B$1001,0),IFERROR(MATCH($B36&amp;"",기본자료!$B$2:$B$1001,0),IFERROR(MATCH(VALUE($B36),기본자료!$B$2:$B$1001,0),""))))</f>
        <v/>
      </c>
      <c r="AC36" s="10">
        <f>IF($B36="","",IFERROR(MATCH($B36,인턴근무계획!$D$3:$D$62,0),IFERROR(MATCH($B36&amp;"",인턴근무계획!$D$3:$D$62,0),IFERROR(MATCH(VALUE($B36),인턴근무계획!$D$3:$D$62,0),""))))</f>
        <v/>
      </c>
      <c r="AD36" s="10">
        <f>IF(OR($AC36="",인턴현황!$G$3=""),"",INDEX(인턴근무계획!$M$3:$R$62,$AC36,인턴현황!$G$3)&amp;"")</f>
        <v/>
      </c>
      <c r="AE36" s="10">
        <f>IF($B36="","",IF($M36&lt;&gt;"",$M36,IF($AF36&lt;&gt;"",IF(LEFT(INDEX(파견수련계획!$R$4:$R$83,$AF36),1)&lt;&gt;"⚠",INDEX(파견수련계획!$R$4:$R$83,$AF36),IF($H36="","",IF(RIGHT($H36,2)="병원",$H36,$H36&amp;"병원"))),IF($H36="","",IF(RIGHT($H36,2)="병원",$H36,$H36&amp;"병원")))))</f>
        <v/>
      </c>
      <c r="AF36" s="10">
        <f>IF(OR($B36="",TRIM($J36&amp;"")=""),"",IFERROR(MATCH(TRIM($J36&amp;"")&amp;"|파견중",파견수련계획!$Y$4:$Y$83,0),IFERROR(MATCH(TRIM($J36&amp;"")&amp;"|파견예정",파견수련계획!$Y$4:$Y$83,0),IFERROR(MATCH(TRIM($J36&amp;"")&amp;"|파견종료",파견수련계획!$Y$4:$Y$83,0),""))))</f>
        <v/>
      </c>
      <c r="AG36" s="10">
        <f>IF($B36="","",IF(AND(IF(OR($AC36="",인턴현황!$K$2=""),"",INDEX(인턴근무계획!$M$3:$R$62,$AC36,인턴현황!$K$2)&amp;"")&lt;&gt;"",LEFT(IF(OR($AC36="",인턴현황!$K$2=""),"",INDEX(인턴근무계획!$M$3:$R$62,$AC36,인턴현황!$K$2)&amp;""),1)&lt;&gt;"⚠"),LEFT(IF(OR($AC36="",인턴현황!$K$2=""),"",INDEX(인턴근무계획!$M$3:$R$62,$AC36,인턴현황!$K$2)&amp;""),FIND(" ",IF(OR($AC36="",인턴현황!$K$2=""),"",INDEX(인턴근무계획!$M$3:$R$62,$AC36,인턴현황!$K$2)&amp;""))-1),$AE36))</f>
        <v/>
      </c>
      <c r="AH36" s="17">
        <f>IF($B36="","",IF(TRIM($J36&amp;"")="",0,SUMPRODUCT((파견수련계획!$Q$4:$Q$83=TRIM($J36&amp;""))*(파견수련계획!$S$4:$S$83="서울병원")*파견수련계획!$W$4:$W$83))+IF($AG36="서울병원",MAX(0,DAY(EOMONTH(요약!$B$3,0))-N($X36)),0))</f>
        <v/>
      </c>
      <c r="AI36" s="17">
        <f>IF($B36="","",IF(TRIM($J36&amp;"")="",0,SUMPRODUCT((파견수련계획!$Q$4:$Q$83=TRIM($J36&amp;""))*(파견수련계획!$S$4:$S$83="구리병원")*파견수련계획!$W$4:$W$83))+IF($AG36="구리병원",MAX(0,DAY(EOMONTH(요약!$B$3,0))-N($X36)),0))</f>
        <v/>
      </c>
      <c r="AJ36" s="10">
        <f>IF(OR($B36="",TRIM($J36&amp;"")=""),"",IFERROR(MATCH(TRIM($J36&amp;"")&amp;"|월",파견수련계획!$Z$4:$Z$83,0),""))</f>
        <v/>
      </c>
      <c r="AK36" s="10">
        <f>IF(OR($B36="",TRIM($J36&amp;"")=""),"",IFERROR(MATCH(TRIM($J36&amp;"")&amp;"|다기관",파견수련계획!$AE$4:$AE$83,0),""))</f>
        <v/>
      </c>
      <c r="AL36" s="10">
        <f>IF($AK36="","","다기관 "&amp;TEXT(INDEX(파견수련계획!$AB$4:$AB$83,$AK36),"yyyy-mm-dd")&amp;"~"&amp;IF(ISNUMBER(INDEX(파견수련계획!$AC$4:$AC$83,$AK36)),TEXT(INDEX(파견수련계획!$AC$4:$AC$83,$AK36),"yyyy-mm-dd"),""))</f>
        <v/>
      </c>
    </row>
    <row r="37">
      <c r="A37" s="10">
        <f>IF(B37="","",ROW()-1)</f>
        <v/>
      </c>
      <c r="B37" s="18" t="n"/>
      <c r="C37" s="10">
        <f>IF($AB37="","",IF(INDEX(기본자료!$C$2:$C$1001,$AB37)="","",INDEX(기본자료!$C$2:$C$1001,$AB37)))</f>
        <v/>
      </c>
      <c r="D37" s="10">
        <f>IF($AB37="","",IF(INDEX(기본자료!$J$2:$J$1001,$AB37)="","",INDEX(기본자료!$J$2:$J$1001,$AB37)))</f>
        <v/>
      </c>
      <c r="E37" s="11">
        <f>IF($AB37="","",IF(INDEX(기본자료!$K$2:$K$1001,$AB37)="","",IF(NOT(ISNUMBER(INDEX(기본자료!$K$2:$K$1001,$AB37))),INDEX(기본자료!$K$2:$K$1001,$AB37),IF(INDEX(기본자료!$K$2:$K$1001,$AB37)&lt;1000000,INDEX(기본자료!$K$2:$K$1001,$AB37),IF(AND(INDEX(기본자료!$K$2:$K$1001,$AB37)&gt;=10000101,INT(MOD(INDEX(기본자료!$K$2:$K$1001,$AB37),10000)/100)&gt;=1,INT(MOD(INDEX(기본자료!$K$2:$K$1001,$AB37),10000)/100)&lt;=12,MOD(INDEX(기본자료!$K$2:$K$1001,$AB37),100)&gt;=1,MOD(INDEX(기본자료!$K$2:$K$1001,$AB37),100)&lt;=31),DATE(INT(INDEX(기본자료!$K$2:$K$1001,$AB37)/10000),INT(MOD(INDEX(기본자료!$K$2:$K$1001,$AB37),10000)/100),MOD(INDEX(기본자료!$K$2:$K$1001,$AB37),100)),INDEX(기본자료!$K$2:$K$1001,$AB37)&amp;"")))))</f>
        <v/>
      </c>
      <c r="F37" s="10">
        <f>IF($AB37="","",IF(INDEX(기본자료!$D$2:$D$1001,$AB37)="","",INDEX(기본자료!$D$2:$D$1001,$AB37)))</f>
        <v/>
      </c>
      <c r="G37" s="10">
        <f>IF($AB37="","",IF(INDEX(기본자료!$E$2:$E$1001,$AB37)="","",INDEX(기본자료!$E$2:$E$1001,$AB37)))</f>
        <v/>
      </c>
      <c r="H37" s="10">
        <f>IF($AB37="","",IF(INDEX(기본자료!$F$2:$F$1001,$AB37)="","",INDEX(기본자료!$F$2:$F$1001,$AB37)))</f>
        <v/>
      </c>
      <c r="I37" s="11">
        <f>IF($AB37="","",IF(INDEX(기본자료!$G$2:$G$1001,$AB37)="","",IF(NOT(ISNUMBER(INDEX(기본자료!$G$2:$G$1001,$AB37))),INDEX(기본자료!$G$2:$G$1001,$AB37),IF(INDEX(기본자료!$G$2:$G$1001,$AB37)&lt;1000000,INDEX(기본자료!$G$2:$G$1001,$AB37),IF(AND(INDEX(기본자료!$G$2:$G$1001,$AB37)&gt;=10000101,INT(MOD(INDEX(기본자료!$G$2:$G$1001,$AB37),10000)/100)&gt;=1,INT(MOD(INDEX(기본자료!$G$2:$G$1001,$AB37),10000)/100)&lt;=12,MOD(INDEX(기본자료!$G$2:$G$1001,$AB37),100)&gt;=1,MOD(INDEX(기본자료!$G$2:$G$1001,$AB37),100)&lt;=31),DATE(INT(INDEX(기본자료!$G$2:$G$1001,$AB37)/10000),INT(MOD(INDEX(기본자료!$G$2:$G$1001,$AB37),10000)/100),MOD(INDEX(기본자료!$G$2:$G$1001,$AB37),100)),INDEX(기본자료!$G$2:$G$1001,$AB37)&amp;"")))))</f>
        <v/>
      </c>
      <c r="J37" s="10">
        <f>IF($AB37="","",IF(INDEX(기본자료!$H$2:$H$1001,$AB37)="","",INDEX(기본자료!$H$2:$H$1001,$AB37)))</f>
        <v/>
      </c>
      <c r="K37" s="10">
        <f>IF($AB37="","",IF(INDEX(기본자료!$I$2:$I$1001,$AB37)="","",INDEX(기본자료!$I$2:$I$1001,$AB37)))</f>
        <v/>
      </c>
      <c r="L37" s="10">
        <f>IF($AB37="","",IF(INDEX(기본자료!$A$2:$A$1001,$AB37)="","",INDEX(기본자료!$A$2:$A$1001,$AB37)))</f>
        <v/>
      </c>
      <c r="M37" s="15" t="n"/>
      <c r="N37" s="10">
        <f>IF($B37="","",IF(AND($U37="파견중",$Q37&lt;&gt;""),$Q37,IF(AND($AD37&lt;&gt;"",LEFT($AD37,1)&lt;&gt;"⚠"),LEFT($AD37,FIND(" ",$AD37)-1),IF($H37="","",IF(RIGHT($H37,2)="병원",$H37,$H37&amp;"병원")))))</f>
        <v/>
      </c>
      <c r="O37" s="10">
        <f>IF($B37="","",IF(AND($U37="파견중",$Q37&lt;&gt;""),IF($R37&lt;&gt;"",$R37,"파견과 미입력"),IF(AND($AD37&lt;&gt;"",LEFT($AD37,1)&lt;&gt;"⚠"),MID($AD37,FIND(" ",$AD37)+1,60),IF($F37="","",IF($F37="인턴","수련교육부(인턴)",$F37)))))</f>
        <v/>
      </c>
      <c r="P37" s="10">
        <f>IF($B37="","",IF($AK37&lt;&gt;"",IF(AND(TODAY()&gt;=INDEX(파견수련계획!$AB$4:$AB$83,$AK37),OR(NOT(ISNUMBER(INDEX(파견수련계획!$AC$4:$AC$83,$AK37))),TODAY()&lt;=INDEX(파견수련계획!$AC$4:$AC$83,$AK37))),"다기관",IF($AF37="","",INDEX(파견수련계획!$T$4:$T$83,$AF37))),IF($AF37="","",INDEX(파견수련계획!$T$4:$T$83,$AF37))))</f>
        <v/>
      </c>
      <c r="Q37" s="10">
        <f>IF($AF37="","",INDEX(파견수련계획!$S$4:$S$83,$AF37))</f>
        <v/>
      </c>
      <c r="R37" s="10">
        <f>IF($AF37="","",INDEX(파견수련계획!$U$4:$U$83,$AF37))</f>
        <v/>
      </c>
      <c r="S37" s="11">
        <f>IF($AF37="","",IF(INDEX(파견수련계획!$H$4:$H$83,$AF37)="","",INDEX(파견수련계획!$H$4:$H$83,$AF37)))</f>
        <v/>
      </c>
      <c r="T37" s="11">
        <f>IF($AF37="","",IF(INDEX(파견수련계획!$I$4:$I$83,$AF37)="","",INDEX(파견수련계획!$I$4:$I$83,$AF37)))</f>
        <v/>
      </c>
      <c r="U37" s="10">
        <f>IF($AF37="","",INDEX(파견수련계획!$X$4:$X$83,$AF37))</f>
        <v/>
      </c>
      <c r="V37" s="17">
        <f>IF($AF37="","",INDEX(파견수련계획!$V$4:$V$83,$AF37))</f>
        <v/>
      </c>
      <c r="W37" s="17">
        <f>IF(AND($U37="파견중",$T37&lt;&gt;""),$T37-TODAY(),"")</f>
        <v/>
      </c>
      <c r="X37" s="17">
        <f>IF(OR($B37="",TRIM($J37&amp;"")=""),"",SUMPRODUCT((파견수련계획!$Q$4:$Q$83=TRIM($J37&amp;""))*파견수련계획!$W$4:$W$83))</f>
        <v/>
      </c>
      <c r="Y37" s="10">
        <f>IF($B37="","",IF($AG37="","",IF(IF(TRIM($J37&amp;"")="",0,SUMPRODUCT((파견수련계획!$Q$4:$Q$83=TRIM($J37&amp;""))*파견수련계획!$AD$4:$AD$83))&gt;0,$AE37,IF(N($X37)&lt;=0,$AG37,IF($AH37+$AI37=DAY(EOMONTH(요약!$B$3,0)),IF(AND($AH37&gt;=요약!$E$3,$AI37&lt;요약!$E$3),"서울병원",IF(AND($AI37&gt;=요약!$E$3,$AH37&lt;요약!$E$3),"구리병원","⚠15일 판정불가(서울 "&amp;$AH37&amp;"일/구리 "&amp;$AI37&amp;"일)")),IF($AJ37="",$AE37,IF(INDEX(파견수련계획!$T$4:$T$83,$AJ37)="통합수련",INDEX(파견수련계획!$S$4:$S$83,$AJ37),$AE37)))))))</f>
        <v/>
      </c>
      <c r="Z37" s="19">
        <f>IF($B37="","",IF($AB37="","기본자료에 없는 사번",IF(COUNTIF($B$2:$B$401,$B37)&gt;1,"중복 사번",IF($AE37="","소속(입사장소) 입력",IF(IF(TRIM($J37&amp;"")="",0,SUMPRODUCT((파견수련계획!$Q$4:$Q$83=TRIM($J37&amp;""))*(파견수련계획!$AA$4:$AA$83&lt;&gt;"")))&gt;0,"파견수련계획 입력오류 확인",IF(LEFT($Y37,1)="⚠","서울·구리 15일 판정 불가(양쪽 모두 이상/미만)",IF(IF($AC37="",0,N(INDEX(인턴근무계획!$T$3:$T$62,$AC37)))&gt;0,"인턴계획 입력오류 확인",IF(AND($AC37&lt;&gt;"",$U37&lt;&gt;"파견중",$N37&lt;&gt;$AE37),"인턴 타지역 근무: 파견 여부 확인","정상"))))))))</f>
        <v/>
      </c>
      <c r="AA37" s="5" t="n"/>
      <c r="AB37" s="10">
        <f>IF($B37="","",IFERROR(MATCH($B37,기본자료!$B$2:$B$1001,0),IFERROR(MATCH($B37&amp;"",기본자료!$B$2:$B$1001,0),IFERROR(MATCH(VALUE($B37),기본자료!$B$2:$B$1001,0),""))))</f>
        <v/>
      </c>
      <c r="AC37" s="10">
        <f>IF($B37="","",IFERROR(MATCH($B37,인턴근무계획!$D$3:$D$62,0),IFERROR(MATCH($B37&amp;"",인턴근무계획!$D$3:$D$62,0),IFERROR(MATCH(VALUE($B37),인턴근무계획!$D$3:$D$62,0),""))))</f>
        <v/>
      </c>
      <c r="AD37" s="10">
        <f>IF(OR($AC37="",인턴현황!$G$3=""),"",INDEX(인턴근무계획!$M$3:$R$62,$AC37,인턴현황!$G$3)&amp;"")</f>
        <v/>
      </c>
      <c r="AE37" s="10">
        <f>IF($B37="","",IF($M37&lt;&gt;"",$M37,IF($AF37&lt;&gt;"",IF(LEFT(INDEX(파견수련계획!$R$4:$R$83,$AF37),1)&lt;&gt;"⚠",INDEX(파견수련계획!$R$4:$R$83,$AF37),IF($H37="","",IF(RIGHT($H37,2)="병원",$H37,$H37&amp;"병원"))),IF($H37="","",IF(RIGHT($H37,2)="병원",$H37,$H37&amp;"병원")))))</f>
        <v/>
      </c>
      <c r="AF37" s="10">
        <f>IF(OR($B37="",TRIM($J37&amp;"")=""),"",IFERROR(MATCH(TRIM($J37&amp;"")&amp;"|파견중",파견수련계획!$Y$4:$Y$83,0),IFERROR(MATCH(TRIM($J37&amp;"")&amp;"|파견예정",파견수련계획!$Y$4:$Y$83,0),IFERROR(MATCH(TRIM($J37&amp;"")&amp;"|파견종료",파견수련계획!$Y$4:$Y$83,0),""))))</f>
        <v/>
      </c>
      <c r="AG37" s="10">
        <f>IF($B37="","",IF(AND(IF(OR($AC37="",인턴현황!$K$2=""),"",INDEX(인턴근무계획!$M$3:$R$62,$AC37,인턴현황!$K$2)&amp;"")&lt;&gt;"",LEFT(IF(OR($AC37="",인턴현황!$K$2=""),"",INDEX(인턴근무계획!$M$3:$R$62,$AC37,인턴현황!$K$2)&amp;""),1)&lt;&gt;"⚠"),LEFT(IF(OR($AC37="",인턴현황!$K$2=""),"",INDEX(인턴근무계획!$M$3:$R$62,$AC37,인턴현황!$K$2)&amp;""),FIND(" ",IF(OR($AC37="",인턴현황!$K$2=""),"",INDEX(인턴근무계획!$M$3:$R$62,$AC37,인턴현황!$K$2)&amp;""))-1),$AE37))</f>
        <v/>
      </c>
      <c r="AH37" s="17">
        <f>IF($B37="","",IF(TRIM($J37&amp;"")="",0,SUMPRODUCT((파견수련계획!$Q$4:$Q$83=TRIM($J37&amp;""))*(파견수련계획!$S$4:$S$83="서울병원")*파견수련계획!$W$4:$W$83))+IF($AG37="서울병원",MAX(0,DAY(EOMONTH(요약!$B$3,0))-N($X37)),0))</f>
        <v/>
      </c>
      <c r="AI37" s="17">
        <f>IF($B37="","",IF(TRIM($J37&amp;"")="",0,SUMPRODUCT((파견수련계획!$Q$4:$Q$83=TRIM($J37&amp;""))*(파견수련계획!$S$4:$S$83="구리병원")*파견수련계획!$W$4:$W$83))+IF($AG37="구리병원",MAX(0,DAY(EOMONTH(요약!$B$3,0))-N($X37)),0))</f>
        <v/>
      </c>
      <c r="AJ37" s="10">
        <f>IF(OR($B37="",TRIM($J37&amp;"")=""),"",IFERROR(MATCH(TRIM($J37&amp;"")&amp;"|월",파견수련계획!$Z$4:$Z$83,0),""))</f>
        <v/>
      </c>
      <c r="AK37" s="10">
        <f>IF(OR($B37="",TRIM($J37&amp;"")=""),"",IFERROR(MATCH(TRIM($J37&amp;"")&amp;"|다기관",파견수련계획!$AE$4:$AE$83,0),""))</f>
        <v/>
      </c>
      <c r="AL37" s="10">
        <f>IF($AK37="","","다기관 "&amp;TEXT(INDEX(파견수련계획!$AB$4:$AB$83,$AK37),"yyyy-mm-dd")&amp;"~"&amp;IF(ISNUMBER(INDEX(파견수련계획!$AC$4:$AC$83,$AK37)),TEXT(INDEX(파견수련계획!$AC$4:$AC$83,$AK37),"yyyy-mm-dd"),""))</f>
        <v/>
      </c>
    </row>
    <row r="38">
      <c r="A38" s="10">
        <f>IF(B38="","",ROW()-1)</f>
        <v/>
      </c>
      <c r="B38" s="18" t="n"/>
      <c r="C38" s="10">
        <f>IF($AB38="","",IF(INDEX(기본자료!$C$2:$C$1001,$AB38)="","",INDEX(기본자료!$C$2:$C$1001,$AB38)))</f>
        <v/>
      </c>
      <c r="D38" s="10">
        <f>IF($AB38="","",IF(INDEX(기본자료!$J$2:$J$1001,$AB38)="","",INDEX(기본자료!$J$2:$J$1001,$AB38)))</f>
        <v/>
      </c>
      <c r="E38" s="11">
        <f>IF($AB38="","",IF(INDEX(기본자료!$K$2:$K$1001,$AB38)="","",IF(NOT(ISNUMBER(INDEX(기본자료!$K$2:$K$1001,$AB38))),INDEX(기본자료!$K$2:$K$1001,$AB38),IF(INDEX(기본자료!$K$2:$K$1001,$AB38)&lt;1000000,INDEX(기본자료!$K$2:$K$1001,$AB38),IF(AND(INDEX(기본자료!$K$2:$K$1001,$AB38)&gt;=10000101,INT(MOD(INDEX(기본자료!$K$2:$K$1001,$AB38),10000)/100)&gt;=1,INT(MOD(INDEX(기본자료!$K$2:$K$1001,$AB38),10000)/100)&lt;=12,MOD(INDEX(기본자료!$K$2:$K$1001,$AB38),100)&gt;=1,MOD(INDEX(기본자료!$K$2:$K$1001,$AB38),100)&lt;=31),DATE(INT(INDEX(기본자료!$K$2:$K$1001,$AB38)/10000),INT(MOD(INDEX(기본자료!$K$2:$K$1001,$AB38),10000)/100),MOD(INDEX(기본자료!$K$2:$K$1001,$AB38),100)),INDEX(기본자료!$K$2:$K$1001,$AB38)&amp;"")))))</f>
        <v/>
      </c>
      <c r="F38" s="10">
        <f>IF($AB38="","",IF(INDEX(기본자료!$D$2:$D$1001,$AB38)="","",INDEX(기본자료!$D$2:$D$1001,$AB38)))</f>
        <v/>
      </c>
      <c r="G38" s="10">
        <f>IF($AB38="","",IF(INDEX(기본자료!$E$2:$E$1001,$AB38)="","",INDEX(기본자료!$E$2:$E$1001,$AB38)))</f>
        <v/>
      </c>
      <c r="H38" s="10">
        <f>IF($AB38="","",IF(INDEX(기본자료!$F$2:$F$1001,$AB38)="","",INDEX(기본자료!$F$2:$F$1001,$AB38)))</f>
        <v/>
      </c>
      <c r="I38" s="11">
        <f>IF($AB38="","",IF(INDEX(기본자료!$G$2:$G$1001,$AB38)="","",IF(NOT(ISNUMBER(INDEX(기본자료!$G$2:$G$1001,$AB38))),INDEX(기본자료!$G$2:$G$1001,$AB38),IF(INDEX(기본자료!$G$2:$G$1001,$AB38)&lt;1000000,INDEX(기본자료!$G$2:$G$1001,$AB38),IF(AND(INDEX(기본자료!$G$2:$G$1001,$AB38)&gt;=10000101,INT(MOD(INDEX(기본자료!$G$2:$G$1001,$AB38),10000)/100)&gt;=1,INT(MOD(INDEX(기본자료!$G$2:$G$1001,$AB38),10000)/100)&lt;=12,MOD(INDEX(기본자료!$G$2:$G$1001,$AB38),100)&gt;=1,MOD(INDEX(기본자료!$G$2:$G$1001,$AB38),100)&lt;=31),DATE(INT(INDEX(기본자료!$G$2:$G$1001,$AB38)/10000),INT(MOD(INDEX(기본자료!$G$2:$G$1001,$AB38),10000)/100),MOD(INDEX(기본자료!$G$2:$G$1001,$AB38),100)),INDEX(기본자료!$G$2:$G$1001,$AB38)&amp;"")))))</f>
        <v/>
      </c>
      <c r="J38" s="10">
        <f>IF($AB38="","",IF(INDEX(기본자료!$H$2:$H$1001,$AB38)="","",INDEX(기본자료!$H$2:$H$1001,$AB38)))</f>
        <v/>
      </c>
      <c r="K38" s="10">
        <f>IF($AB38="","",IF(INDEX(기본자료!$I$2:$I$1001,$AB38)="","",INDEX(기본자료!$I$2:$I$1001,$AB38)))</f>
        <v/>
      </c>
      <c r="L38" s="10">
        <f>IF($AB38="","",IF(INDEX(기본자료!$A$2:$A$1001,$AB38)="","",INDEX(기본자료!$A$2:$A$1001,$AB38)))</f>
        <v/>
      </c>
      <c r="M38" s="15" t="n"/>
      <c r="N38" s="10">
        <f>IF($B38="","",IF(AND($U38="파견중",$Q38&lt;&gt;""),$Q38,IF(AND($AD38&lt;&gt;"",LEFT($AD38,1)&lt;&gt;"⚠"),LEFT($AD38,FIND(" ",$AD38)-1),IF($H38="","",IF(RIGHT($H38,2)="병원",$H38,$H38&amp;"병원")))))</f>
        <v/>
      </c>
      <c r="O38" s="10">
        <f>IF($B38="","",IF(AND($U38="파견중",$Q38&lt;&gt;""),IF($R38&lt;&gt;"",$R38,"파견과 미입력"),IF(AND($AD38&lt;&gt;"",LEFT($AD38,1)&lt;&gt;"⚠"),MID($AD38,FIND(" ",$AD38)+1,60),IF($F38="","",IF($F38="인턴","수련교육부(인턴)",$F38)))))</f>
        <v/>
      </c>
      <c r="P38" s="10">
        <f>IF($B38="","",IF($AK38&lt;&gt;"",IF(AND(TODAY()&gt;=INDEX(파견수련계획!$AB$4:$AB$83,$AK38),OR(NOT(ISNUMBER(INDEX(파견수련계획!$AC$4:$AC$83,$AK38))),TODAY()&lt;=INDEX(파견수련계획!$AC$4:$AC$83,$AK38))),"다기관",IF($AF38="","",INDEX(파견수련계획!$T$4:$T$83,$AF38))),IF($AF38="","",INDEX(파견수련계획!$T$4:$T$83,$AF38))))</f>
        <v/>
      </c>
      <c r="Q38" s="10">
        <f>IF($AF38="","",INDEX(파견수련계획!$S$4:$S$83,$AF38))</f>
        <v/>
      </c>
      <c r="R38" s="10">
        <f>IF($AF38="","",INDEX(파견수련계획!$U$4:$U$83,$AF38))</f>
        <v/>
      </c>
      <c r="S38" s="11">
        <f>IF($AF38="","",IF(INDEX(파견수련계획!$H$4:$H$83,$AF38)="","",INDEX(파견수련계획!$H$4:$H$83,$AF38)))</f>
        <v/>
      </c>
      <c r="T38" s="11">
        <f>IF($AF38="","",IF(INDEX(파견수련계획!$I$4:$I$83,$AF38)="","",INDEX(파견수련계획!$I$4:$I$83,$AF38)))</f>
        <v/>
      </c>
      <c r="U38" s="10">
        <f>IF($AF38="","",INDEX(파견수련계획!$X$4:$X$83,$AF38))</f>
        <v/>
      </c>
      <c r="V38" s="17">
        <f>IF($AF38="","",INDEX(파견수련계획!$V$4:$V$83,$AF38))</f>
        <v/>
      </c>
      <c r="W38" s="17">
        <f>IF(AND($U38="파견중",$T38&lt;&gt;""),$T38-TODAY(),"")</f>
        <v/>
      </c>
      <c r="X38" s="17">
        <f>IF(OR($B38="",TRIM($J38&amp;"")=""),"",SUMPRODUCT((파견수련계획!$Q$4:$Q$83=TRIM($J38&amp;""))*파견수련계획!$W$4:$W$83))</f>
        <v/>
      </c>
      <c r="Y38" s="10">
        <f>IF($B38="","",IF($AG38="","",IF(IF(TRIM($J38&amp;"")="",0,SUMPRODUCT((파견수련계획!$Q$4:$Q$83=TRIM($J38&amp;""))*파견수련계획!$AD$4:$AD$83))&gt;0,$AE38,IF(N($X38)&lt;=0,$AG38,IF($AH38+$AI38=DAY(EOMONTH(요약!$B$3,0)),IF(AND($AH38&gt;=요약!$E$3,$AI38&lt;요약!$E$3),"서울병원",IF(AND($AI38&gt;=요약!$E$3,$AH38&lt;요약!$E$3),"구리병원","⚠15일 판정불가(서울 "&amp;$AH38&amp;"일/구리 "&amp;$AI38&amp;"일)")),IF($AJ38="",$AE38,IF(INDEX(파견수련계획!$T$4:$T$83,$AJ38)="통합수련",INDEX(파견수련계획!$S$4:$S$83,$AJ38),$AE38)))))))</f>
        <v/>
      </c>
      <c r="Z38" s="19">
        <f>IF($B38="","",IF($AB38="","기본자료에 없는 사번",IF(COUNTIF($B$2:$B$401,$B38)&gt;1,"중복 사번",IF($AE38="","소속(입사장소) 입력",IF(IF(TRIM($J38&amp;"")="",0,SUMPRODUCT((파견수련계획!$Q$4:$Q$83=TRIM($J38&amp;""))*(파견수련계획!$AA$4:$AA$83&lt;&gt;"")))&gt;0,"파견수련계획 입력오류 확인",IF(LEFT($Y38,1)="⚠","서울·구리 15일 판정 불가(양쪽 모두 이상/미만)",IF(IF($AC38="",0,N(INDEX(인턴근무계획!$T$3:$T$62,$AC38)))&gt;0,"인턴계획 입력오류 확인",IF(AND($AC38&lt;&gt;"",$U38&lt;&gt;"파견중",$N38&lt;&gt;$AE38),"인턴 타지역 근무: 파견 여부 확인","정상"))))))))</f>
        <v/>
      </c>
      <c r="AA38" s="5" t="n"/>
      <c r="AB38" s="10">
        <f>IF($B38="","",IFERROR(MATCH($B38,기본자료!$B$2:$B$1001,0),IFERROR(MATCH($B38&amp;"",기본자료!$B$2:$B$1001,0),IFERROR(MATCH(VALUE($B38),기본자료!$B$2:$B$1001,0),""))))</f>
        <v/>
      </c>
      <c r="AC38" s="10">
        <f>IF($B38="","",IFERROR(MATCH($B38,인턴근무계획!$D$3:$D$62,0),IFERROR(MATCH($B38&amp;"",인턴근무계획!$D$3:$D$62,0),IFERROR(MATCH(VALUE($B38),인턴근무계획!$D$3:$D$62,0),""))))</f>
        <v/>
      </c>
      <c r="AD38" s="10">
        <f>IF(OR($AC38="",인턴현황!$G$3=""),"",INDEX(인턴근무계획!$M$3:$R$62,$AC38,인턴현황!$G$3)&amp;"")</f>
        <v/>
      </c>
      <c r="AE38" s="10">
        <f>IF($B38="","",IF($M38&lt;&gt;"",$M38,IF($AF38&lt;&gt;"",IF(LEFT(INDEX(파견수련계획!$R$4:$R$83,$AF38),1)&lt;&gt;"⚠",INDEX(파견수련계획!$R$4:$R$83,$AF38),IF($H38="","",IF(RIGHT($H38,2)="병원",$H38,$H38&amp;"병원"))),IF($H38="","",IF(RIGHT($H38,2)="병원",$H38,$H38&amp;"병원")))))</f>
        <v/>
      </c>
      <c r="AF38" s="10">
        <f>IF(OR($B38="",TRIM($J38&amp;"")=""),"",IFERROR(MATCH(TRIM($J38&amp;"")&amp;"|파견중",파견수련계획!$Y$4:$Y$83,0),IFERROR(MATCH(TRIM($J38&amp;"")&amp;"|파견예정",파견수련계획!$Y$4:$Y$83,0),IFERROR(MATCH(TRIM($J38&amp;"")&amp;"|파견종료",파견수련계획!$Y$4:$Y$83,0),""))))</f>
        <v/>
      </c>
      <c r="AG38" s="10">
        <f>IF($B38="","",IF(AND(IF(OR($AC38="",인턴현황!$K$2=""),"",INDEX(인턴근무계획!$M$3:$R$62,$AC38,인턴현황!$K$2)&amp;"")&lt;&gt;"",LEFT(IF(OR($AC38="",인턴현황!$K$2=""),"",INDEX(인턴근무계획!$M$3:$R$62,$AC38,인턴현황!$K$2)&amp;""),1)&lt;&gt;"⚠"),LEFT(IF(OR($AC38="",인턴현황!$K$2=""),"",INDEX(인턴근무계획!$M$3:$R$62,$AC38,인턴현황!$K$2)&amp;""),FIND(" ",IF(OR($AC38="",인턴현황!$K$2=""),"",INDEX(인턴근무계획!$M$3:$R$62,$AC38,인턴현황!$K$2)&amp;""))-1),$AE38))</f>
        <v/>
      </c>
      <c r="AH38" s="17">
        <f>IF($B38="","",IF(TRIM($J38&amp;"")="",0,SUMPRODUCT((파견수련계획!$Q$4:$Q$83=TRIM($J38&amp;""))*(파견수련계획!$S$4:$S$83="서울병원")*파견수련계획!$W$4:$W$83))+IF($AG38="서울병원",MAX(0,DAY(EOMONTH(요약!$B$3,0))-N($X38)),0))</f>
        <v/>
      </c>
      <c r="AI38" s="17">
        <f>IF($B38="","",IF(TRIM($J38&amp;"")="",0,SUMPRODUCT((파견수련계획!$Q$4:$Q$83=TRIM($J38&amp;""))*(파견수련계획!$S$4:$S$83="구리병원")*파견수련계획!$W$4:$W$83))+IF($AG38="구리병원",MAX(0,DAY(EOMONTH(요약!$B$3,0))-N($X38)),0))</f>
        <v/>
      </c>
      <c r="AJ38" s="10">
        <f>IF(OR($B38="",TRIM($J38&amp;"")=""),"",IFERROR(MATCH(TRIM($J38&amp;"")&amp;"|월",파견수련계획!$Z$4:$Z$83,0),""))</f>
        <v/>
      </c>
      <c r="AK38" s="10">
        <f>IF(OR($B38="",TRIM($J38&amp;"")=""),"",IFERROR(MATCH(TRIM($J38&amp;"")&amp;"|다기관",파견수련계획!$AE$4:$AE$83,0),""))</f>
        <v/>
      </c>
      <c r="AL38" s="10">
        <f>IF($AK38="","","다기관 "&amp;TEXT(INDEX(파견수련계획!$AB$4:$AB$83,$AK38),"yyyy-mm-dd")&amp;"~"&amp;IF(ISNUMBER(INDEX(파견수련계획!$AC$4:$AC$83,$AK38)),TEXT(INDEX(파견수련계획!$AC$4:$AC$83,$AK38),"yyyy-mm-dd"),""))</f>
        <v/>
      </c>
    </row>
    <row r="39">
      <c r="A39" s="10">
        <f>IF(B39="","",ROW()-1)</f>
        <v/>
      </c>
      <c r="B39" s="18" t="n"/>
      <c r="C39" s="10">
        <f>IF($AB39="","",IF(INDEX(기본자료!$C$2:$C$1001,$AB39)="","",INDEX(기본자료!$C$2:$C$1001,$AB39)))</f>
        <v/>
      </c>
      <c r="D39" s="10">
        <f>IF($AB39="","",IF(INDEX(기본자료!$J$2:$J$1001,$AB39)="","",INDEX(기본자료!$J$2:$J$1001,$AB39)))</f>
        <v/>
      </c>
      <c r="E39" s="11">
        <f>IF($AB39="","",IF(INDEX(기본자료!$K$2:$K$1001,$AB39)="","",IF(NOT(ISNUMBER(INDEX(기본자료!$K$2:$K$1001,$AB39))),INDEX(기본자료!$K$2:$K$1001,$AB39),IF(INDEX(기본자료!$K$2:$K$1001,$AB39)&lt;1000000,INDEX(기본자료!$K$2:$K$1001,$AB39),IF(AND(INDEX(기본자료!$K$2:$K$1001,$AB39)&gt;=10000101,INT(MOD(INDEX(기본자료!$K$2:$K$1001,$AB39),10000)/100)&gt;=1,INT(MOD(INDEX(기본자료!$K$2:$K$1001,$AB39),10000)/100)&lt;=12,MOD(INDEX(기본자료!$K$2:$K$1001,$AB39),100)&gt;=1,MOD(INDEX(기본자료!$K$2:$K$1001,$AB39),100)&lt;=31),DATE(INT(INDEX(기본자료!$K$2:$K$1001,$AB39)/10000),INT(MOD(INDEX(기본자료!$K$2:$K$1001,$AB39),10000)/100),MOD(INDEX(기본자료!$K$2:$K$1001,$AB39),100)),INDEX(기본자료!$K$2:$K$1001,$AB39)&amp;"")))))</f>
        <v/>
      </c>
      <c r="F39" s="10">
        <f>IF($AB39="","",IF(INDEX(기본자료!$D$2:$D$1001,$AB39)="","",INDEX(기본자료!$D$2:$D$1001,$AB39)))</f>
        <v/>
      </c>
      <c r="G39" s="10">
        <f>IF($AB39="","",IF(INDEX(기본자료!$E$2:$E$1001,$AB39)="","",INDEX(기본자료!$E$2:$E$1001,$AB39)))</f>
        <v/>
      </c>
      <c r="H39" s="10">
        <f>IF($AB39="","",IF(INDEX(기본자료!$F$2:$F$1001,$AB39)="","",INDEX(기본자료!$F$2:$F$1001,$AB39)))</f>
        <v/>
      </c>
      <c r="I39" s="11">
        <f>IF($AB39="","",IF(INDEX(기본자료!$G$2:$G$1001,$AB39)="","",IF(NOT(ISNUMBER(INDEX(기본자료!$G$2:$G$1001,$AB39))),INDEX(기본자료!$G$2:$G$1001,$AB39),IF(INDEX(기본자료!$G$2:$G$1001,$AB39)&lt;1000000,INDEX(기본자료!$G$2:$G$1001,$AB39),IF(AND(INDEX(기본자료!$G$2:$G$1001,$AB39)&gt;=10000101,INT(MOD(INDEX(기본자료!$G$2:$G$1001,$AB39),10000)/100)&gt;=1,INT(MOD(INDEX(기본자료!$G$2:$G$1001,$AB39),10000)/100)&lt;=12,MOD(INDEX(기본자료!$G$2:$G$1001,$AB39),100)&gt;=1,MOD(INDEX(기본자료!$G$2:$G$1001,$AB39),100)&lt;=31),DATE(INT(INDEX(기본자료!$G$2:$G$1001,$AB39)/10000),INT(MOD(INDEX(기본자료!$G$2:$G$1001,$AB39),10000)/100),MOD(INDEX(기본자료!$G$2:$G$1001,$AB39),100)),INDEX(기본자료!$G$2:$G$1001,$AB39)&amp;"")))))</f>
        <v/>
      </c>
      <c r="J39" s="10">
        <f>IF($AB39="","",IF(INDEX(기본자료!$H$2:$H$1001,$AB39)="","",INDEX(기본자료!$H$2:$H$1001,$AB39)))</f>
        <v/>
      </c>
      <c r="K39" s="10">
        <f>IF($AB39="","",IF(INDEX(기본자료!$I$2:$I$1001,$AB39)="","",INDEX(기본자료!$I$2:$I$1001,$AB39)))</f>
        <v/>
      </c>
      <c r="L39" s="10">
        <f>IF($AB39="","",IF(INDEX(기본자료!$A$2:$A$1001,$AB39)="","",INDEX(기본자료!$A$2:$A$1001,$AB39)))</f>
        <v/>
      </c>
      <c r="M39" s="15" t="n"/>
      <c r="N39" s="10">
        <f>IF($B39="","",IF(AND($U39="파견중",$Q39&lt;&gt;""),$Q39,IF(AND($AD39&lt;&gt;"",LEFT($AD39,1)&lt;&gt;"⚠"),LEFT($AD39,FIND(" ",$AD39)-1),IF($H39="","",IF(RIGHT($H39,2)="병원",$H39,$H39&amp;"병원")))))</f>
        <v/>
      </c>
      <c r="O39" s="10">
        <f>IF($B39="","",IF(AND($U39="파견중",$Q39&lt;&gt;""),IF($R39&lt;&gt;"",$R39,"파견과 미입력"),IF(AND($AD39&lt;&gt;"",LEFT($AD39,1)&lt;&gt;"⚠"),MID($AD39,FIND(" ",$AD39)+1,60),IF($F39="","",IF($F39="인턴","수련교육부(인턴)",$F39)))))</f>
        <v/>
      </c>
      <c r="P39" s="10">
        <f>IF($B39="","",IF($AK39&lt;&gt;"",IF(AND(TODAY()&gt;=INDEX(파견수련계획!$AB$4:$AB$83,$AK39),OR(NOT(ISNUMBER(INDEX(파견수련계획!$AC$4:$AC$83,$AK39))),TODAY()&lt;=INDEX(파견수련계획!$AC$4:$AC$83,$AK39))),"다기관",IF($AF39="","",INDEX(파견수련계획!$T$4:$T$83,$AF39))),IF($AF39="","",INDEX(파견수련계획!$T$4:$T$83,$AF39))))</f>
        <v/>
      </c>
      <c r="Q39" s="10">
        <f>IF($AF39="","",INDEX(파견수련계획!$S$4:$S$83,$AF39))</f>
        <v/>
      </c>
      <c r="R39" s="10">
        <f>IF($AF39="","",INDEX(파견수련계획!$U$4:$U$83,$AF39))</f>
        <v/>
      </c>
      <c r="S39" s="11">
        <f>IF($AF39="","",IF(INDEX(파견수련계획!$H$4:$H$83,$AF39)="","",INDEX(파견수련계획!$H$4:$H$83,$AF39)))</f>
        <v/>
      </c>
      <c r="T39" s="11">
        <f>IF($AF39="","",IF(INDEX(파견수련계획!$I$4:$I$83,$AF39)="","",INDEX(파견수련계획!$I$4:$I$83,$AF39)))</f>
        <v/>
      </c>
      <c r="U39" s="10">
        <f>IF($AF39="","",INDEX(파견수련계획!$X$4:$X$83,$AF39))</f>
        <v/>
      </c>
      <c r="V39" s="17">
        <f>IF($AF39="","",INDEX(파견수련계획!$V$4:$V$83,$AF39))</f>
        <v/>
      </c>
      <c r="W39" s="17">
        <f>IF(AND($U39="파견중",$T39&lt;&gt;""),$T39-TODAY(),"")</f>
        <v/>
      </c>
      <c r="X39" s="17">
        <f>IF(OR($B39="",TRIM($J39&amp;"")=""),"",SUMPRODUCT((파견수련계획!$Q$4:$Q$83=TRIM($J39&amp;""))*파견수련계획!$W$4:$W$83))</f>
        <v/>
      </c>
      <c r="Y39" s="10">
        <f>IF($B39="","",IF($AG39="","",IF(IF(TRIM($J39&amp;"")="",0,SUMPRODUCT((파견수련계획!$Q$4:$Q$83=TRIM($J39&amp;""))*파견수련계획!$AD$4:$AD$83))&gt;0,$AE39,IF(N($X39)&lt;=0,$AG39,IF($AH39+$AI39=DAY(EOMONTH(요약!$B$3,0)),IF(AND($AH39&gt;=요약!$E$3,$AI39&lt;요약!$E$3),"서울병원",IF(AND($AI39&gt;=요약!$E$3,$AH39&lt;요약!$E$3),"구리병원","⚠15일 판정불가(서울 "&amp;$AH39&amp;"일/구리 "&amp;$AI39&amp;"일)")),IF($AJ39="",$AE39,IF(INDEX(파견수련계획!$T$4:$T$83,$AJ39)="통합수련",INDEX(파견수련계획!$S$4:$S$83,$AJ39),$AE39)))))))</f>
        <v/>
      </c>
      <c r="Z39" s="19">
        <f>IF($B39="","",IF($AB39="","기본자료에 없는 사번",IF(COUNTIF($B$2:$B$401,$B39)&gt;1,"중복 사번",IF($AE39="","소속(입사장소) 입력",IF(IF(TRIM($J39&amp;"")="",0,SUMPRODUCT((파견수련계획!$Q$4:$Q$83=TRIM($J39&amp;""))*(파견수련계획!$AA$4:$AA$83&lt;&gt;"")))&gt;0,"파견수련계획 입력오류 확인",IF(LEFT($Y39,1)="⚠","서울·구리 15일 판정 불가(양쪽 모두 이상/미만)",IF(IF($AC39="",0,N(INDEX(인턴근무계획!$T$3:$T$62,$AC39)))&gt;0,"인턴계획 입력오류 확인",IF(AND($AC39&lt;&gt;"",$U39&lt;&gt;"파견중",$N39&lt;&gt;$AE39),"인턴 타지역 근무: 파견 여부 확인","정상"))))))))</f>
        <v/>
      </c>
      <c r="AA39" s="5" t="n"/>
      <c r="AB39" s="10">
        <f>IF($B39="","",IFERROR(MATCH($B39,기본자료!$B$2:$B$1001,0),IFERROR(MATCH($B39&amp;"",기본자료!$B$2:$B$1001,0),IFERROR(MATCH(VALUE($B39),기본자료!$B$2:$B$1001,0),""))))</f>
        <v/>
      </c>
      <c r="AC39" s="10">
        <f>IF($B39="","",IFERROR(MATCH($B39,인턴근무계획!$D$3:$D$62,0),IFERROR(MATCH($B39&amp;"",인턴근무계획!$D$3:$D$62,0),IFERROR(MATCH(VALUE($B39),인턴근무계획!$D$3:$D$62,0),""))))</f>
        <v/>
      </c>
      <c r="AD39" s="10">
        <f>IF(OR($AC39="",인턴현황!$G$3=""),"",INDEX(인턴근무계획!$M$3:$R$62,$AC39,인턴현황!$G$3)&amp;"")</f>
        <v/>
      </c>
      <c r="AE39" s="10">
        <f>IF($B39="","",IF($M39&lt;&gt;"",$M39,IF($AF39&lt;&gt;"",IF(LEFT(INDEX(파견수련계획!$R$4:$R$83,$AF39),1)&lt;&gt;"⚠",INDEX(파견수련계획!$R$4:$R$83,$AF39),IF($H39="","",IF(RIGHT($H39,2)="병원",$H39,$H39&amp;"병원"))),IF($H39="","",IF(RIGHT($H39,2)="병원",$H39,$H39&amp;"병원")))))</f>
        <v/>
      </c>
      <c r="AF39" s="10">
        <f>IF(OR($B39="",TRIM($J39&amp;"")=""),"",IFERROR(MATCH(TRIM($J39&amp;"")&amp;"|파견중",파견수련계획!$Y$4:$Y$83,0),IFERROR(MATCH(TRIM($J39&amp;"")&amp;"|파견예정",파견수련계획!$Y$4:$Y$83,0),IFERROR(MATCH(TRIM($J39&amp;"")&amp;"|파견종료",파견수련계획!$Y$4:$Y$83,0),""))))</f>
        <v/>
      </c>
      <c r="AG39" s="10">
        <f>IF($B39="","",IF(AND(IF(OR($AC39="",인턴현황!$K$2=""),"",INDEX(인턴근무계획!$M$3:$R$62,$AC39,인턴현황!$K$2)&amp;"")&lt;&gt;"",LEFT(IF(OR($AC39="",인턴현황!$K$2=""),"",INDEX(인턴근무계획!$M$3:$R$62,$AC39,인턴현황!$K$2)&amp;""),1)&lt;&gt;"⚠"),LEFT(IF(OR($AC39="",인턴현황!$K$2=""),"",INDEX(인턴근무계획!$M$3:$R$62,$AC39,인턴현황!$K$2)&amp;""),FIND(" ",IF(OR($AC39="",인턴현황!$K$2=""),"",INDEX(인턴근무계획!$M$3:$R$62,$AC39,인턴현황!$K$2)&amp;""))-1),$AE39))</f>
        <v/>
      </c>
      <c r="AH39" s="17">
        <f>IF($B39="","",IF(TRIM($J39&amp;"")="",0,SUMPRODUCT((파견수련계획!$Q$4:$Q$83=TRIM($J39&amp;""))*(파견수련계획!$S$4:$S$83="서울병원")*파견수련계획!$W$4:$W$83))+IF($AG39="서울병원",MAX(0,DAY(EOMONTH(요약!$B$3,0))-N($X39)),0))</f>
        <v/>
      </c>
      <c r="AI39" s="17">
        <f>IF($B39="","",IF(TRIM($J39&amp;"")="",0,SUMPRODUCT((파견수련계획!$Q$4:$Q$83=TRIM($J39&amp;""))*(파견수련계획!$S$4:$S$83="구리병원")*파견수련계획!$W$4:$W$83))+IF($AG39="구리병원",MAX(0,DAY(EOMONTH(요약!$B$3,0))-N($X39)),0))</f>
        <v/>
      </c>
      <c r="AJ39" s="10">
        <f>IF(OR($B39="",TRIM($J39&amp;"")=""),"",IFERROR(MATCH(TRIM($J39&amp;"")&amp;"|월",파견수련계획!$Z$4:$Z$83,0),""))</f>
        <v/>
      </c>
      <c r="AK39" s="10">
        <f>IF(OR($B39="",TRIM($J39&amp;"")=""),"",IFERROR(MATCH(TRIM($J39&amp;"")&amp;"|다기관",파견수련계획!$AE$4:$AE$83,0),""))</f>
        <v/>
      </c>
      <c r="AL39" s="10">
        <f>IF($AK39="","","다기관 "&amp;TEXT(INDEX(파견수련계획!$AB$4:$AB$83,$AK39),"yyyy-mm-dd")&amp;"~"&amp;IF(ISNUMBER(INDEX(파견수련계획!$AC$4:$AC$83,$AK39)),TEXT(INDEX(파견수련계획!$AC$4:$AC$83,$AK39),"yyyy-mm-dd"),""))</f>
        <v/>
      </c>
    </row>
    <row r="40">
      <c r="A40" s="10">
        <f>IF(B40="","",ROW()-1)</f>
        <v/>
      </c>
      <c r="B40" s="18" t="n"/>
      <c r="C40" s="10">
        <f>IF($AB40="","",IF(INDEX(기본자료!$C$2:$C$1001,$AB40)="","",INDEX(기본자료!$C$2:$C$1001,$AB40)))</f>
        <v/>
      </c>
      <c r="D40" s="10">
        <f>IF($AB40="","",IF(INDEX(기본자료!$J$2:$J$1001,$AB40)="","",INDEX(기본자료!$J$2:$J$1001,$AB40)))</f>
        <v/>
      </c>
      <c r="E40" s="11">
        <f>IF($AB40="","",IF(INDEX(기본자료!$K$2:$K$1001,$AB40)="","",IF(NOT(ISNUMBER(INDEX(기본자료!$K$2:$K$1001,$AB40))),INDEX(기본자료!$K$2:$K$1001,$AB40),IF(INDEX(기본자료!$K$2:$K$1001,$AB40)&lt;1000000,INDEX(기본자료!$K$2:$K$1001,$AB40),IF(AND(INDEX(기본자료!$K$2:$K$1001,$AB40)&gt;=10000101,INT(MOD(INDEX(기본자료!$K$2:$K$1001,$AB40),10000)/100)&gt;=1,INT(MOD(INDEX(기본자료!$K$2:$K$1001,$AB40),10000)/100)&lt;=12,MOD(INDEX(기본자료!$K$2:$K$1001,$AB40),100)&gt;=1,MOD(INDEX(기본자료!$K$2:$K$1001,$AB40),100)&lt;=31),DATE(INT(INDEX(기본자료!$K$2:$K$1001,$AB40)/10000),INT(MOD(INDEX(기본자료!$K$2:$K$1001,$AB40),10000)/100),MOD(INDEX(기본자료!$K$2:$K$1001,$AB40),100)),INDEX(기본자료!$K$2:$K$1001,$AB40)&amp;"")))))</f>
        <v/>
      </c>
      <c r="F40" s="10">
        <f>IF($AB40="","",IF(INDEX(기본자료!$D$2:$D$1001,$AB40)="","",INDEX(기본자료!$D$2:$D$1001,$AB40)))</f>
        <v/>
      </c>
      <c r="G40" s="10">
        <f>IF($AB40="","",IF(INDEX(기본자료!$E$2:$E$1001,$AB40)="","",INDEX(기본자료!$E$2:$E$1001,$AB40)))</f>
        <v/>
      </c>
      <c r="H40" s="10">
        <f>IF($AB40="","",IF(INDEX(기본자료!$F$2:$F$1001,$AB40)="","",INDEX(기본자료!$F$2:$F$1001,$AB40)))</f>
        <v/>
      </c>
      <c r="I40" s="11">
        <f>IF($AB40="","",IF(INDEX(기본자료!$G$2:$G$1001,$AB40)="","",IF(NOT(ISNUMBER(INDEX(기본자료!$G$2:$G$1001,$AB40))),INDEX(기본자료!$G$2:$G$1001,$AB40),IF(INDEX(기본자료!$G$2:$G$1001,$AB40)&lt;1000000,INDEX(기본자료!$G$2:$G$1001,$AB40),IF(AND(INDEX(기본자료!$G$2:$G$1001,$AB40)&gt;=10000101,INT(MOD(INDEX(기본자료!$G$2:$G$1001,$AB40),10000)/100)&gt;=1,INT(MOD(INDEX(기본자료!$G$2:$G$1001,$AB40),10000)/100)&lt;=12,MOD(INDEX(기본자료!$G$2:$G$1001,$AB40),100)&gt;=1,MOD(INDEX(기본자료!$G$2:$G$1001,$AB40),100)&lt;=31),DATE(INT(INDEX(기본자료!$G$2:$G$1001,$AB40)/10000),INT(MOD(INDEX(기본자료!$G$2:$G$1001,$AB40),10000)/100),MOD(INDEX(기본자료!$G$2:$G$1001,$AB40),100)),INDEX(기본자료!$G$2:$G$1001,$AB40)&amp;"")))))</f>
        <v/>
      </c>
      <c r="J40" s="10">
        <f>IF($AB40="","",IF(INDEX(기본자료!$H$2:$H$1001,$AB40)="","",INDEX(기본자료!$H$2:$H$1001,$AB40)))</f>
        <v/>
      </c>
      <c r="K40" s="10">
        <f>IF($AB40="","",IF(INDEX(기본자료!$I$2:$I$1001,$AB40)="","",INDEX(기본자료!$I$2:$I$1001,$AB40)))</f>
        <v/>
      </c>
      <c r="L40" s="10">
        <f>IF($AB40="","",IF(INDEX(기본자료!$A$2:$A$1001,$AB40)="","",INDEX(기본자료!$A$2:$A$1001,$AB40)))</f>
        <v/>
      </c>
      <c r="M40" s="15" t="n"/>
      <c r="N40" s="10">
        <f>IF($B40="","",IF(AND($U40="파견중",$Q40&lt;&gt;""),$Q40,IF(AND($AD40&lt;&gt;"",LEFT($AD40,1)&lt;&gt;"⚠"),LEFT($AD40,FIND(" ",$AD40)-1),IF($H40="","",IF(RIGHT($H40,2)="병원",$H40,$H40&amp;"병원")))))</f>
        <v/>
      </c>
      <c r="O40" s="10">
        <f>IF($B40="","",IF(AND($U40="파견중",$Q40&lt;&gt;""),IF($R40&lt;&gt;"",$R40,"파견과 미입력"),IF(AND($AD40&lt;&gt;"",LEFT($AD40,1)&lt;&gt;"⚠"),MID($AD40,FIND(" ",$AD40)+1,60),IF($F40="","",IF($F40="인턴","수련교육부(인턴)",$F40)))))</f>
        <v/>
      </c>
      <c r="P40" s="10">
        <f>IF($B40="","",IF($AK40&lt;&gt;"",IF(AND(TODAY()&gt;=INDEX(파견수련계획!$AB$4:$AB$83,$AK40),OR(NOT(ISNUMBER(INDEX(파견수련계획!$AC$4:$AC$83,$AK40))),TODAY()&lt;=INDEX(파견수련계획!$AC$4:$AC$83,$AK40))),"다기관",IF($AF40="","",INDEX(파견수련계획!$T$4:$T$83,$AF40))),IF($AF40="","",INDEX(파견수련계획!$T$4:$T$83,$AF40))))</f>
        <v/>
      </c>
      <c r="Q40" s="10">
        <f>IF($AF40="","",INDEX(파견수련계획!$S$4:$S$83,$AF40))</f>
        <v/>
      </c>
      <c r="R40" s="10">
        <f>IF($AF40="","",INDEX(파견수련계획!$U$4:$U$83,$AF40))</f>
        <v/>
      </c>
      <c r="S40" s="11">
        <f>IF($AF40="","",IF(INDEX(파견수련계획!$H$4:$H$83,$AF40)="","",INDEX(파견수련계획!$H$4:$H$83,$AF40)))</f>
        <v/>
      </c>
      <c r="T40" s="11">
        <f>IF($AF40="","",IF(INDEX(파견수련계획!$I$4:$I$83,$AF40)="","",INDEX(파견수련계획!$I$4:$I$83,$AF40)))</f>
        <v/>
      </c>
      <c r="U40" s="10">
        <f>IF($AF40="","",INDEX(파견수련계획!$X$4:$X$83,$AF40))</f>
        <v/>
      </c>
      <c r="V40" s="17">
        <f>IF($AF40="","",INDEX(파견수련계획!$V$4:$V$83,$AF40))</f>
        <v/>
      </c>
      <c r="W40" s="17">
        <f>IF(AND($U40="파견중",$T40&lt;&gt;""),$T40-TODAY(),"")</f>
        <v/>
      </c>
      <c r="X40" s="17">
        <f>IF(OR($B40="",TRIM($J40&amp;"")=""),"",SUMPRODUCT((파견수련계획!$Q$4:$Q$83=TRIM($J40&amp;""))*파견수련계획!$W$4:$W$83))</f>
        <v/>
      </c>
      <c r="Y40" s="10">
        <f>IF($B40="","",IF($AG40="","",IF(IF(TRIM($J40&amp;"")="",0,SUMPRODUCT((파견수련계획!$Q$4:$Q$83=TRIM($J40&amp;""))*파견수련계획!$AD$4:$AD$83))&gt;0,$AE40,IF(N($X40)&lt;=0,$AG40,IF($AH40+$AI40=DAY(EOMONTH(요약!$B$3,0)),IF(AND($AH40&gt;=요약!$E$3,$AI40&lt;요약!$E$3),"서울병원",IF(AND($AI40&gt;=요약!$E$3,$AH40&lt;요약!$E$3),"구리병원","⚠15일 판정불가(서울 "&amp;$AH40&amp;"일/구리 "&amp;$AI40&amp;"일)")),IF($AJ40="",$AE40,IF(INDEX(파견수련계획!$T$4:$T$83,$AJ40)="통합수련",INDEX(파견수련계획!$S$4:$S$83,$AJ40),$AE40)))))))</f>
        <v/>
      </c>
      <c r="Z40" s="19">
        <f>IF($B40="","",IF($AB40="","기본자료에 없는 사번",IF(COUNTIF($B$2:$B$401,$B40)&gt;1,"중복 사번",IF($AE40="","소속(입사장소) 입력",IF(IF(TRIM($J40&amp;"")="",0,SUMPRODUCT((파견수련계획!$Q$4:$Q$83=TRIM($J40&amp;""))*(파견수련계획!$AA$4:$AA$83&lt;&gt;"")))&gt;0,"파견수련계획 입력오류 확인",IF(LEFT($Y40,1)="⚠","서울·구리 15일 판정 불가(양쪽 모두 이상/미만)",IF(IF($AC40="",0,N(INDEX(인턴근무계획!$T$3:$T$62,$AC40)))&gt;0,"인턴계획 입력오류 확인",IF(AND($AC40&lt;&gt;"",$U40&lt;&gt;"파견중",$N40&lt;&gt;$AE40),"인턴 타지역 근무: 파견 여부 확인","정상"))))))))</f>
        <v/>
      </c>
      <c r="AA40" s="5" t="n"/>
      <c r="AB40" s="10">
        <f>IF($B40="","",IFERROR(MATCH($B40,기본자료!$B$2:$B$1001,0),IFERROR(MATCH($B40&amp;"",기본자료!$B$2:$B$1001,0),IFERROR(MATCH(VALUE($B40),기본자료!$B$2:$B$1001,0),""))))</f>
        <v/>
      </c>
      <c r="AC40" s="10">
        <f>IF($B40="","",IFERROR(MATCH($B40,인턴근무계획!$D$3:$D$62,0),IFERROR(MATCH($B40&amp;"",인턴근무계획!$D$3:$D$62,0),IFERROR(MATCH(VALUE($B40),인턴근무계획!$D$3:$D$62,0),""))))</f>
        <v/>
      </c>
      <c r="AD40" s="10">
        <f>IF(OR($AC40="",인턴현황!$G$3=""),"",INDEX(인턴근무계획!$M$3:$R$62,$AC40,인턴현황!$G$3)&amp;"")</f>
        <v/>
      </c>
      <c r="AE40" s="10">
        <f>IF($B40="","",IF($M40&lt;&gt;"",$M40,IF($AF40&lt;&gt;"",IF(LEFT(INDEX(파견수련계획!$R$4:$R$83,$AF40),1)&lt;&gt;"⚠",INDEX(파견수련계획!$R$4:$R$83,$AF40),IF($H40="","",IF(RIGHT($H40,2)="병원",$H40,$H40&amp;"병원"))),IF($H40="","",IF(RIGHT($H40,2)="병원",$H40,$H40&amp;"병원")))))</f>
        <v/>
      </c>
      <c r="AF40" s="10">
        <f>IF(OR($B40="",TRIM($J40&amp;"")=""),"",IFERROR(MATCH(TRIM($J40&amp;"")&amp;"|파견중",파견수련계획!$Y$4:$Y$83,0),IFERROR(MATCH(TRIM($J40&amp;"")&amp;"|파견예정",파견수련계획!$Y$4:$Y$83,0),IFERROR(MATCH(TRIM($J40&amp;"")&amp;"|파견종료",파견수련계획!$Y$4:$Y$83,0),""))))</f>
        <v/>
      </c>
      <c r="AG40" s="10">
        <f>IF($B40="","",IF(AND(IF(OR($AC40="",인턴현황!$K$2=""),"",INDEX(인턴근무계획!$M$3:$R$62,$AC40,인턴현황!$K$2)&amp;"")&lt;&gt;"",LEFT(IF(OR($AC40="",인턴현황!$K$2=""),"",INDEX(인턴근무계획!$M$3:$R$62,$AC40,인턴현황!$K$2)&amp;""),1)&lt;&gt;"⚠"),LEFT(IF(OR($AC40="",인턴현황!$K$2=""),"",INDEX(인턴근무계획!$M$3:$R$62,$AC40,인턴현황!$K$2)&amp;""),FIND(" ",IF(OR($AC40="",인턴현황!$K$2=""),"",INDEX(인턴근무계획!$M$3:$R$62,$AC40,인턴현황!$K$2)&amp;""))-1),$AE40))</f>
        <v/>
      </c>
      <c r="AH40" s="17">
        <f>IF($B40="","",IF(TRIM($J40&amp;"")="",0,SUMPRODUCT((파견수련계획!$Q$4:$Q$83=TRIM($J40&amp;""))*(파견수련계획!$S$4:$S$83="서울병원")*파견수련계획!$W$4:$W$83))+IF($AG40="서울병원",MAX(0,DAY(EOMONTH(요약!$B$3,0))-N($X40)),0))</f>
        <v/>
      </c>
      <c r="AI40" s="17">
        <f>IF($B40="","",IF(TRIM($J40&amp;"")="",0,SUMPRODUCT((파견수련계획!$Q$4:$Q$83=TRIM($J40&amp;""))*(파견수련계획!$S$4:$S$83="구리병원")*파견수련계획!$W$4:$W$83))+IF($AG40="구리병원",MAX(0,DAY(EOMONTH(요약!$B$3,0))-N($X40)),0))</f>
        <v/>
      </c>
      <c r="AJ40" s="10">
        <f>IF(OR($B40="",TRIM($J40&amp;"")=""),"",IFERROR(MATCH(TRIM($J40&amp;"")&amp;"|월",파견수련계획!$Z$4:$Z$83,0),""))</f>
        <v/>
      </c>
      <c r="AK40" s="10">
        <f>IF(OR($B40="",TRIM($J40&amp;"")=""),"",IFERROR(MATCH(TRIM($J40&amp;"")&amp;"|다기관",파견수련계획!$AE$4:$AE$83,0),""))</f>
        <v/>
      </c>
      <c r="AL40" s="10">
        <f>IF($AK40="","","다기관 "&amp;TEXT(INDEX(파견수련계획!$AB$4:$AB$83,$AK40),"yyyy-mm-dd")&amp;"~"&amp;IF(ISNUMBER(INDEX(파견수련계획!$AC$4:$AC$83,$AK40)),TEXT(INDEX(파견수련계획!$AC$4:$AC$83,$AK40),"yyyy-mm-dd"),""))</f>
        <v/>
      </c>
    </row>
    <row r="41">
      <c r="A41" s="10">
        <f>IF(B41="","",ROW()-1)</f>
        <v/>
      </c>
      <c r="B41" s="18" t="n"/>
      <c r="C41" s="10">
        <f>IF($AB41="","",IF(INDEX(기본자료!$C$2:$C$1001,$AB41)="","",INDEX(기본자료!$C$2:$C$1001,$AB41)))</f>
        <v/>
      </c>
      <c r="D41" s="10">
        <f>IF($AB41="","",IF(INDEX(기본자료!$J$2:$J$1001,$AB41)="","",INDEX(기본자료!$J$2:$J$1001,$AB41)))</f>
        <v/>
      </c>
      <c r="E41" s="11">
        <f>IF($AB41="","",IF(INDEX(기본자료!$K$2:$K$1001,$AB41)="","",IF(NOT(ISNUMBER(INDEX(기본자료!$K$2:$K$1001,$AB41))),INDEX(기본자료!$K$2:$K$1001,$AB41),IF(INDEX(기본자료!$K$2:$K$1001,$AB41)&lt;1000000,INDEX(기본자료!$K$2:$K$1001,$AB41),IF(AND(INDEX(기본자료!$K$2:$K$1001,$AB41)&gt;=10000101,INT(MOD(INDEX(기본자료!$K$2:$K$1001,$AB41),10000)/100)&gt;=1,INT(MOD(INDEX(기본자료!$K$2:$K$1001,$AB41),10000)/100)&lt;=12,MOD(INDEX(기본자료!$K$2:$K$1001,$AB41),100)&gt;=1,MOD(INDEX(기본자료!$K$2:$K$1001,$AB41),100)&lt;=31),DATE(INT(INDEX(기본자료!$K$2:$K$1001,$AB41)/10000),INT(MOD(INDEX(기본자료!$K$2:$K$1001,$AB41),10000)/100),MOD(INDEX(기본자료!$K$2:$K$1001,$AB41),100)),INDEX(기본자료!$K$2:$K$1001,$AB41)&amp;"")))))</f>
        <v/>
      </c>
      <c r="F41" s="10">
        <f>IF($AB41="","",IF(INDEX(기본자료!$D$2:$D$1001,$AB41)="","",INDEX(기본자료!$D$2:$D$1001,$AB41)))</f>
        <v/>
      </c>
      <c r="G41" s="10">
        <f>IF($AB41="","",IF(INDEX(기본자료!$E$2:$E$1001,$AB41)="","",INDEX(기본자료!$E$2:$E$1001,$AB41)))</f>
        <v/>
      </c>
      <c r="H41" s="10">
        <f>IF($AB41="","",IF(INDEX(기본자료!$F$2:$F$1001,$AB41)="","",INDEX(기본자료!$F$2:$F$1001,$AB41)))</f>
        <v/>
      </c>
      <c r="I41" s="11">
        <f>IF($AB41="","",IF(INDEX(기본자료!$G$2:$G$1001,$AB41)="","",IF(NOT(ISNUMBER(INDEX(기본자료!$G$2:$G$1001,$AB41))),INDEX(기본자료!$G$2:$G$1001,$AB41),IF(INDEX(기본자료!$G$2:$G$1001,$AB41)&lt;1000000,INDEX(기본자료!$G$2:$G$1001,$AB41),IF(AND(INDEX(기본자료!$G$2:$G$1001,$AB41)&gt;=10000101,INT(MOD(INDEX(기본자료!$G$2:$G$1001,$AB41),10000)/100)&gt;=1,INT(MOD(INDEX(기본자료!$G$2:$G$1001,$AB41),10000)/100)&lt;=12,MOD(INDEX(기본자료!$G$2:$G$1001,$AB41),100)&gt;=1,MOD(INDEX(기본자료!$G$2:$G$1001,$AB41),100)&lt;=31),DATE(INT(INDEX(기본자료!$G$2:$G$1001,$AB41)/10000),INT(MOD(INDEX(기본자료!$G$2:$G$1001,$AB41),10000)/100),MOD(INDEX(기본자료!$G$2:$G$1001,$AB41),100)),INDEX(기본자료!$G$2:$G$1001,$AB41)&amp;"")))))</f>
        <v/>
      </c>
      <c r="J41" s="10">
        <f>IF($AB41="","",IF(INDEX(기본자료!$H$2:$H$1001,$AB41)="","",INDEX(기본자료!$H$2:$H$1001,$AB41)))</f>
        <v/>
      </c>
      <c r="K41" s="10">
        <f>IF($AB41="","",IF(INDEX(기본자료!$I$2:$I$1001,$AB41)="","",INDEX(기본자료!$I$2:$I$1001,$AB41)))</f>
        <v/>
      </c>
      <c r="L41" s="10">
        <f>IF($AB41="","",IF(INDEX(기본자료!$A$2:$A$1001,$AB41)="","",INDEX(기본자료!$A$2:$A$1001,$AB41)))</f>
        <v/>
      </c>
      <c r="M41" s="15" t="n"/>
      <c r="N41" s="10">
        <f>IF($B41="","",IF(AND($U41="파견중",$Q41&lt;&gt;""),$Q41,IF(AND($AD41&lt;&gt;"",LEFT($AD41,1)&lt;&gt;"⚠"),LEFT($AD41,FIND(" ",$AD41)-1),IF($H41="","",IF(RIGHT($H41,2)="병원",$H41,$H41&amp;"병원")))))</f>
        <v/>
      </c>
      <c r="O41" s="10">
        <f>IF($B41="","",IF(AND($U41="파견중",$Q41&lt;&gt;""),IF($R41&lt;&gt;"",$R41,"파견과 미입력"),IF(AND($AD41&lt;&gt;"",LEFT($AD41,1)&lt;&gt;"⚠"),MID($AD41,FIND(" ",$AD41)+1,60),IF($F41="","",IF($F41="인턴","수련교육부(인턴)",$F41)))))</f>
        <v/>
      </c>
      <c r="P41" s="10">
        <f>IF($B41="","",IF($AK41&lt;&gt;"",IF(AND(TODAY()&gt;=INDEX(파견수련계획!$AB$4:$AB$83,$AK41),OR(NOT(ISNUMBER(INDEX(파견수련계획!$AC$4:$AC$83,$AK41))),TODAY()&lt;=INDEX(파견수련계획!$AC$4:$AC$83,$AK41))),"다기관",IF($AF41="","",INDEX(파견수련계획!$T$4:$T$83,$AF41))),IF($AF41="","",INDEX(파견수련계획!$T$4:$T$83,$AF41))))</f>
        <v/>
      </c>
      <c r="Q41" s="10">
        <f>IF($AF41="","",INDEX(파견수련계획!$S$4:$S$83,$AF41))</f>
        <v/>
      </c>
      <c r="R41" s="10">
        <f>IF($AF41="","",INDEX(파견수련계획!$U$4:$U$83,$AF41))</f>
        <v/>
      </c>
      <c r="S41" s="11">
        <f>IF($AF41="","",IF(INDEX(파견수련계획!$H$4:$H$83,$AF41)="","",INDEX(파견수련계획!$H$4:$H$83,$AF41)))</f>
        <v/>
      </c>
      <c r="T41" s="11">
        <f>IF($AF41="","",IF(INDEX(파견수련계획!$I$4:$I$83,$AF41)="","",INDEX(파견수련계획!$I$4:$I$83,$AF41)))</f>
        <v/>
      </c>
      <c r="U41" s="10">
        <f>IF($AF41="","",INDEX(파견수련계획!$X$4:$X$83,$AF41))</f>
        <v/>
      </c>
      <c r="V41" s="17">
        <f>IF($AF41="","",INDEX(파견수련계획!$V$4:$V$83,$AF41))</f>
        <v/>
      </c>
      <c r="W41" s="17">
        <f>IF(AND($U41="파견중",$T41&lt;&gt;""),$T41-TODAY(),"")</f>
        <v/>
      </c>
      <c r="X41" s="17">
        <f>IF(OR($B41="",TRIM($J41&amp;"")=""),"",SUMPRODUCT((파견수련계획!$Q$4:$Q$83=TRIM($J41&amp;""))*파견수련계획!$W$4:$W$83))</f>
        <v/>
      </c>
      <c r="Y41" s="10">
        <f>IF($B41="","",IF($AG41="","",IF(IF(TRIM($J41&amp;"")="",0,SUMPRODUCT((파견수련계획!$Q$4:$Q$83=TRIM($J41&amp;""))*파견수련계획!$AD$4:$AD$83))&gt;0,$AE41,IF(N($X41)&lt;=0,$AG41,IF($AH41+$AI41=DAY(EOMONTH(요약!$B$3,0)),IF(AND($AH41&gt;=요약!$E$3,$AI41&lt;요약!$E$3),"서울병원",IF(AND($AI41&gt;=요약!$E$3,$AH41&lt;요약!$E$3),"구리병원","⚠15일 판정불가(서울 "&amp;$AH41&amp;"일/구리 "&amp;$AI41&amp;"일)")),IF($AJ41="",$AE41,IF(INDEX(파견수련계획!$T$4:$T$83,$AJ41)="통합수련",INDEX(파견수련계획!$S$4:$S$83,$AJ41),$AE41)))))))</f>
        <v/>
      </c>
      <c r="Z41" s="19">
        <f>IF($B41="","",IF($AB41="","기본자료에 없는 사번",IF(COUNTIF($B$2:$B$401,$B41)&gt;1,"중복 사번",IF($AE41="","소속(입사장소) 입력",IF(IF(TRIM($J41&amp;"")="",0,SUMPRODUCT((파견수련계획!$Q$4:$Q$83=TRIM($J41&amp;""))*(파견수련계획!$AA$4:$AA$83&lt;&gt;"")))&gt;0,"파견수련계획 입력오류 확인",IF(LEFT($Y41,1)="⚠","서울·구리 15일 판정 불가(양쪽 모두 이상/미만)",IF(IF($AC41="",0,N(INDEX(인턴근무계획!$T$3:$T$62,$AC41)))&gt;0,"인턴계획 입력오류 확인",IF(AND($AC41&lt;&gt;"",$U41&lt;&gt;"파견중",$N41&lt;&gt;$AE41),"인턴 타지역 근무: 파견 여부 확인","정상"))))))))</f>
        <v/>
      </c>
      <c r="AA41" s="5" t="n"/>
      <c r="AB41" s="10">
        <f>IF($B41="","",IFERROR(MATCH($B41,기본자료!$B$2:$B$1001,0),IFERROR(MATCH($B41&amp;"",기본자료!$B$2:$B$1001,0),IFERROR(MATCH(VALUE($B41),기본자료!$B$2:$B$1001,0),""))))</f>
        <v/>
      </c>
      <c r="AC41" s="10">
        <f>IF($B41="","",IFERROR(MATCH($B41,인턴근무계획!$D$3:$D$62,0),IFERROR(MATCH($B41&amp;"",인턴근무계획!$D$3:$D$62,0),IFERROR(MATCH(VALUE($B41),인턴근무계획!$D$3:$D$62,0),""))))</f>
        <v/>
      </c>
      <c r="AD41" s="10">
        <f>IF(OR($AC41="",인턴현황!$G$3=""),"",INDEX(인턴근무계획!$M$3:$R$62,$AC41,인턴현황!$G$3)&amp;"")</f>
        <v/>
      </c>
      <c r="AE41" s="10">
        <f>IF($B41="","",IF($M41&lt;&gt;"",$M41,IF($AF41&lt;&gt;"",IF(LEFT(INDEX(파견수련계획!$R$4:$R$83,$AF41),1)&lt;&gt;"⚠",INDEX(파견수련계획!$R$4:$R$83,$AF41),IF($H41="","",IF(RIGHT($H41,2)="병원",$H41,$H41&amp;"병원"))),IF($H41="","",IF(RIGHT($H41,2)="병원",$H41,$H41&amp;"병원")))))</f>
        <v/>
      </c>
      <c r="AF41" s="10">
        <f>IF(OR($B41="",TRIM($J41&amp;"")=""),"",IFERROR(MATCH(TRIM($J41&amp;"")&amp;"|파견중",파견수련계획!$Y$4:$Y$83,0),IFERROR(MATCH(TRIM($J41&amp;"")&amp;"|파견예정",파견수련계획!$Y$4:$Y$83,0),IFERROR(MATCH(TRIM($J41&amp;"")&amp;"|파견종료",파견수련계획!$Y$4:$Y$83,0),""))))</f>
        <v/>
      </c>
      <c r="AG41" s="10">
        <f>IF($B41="","",IF(AND(IF(OR($AC41="",인턴현황!$K$2=""),"",INDEX(인턴근무계획!$M$3:$R$62,$AC41,인턴현황!$K$2)&amp;"")&lt;&gt;"",LEFT(IF(OR($AC41="",인턴현황!$K$2=""),"",INDEX(인턴근무계획!$M$3:$R$62,$AC41,인턴현황!$K$2)&amp;""),1)&lt;&gt;"⚠"),LEFT(IF(OR($AC41="",인턴현황!$K$2=""),"",INDEX(인턴근무계획!$M$3:$R$62,$AC41,인턴현황!$K$2)&amp;""),FIND(" ",IF(OR($AC41="",인턴현황!$K$2=""),"",INDEX(인턴근무계획!$M$3:$R$62,$AC41,인턴현황!$K$2)&amp;""))-1),$AE41))</f>
        <v/>
      </c>
      <c r="AH41" s="17">
        <f>IF($B41="","",IF(TRIM($J41&amp;"")="",0,SUMPRODUCT((파견수련계획!$Q$4:$Q$83=TRIM($J41&amp;""))*(파견수련계획!$S$4:$S$83="서울병원")*파견수련계획!$W$4:$W$83))+IF($AG41="서울병원",MAX(0,DAY(EOMONTH(요약!$B$3,0))-N($X41)),0))</f>
        <v/>
      </c>
      <c r="AI41" s="17">
        <f>IF($B41="","",IF(TRIM($J41&amp;"")="",0,SUMPRODUCT((파견수련계획!$Q$4:$Q$83=TRIM($J41&amp;""))*(파견수련계획!$S$4:$S$83="구리병원")*파견수련계획!$W$4:$W$83))+IF($AG41="구리병원",MAX(0,DAY(EOMONTH(요약!$B$3,0))-N($X41)),0))</f>
        <v/>
      </c>
      <c r="AJ41" s="10">
        <f>IF(OR($B41="",TRIM($J41&amp;"")=""),"",IFERROR(MATCH(TRIM($J41&amp;"")&amp;"|월",파견수련계획!$Z$4:$Z$83,0),""))</f>
        <v/>
      </c>
      <c r="AK41" s="10">
        <f>IF(OR($B41="",TRIM($J41&amp;"")=""),"",IFERROR(MATCH(TRIM($J41&amp;"")&amp;"|다기관",파견수련계획!$AE$4:$AE$83,0),""))</f>
        <v/>
      </c>
      <c r="AL41" s="10">
        <f>IF($AK41="","","다기관 "&amp;TEXT(INDEX(파견수련계획!$AB$4:$AB$83,$AK41),"yyyy-mm-dd")&amp;"~"&amp;IF(ISNUMBER(INDEX(파견수련계획!$AC$4:$AC$83,$AK41)),TEXT(INDEX(파견수련계획!$AC$4:$AC$83,$AK41),"yyyy-mm-dd"),""))</f>
        <v/>
      </c>
    </row>
    <row r="42">
      <c r="A42" s="10">
        <f>IF(B42="","",ROW()-1)</f>
        <v/>
      </c>
      <c r="B42" s="18" t="n"/>
      <c r="C42" s="10">
        <f>IF($AB42="","",IF(INDEX(기본자료!$C$2:$C$1001,$AB42)="","",INDEX(기본자료!$C$2:$C$1001,$AB42)))</f>
        <v/>
      </c>
      <c r="D42" s="10">
        <f>IF($AB42="","",IF(INDEX(기본자료!$J$2:$J$1001,$AB42)="","",INDEX(기본자료!$J$2:$J$1001,$AB42)))</f>
        <v/>
      </c>
      <c r="E42" s="11">
        <f>IF($AB42="","",IF(INDEX(기본자료!$K$2:$K$1001,$AB42)="","",IF(NOT(ISNUMBER(INDEX(기본자료!$K$2:$K$1001,$AB42))),INDEX(기본자료!$K$2:$K$1001,$AB42),IF(INDEX(기본자료!$K$2:$K$1001,$AB42)&lt;1000000,INDEX(기본자료!$K$2:$K$1001,$AB42),IF(AND(INDEX(기본자료!$K$2:$K$1001,$AB42)&gt;=10000101,INT(MOD(INDEX(기본자료!$K$2:$K$1001,$AB42),10000)/100)&gt;=1,INT(MOD(INDEX(기본자료!$K$2:$K$1001,$AB42),10000)/100)&lt;=12,MOD(INDEX(기본자료!$K$2:$K$1001,$AB42),100)&gt;=1,MOD(INDEX(기본자료!$K$2:$K$1001,$AB42),100)&lt;=31),DATE(INT(INDEX(기본자료!$K$2:$K$1001,$AB42)/10000),INT(MOD(INDEX(기본자료!$K$2:$K$1001,$AB42),10000)/100),MOD(INDEX(기본자료!$K$2:$K$1001,$AB42),100)),INDEX(기본자료!$K$2:$K$1001,$AB42)&amp;"")))))</f>
        <v/>
      </c>
      <c r="F42" s="10">
        <f>IF($AB42="","",IF(INDEX(기본자료!$D$2:$D$1001,$AB42)="","",INDEX(기본자료!$D$2:$D$1001,$AB42)))</f>
        <v/>
      </c>
      <c r="G42" s="10">
        <f>IF($AB42="","",IF(INDEX(기본자료!$E$2:$E$1001,$AB42)="","",INDEX(기본자료!$E$2:$E$1001,$AB42)))</f>
        <v/>
      </c>
      <c r="H42" s="10">
        <f>IF($AB42="","",IF(INDEX(기본자료!$F$2:$F$1001,$AB42)="","",INDEX(기본자료!$F$2:$F$1001,$AB42)))</f>
        <v/>
      </c>
      <c r="I42" s="11">
        <f>IF($AB42="","",IF(INDEX(기본자료!$G$2:$G$1001,$AB42)="","",IF(NOT(ISNUMBER(INDEX(기본자료!$G$2:$G$1001,$AB42))),INDEX(기본자료!$G$2:$G$1001,$AB42),IF(INDEX(기본자료!$G$2:$G$1001,$AB42)&lt;1000000,INDEX(기본자료!$G$2:$G$1001,$AB42),IF(AND(INDEX(기본자료!$G$2:$G$1001,$AB42)&gt;=10000101,INT(MOD(INDEX(기본자료!$G$2:$G$1001,$AB42),10000)/100)&gt;=1,INT(MOD(INDEX(기본자료!$G$2:$G$1001,$AB42),10000)/100)&lt;=12,MOD(INDEX(기본자료!$G$2:$G$1001,$AB42),100)&gt;=1,MOD(INDEX(기본자료!$G$2:$G$1001,$AB42),100)&lt;=31),DATE(INT(INDEX(기본자료!$G$2:$G$1001,$AB42)/10000),INT(MOD(INDEX(기본자료!$G$2:$G$1001,$AB42),10000)/100),MOD(INDEX(기본자료!$G$2:$G$1001,$AB42),100)),INDEX(기본자료!$G$2:$G$1001,$AB42)&amp;"")))))</f>
        <v/>
      </c>
      <c r="J42" s="10">
        <f>IF($AB42="","",IF(INDEX(기본자료!$H$2:$H$1001,$AB42)="","",INDEX(기본자료!$H$2:$H$1001,$AB42)))</f>
        <v/>
      </c>
      <c r="K42" s="10">
        <f>IF($AB42="","",IF(INDEX(기본자료!$I$2:$I$1001,$AB42)="","",INDEX(기본자료!$I$2:$I$1001,$AB42)))</f>
        <v/>
      </c>
      <c r="L42" s="10">
        <f>IF($AB42="","",IF(INDEX(기본자료!$A$2:$A$1001,$AB42)="","",INDEX(기본자료!$A$2:$A$1001,$AB42)))</f>
        <v/>
      </c>
      <c r="M42" s="15" t="n"/>
      <c r="N42" s="10">
        <f>IF($B42="","",IF(AND($U42="파견중",$Q42&lt;&gt;""),$Q42,IF(AND($AD42&lt;&gt;"",LEFT($AD42,1)&lt;&gt;"⚠"),LEFT($AD42,FIND(" ",$AD42)-1),IF($H42="","",IF(RIGHT($H42,2)="병원",$H42,$H42&amp;"병원")))))</f>
        <v/>
      </c>
      <c r="O42" s="10">
        <f>IF($B42="","",IF(AND($U42="파견중",$Q42&lt;&gt;""),IF($R42&lt;&gt;"",$R42,"파견과 미입력"),IF(AND($AD42&lt;&gt;"",LEFT($AD42,1)&lt;&gt;"⚠"),MID($AD42,FIND(" ",$AD42)+1,60),IF($F42="","",IF($F42="인턴","수련교육부(인턴)",$F42)))))</f>
        <v/>
      </c>
      <c r="P42" s="10">
        <f>IF($B42="","",IF($AK42&lt;&gt;"",IF(AND(TODAY()&gt;=INDEX(파견수련계획!$AB$4:$AB$83,$AK42),OR(NOT(ISNUMBER(INDEX(파견수련계획!$AC$4:$AC$83,$AK42))),TODAY()&lt;=INDEX(파견수련계획!$AC$4:$AC$83,$AK42))),"다기관",IF($AF42="","",INDEX(파견수련계획!$T$4:$T$83,$AF42))),IF($AF42="","",INDEX(파견수련계획!$T$4:$T$83,$AF42))))</f>
        <v/>
      </c>
      <c r="Q42" s="10">
        <f>IF($AF42="","",INDEX(파견수련계획!$S$4:$S$83,$AF42))</f>
        <v/>
      </c>
      <c r="R42" s="10">
        <f>IF($AF42="","",INDEX(파견수련계획!$U$4:$U$83,$AF42))</f>
        <v/>
      </c>
      <c r="S42" s="11">
        <f>IF($AF42="","",IF(INDEX(파견수련계획!$H$4:$H$83,$AF42)="","",INDEX(파견수련계획!$H$4:$H$83,$AF42)))</f>
        <v/>
      </c>
      <c r="T42" s="11">
        <f>IF($AF42="","",IF(INDEX(파견수련계획!$I$4:$I$83,$AF42)="","",INDEX(파견수련계획!$I$4:$I$83,$AF42)))</f>
        <v/>
      </c>
      <c r="U42" s="10">
        <f>IF($AF42="","",INDEX(파견수련계획!$X$4:$X$83,$AF42))</f>
        <v/>
      </c>
      <c r="V42" s="17">
        <f>IF($AF42="","",INDEX(파견수련계획!$V$4:$V$83,$AF42))</f>
        <v/>
      </c>
      <c r="W42" s="17">
        <f>IF(AND($U42="파견중",$T42&lt;&gt;""),$T42-TODAY(),"")</f>
        <v/>
      </c>
      <c r="X42" s="17">
        <f>IF(OR($B42="",TRIM($J42&amp;"")=""),"",SUMPRODUCT((파견수련계획!$Q$4:$Q$83=TRIM($J42&amp;""))*파견수련계획!$W$4:$W$83))</f>
        <v/>
      </c>
      <c r="Y42" s="10">
        <f>IF($B42="","",IF($AG42="","",IF(IF(TRIM($J42&amp;"")="",0,SUMPRODUCT((파견수련계획!$Q$4:$Q$83=TRIM($J42&amp;""))*파견수련계획!$AD$4:$AD$83))&gt;0,$AE42,IF(N($X42)&lt;=0,$AG42,IF($AH42+$AI42=DAY(EOMONTH(요약!$B$3,0)),IF(AND($AH42&gt;=요약!$E$3,$AI42&lt;요약!$E$3),"서울병원",IF(AND($AI42&gt;=요약!$E$3,$AH42&lt;요약!$E$3),"구리병원","⚠15일 판정불가(서울 "&amp;$AH42&amp;"일/구리 "&amp;$AI42&amp;"일)")),IF($AJ42="",$AE42,IF(INDEX(파견수련계획!$T$4:$T$83,$AJ42)="통합수련",INDEX(파견수련계획!$S$4:$S$83,$AJ42),$AE42)))))))</f>
        <v/>
      </c>
      <c r="Z42" s="19">
        <f>IF($B42="","",IF($AB42="","기본자료에 없는 사번",IF(COUNTIF($B$2:$B$401,$B42)&gt;1,"중복 사번",IF($AE42="","소속(입사장소) 입력",IF(IF(TRIM($J42&amp;"")="",0,SUMPRODUCT((파견수련계획!$Q$4:$Q$83=TRIM($J42&amp;""))*(파견수련계획!$AA$4:$AA$83&lt;&gt;"")))&gt;0,"파견수련계획 입력오류 확인",IF(LEFT($Y42,1)="⚠","서울·구리 15일 판정 불가(양쪽 모두 이상/미만)",IF(IF($AC42="",0,N(INDEX(인턴근무계획!$T$3:$T$62,$AC42)))&gt;0,"인턴계획 입력오류 확인",IF(AND($AC42&lt;&gt;"",$U42&lt;&gt;"파견중",$N42&lt;&gt;$AE42),"인턴 타지역 근무: 파견 여부 확인","정상"))))))))</f>
        <v/>
      </c>
      <c r="AA42" s="5" t="n"/>
      <c r="AB42" s="10">
        <f>IF($B42="","",IFERROR(MATCH($B42,기본자료!$B$2:$B$1001,0),IFERROR(MATCH($B42&amp;"",기본자료!$B$2:$B$1001,0),IFERROR(MATCH(VALUE($B42),기본자료!$B$2:$B$1001,0),""))))</f>
        <v/>
      </c>
      <c r="AC42" s="10">
        <f>IF($B42="","",IFERROR(MATCH($B42,인턴근무계획!$D$3:$D$62,0),IFERROR(MATCH($B42&amp;"",인턴근무계획!$D$3:$D$62,0),IFERROR(MATCH(VALUE($B42),인턴근무계획!$D$3:$D$62,0),""))))</f>
        <v/>
      </c>
      <c r="AD42" s="10">
        <f>IF(OR($AC42="",인턴현황!$G$3=""),"",INDEX(인턴근무계획!$M$3:$R$62,$AC42,인턴현황!$G$3)&amp;"")</f>
        <v/>
      </c>
      <c r="AE42" s="10">
        <f>IF($B42="","",IF($M42&lt;&gt;"",$M42,IF($AF42&lt;&gt;"",IF(LEFT(INDEX(파견수련계획!$R$4:$R$83,$AF42),1)&lt;&gt;"⚠",INDEX(파견수련계획!$R$4:$R$83,$AF42),IF($H42="","",IF(RIGHT($H42,2)="병원",$H42,$H42&amp;"병원"))),IF($H42="","",IF(RIGHT($H42,2)="병원",$H42,$H42&amp;"병원")))))</f>
        <v/>
      </c>
      <c r="AF42" s="10">
        <f>IF(OR($B42="",TRIM($J42&amp;"")=""),"",IFERROR(MATCH(TRIM($J42&amp;"")&amp;"|파견중",파견수련계획!$Y$4:$Y$83,0),IFERROR(MATCH(TRIM($J42&amp;"")&amp;"|파견예정",파견수련계획!$Y$4:$Y$83,0),IFERROR(MATCH(TRIM($J42&amp;"")&amp;"|파견종료",파견수련계획!$Y$4:$Y$83,0),""))))</f>
        <v/>
      </c>
      <c r="AG42" s="10">
        <f>IF($B42="","",IF(AND(IF(OR($AC42="",인턴현황!$K$2=""),"",INDEX(인턴근무계획!$M$3:$R$62,$AC42,인턴현황!$K$2)&amp;"")&lt;&gt;"",LEFT(IF(OR($AC42="",인턴현황!$K$2=""),"",INDEX(인턴근무계획!$M$3:$R$62,$AC42,인턴현황!$K$2)&amp;""),1)&lt;&gt;"⚠"),LEFT(IF(OR($AC42="",인턴현황!$K$2=""),"",INDEX(인턴근무계획!$M$3:$R$62,$AC42,인턴현황!$K$2)&amp;""),FIND(" ",IF(OR($AC42="",인턴현황!$K$2=""),"",INDEX(인턴근무계획!$M$3:$R$62,$AC42,인턴현황!$K$2)&amp;""))-1),$AE42))</f>
        <v/>
      </c>
      <c r="AH42" s="17">
        <f>IF($B42="","",IF(TRIM($J42&amp;"")="",0,SUMPRODUCT((파견수련계획!$Q$4:$Q$83=TRIM($J42&amp;""))*(파견수련계획!$S$4:$S$83="서울병원")*파견수련계획!$W$4:$W$83))+IF($AG42="서울병원",MAX(0,DAY(EOMONTH(요약!$B$3,0))-N($X42)),0))</f>
        <v/>
      </c>
      <c r="AI42" s="17">
        <f>IF($B42="","",IF(TRIM($J42&amp;"")="",0,SUMPRODUCT((파견수련계획!$Q$4:$Q$83=TRIM($J42&amp;""))*(파견수련계획!$S$4:$S$83="구리병원")*파견수련계획!$W$4:$W$83))+IF($AG42="구리병원",MAX(0,DAY(EOMONTH(요약!$B$3,0))-N($X42)),0))</f>
        <v/>
      </c>
      <c r="AJ42" s="10">
        <f>IF(OR($B42="",TRIM($J42&amp;"")=""),"",IFERROR(MATCH(TRIM($J42&amp;"")&amp;"|월",파견수련계획!$Z$4:$Z$83,0),""))</f>
        <v/>
      </c>
      <c r="AK42" s="10">
        <f>IF(OR($B42="",TRIM($J42&amp;"")=""),"",IFERROR(MATCH(TRIM($J42&amp;"")&amp;"|다기관",파견수련계획!$AE$4:$AE$83,0),""))</f>
        <v/>
      </c>
      <c r="AL42" s="10">
        <f>IF($AK42="","","다기관 "&amp;TEXT(INDEX(파견수련계획!$AB$4:$AB$83,$AK42),"yyyy-mm-dd")&amp;"~"&amp;IF(ISNUMBER(INDEX(파견수련계획!$AC$4:$AC$83,$AK42)),TEXT(INDEX(파견수련계획!$AC$4:$AC$83,$AK42),"yyyy-mm-dd"),""))</f>
        <v/>
      </c>
    </row>
    <row r="43">
      <c r="A43" s="10">
        <f>IF(B43="","",ROW()-1)</f>
        <v/>
      </c>
      <c r="B43" s="18" t="n"/>
      <c r="C43" s="10">
        <f>IF($AB43="","",IF(INDEX(기본자료!$C$2:$C$1001,$AB43)="","",INDEX(기본자료!$C$2:$C$1001,$AB43)))</f>
        <v/>
      </c>
      <c r="D43" s="10">
        <f>IF($AB43="","",IF(INDEX(기본자료!$J$2:$J$1001,$AB43)="","",INDEX(기본자료!$J$2:$J$1001,$AB43)))</f>
        <v/>
      </c>
      <c r="E43" s="11">
        <f>IF($AB43="","",IF(INDEX(기본자료!$K$2:$K$1001,$AB43)="","",IF(NOT(ISNUMBER(INDEX(기본자료!$K$2:$K$1001,$AB43))),INDEX(기본자료!$K$2:$K$1001,$AB43),IF(INDEX(기본자료!$K$2:$K$1001,$AB43)&lt;1000000,INDEX(기본자료!$K$2:$K$1001,$AB43),IF(AND(INDEX(기본자료!$K$2:$K$1001,$AB43)&gt;=10000101,INT(MOD(INDEX(기본자료!$K$2:$K$1001,$AB43),10000)/100)&gt;=1,INT(MOD(INDEX(기본자료!$K$2:$K$1001,$AB43),10000)/100)&lt;=12,MOD(INDEX(기본자료!$K$2:$K$1001,$AB43),100)&gt;=1,MOD(INDEX(기본자료!$K$2:$K$1001,$AB43),100)&lt;=31),DATE(INT(INDEX(기본자료!$K$2:$K$1001,$AB43)/10000),INT(MOD(INDEX(기본자료!$K$2:$K$1001,$AB43),10000)/100),MOD(INDEX(기본자료!$K$2:$K$1001,$AB43),100)),INDEX(기본자료!$K$2:$K$1001,$AB43)&amp;"")))))</f>
        <v/>
      </c>
      <c r="F43" s="10">
        <f>IF($AB43="","",IF(INDEX(기본자료!$D$2:$D$1001,$AB43)="","",INDEX(기본자료!$D$2:$D$1001,$AB43)))</f>
        <v/>
      </c>
      <c r="G43" s="10">
        <f>IF($AB43="","",IF(INDEX(기본자료!$E$2:$E$1001,$AB43)="","",INDEX(기본자료!$E$2:$E$1001,$AB43)))</f>
        <v/>
      </c>
      <c r="H43" s="10">
        <f>IF($AB43="","",IF(INDEX(기본자료!$F$2:$F$1001,$AB43)="","",INDEX(기본자료!$F$2:$F$1001,$AB43)))</f>
        <v/>
      </c>
      <c r="I43" s="11">
        <f>IF($AB43="","",IF(INDEX(기본자료!$G$2:$G$1001,$AB43)="","",IF(NOT(ISNUMBER(INDEX(기본자료!$G$2:$G$1001,$AB43))),INDEX(기본자료!$G$2:$G$1001,$AB43),IF(INDEX(기본자료!$G$2:$G$1001,$AB43)&lt;1000000,INDEX(기본자료!$G$2:$G$1001,$AB43),IF(AND(INDEX(기본자료!$G$2:$G$1001,$AB43)&gt;=10000101,INT(MOD(INDEX(기본자료!$G$2:$G$1001,$AB43),10000)/100)&gt;=1,INT(MOD(INDEX(기본자료!$G$2:$G$1001,$AB43),10000)/100)&lt;=12,MOD(INDEX(기본자료!$G$2:$G$1001,$AB43),100)&gt;=1,MOD(INDEX(기본자료!$G$2:$G$1001,$AB43),100)&lt;=31),DATE(INT(INDEX(기본자료!$G$2:$G$1001,$AB43)/10000),INT(MOD(INDEX(기본자료!$G$2:$G$1001,$AB43),10000)/100),MOD(INDEX(기본자료!$G$2:$G$1001,$AB43),100)),INDEX(기본자료!$G$2:$G$1001,$AB43)&amp;"")))))</f>
        <v/>
      </c>
      <c r="J43" s="10">
        <f>IF($AB43="","",IF(INDEX(기본자료!$H$2:$H$1001,$AB43)="","",INDEX(기본자료!$H$2:$H$1001,$AB43)))</f>
        <v/>
      </c>
      <c r="K43" s="10">
        <f>IF($AB43="","",IF(INDEX(기본자료!$I$2:$I$1001,$AB43)="","",INDEX(기본자료!$I$2:$I$1001,$AB43)))</f>
        <v/>
      </c>
      <c r="L43" s="10">
        <f>IF($AB43="","",IF(INDEX(기본자료!$A$2:$A$1001,$AB43)="","",INDEX(기본자료!$A$2:$A$1001,$AB43)))</f>
        <v/>
      </c>
      <c r="M43" s="15" t="n"/>
      <c r="N43" s="10">
        <f>IF($B43="","",IF(AND($U43="파견중",$Q43&lt;&gt;""),$Q43,IF(AND($AD43&lt;&gt;"",LEFT($AD43,1)&lt;&gt;"⚠"),LEFT($AD43,FIND(" ",$AD43)-1),IF($H43="","",IF(RIGHT($H43,2)="병원",$H43,$H43&amp;"병원")))))</f>
        <v/>
      </c>
      <c r="O43" s="10">
        <f>IF($B43="","",IF(AND($U43="파견중",$Q43&lt;&gt;""),IF($R43&lt;&gt;"",$R43,"파견과 미입력"),IF(AND($AD43&lt;&gt;"",LEFT($AD43,1)&lt;&gt;"⚠"),MID($AD43,FIND(" ",$AD43)+1,60),IF($F43="","",IF($F43="인턴","수련교육부(인턴)",$F43)))))</f>
        <v/>
      </c>
      <c r="P43" s="10">
        <f>IF($B43="","",IF($AK43&lt;&gt;"",IF(AND(TODAY()&gt;=INDEX(파견수련계획!$AB$4:$AB$83,$AK43),OR(NOT(ISNUMBER(INDEX(파견수련계획!$AC$4:$AC$83,$AK43))),TODAY()&lt;=INDEX(파견수련계획!$AC$4:$AC$83,$AK43))),"다기관",IF($AF43="","",INDEX(파견수련계획!$T$4:$T$83,$AF43))),IF($AF43="","",INDEX(파견수련계획!$T$4:$T$83,$AF43))))</f>
        <v/>
      </c>
      <c r="Q43" s="10">
        <f>IF($AF43="","",INDEX(파견수련계획!$S$4:$S$83,$AF43))</f>
        <v/>
      </c>
      <c r="R43" s="10">
        <f>IF($AF43="","",INDEX(파견수련계획!$U$4:$U$83,$AF43))</f>
        <v/>
      </c>
      <c r="S43" s="11">
        <f>IF($AF43="","",IF(INDEX(파견수련계획!$H$4:$H$83,$AF43)="","",INDEX(파견수련계획!$H$4:$H$83,$AF43)))</f>
        <v/>
      </c>
      <c r="T43" s="11">
        <f>IF($AF43="","",IF(INDEX(파견수련계획!$I$4:$I$83,$AF43)="","",INDEX(파견수련계획!$I$4:$I$83,$AF43)))</f>
        <v/>
      </c>
      <c r="U43" s="10">
        <f>IF($AF43="","",INDEX(파견수련계획!$X$4:$X$83,$AF43))</f>
        <v/>
      </c>
      <c r="V43" s="17">
        <f>IF($AF43="","",INDEX(파견수련계획!$V$4:$V$83,$AF43))</f>
        <v/>
      </c>
      <c r="W43" s="17">
        <f>IF(AND($U43="파견중",$T43&lt;&gt;""),$T43-TODAY(),"")</f>
        <v/>
      </c>
      <c r="X43" s="17">
        <f>IF(OR($B43="",TRIM($J43&amp;"")=""),"",SUMPRODUCT((파견수련계획!$Q$4:$Q$83=TRIM($J43&amp;""))*파견수련계획!$W$4:$W$83))</f>
        <v/>
      </c>
      <c r="Y43" s="10">
        <f>IF($B43="","",IF($AG43="","",IF(IF(TRIM($J43&amp;"")="",0,SUMPRODUCT((파견수련계획!$Q$4:$Q$83=TRIM($J43&amp;""))*파견수련계획!$AD$4:$AD$83))&gt;0,$AE43,IF(N($X43)&lt;=0,$AG43,IF($AH43+$AI43=DAY(EOMONTH(요약!$B$3,0)),IF(AND($AH43&gt;=요약!$E$3,$AI43&lt;요약!$E$3),"서울병원",IF(AND($AI43&gt;=요약!$E$3,$AH43&lt;요약!$E$3),"구리병원","⚠15일 판정불가(서울 "&amp;$AH43&amp;"일/구리 "&amp;$AI43&amp;"일)")),IF($AJ43="",$AE43,IF(INDEX(파견수련계획!$T$4:$T$83,$AJ43)="통합수련",INDEX(파견수련계획!$S$4:$S$83,$AJ43),$AE43)))))))</f>
        <v/>
      </c>
      <c r="Z43" s="19">
        <f>IF($B43="","",IF($AB43="","기본자료에 없는 사번",IF(COUNTIF($B$2:$B$401,$B43)&gt;1,"중복 사번",IF($AE43="","소속(입사장소) 입력",IF(IF(TRIM($J43&amp;"")="",0,SUMPRODUCT((파견수련계획!$Q$4:$Q$83=TRIM($J43&amp;""))*(파견수련계획!$AA$4:$AA$83&lt;&gt;"")))&gt;0,"파견수련계획 입력오류 확인",IF(LEFT($Y43,1)="⚠","서울·구리 15일 판정 불가(양쪽 모두 이상/미만)",IF(IF($AC43="",0,N(INDEX(인턴근무계획!$T$3:$T$62,$AC43)))&gt;0,"인턴계획 입력오류 확인",IF(AND($AC43&lt;&gt;"",$U43&lt;&gt;"파견중",$N43&lt;&gt;$AE43),"인턴 타지역 근무: 파견 여부 확인","정상"))))))))</f>
        <v/>
      </c>
      <c r="AA43" s="5" t="n"/>
      <c r="AB43" s="10">
        <f>IF($B43="","",IFERROR(MATCH($B43,기본자료!$B$2:$B$1001,0),IFERROR(MATCH($B43&amp;"",기본자료!$B$2:$B$1001,0),IFERROR(MATCH(VALUE($B43),기본자료!$B$2:$B$1001,0),""))))</f>
        <v/>
      </c>
      <c r="AC43" s="10">
        <f>IF($B43="","",IFERROR(MATCH($B43,인턴근무계획!$D$3:$D$62,0),IFERROR(MATCH($B43&amp;"",인턴근무계획!$D$3:$D$62,0),IFERROR(MATCH(VALUE($B43),인턴근무계획!$D$3:$D$62,0),""))))</f>
        <v/>
      </c>
      <c r="AD43" s="10">
        <f>IF(OR($AC43="",인턴현황!$G$3=""),"",INDEX(인턴근무계획!$M$3:$R$62,$AC43,인턴현황!$G$3)&amp;"")</f>
        <v/>
      </c>
      <c r="AE43" s="10">
        <f>IF($B43="","",IF($M43&lt;&gt;"",$M43,IF($AF43&lt;&gt;"",IF(LEFT(INDEX(파견수련계획!$R$4:$R$83,$AF43),1)&lt;&gt;"⚠",INDEX(파견수련계획!$R$4:$R$83,$AF43),IF($H43="","",IF(RIGHT($H43,2)="병원",$H43,$H43&amp;"병원"))),IF($H43="","",IF(RIGHT($H43,2)="병원",$H43,$H43&amp;"병원")))))</f>
        <v/>
      </c>
      <c r="AF43" s="10">
        <f>IF(OR($B43="",TRIM($J43&amp;"")=""),"",IFERROR(MATCH(TRIM($J43&amp;"")&amp;"|파견중",파견수련계획!$Y$4:$Y$83,0),IFERROR(MATCH(TRIM($J43&amp;"")&amp;"|파견예정",파견수련계획!$Y$4:$Y$83,0),IFERROR(MATCH(TRIM($J43&amp;"")&amp;"|파견종료",파견수련계획!$Y$4:$Y$83,0),""))))</f>
        <v/>
      </c>
      <c r="AG43" s="10">
        <f>IF($B43="","",IF(AND(IF(OR($AC43="",인턴현황!$K$2=""),"",INDEX(인턴근무계획!$M$3:$R$62,$AC43,인턴현황!$K$2)&amp;"")&lt;&gt;"",LEFT(IF(OR($AC43="",인턴현황!$K$2=""),"",INDEX(인턴근무계획!$M$3:$R$62,$AC43,인턴현황!$K$2)&amp;""),1)&lt;&gt;"⚠"),LEFT(IF(OR($AC43="",인턴현황!$K$2=""),"",INDEX(인턴근무계획!$M$3:$R$62,$AC43,인턴현황!$K$2)&amp;""),FIND(" ",IF(OR($AC43="",인턴현황!$K$2=""),"",INDEX(인턴근무계획!$M$3:$R$62,$AC43,인턴현황!$K$2)&amp;""))-1),$AE43))</f>
        <v/>
      </c>
      <c r="AH43" s="17">
        <f>IF($B43="","",IF(TRIM($J43&amp;"")="",0,SUMPRODUCT((파견수련계획!$Q$4:$Q$83=TRIM($J43&amp;""))*(파견수련계획!$S$4:$S$83="서울병원")*파견수련계획!$W$4:$W$83))+IF($AG43="서울병원",MAX(0,DAY(EOMONTH(요약!$B$3,0))-N($X43)),0))</f>
        <v/>
      </c>
      <c r="AI43" s="17">
        <f>IF($B43="","",IF(TRIM($J43&amp;"")="",0,SUMPRODUCT((파견수련계획!$Q$4:$Q$83=TRIM($J43&amp;""))*(파견수련계획!$S$4:$S$83="구리병원")*파견수련계획!$W$4:$W$83))+IF($AG43="구리병원",MAX(0,DAY(EOMONTH(요약!$B$3,0))-N($X43)),0))</f>
        <v/>
      </c>
      <c r="AJ43" s="10">
        <f>IF(OR($B43="",TRIM($J43&amp;"")=""),"",IFERROR(MATCH(TRIM($J43&amp;"")&amp;"|월",파견수련계획!$Z$4:$Z$83,0),""))</f>
        <v/>
      </c>
      <c r="AK43" s="10">
        <f>IF(OR($B43="",TRIM($J43&amp;"")=""),"",IFERROR(MATCH(TRIM($J43&amp;"")&amp;"|다기관",파견수련계획!$AE$4:$AE$83,0),""))</f>
        <v/>
      </c>
      <c r="AL43" s="10">
        <f>IF($AK43="","","다기관 "&amp;TEXT(INDEX(파견수련계획!$AB$4:$AB$83,$AK43),"yyyy-mm-dd")&amp;"~"&amp;IF(ISNUMBER(INDEX(파견수련계획!$AC$4:$AC$83,$AK43)),TEXT(INDEX(파견수련계획!$AC$4:$AC$83,$AK43),"yyyy-mm-dd"),""))</f>
        <v/>
      </c>
    </row>
    <row r="44">
      <c r="A44" s="10">
        <f>IF(B44="","",ROW()-1)</f>
        <v/>
      </c>
      <c r="B44" s="18" t="n"/>
      <c r="C44" s="10">
        <f>IF($AB44="","",IF(INDEX(기본자료!$C$2:$C$1001,$AB44)="","",INDEX(기본자료!$C$2:$C$1001,$AB44)))</f>
        <v/>
      </c>
      <c r="D44" s="10">
        <f>IF($AB44="","",IF(INDEX(기본자료!$J$2:$J$1001,$AB44)="","",INDEX(기본자료!$J$2:$J$1001,$AB44)))</f>
        <v/>
      </c>
      <c r="E44" s="11">
        <f>IF($AB44="","",IF(INDEX(기본자료!$K$2:$K$1001,$AB44)="","",IF(NOT(ISNUMBER(INDEX(기본자료!$K$2:$K$1001,$AB44))),INDEX(기본자료!$K$2:$K$1001,$AB44),IF(INDEX(기본자료!$K$2:$K$1001,$AB44)&lt;1000000,INDEX(기본자료!$K$2:$K$1001,$AB44),IF(AND(INDEX(기본자료!$K$2:$K$1001,$AB44)&gt;=10000101,INT(MOD(INDEX(기본자료!$K$2:$K$1001,$AB44),10000)/100)&gt;=1,INT(MOD(INDEX(기본자료!$K$2:$K$1001,$AB44),10000)/100)&lt;=12,MOD(INDEX(기본자료!$K$2:$K$1001,$AB44),100)&gt;=1,MOD(INDEX(기본자료!$K$2:$K$1001,$AB44),100)&lt;=31),DATE(INT(INDEX(기본자료!$K$2:$K$1001,$AB44)/10000),INT(MOD(INDEX(기본자료!$K$2:$K$1001,$AB44),10000)/100),MOD(INDEX(기본자료!$K$2:$K$1001,$AB44),100)),INDEX(기본자료!$K$2:$K$1001,$AB44)&amp;"")))))</f>
        <v/>
      </c>
      <c r="F44" s="10">
        <f>IF($AB44="","",IF(INDEX(기본자료!$D$2:$D$1001,$AB44)="","",INDEX(기본자료!$D$2:$D$1001,$AB44)))</f>
        <v/>
      </c>
      <c r="G44" s="10">
        <f>IF($AB44="","",IF(INDEX(기본자료!$E$2:$E$1001,$AB44)="","",INDEX(기본자료!$E$2:$E$1001,$AB44)))</f>
        <v/>
      </c>
      <c r="H44" s="10">
        <f>IF($AB44="","",IF(INDEX(기본자료!$F$2:$F$1001,$AB44)="","",INDEX(기본자료!$F$2:$F$1001,$AB44)))</f>
        <v/>
      </c>
      <c r="I44" s="11">
        <f>IF($AB44="","",IF(INDEX(기본자료!$G$2:$G$1001,$AB44)="","",IF(NOT(ISNUMBER(INDEX(기본자료!$G$2:$G$1001,$AB44))),INDEX(기본자료!$G$2:$G$1001,$AB44),IF(INDEX(기본자료!$G$2:$G$1001,$AB44)&lt;1000000,INDEX(기본자료!$G$2:$G$1001,$AB44),IF(AND(INDEX(기본자료!$G$2:$G$1001,$AB44)&gt;=10000101,INT(MOD(INDEX(기본자료!$G$2:$G$1001,$AB44),10000)/100)&gt;=1,INT(MOD(INDEX(기본자료!$G$2:$G$1001,$AB44),10000)/100)&lt;=12,MOD(INDEX(기본자료!$G$2:$G$1001,$AB44),100)&gt;=1,MOD(INDEX(기본자료!$G$2:$G$1001,$AB44),100)&lt;=31),DATE(INT(INDEX(기본자료!$G$2:$G$1001,$AB44)/10000),INT(MOD(INDEX(기본자료!$G$2:$G$1001,$AB44),10000)/100),MOD(INDEX(기본자료!$G$2:$G$1001,$AB44),100)),INDEX(기본자료!$G$2:$G$1001,$AB44)&amp;"")))))</f>
        <v/>
      </c>
      <c r="J44" s="10">
        <f>IF($AB44="","",IF(INDEX(기본자료!$H$2:$H$1001,$AB44)="","",INDEX(기본자료!$H$2:$H$1001,$AB44)))</f>
        <v/>
      </c>
      <c r="K44" s="10">
        <f>IF($AB44="","",IF(INDEX(기본자료!$I$2:$I$1001,$AB44)="","",INDEX(기본자료!$I$2:$I$1001,$AB44)))</f>
        <v/>
      </c>
      <c r="L44" s="10">
        <f>IF($AB44="","",IF(INDEX(기본자료!$A$2:$A$1001,$AB44)="","",INDEX(기본자료!$A$2:$A$1001,$AB44)))</f>
        <v/>
      </c>
      <c r="M44" s="15" t="n"/>
      <c r="N44" s="10">
        <f>IF($B44="","",IF(AND($U44="파견중",$Q44&lt;&gt;""),$Q44,IF(AND($AD44&lt;&gt;"",LEFT($AD44,1)&lt;&gt;"⚠"),LEFT($AD44,FIND(" ",$AD44)-1),IF($H44="","",IF(RIGHT($H44,2)="병원",$H44,$H44&amp;"병원")))))</f>
        <v/>
      </c>
      <c r="O44" s="10">
        <f>IF($B44="","",IF(AND($U44="파견중",$Q44&lt;&gt;""),IF($R44&lt;&gt;"",$R44,"파견과 미입력"),IF(AND($AD44&lt;&gt;"",LEFT($AD44,1)&lt;&gt;"⚠"),MID($AD44,FIND(" ",$AD44)+1,60),IF($F44="","",IF($F44="인턴","수련교육부(인턴)",$F44)))))</f>
        <v/>
      </c>
      <c r="P44" s="10">
        <f>IF($B44="","",IF($AK44&lt;&gt;"",IF(AND(TODAY()&gt;=INDEX(파견수련계획!$AB$4:$AB$83,$AK44),OR(NOT(ISNUMBER(INDEX(파견수련계획!$AC$4:$AC$83,$AK44))),TODAY()&lt;=INDEX(파견수련계획!$AC$4:$AC$83,$AK44))),"다기관",IF($AF44="","",INDEX(파견수련계획!$T$4:$T$83,$AF44))),IF($AF44="","",INDEX(파견수련계획!$T$4:$T$83,$AF44))))</f>
        <v/>
      </c>
      <c r="Q44" s="10">
        <f>IF($AF44="","",INDEX(파견수련계획!$S$4:$S$83,$AF44))</f>
        <v/>
      </c>
      <c r="R44" s="10">
        <f>IF($AF44="","",INDEX(파견수련계획!$U$4:$U$83,$AF44))</f>
        <v/>
      </c>
      <c r="S44" s="11">
        <f>IF($AF44="","",IF(INDEX(파견수련계획!$H$4:$H$83,$AF44)="","",INDEX(파견수련계획!$H$4:$H$83,$AF44)))</f>
        <v/>
      </c>
      <c r="T44" s="11">
        <f>IF($AF44="","",IF(INDEX(파견수련계획!$I$4:$I$83,$AF44)="","",INDEX(파견수련계획!$I$4:$I$83,$AF44)))</f>
        <v/>
      </c>
      <c r="U44" s="10">
        <f>IF($AF44="","",INDEX(파견수련계획!$X$4:$X$83,$AF44))</f>
        <v/>
      </c>
      <c r="V44" s="17">
        <f>IF($AF44="","",INDEX(파견수련계획!$V$4:$V$83,$AF44))</f>
        <v/>
      </c>
      <c r="W44" s="17">
        <f>IF(AND($U44="파견중",$T44&lt;&gt;""),$T44-TODAY(),"")</f>
        <v/>
      </c>
      <c r="X44" s="17">
        <f>IF(OR($B44="",TRIM($J44&amp;"")=""),"",SUMPRODUCT((파견수련계획!$Q$4:$Q$83=TRIM($J44&amp;""))*파견수련계획!$W$4:$W$83))</f>
        <v/>
      </c>
      <c r="Y44" s="10">
        <f>IF($B44="","",IF($AG44="","",IF(IF(TRIM($J44&amp;"")="",0,SUMPRODUCT((파견수련계획!$Q$4:$Q$83=TRIM($J44&amp;""))*파견수련계획!$AD$4:$AD$83))&gt;0,$AE44,IF(N($X44)&lt;=0,$AG44,IF($AH44+$AI44=DAY(EOMONTH(요약!$B$3,0)),IF(AND($AH44&gt;=요약!$E$3,$AI44&lt;요약!$E$3),"서울병원",IF(AND($AI44&gt;=요약!$E$3,$AH44&lt;요약!$E$3),"구리병원","⚠15일 판정불가(서울 "&amp;$AH44&amp;"일/구리 "&amp;$AI44&amp;"일)")),IF($AJ44="",$AE44,IF(INDEX(파견수련계획!$T$4:$T$83,$AJ44)="통합수련",INDEX(파견수련계획!$S$4:$S$83,$AJ44),$AE44)))))))</f>
        <v/>
      </c>
      <c r="Z44" s="19">
        <f>IF($B44="","",IF($AB44="","기본자료에 없는 사번",IF(COUNTIF($B$2:$B$401,$B44)&gt;1,"중복 사번",IF($AE44="","소속(입사장소) 입력",IF(IF(TRIM($J44&amp;"")="",0,SUMPRODUCT((파견수련계획!$Q$4:$Q$83=TRIM($J44&amp;""))*(파견수련계획!$AA$4:$AA$83&lt;&gt;"")))&gt;0,"파견수련계획 입력오류 확인",IF(LEFT($Y44,1)="⚠","서울·구리 15일 판정 불가(양쪽 모두 이상/미만)",IF(IF($AC44="",0,N(INDEX(인턴근무계획!$T$3:$T$62,$AC44)))&gt;0,"인턴계획 입력오류 확인",IF(AND($AC44&lt;&gt;"",$U44&lt;&gt;"파견중",$N44&lt;&gt;$AE44),"인턴 타지역 근무: 파견 여부 확인","정상"))))))))</f>
        <v/>
      </c>
      <c r="AA44" s="5" t="n"/>
      <c r="AB44" s="10">
        <f>IF($B44="","",IFERROR(MATCH($B44,기본자료!$B$2:$B$1001,0),IFERROR(MATCH($B44&amp;"",기본자료!$B$2:$B$1001,0),IFERROR(MATCH(VALUE($B44),기본자료!$B$2:$B$1001,0),""))))</f>
        <v/>
      </c>
      <c r="AC44" s="10">
        <f>IF($B44="","",IFERROR(MATCH($B44,인턴근무계획!$D$3:$D$62,0),IFERROR(MATCH($B44&amp;"",인턴근무계획!$D$3:$D$62,0),IFERROR(MATCH(VALUE($B44),인턴근무계획!$D$3:$D$62,0),""))))</f>
        <v/>
      </c>
      <c r="AD44" s="10">
        <f>IF(OR($AC44="",인턴현황!$G$3=""),"",INDEX(인턴근무계획!$M$3:$R$62,$AC44,인턴현황!$G$3)&amp;"")</f>
        <v/>
      </c>
      <c r="AE44" s="10">
        <f>IF($B44="","",IF($M44&lt;&gt;"",$M44,IF($AF44&lt;&gt;"",IF(LEFT(INDEX(파견수련계획!$R$4:$R$83,$AF44),1)&lt;&gt;"⚠",INDEX(파견수련계획!$R$4:$R$83,$AF44),IF($H44="","",IF(RIGHT($H44,2)="병원",$H44,$H44&amp;"병원"))),IF($H44="","",IF(RIGHT($H44,2)="병원",$H44,$H44&amp;"병원")))))</f>
        <v/>
      </c>
      <c r="AF44" s="10">
        <f>IF(OR($B44="",TRIM($J44&amp;"")=""),"",IFERROR(MATCH(TRIM($J44&amp;"")&amp;"|파견중",파견수련계획!$Y$4:$Y$83,0),IFERROR(MATCH(TRIM($J44&amp;"")&amp;"|파견예정",파견수련계획!$Y$4:$Y$83,0),IFERROR(MATCH(TRIM($J44&amp;"")&amp;"|파견종료",파견수련계획!$Y$4:$Y$83,0),""))))</f>
        <v/>
      </c>
      <c r="AG44" s="10">
        <f>IF($B44="","",IF(AND(IF(OR($AC44="",인턴현황!$K$2=""),"",INDEX(인턴근무계획!$M$3:$R$62,$AC44,인턴현황!$K$2)&amp;"")&lt;&gt;"",LEFT(IF(OR($AC44="",인턴현황!$K$2=""),"",INDEX(인턴근무계획!$M$3:$R$62,$AC44,인턴현황!$K$2)&amp;""),1)&lt;&gt;"⚠"),LEFT(IF(OR($AC44="",인턴현황!$K$2=""),"",INDEX(인턴근무계획!$M$3:$R$62,$AC44,인턴현황!$K$2)&amp;""),FIND(" ",IF(OR($AC44="",인턴현황!$K$2=""),"",INDEX(인턴근무계획!$M$3:$R$62,$AC44,인턴현황!$K$2)&amp;""))-1),$AE44))</f>
        <v/>
      </c>
      <c r="AH44" s="17">
        <f>IF($B44="","",IF(TRIM($J44&amp;"")="",0,SUMPRODUCT((파견수련계획!$Q$4:$Q$83=TRIM($J44&amp;""))*(파견수련계획!$S$4:$S$83="서울병원")*파견수련계획!$W$4:$W$83))+IF($AG44="서울병원",MAX(0,DAY(EOMONTH(요약!$B$3,0))-N($X44)),0))</f>
        <v/>
      </c>
      <c r="AI44" s="17">
        <f>IF($B44="","",IF(TRIM($J44&amp;"")="",0,SUMPRODUCT((파견수련계획!$Q$4:$Q$83=TRIM($J44&amp;""))*(파견수련계획!$S$4:$S$83="구리병원")*파견수련계획!$W$4:$W$83))+IF($AG44="구리병원",MAX(0,DAY(EOMONTH(요약!$B$3,0))-N($X44)),0))</f>
        <v/>
      </c>
      <c r="AJ44" s="10">
        <f>IF(OR($B44="",TRIM($J44&amp;"")=""),"",IFERROR(MATCH(TRIM($J44&amp;"")&amp;"|월",파견수련계획!$Z$4:$Z$83,0),""))</f>
        <v/>
      </c>
      <c r="AK44" s="10">
        <f>IF(OR($B44="",TRIM($J44&amp;"")=""),"",IFERROR(MATCH(TRIM($J44&amp;"")&amp;"|다기관",파견수련계획!$AE$4:$AE$83,0),""))</f>
        <v/>
      </c>
      <c r="AL44" s="10">
        <f>IF($AK44="","","다기관 "&amp;TEXT(INDEX(파견수련계획!$AB$4:$AB$83,$AK44),"yyyy-mm-dd")&amp;"~"&amp;IF(ISNUMBER(INDEX(파견수련계획!$AC$4:$AC$83,$AK44)),TEXT(INDEX(파견수련계획!$AC$4:$AC$83,$AK44),"yyyy-mm-dd"),""))</f>
        <v/>
      </c>
    </row>
    <row r="45">
      <c r="A45" s="10">
        <f>IF(B45="","",ROW()-1)</f>
        <v/>
      </c>
      <c r="B45" s="18" t="n"/>
      <c r="C45" s="10">
        <f>IF($AB45="","",IF(INDEX(기본자료!$C$2:$C$1001,$AB45)="","",INDEX(기본자료!$C$2:$C$1001,$AB45)))</f>
        <v/>
      </c>
      <c r="D45" s="10">
        <f>IF($AB45="","",IF(INDEX(기본자료!$J$2:$J$1001,$AB45)="","",INDEX(기본자료!$J$2:$J$1001,$AB45)))</f>
        <v/>
      </c>
      <c r="E45" s="11">
        <f>IF($AB45="","",IF(INDEX(기본자료!$K$2:$K$1001,$AB45)="","",IF(NOT(ISNUMBER(INDEX(기본자료!$K$2:$K$1001,$AB45))),INDEX(기본자료!$K$2:$K$1001,$AB45),IF(INDEX(기본자료!$K$2:$K$1001,$AB45)&lt;1000000,INDEX(기본자료!$K$2:$K$1001,$AB45),IF(AND(INDEX(기본자료!$K$2:$K$1001,$AB45)&gt;=10000101,INT(MOD(INDEX(기본자료!$K$2:$K$1001,$AB45),10000)/100)&gt;=1,INT(MOD(INDEX(기본자료!$K$2:$K$1001,$AB45),10000)/100)&lt;=12,MOD(INDEX(기본자료!$K$2:$K$1001,$AB45),100)&gt;=1,MOD(INDEX(기본자료!$K$2:$K$1001,$AB45),100)&lt;=31),DATE(INT(INDEX(기본자료!$K$2:$K$1001,$AB45)/10000),INT(MOD(INDEX(기본자료!$K$2:$K$1001,$AB45),10000)/100),MOD(INDEX(기본자료!$K$2:$K$1001,$AB45),100)),INDEX(기본자료!$K$2:$K$1001,$AB45)&amp;"")))))</f>
        <v/>
      </c>
      <c r="F45" s="10">
        <f>IF($AB45="","",IF(INDEX(기본자료!$D$2:$D$1001,$AB45)="","",INDEX(기본자료!$D$2:$D$1001,$AB45)))</f>
        <v/>
      </c>
      <c r="G45" s="10">
        <f>IF($AB45="","",IF(INDEX(기본자료!$E$2:$E$1001,$AB45)="","",INDEX(기본자료!$E$2:$E$1001,$AB45)))</f>
        <v/>
      </c>
      <c r="H45" s="10">
        <f>IF($AB45="","",IF(INDEX(기본자료!$F$2:$F$1001,$AB45)="","",INDEX(기본자료!$F$2:$F$1001,$AB45)))</f>
        <v/>
      </c>
      <c r="I45" s="11">
        <f>IF($AB45="","",IF(INDEX(기본자료!$G$2:$G$1001,$AB45)="","",IF(NOT(ISNUMBER(INDEX(기본자료!$G$2:$G$1001,$AB45))),INDEX(기본자료!$G$2:$G$1001,$AB45),IF(INDEX(기본자료!$G$2:$G$1001,$AB45)&lt;1000000,INDEX(기본자료!$G$2:$G$1001,$AB45),IF(AND(INDEX(기본자료!$G$2:$G$1001,$AB45)&gt;=10000101,INT(MOD(INDEX(기본자료!$G$2:$G$1001,$AB45),10000)/100)&gt;=1,INT(MOD(INDEX(기본자료!$G$2:$G$1001,$AB45),10000)/100)&lt;=12,MOD(INDEX(기본자료!$G$2:$G$1001,$AB45),100)&gt;=1,MOD(INDEX(기본자료!$G$2:$G$1001,$AB45),100)&lt;=31),DATE(INT(INDEX(기본자료!$G$2:$G$1001,$AB45)/10000),INT(MOD(INDEX(기본자료!$G$2:$G$1001,$AB45),10000)/100),MOD(INDEX(기본자료!$G$2:$G$1001,$AB45),100)),INDEX(기본자료!$G$2:$G$1001,$AB45)&amp;"")))))</f>
        <v/>
      </c>
      <c r="J45" s="10">
        <f>IF($AB45="","",IF(INDEX(기본자료!$H$2:$H$1001,$AB45)="","",INDEX(기본자료!$H$2:$H$1001,$AB45)))</f>
        <v/>
      </c>
      <c r="K45" s="10">
        <f>IF($AB45="","",IF(INDEX(기본자료!$I$2:$I$1001,$AB45)="","",INDEX(기본자료!$I$2:$I$1001,$AB45)))</f>
        <v/>
      </c>
      <c r="L45" s="10">
        <f>IF($AB45="","",IF(INDEX(기본자료!$A$2:$A$1001,$AB45)="","",INDEX(기본자료!$A$2:$A$1001,$AB45)))</f>
        <v/>
      </c>
      <c r="M45" s="15" t="n"/>
      <c r="N45" s="10">
        <f>IF($B45="","",IF(AND($U45="파견중",$Q45&lt;&gt;""),$Q45,IF(AND($AD45&lt;&gt;"",LEFT($AD45,1)&lt;&gt;"⚠"),LEFT($AD45,FIND(" ",$AD45)-1),IF($H45="","",IF(RIGHT($H45,2)="병원",$H45,$H45&amp;"병원")))))</f>
        <v/>
      </c>
      <c r="O45" s="10">
        <f>IF($B45="","",IF(AND($U45="파견중",$Q45&lt;&gt;""),IF($R45&lt;&gt;"",$R45,"파견과 미입력"),IF(AND($AD45&lt;&gt;"",LEFT($AD45,1)&lt;&gt;"⚠"),MID($AD45,FIND(" ",$AD45)+1,60),IF($F45="","",IF($F45="인턴","수련교육부(인턴)",$F45)))))</f>
        <v/>
      </c>
      <c r="P45" s="10">
        <f>IF($B45="","",IF($AK45&lt;&gt;"",IF(AND(TODAY()&gt;=INDEX(파견수련계획!$AB$4:$AB$83,$AK45),OR(NOT(ISNUMBER(INDEX(파견수련계획!$AC$4:$AC$83,$AK45))),TODAY()&lt;=INDEX(파견수련계획!$AC$4:$AC$83,$AK45))),"다기관",IF($AF45="","",INDEX(파견수련계획!$T$4:$T$83,$AF45))),IF($AF45="","",INDEX(파견수련계획!$T$4:$T$83,$AF45))))</f>
        <v/>
      </c>
      <c r="Q45" s="10">
        <f>IF($AF45="","",INDEX(파견수련계획!$S$4:$S$83,$AF45))</f>
        <v/>
      </c>
      <c r="R45" s="10">
        <f>IF($AF45="","",INDEX(파견수련계획!$U$4:$U$83,$AF45))</f>
        <v/>
      </c>
      <c r="S45" s="11">
        <f>IF($AF45="","",IF(INDEX(파견수련계획!$H$4:$H$83,$AF45)="","",INDEX(파견수련계획!$H$4:$H$83,$AF45)))</f>
        <v/>
      </c>
      <c r="T45" s="11">
        <f>IF($AF45="","",IF(INDEX(파견수련계획!$I$4:$I$83,$AF45)="","",INDEX(파견수련계획!$I$4:$I$83,$AF45)))</f>
        <v/>
      </c>
      <c r="U45" s="10">
        <f>IF($AF45="","",INDEX(파견수련계획!$X$4:$X$83,$AF45))</f>
        <v/>
      </c>
      <c r="V45" s="17">
        <f>IF($AF45="","",INDEX(파견수련계획!$V$4:$V$83,$AF45))</f>
        <v/>
      </c>
      <c r="W45" s="17">
        <f>IF(AND($U45="파견중",$T45&lt;&gt;""),$T45-TODAY(),"")</f>
        <v/>
      </c>
      <c r="X45" s="17">
        <f>IF(OR($B45="",TRIM($J45&amp;"")=""),"",SUMPRODUCT((파견수련계획!$Q$4:$Q$83=TRIM($J45&amp;""))*파견수련계획!$W$4:$W$83))</f>
        <v/>
      </c>
      <c r="Y45" s="10">
        <f>IF($B45="","",IF($AG45="","",IF(IF(TRIM($J45&amp;"")="",0,SUMPRODUCT((파견수련계획!$Q$4:$Q$83=TRIM($J45&amp;""))*파견수련계획!$AD$4:$AD$83))&gt;0,$AE45,IF(N($X45)&lt;=0,$AG45,IF($AH45+$AI45=DAY(EOMONTH(요약!$B$3,0)),IF(AND($AH45&gt;=요약!$E$3,$AI45&lt;요약!$E$3),"서울병원",IF(AND($AI45&gt;=요약!$E$3,$AH45&lt;요약!$E$3),"구리병원","⚠15일 판정불가(서울 "&amp;$AH45&amp;"일/구리 "&amp;$AI45&amp;"일)")),IF($AJ45="",$AE45,IF(INDEX(파견수련계획!$T$4:$T$83,$AJ45)="통합수련",INDEX(파견수련계획!$S$4:$S$83,$AJ45),$AE45)))))))</f>
        <v/>
      </c>
      <c r="Z45" s="19">
        <f>IF($B45="","",IF($AB45="","기본자료에 없는 사번",IF(COUNTIF($B$2:$B$401,$B45)&gt;1,"중복 사번",IF($AE45="","소속(입사장소) 입력",IF(IF(TRIM($J45&amp;"")="",0,SUMPRODUCT((파견수련계획!$Q$4:$Q$83=TRIM($J45&amp;""))*(파견수련계획!$AA$4:$AA$83&lt;&gt;"")))&gt;0,"파견수련계획 입력오류 확인",IF(LEFT($Y45,1)="⚠","서울·구리 15일 판정 불가(양쪽 모두 이상/미만)",IF(IF($AC45="",0,N(INDEX(인턴근무계획!$T$3:$T$62,$AC45)))&gt;0,"인턴계획 입력오류 확인",IF(AND($AC45&lt;&gt;"",$U45&lt;&gt;"파견중",$N45&lt;&gt;$AE45),"인턴 타지역 근무: 파견 여부 확인","정상"))))))))</f>
        <v/>
      </c>
      <c r="AA45" s="5" t="n"/>
      <c r="AB45" s="10">
        <f>IF($B45="","",IFERROR(MATCH($B45,기본자료!$B$2:$B$1001,0),IFERROR(MATCH($B45&amp;"",기본자료!$B$2:$B$1001,0),IFERROR(MATCH(VALUE($B45),기본자료!$B$2:$B$1001,0),""))))</f>
        <v/>
      </c>
      <c r="AC45" s="10">
        <f>IF($B45="","",IFERROR(MATCH($B45,인턴근무계획!$D$3:$D$62,0),IFERROR(MATCH($B45&amp;"",인턴근무계획!$D$3:$D$62,0),IFERROR(MATCH(VALUE($B45),인턴근무계획!$D$3:$D$62,0),""))))</f>
        <v/>
      </c>
      <c r="AD45" s="10">
        <f>IF(OR($AC45="",인턴현황!$G$3=""),"",INDEX(인턴근무계획!$M$3:$R$62,$AC45,인턴현황!$G$3)&amp;"")</f>
        <v/>
      </c>
      <c r="AE45" s="10">
        <f>IF($B45="","",IF($M45&lt;&gt;"",$M45,IF($AF45&lt;&gt;"",IF(LEFT(INDEX(파견수련계획!$R$4:$R$83,$AF45),1)&lt;&gt;"⚠",INDEX(파견수련계획!$R$4:$R$83,$AF45),IF($H45="","",IF(RIGHT($H45,2)="병원",$H45,$H45&amp;"병원"))),IF($H45="","",IF(RIGHT($H45,2)="병원",$H45,$H45&amp;"병원")))))</f>
        <v/>
      </c>
      <c r="AF45" s="10">
        <f>IF(OR($B45="",TRIM($J45&amp;"")=""),"",IFERROR(MATCH(TRIM($J45&amp;"")&amp;"|파견중",파견수련계획!$Y$4:$Y$83,0),IFERROR(MATCH(TRIM($J45&amp;"")&amp;"|파견예정",파견수련계획!$Y$4:$Y$83,0),IFERROR(MATCH(TRIM($J45&amp;"")&amp;"|파견종료",파견수련계획!$Y$4:$Y$83,0),""))))</f>
        <v/>
      </c>
      <c r="AG45" s="10">
        <f>IF($B45="","",IF(AND(IF(OR($AC45="",인턴현황!$K$2=""),"",INDEX(인턴근무계획!$M$3:$R$62,$AC45,인턴현황!$K$2)&amp;"")&lt;&gt;"",LEFT(IF(OR($AC45="",인턴현황!$K$2=""),"",INDEX(인턴근무계획!$M$3:$R$62,$AC45,인턴현황!$K$2)&amp;""),1)&lt;&gt;"⚠"),LEFT(IF(OR($AC45="",인턴현황!$K$2=""),"",INDEX(인턴근무계획!$M$3:$R$62,$AC45,인턴현황!$K$2)&amp;""),FIND(" ",IF(OR($AC45="",인턴현황!$K$2=""),"",INDEX(인턴근무계획!$M$3:$R$62,$AC45,인턴현황!$K$2)&amp;""))-1),$AE45))</f>
        <v/>
      </c>
      <c r="AH45" s="17">
        <f>IF($B45="","",IF(TRIM($J45&amp;"")="",0,SUMPRODUCT((파견수련계획!$Q$4:$Q$83=TRIM($J45&amp;""))*(파견수련계획!$S$4:$S$83="서울병원")*파견수련계획!$W$4:$W$83))+IF($AG45="서울병원",MAX(0,DAY(EOMONTH(요약!$B$3,0))-N($X45)),0))</f>
        <v/>
      </c>
      <c r="AI45" s="17">
        <f>IF($B45="","",IF(TRIM($J45&amp;"")="",0,SUMPRODUCT((파견수련계획!$Q$4:$Q$83=TRIM($J45&amp;""))*(파견수련계획!$S$4:$S$83="구리병원")*파견수련계획!$W$4:$W$83))+IF($AG45="구리병원",MAX(0,DAY(EOMONTH(요약!$B$3,0))-N($X45)),0))</f>
        <v/>
      </c>
      <c r="AJ45" s="10">
        <f>IF(OR($B45="",TRIM($J45&amp;"")=""),"",IFERROR(MATCH(TRIM($J45&amp;"")&amp;"|월",파견수련계획!$Z$4:$Z$83,0),""))</f>
        <v/>
      </c>
      <c r="AK45" s="10">
        <f>IF(OR($B45="",TRIM($J45&amp;"")=""),"",IFERROR(MATCH(TRIM($J45&amp;"")&amp;"|다기관",파견수련계획!$AE$4:$AE$83,0),""))</f>
        <v/>
      </c>
      <c r="AL45" s="10">
        <f>IF($AK45="","","다기관 "&amp;TEXT(INDEX(파견수련계획!$AB$4:$AB$83,$AK45),"yyyy-mm-dd")&amp;"~"&amp;IF(ISNUMBER(INDEX(파견수련계획!$AC$4:$AC$83,$AK45)),TEXT(INDEX(파견수련계획!$AC$4:$AC$83,$AK45),"yyyy-mm-dd"),""))</f>
        <v/>
      </c>
    </row>
    <row r="46">
      <c r="A46" s="10">
        <f>IF(B46="","",ROW()-1)</f>
        <v/>
      </c>
      <c r="B46" s="18" t="n"/>
      <c r="C46" s="10">
        <f>IF($AB46="","",IF(INDEX(기본자료!$C$2:$C$1001,$AB46)="","",INDEX(기본자료!$C$2:$C$1001,$AB46)))</f>
        <v/>
      </c>
      <c r="D46" s="10">
        <f>IF($AB46="","",IF(INDEX(기본자료!$J$2:$J$1001,$AB46)="","",INDEX(기본자료!$J$2:$J$1001,$AB46)))</f>
        <v/>
      </c>
      <c r="E46" s="11">
        <f>IF($AB46="","",IF(INDEX(기본자료!$K$2:$K$1001,$AB46)="","",IF(NOT(ISNUMBER(INDEX(기본자료!$K$2:$K$1001,$AB46))),INDEX(기본자료!$K$2:$K$1001,$AB46),IF(INDEX(기본자료!$K$2:$K$1001,$AB46)&lt;1000000,INDEX(기본자료!$K$2:$K$1001,$AB46),IF(AND(INDEX(기본자료!$K$2:$K$1001,$AB46)&gt;=10000101,INT(MOD(INDEX(기본자료!$K$2:$K$1001,$AB46),10000)/100)&gt;=1,INT(MOD(INDEX(기본자료!$K$2:$K$1001,$AB46),10000)/100)&lt;=12,MOD(INDEX(기본자료!$K$2:$K$1001,$AB46),100)&gt;=1,MOD(INDEX(기본자료!$K$2:$K$1001,$AB46),100)&lt;=31),DATE(INT(INDEX(기본자료!$K$2:$K$1001,$AB46)/10000),INT(MOD(INDEX(기본자료!$K$2:$K$1001,$AB46),10000)/100),MOD(INDEX(기본자료!$K$2:$K$1001,$AB46),100)),INDEX(기본자료!$K$2:$K$1001,$AB46)&amp;"")))))</f>
        <v/>
      </c>
      <c r="F46" s="10">
        <f>IF($AB46="","",IF(INDEX(기본자료!$D$2:$D$1001,$AB46)="","",INDEX(기본자료!$D$2:$D$1001,$AB46)))</f>
        <v/>
      </c>
      <c r="G46" s="10">
        <f>IF($AB46="","",IF(INDEX(기본자료!$E$2:$E$1001,$AB46)="","",INDEX(기본자료!$E$2:$E$1001,$AB46)))</f>
        <v/>
      </c>
      <c r="H46" s="10">
        <f>IF($AB46="","",IF(INDEX(기본자료!$F$2:$F$1001,$AB46)="","",INDEX(기본자료!$F$2:$F$1001,$AB46)))</f>
        <v/>
      </c>
      <c r="I46" s="11">
        <f>IF($AB46="","",IF(INDEX(기본자료!$G$2:$G$1001,$AB46)="","",IF(NOT(ISNUMBER(INDEX(기본자료!$G$2:$G$1001,$AB46))),INDEX(기본자료!$G$2:$G$1001,$AB46),IF(INDEX(기본자료!$G$2:$G$1001,$AB46)&lt;1000000,INDEX(기본자료!$G$2:$G$1001,$AB46),IF(AND(INDEX(기본자료!$G$2:$G$1001,$AB46)&gt;=10000101,INT(MOD(INDEX(기본자료!$G$2:$G$1001,$AB46),10000)/100)&gt;=1,INT(MOD(INDEX(기본자료!$G$2:$G$1001,$AB46),10000)/100)&lt;=12,MOD(INDEX(기본자료!$G$2:$G$1001,$AB46),100)&gt;=1,MOD(INDEX(기본자료!$G$2:$G$1001,$AB46),100)&lt;=31),DATE(INT(INDEX(기본자료!$G$2:$G$1001,$AB46)/10000),INT(MOD(INDEX(기본자료!$G$2:$G$1001,$AB46),10000)/100),MOD(INDEX(기본자료!$G$2:$G$1001,$AB46),100)),INDEX(기본자료!$G$2:$G$1001,$AB46)&amp;"")))))</f>
        <v/>
      </c>
      <c r="J46" s="10">
        <f>IF($AB46="","",IF(INDEX(기본자료!$H$2:$H$1001,$AB46)="","",INDEX(기본자료!$H$2:$H$1001,$AB46)))</f>
        <v/>
      </c>
      <c r="K46" s="10">
        <f>IF($AB46="","",IF(INDEX(기본자료!$I$2:$I$1001,$AB46)="","",INDEX(기본자료!$I$2:$I$1001,$AB46)))</f>
        <v/>
      </c>
      <c r="L46" s="10">
        <f>IF($AB46="","",IF(INDEX(기본자료!$A$2:$A$1001,$AB46)="","",INDEX(기본자료!$A$2:$A$1001,$AB46)))</f>
        <v/>
      </c>
      <c r="M46" s="15" t="n"/>
      <c r="N46" s="10">
        <f>IF($B46="","",IF(AND($U46="파견중",$Q46&lt;&gt;""),$Q46,IF(AND($AD46&lt;&gt;"",LEFT($AD46,1)&lt;&gt;"⚠"),LEFT($AD46,FIND(" ",$AD46)-1),IF($H46="","",IF(RIGHT($H46,2)="병원",$H46,$H46&amp;"병원")))))</f>
        <v/>
      </c>
      <c r="O46" s="10">
        <f>IF($B46="","",IF(AND($U46="파견중",$Q46&lt;&gt;""),IF($R46&lt;&gt;"",$R46,"파견과 미입력"),IF(AND($AD46&lt;&gt;"",LEFT($AD46,1)&lt;&gt;"⚠"),MID($AD46,FIND(" ",$AD46)+1,60),IF($F46="","",IF($F46="인턴","수련교육부(인턴)",$F46)))))</f>
        <v/>
      </c>
      <c r="P46" s="10">
        <f>IF($B46="","",IF($AK46&lt;&gt;"",IF(AND(TODAY()&gt;=INDEX(파견수련계획!$AB$4:$AB$83,$AK46),OR(NOT(ISNUMBER(INDEX(파견수련계획!$AC$4:$AC$83,$AK46))),TODAY()&lt;=INDEX(파견수련계획!$AC$4:$AC$83,$AK46))),"다기관",IF($AF46="","",INDEX(파견수련계획!$T$4:$T$83,$AF46))),IF($AF46="","",INDEX(파견수련계획!$T$4:$T$83,$AF46))))</f>
        <v/>
      </c>
      <c r="Q46" s="10">
        <f>IF($AF46="","",INDEX(파견수련계획!$S$4:$S$83,$AF46))</f>
        <v/>
      </c>
      <c r="R46" s="10">
        <f>IF($AF46="","",INDEX(파견수련계획!$U$4:$U$83,$AF46))</f>
        <v/>
      </c>
      <c r="S46" s="11">
        <f>IF($AF46="","",IF(INDEX(파견수련계획!$H$4:$H$83,$AF46)="","",INDEX(파견수련계획!$H$4:$H$83,$AF46)))</f>
        <v/>
      </c>
      <c r="T46" s="11">
        <f>IF($AF46="","",IF(INDEX(파견수련계획!$I$4:$I$83,$AF46)="","",INDEX(파견수련계획!$I$4:$I$83,$AF46)))</f>
        <v/>
      </c>
      <c r="U46" s="10">
        <f>IF($AF46="","",INDEX(파견수련계획!$X$4:$X$83,$AF46))</f>
        <v/>
      </c>
      <c r="V46" s="17">
        <f>IF($AF46="","",INDEX(파견수련계획!$V$4:$V$83,$AF46))</f>
        <v/>
      </c>
      <c r="W46" s="17">
        <f>IF(AND($U46="파견중",$T46&lt;&gt;""),$T46-TODAY(),"")</f>
        <v/>
      </c>
      <c r="X46" s="17">
        <f>IF(OR($B46="",TRIM($J46&amp;"")=""),"",SUMPRODUCT((파견수련계획!$Q$4:$Q$83=TRIM($J46&amp;""))*파견수련계획!$W$4:$W$83))</f>
        <v/>
      </c>
      <c r="Y46" s="10">
        <f>IF($B46="","",IF($AG46="","",IF(IF(TRIM($J46&amp;"")="",0,SUMPRODUCT((파견수련계획!$Q$4:$Q$83=TRIM($J46&amp;""))*파견수련계획!$AD$4:$AD$83))&gt;0,$AE46,IF(N($X46)&lt;=0,$AG46,IF($AH46+$AI46=DAY(EOMONTH(요약!$B$3,0)),IF(AND($AH46&gt;=요약!$E$3,$AI46&lt;요약!$E$3),"서울병원",IF(AND($AI46&gt;=요약!$E$3,$AH46&lt;요약!$E$3),"구리병원","⚠15일 판정불가(서울 "&amp;$AH46&amp;"일/구리 "&amp;$AI46&amp;"일)")),IF($AJ46="",$AE46,IF(INDEX(파견수련계획!$T$4:$T$83,$AJ46)="통합수련",INDEX(파견수련계획!$S$4:$S$83,$AJ46),$AE46)))))))</f>
        <v/>
      </c>
      <c r="Z46" s="19">
        <f>IF($B46="","",IF($AB46="","기본자료에 없는 사번",IF(COUNTIF($B$2:$B$401,$B46)&gt;1,"중복 사번",IF($AE46="","소속(입사장소) 입력",IF(IF(TRIM($J46&amp;"")="",0,SUMPRODUCT((파견수련계획!$Q$4:$Q$83=TRIM($J46&amp;""))*(파견수련계획!$AA$4:$AA$83&lt;&gt;"")))&gt;0,"파견수련계획 입력오류 확인",IF(LEFT($Y46,1)="⚠","서울·구리 15일 판정 불가(양쪽 모두 이상/미만)",IF(IF($AC46="",0,N(INDEX(인턴근무계획!$T$3:$T$62,$AC46)))&gt;0,"인턴계획 입력오류 확인",IF(AND($AC46&lt;&gt;"",$U46&lt;&gt;"파견중",$N46&lt;&gt;$AE46),"인턴 타지역 근무: 파견 여부 확인","정상"))))))))</f>
        <v/>
      </c>
      <c r="AA46" s="5" t="n"/>
      <c r="AB46" s="10">
        <f>IF($B46="","",IFERROR(MATCH($B46,기본자료!$B$2:$B$1001,0),IFERROR(MATCH($B46&amp;"",기본자료!$B$2:$B$1001,0),IFERROR(MATCH(VALUE($B46),기본자료!$B$2:$B$1001,0),""))))</f>
        <v/>
      </c>
      <c r="AC46" s="10">
        <f>IF($B46="","",IFERROR(MATCH($B46,인턴근무계획!$D$3:$D$62,0),IFERROR(MATCH($B46&amp;"",인턴근무계획!$D$3:$D$62,0),IFERROR(MATCH(VALUE($B46),인턴근무계획!$D$3:$D$62,0),""))))</f>
        <v/>
      </c>
      <c r="AD46" s="10">
        <f>IF(OR($AC46="",인턴현황!$G$3=""),"",INDEX(인턴근무계획!$M$3:$R$62,$AC46,인턴현황!$G$3)&amp;"")</f>
        <v/>
      </c>
      <c r="AE46" s="10">
        <f>IF($B46="","",IF($M46&lt;&gt;"",$M46,IF($AF46&lt;&gt;"",IF(LEFT(INDEX(파견수련계획!$R$4:$R$83,$AF46),1)&lt;&gt;"⚠",INDEX(파견수련계획!$R$4:$R$83,$AF46),IF($H46="","",IF(RIGHT($H46,2)="병원",$H46,$H46&amp;"병원"))),IF($H46="","",IF(RIGHT($H46,2)="병원",$H46,$H46&amp;"병원")))))</f>
        <v/>
      </c>
      <c r="AF46" s="10">
        <f>IF(OR($B46="",TRIM($J46&amp;"")=""),"",IFERROR(MATCH(TRIM($J46&amp;"")&amp;"|파견중",파견수련계획!$Y$4:$Y$83,0),IFERROR(MATCH(TRIM($J46&amp;"")&amp;"|파견예정",파견수련계획!$Y$4:$Y$83,0),IFERROR(MATCH(TRIM($J46&amp;"")&amp;"|파견종료",파견수련계획!$Y$4:$Y$83,0),""))))</f>
        <v/>
      </c>
      <c r="AG46" s="10">
        <f>IF($B46="","",IF(AND(IF(OR($AC46="",인턴현황!$K$2=""),"",INDEX(인턴근무계획!$M$3:$R$62,$AC46,인턴현황!$K$2)&amp;"")&lt;&gt;"",LEFT(IF(OR($AC46="",인턴현황!$K$2=""),"",INDEX(인턴근무계획!$M$3:$R$62,$AC46,인턴현황!$K$2)&amp;""),1)&lt;&gt;"⚠"),LEFT(IF(OR($AC46="",인턴현황!$K$2=""),"",INDEX(인턴근무계획!$M$3:$R$62,$AC46,인턴현황!$K$2)&amp;""),FIND(" ",IF(OR($AC46="",인턴현황!$K$2=""),"",INDEX(인턴근무계획!$M$3:$R$62,$AC46,인턴현황!$K$2)&amp;""))-1),$AE46))</f>
        <v/>
      </c>
      <c r="AH46" s="17">
        <f>IF($B46="","",IF(TRIM($J46&amp;"")="",0,SUMPRODUCT((파견수련계획!$Q$4:$Q$83=TRIM($J46&amp;""))*(파견수련계획!$S$4:$S$83="서울병원")*파견수련계획!$W$4:$W$83))+IF($AG46="서울병원",MAX(0,DAY(EOMONTH(요약!$B$3,0))-N($X46)),0))</f>
        <v/>
      </c>
      <c r="AI46" s="17">
        <f>IF($B46="","",IF(TRIM($J46&amp;"")="",0,SUMPRODUCT((파견수련계획!$Q$4:$Q$83=TRIM($J46&amp;""))*(파견수련계획!$S$4:$S$83="구리병원")*파견수련계획!$W$4:$W$83))+IF($AG46="구리병원",MAX(0,DAY(EOMONTH(요약!$B$3,0))-N($X46)),0))</f>
        <v/>
      </c>
      <c r="AJ46" s="10">
        <f>IF(OR($B46="",TRIM($J46&amp;"")=""),"",IFERROR(MATCH(TRIM($J46&amp;"")&amp;"|월",파견수련계획!$Z$4:$Z$83,0),""))</f>
        <v/>
      </c>
      <c r="AK46" s="10">
        <f>IF(OR($B46="",TRIM($J46&amp;"")=""),"",IFERROR(MATCH(TRIM($J46&amp;"")&amp;"|다기관",파견수련계획!$AE$4:$AE$83,0),""))</f>
        <v/>
      </c>
      <c r="AL46" s="10">
        <f>IF($AK46="","","다기관 "&amp;TEXT(INDEX(파견수련계획!$AB$4:$AB$83,$AK46),"yyyy-mm-dd")&amp;"~"&amp;IF(ISNUMBER(INDEX(파견수련계획!$AC$4:$AC$83,$AK46)),TEXT(INDEX(파견수련계획!$AC$4:$AC$83,$AK46),"yyyy-mm-dd"),""))</f>
        <v/>
      </c>
    </row>
    <row r="47">
      <c r="A47" s="10">
        <f>IF(B47="","",ROW()-1)</f>
        <v/>
      </c>
      <c r="B47" s="18" t="n"/>
      <c r="C47" s="10">
        <f>IF($AB47="","",IF(INDEX(기본자료!$C$2:$C$1001,$AB47)="","",INDEX(기본자료!$C$2:$C$1001,$AB47)))</f>
        <v/>
      </c>
      <c r="D47" s="10">
        <f>IF($AB47="","",IF(INDEX(기본자료!$J$2:$J$1001,$AB47)="","",INDEX(기본자료!$J$2:$J$1001,$AB47)))</f>
        <v/>
      </c>
      <c r="E47" s="11">
        <f>IF($AB47="","",IF(INDEX(기본자료!$K$2:$K$1001,$AB47)="","",IF(NOT(ISNUMBER(INDEX(기본자료!$K$2:$K$1001,$AB47))),INDEX(기본자료!$K$2:$K$1001,$AB47),IF(INDEX(기본자료!$K$2:$K$1001,$AB47)&lt;1000000,INDEX(기본자료!$K$2:$K$1001,$AB47),IF(AND(INDEX(기본자료!$K$2:$K$1001,$AB47)&gt;=10000101,INT(MOD(INDEX(기본자료!$K$2:$K$1001,$AB47),10000)/100)&gt;=1,INT(MOD(INDEX(기본자료!$K$2:$K$1001,$AB47),10000)/100)&lt;=12,MOD(INDEX(기본자료!$K$2:$K$1001,$AB47),100)&gt;=1,MOD(INDEX(기본자료!$K$2:$K$1001,$AB47),100)&lt;=31),DATE(INT(INDEX(기본자료!$K$2:$K$1001,$AB47)/10000),INT(MOD(INDEX(기본자료!$K$2:$K$1001,$AB47),10000)/100),MOD(INDEX(기본자료!$K$2:$K$1001,$AB47),100)),INDEX(기본자료!$K$2:$K$1001,$AB47)&amp;"")))))</f>
        <v/>
      </c>
      <c r="F47" s="10">
        <f>IF($AB47="","",IF(INDEX(기본자료!$D$2:$D$1001,$AB47)="","",INDEX(기본자료!$D$2:$D$1001,$AB47)))</f>
        <v/>
      </c>
      <c r="G47" s="10">
        <f>IF($AB47="","",IF(INDEX(기본자료!$E$2:$E$1001,$AB47)="","",INDEX(기본자료!$E$2:$E$1001,$AB47)))</f>
        <v/>
      </c>
      <c r="H47" s="10">
        <f>IF($AB47="","",IF(INDEX(기본자료!$F$2:$F$1001,$AB47)="","",INDEX(기본자료!$F$2:$F$1001,$AB47)))</f>
        <v/>
      </c>
      <c r="I47" s="11">
        <f>IF($AB47="","",IF(INDEX(기본자료!$G$2:$G$1001,$AB47)="","",IF(NOT(ISNUMBER(INDEX(기본자료!$G$2:$G$1001,$AB47))),INDEX(기본자료!$G$2:$G$1001,$AB47),IF(INDEX(기본자료!$G$2:$G$1001,$AB47)&lt;1000000,INDEX(기본자료!$G$2:$G$1001,$AB47),IF(AND(INDEX(기본자료!$G$2:$G$1001,$AB47)&gt;=10000101,INT(MOD(INDEX(기본자료!$G$2:$G$1001,$AB47),10000)/100)&gt;=1,INT(MOD(INDEX(기본자료!$G$2:$G$1001,$AB47),10000)/100)&lt;=12,MOD(INDEX(기본자료!$G$2:$G$1001,$AB47),100)&gt;=1,MOD(INDEX(기본자료!$G$2:$G$1001,$AB47),100)&lt;=31),DATE(INT(INDEX(기본자료!$G$2:$G$1001,$AB47)/10000),INT(MOD(INDEX(기본자료!$G$2:$G$1001,$AB47),10000)/100),MOD(INDEX(기본자료!$G$2:$G$1001,$AB47),100)),INDEX(기본자료!$G$2:$G$1001,$AB47)&amp;"")))))</f>
        <v/>
      </c>
      <c r="J47" s="10">
        <f>IF($AB47="","",IF(INDEX(기본자료!$H$2:$H$1001,$AB47)="","",INDEX(기본자료!$H$2:$H$1001,$AB47)))</f>
        <v/>
      </c>
      <c r="K47" s="10">
        <f>IF($AB47="","",IF(INDEX(기본자료!$I$2:$I$1001,$AB47)="","",INDEX(기본자료!$I$2:$I$1001,$AB47)))</f>
        <v/>
      </c>
      <c r="L47" s="10">
        <f>IF($AB47="","",IF(INDEX(기본자료!$A$2:$A$1001,$AB47)="","",INDEX(기본자료!$A$2:$A$1001,$AB47)))</f>
        <v/>
      </c>
      <c r="M47" s="15" t="n"/>
      <c r="N47" s="10">
        <f>IF($B47="","",IF(AND($U47="파견중",$Q47&lt;&gt;""),$Q47,IF(AND($AD47&lt;&gt;"",LEFT($AD47,1)&lt;&gt;"⚠"),LEFT($AD47,FIND(" ",$AD47)-1),IF($H47="","",IF(RIGHT($H47,2)="병원",$H47,$H47&amp;"병원")))))</f>
        <v/>
      </c>
      <c r="O47" s="10">
        <f>IF($B47="","",IF(AND($U47="파견중",$Q47&lt;&gt;""),IF($R47&lt;&gt;"",$R47,"파견과 미입력"),IF(AND($AD47&lt;&gt;"",LEFT($AD47,1)&lt;&gt;"⚠"),MID($AD47,FIND(" ",$AD47)+1,60),IF($F47="","",IF($F47="인턴","수련교육부(인턴)",$F47)))))</f>
        <v/>
      </c>
      <c r="P47" s="10">
        <f>IF($B47="","",IF($AK47&lt;&gt;"",IF(AND(TODAY()&gt;=INDEX(파견수련계획!$AB$4:$AB$83,$AK47),OR(NOT(ISNUMBER(INDEX(파견수련계획!$AC$4:$AC$83,$AK47))),TODAY()&lt;=INDEX(파견수련계획!$AC$4:$AC$83,$AK47))),"다기관",IF($AF47="","",INDEX(파견수련계획!$T$4:$T$83,$AF47))),IF($AF47="","",INDEX(파견수련계획!$T$4:$T$83,$AF47))))</f>
        <v/>
      </c>
      <c r="Q47" s="10">
        <f>IF($AF47="","",INDEX(파견수련계획!$S$4:$S$83,$AF47))</f>
        <v/>
      </c>
      <c r="R47" s="10">
        <f>IF($AF47="","",INDEX(파견수련계획!$U$4:$U$83,$AF47))</f>
        <v/>
      </c>
      <c r="S47" s="11">
        <f>IF($AF47="","",IF(INDEX(파견수련계획!$H$4:$H$83,$AF47)="","",INDEX(파견수련계획!$H$4:$H$83,$AF47)))</f>
        <v/>
      </c>
      <c r="T47" s="11">
        <f>IF($AF47="","",IF(INDEX(파견수련계획!$I$4:$I$83,$AF47)="","",INDEX(파견수련계획!$I$4:$I$83,$AF47)))</f>
        <v/>
      </c>
      <c r="U47" s="10">
        <f>IF($AF47="","",INDEX(파견수련계획!$X$4:$X$83,$AF47))</f>
        <v/>
      </c>
      <c r="V47" s="17">
        <f>IF($AF47="","",INDEX(파견수련계획!$V$4:$V$83,$AF47))</f>
        <v/>
      </c>
      <c r="W47" s="17">
        <f>IF(AND($U47="파견중",$T47&lt;&gt;""),$T47-TODAY(),"")</f>
        <v/>
      </c>
      <c r="X47" s="17">
        <f>IF(OR($B47="",TRIM($J47&amp;"")=""),"",SUMPRODUCT((파견수련계획!$Q$4:$Q$83=TRIM($J47&amp;""))*파견수련계획!$W$4:$W$83))</f>
        <v/>
      </c>
      <c r="Y47" s="10">
        <f>IF($B47="","",IF($AG47="","",IF(IF(TRIM($J47&amp;"")="",0,SUMPRODUCT((파견수련계획!$Q$4:$Q$83=TRIM($J47&amp;""))*파견수련계획!$AD$4:$AD$83))&gt;0,$AE47,IF(N($X47)&lt;=0,$AG47,IF($AH47+$AI47=DAY(EOMONTH(요약!$B$3,0)),IF(AND($AH47&gt;=요약!$E$3,$AI47&lt;요약!$E$3),"서울병원",IF(AND($AI47&gt;=요약!$E$3,$AH47&lt;요약!$E$3),"구리병원","⚠15일 판정불가(서울 "&amp;$AH47&amp;"일/구리 "&amp;$AI47&amp;"일)")),IF($AJ47="",$AE47,IF(INDEX(파견수련계획!$T$4:$T$83,$AJ47)="통합수련",INDEX(파견수련계획!$S$4:$S$83,$AJ47),$AE47)))))))</f>
        <v/>
      </c>
      <c r="Z47" s="19">
        <f>IF($B47="","",IF($AB47="","기본자료에 없는 사번",IF(COUNTIF($B$2:$B$401,$B47)&gt;1,"중복 사번",IF($AE47="","소속(입사장소) 입력",IF(IF(TRIM($J47&amp;"")="",0,SUMPRODUCT((파견수련계획!$Q$4:$Q$83=TRIM($J47&amp;""))*(파견수련계획!$AA$4:$AA$83&lt;&gt;"")))&gt;0,"파견수련계획 입력오류 확인",IF(LEFT($Y47,1)="⚠","서울·구리 15일 판정 불가(양쪽 모두 이상/미만)",IF(IF($AC47="",0,N(INDEX(인턴근무계획!$T$3:$T$62,$AC47)))&gt;0,"인턴계획 입력오류 확인",IF(AND($AC47&lt;&gt;"",$U47&lt;&gt;"파견중",$N47&lt;&gt;$AE47),"인턴 타지역 근무: 파견 여부 확인","정상"))))))))</f>
        <v/>
      </c>
      <c r="AA47" s="5" t="n"/>
      <c r="AB47" s="10">
        <f>IF($B47="","",IFERROR(MATCH($B47,기본자료!$B$2:$B$1001,0),IFERROR(MATCH($B47&amp;"",기본자료!$B$2:$B$1001,0),IFERROR(MATCH(VALUE($B47),기본자료!$B$2:$B$1001,0),""))))</f>
        <v/>
      </c>
      <c r="AC47" s="10">
        <f>IF($B47="","",IFERROR(MATCH($B47,인턴근무계획!$D$3:$D$62,0),IFERROR(MATCH($B47&amp;"",인턴근무계획!$D$3:$D$62,0),IFERROR(MATCH(VALUE($B47),인턴근무계획!$D$3:$D$62,0),""))))</f>
        <v/>
      </c>
      <c r="AD47" s="10">
        <f>IF(OR($AC47="",인턴현황!$G$3=""),"",INDEX(인턴근무계획!$M$3:$R$62,$AC47,인턴현황!$G$3)&amp;"")</f>
        <v/>
      </c>
      <c r="AE47" s="10">
        <f>IF($B47="","",IF($M47&lt;&gt;"",$M47,IF($AF47&lt;&gt;"",IF(LEFT(INDEX(파견수련계획!$R$4:$R$83,$AF47),1)&lt;&gt;"⚠",INDEX(파견수련계획!$R$4:$R$83,$AF47),IF($H47="","",IF(RIGHT($H47,2)="병원",$H47,$H47&amp;"병원"))),IF($H47="","",IF(RIGHT($H47,2)="병원",$H47,$H47&amp;"병원")))))</f>
        <v/>
      </c>
      <c r="AF47" s="10">
        <f>IF(OR($B47="",TRIM($J47&amp;"")=""),"",IFERROR(MATCH(TRIM($J47&amp;"")&amp;"|파견중",파견수련계획!$Y$4:$Y$83,0),IFERROR(MATCH(TRIM($J47&amp;"")&amp;"|파견예정",파견수련계획!$Y$4:$Y$83,0),IFERROR(MATCH(TRIM($J47&amp;"")&amp;"|파견종료",파견수련계획!$Y$4:$Y$83,0),""))))</f>
        <v/>
      </c>
      <c r="AG47" s="10">
        <f>IF($B47="","",IF(AND(IF(OR($AC47="",인턴현황!$K$2=""),"",INDEX(인턴근무계획!$M$3:$R$62,$AC47,인턴현황!$K$2)&amp;"")&lt;&gt;"",LEFT(IF(OR($AC47="",인턴현황!$K$2=""),"",INDEX(인턴근무계획!$M$3:$R$62,$AC47,인턴현황!$K$2)&amp;""),1)&lt;&gt;"⚠"),LEFT(IF(OR($AC47="",인턴현황!$K$2=""),"",INDEX(인턴근무계획!$M$3:$R$62,$AC47,인턴현황!$K$2)&amp;""),FIND(" ",IF(OR($AC47="",인턴현황!$K$2=""),"",INDEX(인턴근무계획!$M$3:$R$62,$AC47,인턴현황!$K$2)&amp;""))-1),$AE47))</f>
        <v/>
      </c>
      <c r="AH47" s="17">
        <f>IF($B47="","",IF(TRIM($J47&amp;"")="",0,SUMPRODUCT((파견수련계획!$Q$4:$Q$83=TRIM($J47&amp;""))*(파견수련계획!$S$4:$S$83="서울병원")*파견수련계획!$W$4:$W$83))+IF($AG47="서울병원",MAX(0,DAY(EOMONTH(요약!$B$3,0))-N($X47)),0))</f>
        <v/>
      </c>
      <c r="AI47" s="17">
        <f>IF($B47="","",IF(TRIM($J47&amp;"")="",0,SUMPRODUCT((파견수련계획!$Q$4:$Q$83=TRIM($J47&amp;""))*(파견수련계획!$S$4:$S$83="구리병원")*파견수련계획!$W$4:$W$83))+IF($AG47="구리병원",MAX(0,DAY(EOMONTH(요약!$B$3,0))-N($X47)),0))</f>
        <v/>
      </c>
      <c r="AJ47" s="10">
        <f>IF(OR($B47="",TRIM($J47&amp;"")=""),"",IFERROR(MATCH(TRIM($J47&amp;"")&amp;"|월",파견수련계획!$Z$4:$Z$83,0),""))</f>
        <v/>
      </c>
      <c r="AK47" s="10">
        <f>IF(OR($B47="",TRIM($J47&amp;"")=""),"",IFERROR(MATCH(TRIM($J47&amp;"")&amp;"|다기관",파견수련계획!$AE$4:$AE$83,0),""))</f>
        <v/>
      </c>
      <c r="AL47" s="10">
        <f>IF($AK47="","","다기관 "&amp;TEXT(INDEX(파견수련계획!$AB$4:$AB$83,$AK47),"yyyy-mm-dd")&amp;"~"&amp;IF(ISNUMBER(INDEX(파견수련계획!$AC$4:$AC$83,$AK47)),TEXT(INDEX(파견수련계획!$AC$4:$AC$83,$AK47),"yyyy-mm-dd"),""))</f>
        <v/>
      </c>
    </row>
    <row r="48">
      <c r="A48" s="10">
        <f>IF(B48="","",ROW()-1)</f>
        <v/>
      </c>
      <c r="B48" s="18" t="n"/>
      <c r="C48" s="10">
        <f>IF($AB48="","",IF(INDEX(기본자료!$C$2:$C$1001,$AB48)="","",INDEX(기본자료!$C$2:$C$1001,$AB48)))</f>
        <v/>
      </c>
      <c r="D48" s="10">
        <f>IF($AB48="","",IF(INDEX(기본자료!$J$2:$J$1001,$AB48)="","",INDEX(기본자료!$J$2:$J$1001,$AB48)))</f>
        <v/>
      </c>
      <c r="E48" s="11">
        <f>IF($AB48="","",IF(INDEX(기본자료!$K$2:$K$1001,$AB48)="","",IF(NOT(ISNUMBER(INDEX(기본자료!$K$2:$K$1001,$AB48))),INDEX(기본자료!$K$2:$K$1001,$AB48),IF(INDEX(기본자료!$K$2:$K$1001,$AB48)&lt;1000000,INDEX(기본자료!$K$2:$K$1001,$AB48),IF(AND(INDEX(기본자료!$K$2:$K$1001,$AB48)&gt;=10000101,INT(MOD(INDEX(기본자료!$K$2:$K$1001,$AB48),10000)/100)&gt;=1,INT(MOD(INDEX(기본자료!$K$2:$K$1001,$AB48),10000)/100)&lt;=12,MOD(INDEX(기본자료!$K$2:$K$1001,$AB48),100)&gt;=1,MOD(INDEX(기본자료!$K$2:$K$1001,$AB48),100)&lt;=31),DATE(INT(INDEX(기본자료!$K$2:$K$1001,$AB48)/10000),INT(MOD(INDEX(기본자료!$K$2:$K$1001,$AB48),10000)/100),MOD(INDEX(기본자료!$K$2:$K$1001,$AB48),100)),INDEX(기본자료!$K$2:$K$1001,$AB48)&amp;"")))))</f>
        <v/>
      </c>
      <c r="F48" s="10">
        <f>IF($AB48="","",IF(INDEX(기본자료!$D$2:$D$1001,$AB48)="","",INDEX(기본자료!$D$2:$D$1001,$AB48)))</f>
        <v/>
      </c>
      <c r="G48" s="10">
        <f>IF($AB48="","",IF(INDEX(기본자료!$E$2:$E$1001,$AB48)="","",INDEX(기본자료!$E$2:$E$1001,$AB48)))</f>
        <v/>
      </c>
      <c r="H48" s="10">
        <f>IF($AB48="","",IF(INDEX(기본자료!$F$2:$F$1001,$AB48)="","",INDEX(기본자료!$F$2:$F$1001,$AB48)))</f>
        <v/>
      </c>
      <c r="I48" s="11">
        <f>IF($AB48="","",IF(INDEX(기본자료!$G$2:$G$1001,$AB48)="","",IF(NOT(ISNUMBER(INDEX(기본자료!$G$2:$G$1001,$AB48))),INDEX(기본자료!$G$2:$G$1001,$AB48),IF(INDEX(기본자료!$G$2:$G$1001,$AB48)&lt;1000000,INDEX(기본자료!$G$2:$G$1001,$AB48),IF(AND(INDEX(기본자료!$G$2:$G$1001,$AB48)&gt;=10000101,INT(MOD(INDEX(기본자료!$G$2:$G$1001,$AB48),10000)/100)&gt;=1,INT(MOD(INDEX(기본자료!$G$2:$G$1001,$AB48),10000)/100)&lt;=12,MOD(INDEX(기본자료!$G$2:$G$1001,$AB48),100)&gt;=1,MOD(INDEX(기본자료!$G$2:$G$1001,$AB48),100)&lt;=31),DATE(INT(INDEX(기본자료!$G$2:$G$1001,$AB48)/10000),INT(MOD(INDEX(기본자료!$G$2:$G$1001,$AB48),10000)/100),MOD(INDEX(기본자료!$G$2:$G$1001,$AB48),100)),INDEX(기본자료!$G$2:$G$1001,$AB48)&amp;"")))))</f>
        <v/>
      </c>
      <c r="J48" s="10">
        <f>IF($AB48="","",IF(INDEX(기본자료!$H$2:$H$1001,$AB48)="","",INDEX(기본자료!$H$2:$H$1001,$AB48)))</f>
        <v/>
      </c>
      <c r="K48" s="10">
        <f>IF($AB48="","",IF(INDEX(기본자료!$I$2:$I$1001,$AB48)="","",INDEX(기본자료!$I$2:$I$1001,$AB48)))</f>
        <v/>
      </c>
      <c r="L48" s="10">
        <f>IF($AB48="","",IF(INDEX(기본자료!$A$2:$A$1001,$AB48)="","",INDEX(기본자료!$A$2:$A$1001,$AB48)))</f>
        <v/>
      </c>
      <c r="M48" s="15" t="n"/>
      <c r="N48" s="10">
        <f>IF($B48="","",IF(AND($U48="파견중",$Q48&lt;&gt;""),$Q48,IF(AND($AD48&lt;&gt;"",LEFT($AD48,1)&lt;&gt;"⚠"),LEFT($AD48,FIND(" ",$AD48)-1),IF($H48="","",IF(RIGHT($H48,2)="병원",$H48,$H48&amp;"병원")))))</f>
        <v/>
      </c>
      <c r="O48" s="10">
        <f>IF($B48="","",IF(AND($U48="파견중",$Q48&lt;&gt;""),IF($R48&lt;&gt;"",$R48,"파견과 미입력"),IF(AND($AD48&lt;&gt;"",LEFT($AD48,1)&lt;&gt;"⚠"),MID($AD48,FIND(" ",$AD48)+1,60),IF($F48="","",IF($F48="인턴","수련교육부(인턴)",$F48)))))</f>
        <v/>
      </c>
      <c r="P48" s="10">
        <f>IF($B48="","",IF($AK48&lt;&gt;"",IF(AND(TODAY()&gt;=INDEX(파견수련계획!$AB$4:$AB$83,$AK48),OR(NOT(ISNUMBER(INDEX(파견수련계획!$AC$4:$AC$83,$AK48))),TODAY()&lt;=INDEX(파견수련계획!$AC$4:$AC$83,$AK48))),"다기관",IF($AF48="","",INDEX(파견수련계획!$T$4:$T$83,$AF48))),IF($AF48="","",INDEX(파견수련계획!$T$4:$T$83,$AF48))))</f>
        <v/>
      </c>
      <c r="Q48" s="10">
        <f>IF($AF48="","",INDEX(파견수련계획!$S$4:$S$83,$AF48))</f>
        <v/>
      </c>
      <c r="R48" s="10">
        <f>IF($AF48="","",INDEX(파견수련계획!$U$4:$U$83,$AF48))</f>
        <v/>
      </c>
      <c r="S48" s="11">
        <f>IF($AF48="","",IF(INDEX(파견수련계획!$H$4:$H$83,$AF48)="","",INDEX(파견수련계획!$H$4:$H$83,$AF48)))</f>
        <v/>
      </c>
      <c r="T48" s="11">
        <f>IF($AF48="","",IF(INDEX(파견수련계획!$I$4:$I$83,$AF48)="","",INDEX(파견수련계획!$I$4:$I$83,$AF48)))</f>
        <v/>
      </c>
      <c r="U48" s="10">
        <f>IF($AF48="","",INDEX(파견수련계획!$X$4:$X$83,$AF48))</f>
        <v/>
      </c>
      <c r="V48" s="17">
        <f>IF($AF48="","",INDEX(파견수련계획!$V$4:$V$83,$AF48))</f>
        <v/>
      </c>
      <c r="W48" s="17">
        <f>IF(AND($U48="파견중",$T48&lt;&gt;""),$T48-TODAY(),"")</f>
        <v/>
      </c>
      <c r="X48" s="17">
        <f>IF(OR($B48="",TRIM($J48&amp;"")=""),"",SUMPRODUCT((파견수련계획!$Q$4:$Q$83=TRIM($J48&amp;""))*파견수련계획!$W$4:$W$83))</f>
        <v/>
      </c>
      <c r="Y48" s="10">
        <f>IF($B48="","",IF($AG48="","",IF(IF(TRIM($J48&amp;"")="",0,SUMPRODUCT((파견수련계획!$Q$4:$Q$83=TRIM($J48&amp;""))*파견수련계획!$AD$4:$AD$83))&gt;0,$AE48,IF(N($X48)&lt;=0,$AG48,IF($AH48+$AI48=DAY(EOMONTH(요약!$B$3,0)),IF(AND($AH48&gt;=요약!$E$3,$AI48&lt;요약!$E$3),"서울병원",IF(AND($AI48&gt;=요약!$E$3,$AH48&lt;요약!$E$3),"구리병원","⚠15일 판정불가(서울 "&amp;$AH48&amp;"일/구리 "&amp;$AI48&amp;"일)")),IF($AJ48="",$AE48,IF(INDEX(파견수련계획!$T$4:$T$83,$AJ48)="통합수련",INDEX(파견수련계획!$S$4:$S$83,$AJ48),$AE48)))))))</f>
        <v/>
      </c>
      <c r="Z48" s="19">
        <f>IF($B48="","",IF($AB48="","기본자료에 없는 사번",IF(COUNTIF($B$2:$B$401,$B48)&gt;1,"중복 사번",IF($AE48="","소속(입사장소) 입력",IF(IF(TRIM($J48&amp;"")="",0,SUMPRODUCT((파견수련계획!$Q$4:$Q$83=TRIM($J48&amp;""))*(파견수련계획!$AA$4:$AA$83&lt;&gt;"")))&gt;0,"파견수련계획 입력오류 확인",IF(LEFT($Y48,1)="⚠","서울·구리 15일 판정 불가(양쪽 모두 이상/미만)",IF(IF($AC48="",0,N(INDEX(인턴근무계획!$T$3:$T$62,$AC48)))&gt;0,"인턴계획 입력오류 확인",IF(AND($AC48&lt;&gt;"",$U48&lt;&gt;"파견중",$N48&lt;&gt;$AE48),"인턴 타지역 근무: 파견 여부 확인","정상"))))))))</f>
        <v/>
      </c>
      <c r="AA48" s="5" t="n"/>
      <c r="AB48" s="10">
        <f>IF($B48="","",IFERROR(MATCH($B48,기본자료!$B$2:$B$1001,0),IFERROR(MATCH($B48&amp;"",기본자료!$B$2:$B$1001,0),IFERROR(MATCH(VALUE($B48),기본자료!$B$2:$B$1001,0),""))))</f>
        <v/>
      </c>
      <c r="AC48" s="10">
        <f>IF($B48="","",IFERROR(MATCH($B48,인턴근무계획!$D$3:$D$62,0),IFERROR(MATCH($B48&amp;"",인턴근무계획!$D$3:$D$62,0),IFERROR(MATCH(VALUE($B48),인턴근무계획!$D$3:$D$62,0),""))))</f>
        <v/>
      </c>
      <c r="AD48" s="10">
        <f>IF(OR($AC48="",인턴현황!$G$3=""),"",INDEX(인턴근무계획!$M$3:$R$62,$AC48,인턴현황!$G$3)&amp;"")</f>
        <v/>
      </c>
      <c r="AE48" s="10">
        <f>IF($B48="","",IF($M48&lt;&gt;"",$M48,IF($AF48&lt;&gt;"",IF(LEFT(INDEX(파견수련계획!$R$4:$R$83,$AF48),1)&lt;&gt;"⚠",INDEX(파견수련계획!$R$4:$R$83,$AF48),IF($H48="","",IF(RIGHT($H48,2)="병원",$H48,$H48&amp;"병원"))),IF($H48="","",IF(RIGHT($H48,2)="병원",$H48,$H48&amp;"병원")))))</f>
        <v/>
      </c>
      <c r="AF48" s="10">
        <f>IF(OR($B48="",TRIM($J48&amp;"")=""),"",IFERROR(MATCH(TRIM($J48&amp;"")&amp;"|파견중",파견수련계획!$Y$4:$Y$83,0),IFERROR(MATCH(TRIM($J48&amp;"")&amp;"|파견예정",파견수련계획!$Y$4:$Y$83,0),IFERROR(MATCH(TRIM($J48&amp;"")&amp;"|파견종료",파견수련계획!$Y$4:$Y$83,0),""))))</f>
        <v/>
      </c>
      <c r="AG48" s="10">
        <f>IF($B48="","",IF(AND(IF(OR($AC48="",인턴현황!$K$2=""),"",INDEX(인턴근무계획!$M$3:$R$62,$AC48,인턴현황!$K$2)&amp;"")&lt;&gt;"",LEFT(IF(OR($AC48="",인턴현황!$K$2=""),"",INDEX(인턴근무계획!$M$3:$R$62,$AC48,인턴현황!$K$2)&amp;""),1)&lt;&gt;"⚠"),LEFT(IF(OR($AC48="",인턴현황!$K$2=""),"",INDEX(인턴근무계획!$M$3:$R$62,$AC48,인턴현황!$K$2)&amp;""),FIND(" ",IF(OR($AC48="",인턴현황!$K$2=""),"",INDEX(인턴근무계획!$M$3:$R$62,$AC48,인턴현황!$K$2)&amp;""))-1),$AE48))</f>
        <v/>
      </c>
      <c r="AH48" s="17">
        <f>IF($B48="","",IF(TRIM($J48&amp;"")="",0,SUMPRODUCT((파견수련계획!$Q$4:$Q$83=TRIM($J48&amp;""))*(파견수련계획!$S$4:$S$83="서울병원")*파견수련계획!$W$4:$W$83))+IF($AG48="서울병원",MAX(0,DAY(EOMONTH(요약!$B$3,0))-N($X48)),0))</f>
        <v/>
      </c>
      <c r="AI48" s="17">
        <f>IF($B48="","",IF(TRIM($J48&amp;"")="",0,SUMPRODUCT((파견수련계획!$Q$4:$Q$83=TRIM($J48&amp;""))*(파견수련계획!$S$4:$S$83="구리병원")*파견수련계획!$W$4:$W$83))+IF($AG48="구리병원",MAX(0,DAY(EOMONTH(요약!$B$3,0))-N($X48)),0))</f>
        <v/>
      </c>
      <c r="AJ48" s="10">
        <f>IF(OR($B48="",TRIM($J48&amp;"")=""),"",IFERROR(MATCH(TRIM($J48&amp;"")&amp;"|월",파견수련계획!$Z$4:$Z$83,0),""))</f>
        <v/>
      </c>
      <c r="AK48" s="10">
        <f>IF(OR($B48="",TRIM($J48&amp;"")=""),"",IFERROR(MATCH(TRIM($J48&amp;"")&amp;"|다기관",파견수련계획!$AE$4:$AE$83,0),""))</f>
        <v/>
      </c>
      <c r="AL48" s="10">
        <f>IF($AK48="","","다기관 "&amp;TEXT(INDEX(파견수련계획!$AB$4:$AB$83,$AK48),"yyyy-mm-dd")&amp;"~"&amp;IF(ISNUMBER(INDEX(파견수련계획!$AC$4:$AC$83,$AK48)),TEXT(INDEX(파견수련계획!$AC$4:$AC$83,$AK48),"yyyy-mm-dd"),""))</f>
        <v/>
      </c>
    </row>
    <row r="49">
      <c r="A49" s="10">
        <f>IF(B49="","",ROW()-1)</f>
        <v/>
      </c>
      <c r="B49" s="18" t="n"/>
      <c r="C49" s="10">
        <f>IF($AB49="","",IF(INDEX(기본자료!$C$2:$C$1001,$AB49)="","",INDEX(기본자료!$C$2:$C$1001,$AB49)))</f>
        <v/>
      </c>
      <c r="D49" s="10">
        <f>IF($AB49="","",IF(INDEX(기본자료!$J$2:$J$1001,$AB49)="","",INDEX(기본자료!$J$2:$J$1001,$AB49)))</f>
        <v/>
      </c>
      <c r="E49" s="11">
        <f>IF($AB49="","",IF(INDEX(기본자료!$K$2:$K$1001,$AB49)="","",IF(NOT(ISNUMBER(INDEX(기본자료!$K$2:$K$1001,$AB49))),INDEX(기본자료!$K$2:$K$1001,$AB49),IF(INDEX(기본자료!$K$2:$K$1001,$AB49)&lt;1000000,INDEX(기본자료!$K$2:$K$1001,$AB49),IF(AND(INDEX(기본자료!$K$2:$K$1001,$AB49)&gt;=10000101,INT(MOD(INDEX(기본자료!$K$2:$K$1001,$AB49),10000)/100)&gt;=1,INT(MOD(INDEX(기본자료!$K$2:$K$1001,$AB49),10000)/100)&lt;=12,MOD(INDEX(기본자료!$K$2:$K$1001,$AB49),100)&gt;=1,MOD(INDEX(기본자료!$K$2:$K$1001,$AB49),100)&lt;=31),DATE(INT(INDEX(기본자료!$K$2:$K$1001,$AB49)/10000),INT(MOD(INDEX(기본자료!$K$2:$K$1001,$AB49),10000)/100),MOD(INDEX(기본자료!$K$2:$K$1001,$AB49),100)),INDEX(기본자료!$K$2:$K$1001,$AB49)&amp;"")))))</f>
        <v/>
      </c>
      <c r="F49" s="10">
        <f>IF($AB49="","",IF(INDEX(기본자료!$D$2:$D$1001,$AB49)="","",INDEX(기본자료!$D$2:$D$1001,$AB49)))</f>
        <v/>
      </c>
      <c r="G49" s="10">
        <f>IF($AB49="","",IF(INDEX(기본자료!$E$2:$E$1001,$AB49)="","",INDEX(기본자료!$E$2:$E$1001,$AB49)))</f>
        <v/>
      </c>
      <c r="H49" s="10">
        <f>IF($AB49="","",IF(INDEX(기본자료!$F$2:$F$1001,$AB49)="","",INDEX(기본자료!$F$2:$F$1001,$AB49)))</f>
        <v/>
      </c>
      <c r="I49" s="11">
        <f>IF($AB49="","",IF(INDEX(기본자료!$G$2:$G$1001,$AB49)="","",IF(NOT(ISNUMBER(INDEX(기본자료!$G$2:$G$1001,$AB49))),INDEX(기본자료!$G$2:$G$1001,$AB49),IF(INDEX(기본자료!$G$2:$G$1001,$AB49)&lt;1000000,INDEX(기본자료!$G$2:$G$1001,$AB49),IF(AND(INDEX(기본자료!$G$2:$G$1001,$AB49)&gt;=10000101,INT(MOD(INDEX(기본자료!$G$2:$G$1001,$AB49),10000)/100)&gt;=1,INT(MOD(INDEX(기본자료!$G$2:$G$1001,$AB49),10000)/100)&lt;=12,MOD(INDEX(기본자료!$G$2:$G$1001,$AB49),100)&gt;=1,MOD(INDEX(기본자료!$G$2:$G$1001,$AB49),100)&lt;=31),DATE(INT(INDEX(기본자료!$G$2:$G$1001,$AB49)/10000),INT(MOD(INDEX(기본자료!$G$2:$G$1001,$AB49),10000)/100),MOD(INDEX(기본자료!$G$2:$G$1001,$AB49),100)),INDEX(기본자료!$G$2:$G$1001,$AB49)&amp;"")))))</f>
        <v/>
      </c>
      <c r="J49" s="10">
        <f>IF($AB49="","",IF(INDEX(기본자료!$H$2:$H$1001,$AB49)="","",INDEX(기본자료!$H$2:$H$1001,$AB49)))</f>
        <v/>
      </c>
      <c r="K49" s="10">
        <f>IF($AB49="","",IF(INDEX(기본자료!$I$2:$I$1001,$AB49)="","",INDEX(기본자료!$I$2:$I$1001,$AB49)))</f>
        <v/>
      </c>
      <c r="L49" s="10">
        <f>IF($AB49="","",IF(INDEX(기본자료!$A$2:$A$1001,$AB49)="","",INDEX(기본자료!$A$2:$A$1001,$AB49)))</f>
        <v/>
      </c>
      <c r="M49" s="15" t="n"/>
      <c r="N49" s="10">
        <f>IF($B49="","",IF(AND($U49="파견중",$Q49&lt;&gt;""),$Q49,IF(AND($AD49&lt;&gt;"",LEFT($AD49,1)&lt;&gt;"⚠"),LEFT($AD49,FIND(" ",$AD49)-1),IF($H49="","",IF(RIGHT($H49,2)="병원",$H49,$H49&amp;"병원")))))</f>
        <v/>
      </c>
      <c r="O49" s="10">
        <f>IF($B49="","",IF(AND($U49="파견중",$Q49&lt;&gt;""),IF($R49&lt;&gt;"",$R49,"파견과 미입력"),IF(AND($AD49&lt;&gt;"",LEFT($AD49,1)&lt;&gt;"⚠"),MID($AD49,FIND(" ",$AD49)+1,60),IF($F49="","",IF($F49="인턴","수련교육부(인턴)",$F49)))))</f>
        <v/>
      </c>
      <c r="P49" s="10">
        <f>IF($B49="","",IF($AK49&lt;&gt;"",IF(AND(TODAY()&gt;=INDEX(파견수련계획!$AB$4:$AB$83,$AK49),OR(NOT(ISNUMBER(INDEX(파견수련계획!$AC$4:$AC$83,$AK49))),TODAY()&lt;=INDEX(파견수련계획!$AC$4:$AC$83,$AK49))),"다기관",IF($AF49="","",INDEX(파견수련계획!$T$4:$T$83,$AF49))),IF($AF49="","",INDEX(파견수련계획!$T$4:$T$83,$AF49))))</f>
        <v/>
      </c>
      <c r="Q49" s="10">
        <f>IF($AF49="","",INDEX(파견수련계획!$S$4:$S$83,$AF49))</f>
        <v/>
      </c>
      <c r="R49" s="10">
        <f>IF($AF49="","",INDEX(파견수련계획!$U$4:$U$83,$AF49))</f>
        <v/>
      </c>
      <c r="S49" s="11">
        <f>IF($AF49="","",IF(INDEX(파견수련계획!$H$4:$H$83,$AF49)="","",INDEX(파견수련계획!$H$4:$H$83,$AF49)))</f>
        <v/>
      </c>
      <c r="T49" s="11">
        <f>IF($AF49="","",IF(INDEX(파견수련계획!$I$4:$I$83,$AF49)="","",INDEX(파견수련계획!$I$4:$I$83,$AF49)))</f>
        <v/>
      </c>
      <c r="U49" s="10">
        <f>IF($AF49="","",INDEX(파견수련계획!$X$4:$X$83,$AF49))</f>
        <v/>
      </c>
      <c r="V49" s="17">
        <f>IF($AF49="","",INDEX(파견수련계획!$V$4:$V$83,$AF49))</f>
        <v/>
      </c>
      <c r="W49" s="17">
        <f>IF(AND($U49="파견중",$T49&lt;&gt;""),$T49-TODAY(),"")</f>
        <v/>
      </c>
      <c r="X49" s="17">
        <f>IF(OR($B49="",TRIM($J49&amp;"")=""),"",SUMPRODUCT((파견수련계획!$Q$4:$Q$83=TRIM($J49&amp;""))*파견수련계획!$W$4:$W$83))</f>
        <v/>
      </c>
      <c r="Y49" s="10">
        <f>IF($B49="","",IF($AG49="","",IF(IF(TRIM($J49&amp;"")="",0,SUMPRODUCT((파견수련계획!$Q$4:$Q$83=TRIM($J49&amp;""))*파견수련계획!$AD$4:$AD$83))&gt;0,$AE49,IF(N($X49)&lt;=0,$AG49,IF($AH49+$AI49=DAY(EOMONTH(요약!$B$3,0)),IF(AND($AH49&gt;=요약!$E$3,$AI49&lt;요약!$E$3),"서울병원",IF(AND($AI49&gt;=요약!$E$3,$AH49&lt;요약!$E$3),"구리병원","⚠15일 판정불가(서울 "&amp;$AH49&amp;"일/구리 "&amp;$AI49&amp;"일)")),IF($AJ49="",$AE49,IF(INDEX(파견수련계획!$T$4:$T$83,$AJ49)="통합수련",INDEX(파견수련계획!$S$4:$S$83,$AJ49),$AE49)))))))</f>
        <v/>
      </c>
      <c r="Z49" s="19">
        <f>IF($B49="","",IF($AB49="","기본자료에 없는 사번",IF(COUNTIF($B$2:$B$401,$B49)&gt;1,"중복 사번",IF($AE49="","소속(입사장소) 입력",IF(IF(TRIM($J49&amp;"")="",0,SUMPRODUCT((파견수련계획!$Q$4:$Q$83=TRIM($J49&amp;""))*(파견수련계획!$AA$4:$AA$83&lt;&gt;"")))&gt;0,"파견수련계획 입력오류 확인",IF(LEFT($Y49,1)="⚠","서울·구리 15일 판정 불가(양쪽 모두 이상/미만)",IF(IF($AC49="",0,N(INDEX(인턴근무계획!$T$3:$T$62,$AC49)))&gt;0,"인턴계획 입력오류 확인",IF(AND($AC49&lt;&gt;"",$U49&lt;&gt;"파견중",$N49&lt;&gt;$AE49),"인턴 타지역 근무: 파견 여부 확인","정상"))))))))</f>
        <v/>
      </c>
      <c r="AA49" s="5" t="n"/>
      <c r="AB49" s="10">
        <f>IF($B49="","",IFERROR(MATCH($B49,기본자료!$B$2:$B$1001,0),IFERROR(MATCH($B49&amp;"",기본자료!$B$2:$B$1001,0),IFERROR(MATCH(VALUE($B49),기본자료!$B$2:$B$1001,0),""))))</f>
        <v/>
      </c>
      <c r="AC49" s="10">
        <f>IF($B49="","",IFERROR(MATCH($B49,인턴근무계획!$D$3:$D$62,0),IFERROR(MATCH($B49&amp;"",인턴근무계획!$D$3:$D$62,0),IFERROR(MATCH(VALUE($B49),인턴근무계획!$D$3:$D$62,0),""))))</f>
        <v/>
      </c>
      <c r="AD49" s="10">
        <f>IF(OR($AC49="",인턴현황!$G$3=""),"",INDEX(인턴근무계획!$M$3:$R$62,$AC49,인턴현황!$G$3)&amp;"")</f>
        <v/>
      </c>
      <c r="AE49" s="10">
        <f>IF($B49="","",IF($M49&lt;&gt;"",$M49,IF($AF49&lt;&gt;"",IF(LEFT(INDEX(파견수련계획!$R$4:$R$83,$AF49),1)&lt;&gt;"⚠",INDEX(파견수련계획!$R$4:$R$83,$AF49),IF($H49="","",IF(RIGHT($H49,2)="병원",$H49,$H49&amp;"병원"))),IF($H49="","",IF(RIGHT($H49,2)="병원",$H49,$H49&amp;"병원")))))</f>
        <v/>
      </c>
      <c r="AF49" s="10">
        <f>IF(OR($B49="",TRIM($J49&amp;"")=""),"",IFERROR(MATCH(TRIM($J49&amp;"")&amp;"|파견중",파견수련계획!$Y$4:$Y$83,0),IFERROR(MATCH(TRIM($J49&amp;"")&amp;"|파견예정",파견수련계획!$Y$4:$Y$83,0),IFERROR(MATCH(TRIM($J49&amp;"")&amp;"|파견종료",파견수련계획!$Y$4:$Y$83,0),""))))</f>
        <v/>
      </c>
      <c r="AG49" s="10">
        <f>IF($B49="","",IF(AND(IF(OR($AC49="",인턴현황!$K$2=""),"",INDEX(인턴근무계획!$M$3:$R$62,$AC49,인턴현황!$K$2)&amp;"")&lt;&gt;"",LEFT(IF(OR($AC49="",인턴현황!$K$2=""),"",INDEX(인턴근무계획!$M$3:$R$62,$AC49,인턴현황!$K$2)&amp;""),1)&lt;&gt;"⚠"),LEFT(IF(OR($AC49="",인턴현황!$K$2=""),"",INDEX(인턴근무계획!$M$3:$R$62,$AC49,인턴현황!$K$2)&amp;""),FIND(" ",IF(OR($AC49="",인턴현황!$K$2=""),"",INDEX(인턴근무계획!$M$3:$R$62,$AC49,인턴현황!$K$2)&amp;""))-1),$AE49))</f>
        <v/>
      </c>
      <c r="AH49" s="17">
        <f>IF($B49="","",IF(TRIM($J49&amp;"")="",0,SUMPRODUCT((파견수련계획!$Q$4:$Q$83=TRIM($J49&amp;""))*(파견수련계획!$S$4:$S$83="서울병원")*파견수련계획!$W$4:$W$83))+IF($AG49="서울병원",MAX(0,DAY(EOMONTH(요약!$B$3,0))-N($X49)),0))</f>
        <v/>
      </c>
      <c r="AI49" s="17">
        <f>IF($B49="","",IF(TRIM($J49&amp;"")="",0,SUMPRODUCT((파견수련계획!$Q$4:$Q$83=TRIM($J49&amp;""))*(파견수련계획!$S$4:$S$83="구리병원")*파견수련계획!$W$4:$W$83))+IF($AG49="구리병원",MAX(0,DAY(EOMONTH(요약!$B$3,0))-N($X49)),0))</f>
        <v/>
      </c>
      <c r="AJ49" s="10">
        <f>IF(OR($B49="",TRIM($J49&amp;"")=""),"",IFERROR(MATCH(TRIM($J49&amp;"")&amp;"|월",파견수련계획!$Z$4:$Z$83,0),""))</f>
        <v/>
      </c>
      <c r="AK49" s="10">
        <f>IF(OR($B49="",TRIM($J49&amp;"")=""),"",IFERROR(MATCH(TRIM($J49&amp;"")&amp;"|다기관",파견수련계획!$AE$4:$AE$83,0),""))</f>
        <v/>
      </c>
      <c r="AL49" s="10">
        <f>IF($AK49="","","다기관 "&amp;TEXT(INDEX(파견수련계획!$AB$4:$AB$83,$AK49),"yyyy-mm-dd")&amp;"~"&amp;IF(ISNUMBER(INDEX(파견수련계획!$AC$4:$AC$83,$AK49)),TEXT(INDEX(파견수련계획!$AC$4:$AC$83,$AK49),"yyyy-mm-dd"),""))</f>
        <v/>
      </c>
    </row>
    <row r="50">
      <c r="A50" s="10">
        <f>IF(B50="","",ROW()-1)</f>
        <v/>
      </c>
      <c r="B50" s="18" t="n"/>
      <c r="C50" s="10">
        <f>IF($AB50="","",IF(INDEX(기본자료!$C$2:$C$1001,$AB50)="","",INDEX(기본자료!$C$2:$C$1001,$AB50)))</f>
        <v/>
      </c>
      <c r="D50" s="10">
        <f>IF($AB50="","",IF(INDEX(기본자료!$J$2:$J$1001,$AB50)="","",INDEX(기본자료!$J$2:$J$1001,$AB50)))</f>
        <v/>
      </c>
      <c r="E50" s="11">
        <f>IF($AB50="","",IF(INDEX(기본자료!$K$2:$K$1001,$AB50)="","",IF(NOT(ISNUMBER(INDEX(기본자료!$K$2:$K$1001,$AB50))),INDEX(기본자료!$K$2:$K$1001,$AB50),IF(INDEX(기본자료!$K$2:$K$1001,$AB50)&lt;1000000,INDEX(기본자료!$K$2:$K$1001,$AB50),IF(AND(INDEX(기본자료!$K$2:$K$1001,$AB50)&gt;=10000101,INT(MOD(INDEX(기본자료!$K$2:$K$1001,$AB50),10000)/100)&gt;=1,INT(MOD(INDEX(기본자료!$K$2:$K$1001,$AB50),10000)/100)&lt;=12,MOD(INDEX(기본자료!$K$2:$K$1001,$AB50),100)&gt;=1,MOD(INDEX(기본자료!$K$2:$K$1001,$AB50),100)&lt;=31),DATE(INT(INDEX(기본자료!$K$2:$K$1001,$AB50)/10000),INT(MOD(INDEX(기본자료!$K$2:$K$1001,$AB50),10000)/100),MOD(INDEX(기본자료!$K$2:$K$1001,$AB50),100)),INDEX(기본자료!$K$2:$K$1001,$AB50)&amp;"")))))</f>
        <v/>
      </c>
      <c r="F50" s="10">
        <f>IF($AB50="","",IF(INDEX(기본자료!$D$2:$D$1001,$AB50)="","",INDEX(기본자료!$D$2:$D$1001,$AB50)))</f>
        <v/>
      </c>
      <c r="G50" s="10">
        <f>IF($AB50="","",IF(INDEX(기본자료!$E$2:$E$1001,$AB50)="","",INDEX(기본자료!$E$2:$E$1001,$AB50)))</f>
        <v/>
      </c>
      <c r="H50" s="10">
        <f>IF($AB50="","",IF(INDEX(기본자료!$F$2:$F$1001,$AB50)="","",INDEX(기본자료!$F$2:$F$1001,$AB50)))</f>
        <v/>
      </c>
      <c r="I50" s="11">
        <f>IF($AB50="","",IF(INDEX(기본자료!$G$2:$G$1001,$AB50)="","",IF(NOT(ISNUMBER(INDEX(기본자료!$G$2:$G$1001,$AB50))),INDEX(기본자료!$G$2:$G$1001,$AB50),IF(INDEX(기본자료!$G$2:$G$1001,$AB50)&lt;1000000,INDEX(기본자료!$G$2:$G$1001,$AB50),IF(AND(INDEX(기본자료!$G$2:$G$1001,$AB50)&gt;=10000101,INT(MOD(INDEX(기본자료!$G$2:$G$1001,$AB50),10000)/100)&gt;=1,INT(MOD(INDEX(기본자료!$G$2:$G$1001,$AB50),10000)/100)&lt;=12,MOD(INDEX(기본자료!$G$2:$G$1001,$AB50),100)&gt;=1,MOD(INDEX(기본자료!$G$2:$G$1001,$AB50),100)&lt;=31),DATE(INT(INDEX(기본자료!$G$2:$G$1001,$AB50)/10000),INT(MOD(INDEX(기본자료!$G$2:$G$1001,$AB50),10000)/100),MOD(INDEX(기본자료!$G$2:$G$1001,$AB50),100)),INDEX(기본자료!$G$2:$G$1001,$AB50)&amp;"")))))</f>
        <v/>
      </c>
      <c r="J50" s="10">
        <f>IF($AB50="","",IF(INDEX(기본자료!$H$2:$H$1001,$AB50)="","",INDEX(기본자료!$H$2:$H$1001,$AB50)))</f>
        <v/>
      </c>
      <c r="K50" s="10">
        <f>IF($AB50="","",IF(INDEX(기본자료!$I$2:$I$1001,$AB50)="","",INDEX(기본자료!$I$2:$I$1001,$AB50)))</f>
        <v/>
      </c>
      <c r="L50" s="10">
        <f>IF($AB50="","",IF(INDEX(기본자료!$A$2:$A$1001,$AB50)="","",INDEX(기본자료!$A$2:$A$1001,$AB50)))</f>
        <v/>
      </c>
      <c r="M50" s="15" t="n"/>
      <c r="N50" s="10">
        <f>IF($B50="","",IF(AND($U50="파견중",$Q50&lt;&gt;""),$Q50,IF(AND($AD50&lt;&gt;"",LEFT($AD50,1)&lt;&gt;"⚠"),LEFT($AD50,FIND(" ",$AD50)-1),IF($H50="","",IF(RIGHT($H50,2)="병원",$H50,$H50&amp;"병원")))))</f>
        <v/>
      </c>
      <c r="O50" s="10">
        <f>IF($B50="","",IF(AND($U50="파견중",$Q50&lt;&gt;""),IF($R50&lt;&gt;"",$R50,"파견과 미입력"),IF(AND($AD50&lt;&gt;"",LEFT($AD50,1)&lt;&gt;"⚠"),MID($AD50,FIND(" ",$AD50)+1,60),IF($F50="","",IF($F50="인턴","수련교육부(인턴)",$F50)))))</f>
        <v/>
      </c>
      <c r="P50" s="10">
        <f>IF($B50="","",IF($AK50&lt;&gt;"",IF(AND(TODAY()&gt;=INDEX(파견수련계획!$AB$4:$AB$83,$AK50),OR(NOT(ISNUMBER(INDEX(파견수련계획!$AC$4:$AC$83,$AK50))),TODAY()&lt;=INDEX(파견수련계획!$AC$4:$AC$83,$AK50))),"다기관",IF($AF50="","",INDEX(파견수련계획!$T$4:$T$83,$AF50))),IF($AF50="","",INDEX(파견수련계획!$T$4:$T$83,$AF50))))</f>
        <v/>
      </c>
      <c r="Q50" s="10">
        <f>IF($AF50="","",INDEX(파견수련계획!$S$4:$S$83,$AF50))</f>
        <v/>
      </c>
      <c r="R50" s="10">
        <f>IF($AF50="","",INDEX(파견수련계획!$U$4:$U$83,$AF50))</f>
        <v/>
      </c>
      <c r="S50" s="11">
        <f>IF($AF50="","",IF(INDEX(파견수련계획!$H$4:$H$83,$AF50)="","",INDEX(파견수련계획!$H$4:$H$83,$AF50)))</f>
        <v/>
      </c>
      <c r="T50" s="11">
        <f>IF($AF50="","",IF(INDEX(파견수련계획!$I$4:$I$83,$AF50)="","",INDEX(파견수련계획!$I$4:$I$83,$AF50)))</f>
        <v/>
      </c>
      <c r="U50" s="10">
        <f>IF($AF50="","",INDEX(파견수련계획!$X$4:$X$83,$AF50))</f>
        <v/>
      </c>
      <c r="V50" s="17">
        <f>IF($AF50="","",INDEX(파견수련계획!$V$4:$V$83,$AF50))</f>
        <v/>
      </c>
      <c r="W50" s="17">
        <f>IF(AND($U50="파견중",$T50&lt;&gt;""),$T50-TODAY(),"")</f>
        <v/>
      </c>
      <c r="X50" s="17">
        <f>IF(OR($B50="",TRIM($J50&amp;"")=""),"",SUMPRODUCT((파견수련계획!$Q$4:$Q$83=TRIM($J50&amp;""))*파견수련계획!$W$4:$W$83))</f>
        <v/>
      </c>
      <c r="Y50" s="10">
        <f>IF($B50="","",IF($AG50="","",IF(IF(TRIM($J50&amp;"")="",0,SUMPRODUCT((파견수련계획!$Q$4:$Q$83=TRIM($J50&amp;""))*파견수련계획!$AD$4:$AD$83))&gt;0,$AE50,IF(N($X50)&lt;=0,$AG50,IF($AH50+$AI50=DAY(EOMONTH(요약!$B$3,0)),IF(AND($AH50&gt;=요약!$E$3,$AI50&lt;요약!$E$3),"서울병원",IF(AND($AI50&gt;=요약!$E$3,$AH50&lt;요약!$E$3),"구리병원","⚠15일 판정불가(서울 "&amp;$AH50&amp;"일/구리 "&amp;$AI50&amp;"일)")),IF($AJ50="",$AE50,IF(INDEX(파견수련계획!$T$4:$T$83,$AJ50)="통합수련",INDEX(파견수련계획!$S$4:$S$83,$AJ50),$AE50)))))))</f>
        <v/>
      </c>
      <c r="Z50" s="19">
        <f>IF($B50="","",IF($AB50="","기본자료에 없는 사번",IF(COUNTIF($B$2:$B$401,$B50)&gt;1,"중복 사번",IF($AE50="","소속(입사장소) 입력",IF(IF(TRIM($J50&amp;"")="",0,SUMPRODUCT((파견수련계획!$Q$4:$Q$83=TRIM($J50&amp;""))*(파견수련계획!$AA$4:$AA$83&lt;&gt;"")))&gt;0,"파견수련계획 입력오류 확인",IF(LEFT($Y50,1)="⚠","서울·구리 15일 판정 불가(양쪽 모두 이상/미만)",IF(IF($AC50="",0,N(INDEX(인턴근무계획!$T$3:$T$62,$AC50)))&gt;0,"인턴계획 입력오류 확인",IF(AND($AC50&lt;&gt;"",$U50&lt;&gt;"파견중",$N50&lt;&gt;$AE50),"인턴 타지역 근무: 파견 여부 확인","정상"))))))))</f>
        <v/>
      </c>
      <c r="AA50" s="5" t="n"/>
      <c r="AB50" s="10">
        <f>IF($B50="","",IFERROR(MATCH($B50,기본자료!$B$2:$B$1001,0),IFERROR(MATCH($B50&amp;"",기본자료!$B$2:$B$1001,0),IFERROR(MATCH(VALUE($B50),기본자료!$B$2:$B$1001,0),""))))</f>
        <v/>
      </c>
      <c r="AC50" s="10">
        <f>IF($B50="","",IFERROR(MATCH($B50,인턴근무계획!$D$3:$D$62,0),IFERROR(MATCH($B50&amp;"",인턴근무계획!$D$3:$D$62,0),IFERROR(MATCH(VALUE($B50),인턴근무계획!$D$3:$D$62,0),""))))</f>
        <v/>
      </c>
      <c r="AD50" s="10">
        <f>IF(OR($AC50="",인턴현황!$G$3=""),"",INDEX(인턴근무계획!$M$3:$R$62,$AC50,인턴현황!$G$3)&amp;"")</f>
        <v/>
      </c>
      <c r="AE50" s="10">
        <f>IF($B50="","",IF($M50&lt;&gt;"",$M50,IF($AF50&lt;&gt;"",IF(LEFT(INDEX(파견수련계획!$R$4:$R$83,$AF50),1)&lt;&gt;"⚠",INDEX(파견수련계획!$R$4:$R$83,$AF50),IF($H50="","",IF(RIGHT($H50,2)="병원",$H50,$H50&amp;"병원"))),IF($H50="","",IF(RIGHT($H50,2)="병원",$H50,$H50&amp;"병원")))))</f>
        <v/>
      </c>
      <c r="AF50" s="10">
        <f>IF(OR($B50="",TRIM($J50&amp;"")=""),"",IFERROR(MATCH(TRIM($J50&amp;"")&amp;"|파견중",파견수련계획!$Y$4:$Y$83,0),IFERROR(MATCH(TRIM($J50&amp;"")&amp;"|파견예정",파견수련계획!$Y$4:$Y$83,0),IFERROR(MATCH(TRIM($J50&amp;"")&amp;"|파견종료",파견수련계획!$Y$4:$Y$83,0),""))))</f>
        <v/>
      </c>
      <c r="AG50" s="10">
        <f>IF($B50="","",IF(AND(IF(OR($AC50="",인턴현황!$K$2=""),"",INDEX(인턴근무계획!$M$3:$R$62,$AC50,인턴현황!$K$2)&amp;"")&lt;&gt;"",LEFT(IF(OR($AC50="",인턴현황!$K$2=""),"",INDEX(인턴근무계획!$M$3:$R$62,$AC50,인턴현황!$K$2)&amp;""),1)&lt;&gt;"⚠"),LEFT(IF(OR($AC50="",인턴현황!$K$2=""),"",INDEX(인턴근무계획!$M$3:$R$62,$AC50,인턴현황!$K$2)&amp;""),FIND(" ",IF(OR($AC50="",인턴현황!$K$2=""),"",INDEX(인턴근무계획!$M$3:$R$62,$AC50,인턴현황!$K$2)&amp;""))-1),$AE50))</f>
        <v/>
      </c>
      <c r="AH50" s="17">
        <f>IF($B50="","",IF(TRIM($J50&amp;"")="",0,SUMPRODUCT((파견수련계획!$Q$4:$Q$83=TRIM($J50&amp;""))*(파견수련계획!$S$4:$S$83="서울병원")*파견수련계획!$W$4:$W$83))+IF($AG50="서울병원",MAX(0,DAY(EOMONTH(요약!$B$3,0))-N($X50)),0))</f>
        <v/>
      </c>
      <c r="AI50" s="17">
        <f>IF($B50="","",IF(TRIM($J50&amp;"")="",0,SUMPRODUCT((파견수련계획!$Q$4:$Q$83=TRIM($J50&amp;""))*(파견수련계획!$S$4:$S$83="구리병원")*파견수련계획!$W$4:$W$83))+IF($AG50="구리병원",MAX(0,DAY(EOMONTH(요약!$B$3,0))-N($X50)),0))</f>
        <v/>
      </c>
      <c r="AJ50" s="10">
        <f>IF(OR($B50="",TRIM($J50&amp;"")=""),"",IFERROR(MATCH(TRIM($J50&amp;"")&amp;"|월",파견수련계획!$Z$4:$Z$83,0),""))</f>
        <v/>
      </c>
      <c r="AK50" s="10">
        <f>IF(OR($B50="",TRIM($J50&amp;"")=""),"",IFERROR(MATCH(TRIM($J50&amp;"")&amp;"|다기관",파견수련계획!$AE$4:$AE$83,0),""))</f>
        <v/>
      </c>
      <c r="AL50" s="10">
        <f>IF($AK50="","","다기관 "&amp;TEXT(INDEX(파견수련계획!$AB$4:$AB$83,$AK50),"yyyy-mm-dd")&amp;"~"&amp;IF(ISNUMBER(INDEX(파견수련계획!$AC$4:$AC$83,$AK50)),TEXT(INDEX(파견수련계획!$AC$4:$AC$83,$AK50),"yyyy-mm-dd"),""))</f>
        <v/>
      </c>
    </row>
    <row r="51">
      <c r="A51" s="10">
        <f>IF(B51="","",ROW()-1)</f>
        <v/>
      </c>
      <c r="B51" s="18" t="n"/>
      <c r="C51" s="10">
        <f>IF($AB51="","",IF(INDEX(기본자료!$C$2:$C$1001,$AB51)="","",INDEX(기본자료!$C$2:$C$1001,$AB51)))</f>
        <v/>
      </c>
      <c r="D51" s="10">
        <f>IF($AB51="","",IF(INDEX(기본자료!$J$2:$J$1001,$AB51)="","",INDEX(기본자료!$J$2:$J$1001,$AB51)))</f>
        <v/>
      </c>
      <c r="E51" s="11">
        <f>IF($AB51="","",IF(INDEX(기본자료!$K$2:$K$1001,$AB51)="","",IF(NOT(ISNUMBER(INDEX(기본자료!$K$2:$K$1001,$AB51))),INDEX(기본자료!$K$2:$K$1001,$AB51),IF(INDEX(기본자료!$K$2:$K$1001,$AB51)&lt;1000000,INDEX(기본자료!$K$2:$K$1001,$AB51),IF(AND(INDEX(기본자료!$K$2:$K$1001,$AB51)&gt;=10000101,INT(MOD(INDEX(기본자료!$K$2:$K$1001,$AB51),10000)/100)&gt;=1,INT(MOD(INDEX(기본자료!$K$2:$K$1001,$AB51),10000)/100)&lt;=12,MOD(INDEX(기본자료!$K$2:$K$1001,$AB51),100)&gt;=1,MOD(INDEX(기본자료!$K$2:$K$1001,$AB51),100)&lt;=31),DATE(INT(INDEX(기본자료!$K$2:$K$1001,$AB51)/10000),INT(MOD(INDEX(기본자료!$K$2:$K$1001,$AB51),10000)/100),MOD(INDEX(기본자료!$K$2:$K$1001,$AB51),100)),INDEX(기본자료!$K$2:$K$1001,$AB51)&amp;"")))))</f>
        <v/>
      </c>
      <c r="F51" s="10">
        <f>IF($AB51="","",IF(INDEX(기본자료!$D$2:$D$1001,$AB51)="","",INDEX(기본자료!$D$2:$D$1001,$AB51)))</f>
        <v/>
      </c>
      <c r="G51" s="10">
        <f>IF($AB51="","",IF(INDEX(기본자료!$E$2:$E$1001,$AB51)="","",INDEX(기본자료!$E$2:$E$1001,$AB51)))</f>
        <v/>
      </c>
      <c r="H51" s="10">
        <f>IF($AB51="","",IF(INDEX(기본자료!$F$2:$F$1001,$AB51)="","",INDEX(기본자료!$F$2:$F$1001,$AB51)))</f>
        <v/>
      </c>
      <c r="I51" s="11">
        <f>IF($AB51="","",IF(INDEX(기본자료!$G$2:$G$1001,$AB51)="","",IF(NOT(ISNUMBER(INDEX(기본자료!$G$2:$G$1001,$AB51))),INDEX(기본자료!$G$2:$G$1001,$AB51),IF(INDEX(기본자료!$G$2:$G$1001,$AB51)&lt;1000000,INDEX(기본자료!$G$2:$G$1001,$AB51),IF(AND(INDEX(기본자료!$G$2:$G$1001,$AB51)&gt;=10000101,INT(MOD(INDEX(기본자료!$G$2:$G$1001,$AB51),10000)/100)&gt;=1,INT(MOD(INDEX(기본자료!$G$2:$G$1001,$AB51),10000)/100)&lt;=12,MOD(INDEX(기본자료!$G$2:$G$1001,$AB51),100)&gt;=1,MOD(INDEX(기본자료!$G$2:$G$1001,$AB51),100)&lt;=31),DATE(INT(INDEX(기본자료!$G$2:$G$1001,$AB51)/10000),INT(MOD(INDEX(기본자료!$G$2:$G$1001,$AB51),10000)/100),MOD(INDEX(기본자료!$G$2:$G$1001,$AB51),100)),INDEX(기본자료!$G$2:$G$1001,$AB51)&amp;"")))))</f>
        <v/>
      </c>
      <c r="J51" s="10">
        <f>IF($AB51="","",IF(INDEX(기본자료!$H$2:$H$1001,$AB51)="","",INDEX(기본자료!$H$2:$H$1001,$AB51)))</f>
        <v/>
      </c>
      <c r="K51" s="10">
        <f>IF($AB51="","",IF(INDEX(기본자료!$I$2:$I$1001,$AB51)="","",INDEX(기본자료!$I$2:$I$1001,$AB51)))</f>
        <v/>
      </c>
      <c r="L51" s="10">
        <f>IF($AB51="","",IF(INDEX(기본자료!$A$2:$A$1001,$AB51)="","",INDEX(기본자료!$A$2:$A$1001,$AB51)))</f>
        <v/>
      </c>
      <c r="M51" s="15" t="n"/>
      <c r="N51" s="10">
        <f>IF($B51="","",IF(AND($U51="파견중",$Q51&lt;&gt;""),$Q51,IF(AND($AD51&lt;&gt;"",LEFT($AD51,1)&lt;&gt;"⚠"),LEFT($AD51,FIND(" ",$AD51)-1),IF($H51="","",IF(RIGHT($H51,2)="병원",$H51,$H51&amp;"병원")))))</f>
        <v/>
      </c>
      <c r="O51" s="10">
        <f>IF($B51="","",IF(AND($U51="파견중",$Q51&lt;&gt;""),IF($R51&lt;&gt;"",$R51,"파견과 미입력"),IF(AND($AD51&lt;&gt;"",LEFT($AD51,1)&lt;&gt;"⚠"),MID($AD51,FIND(" ",$AD51)+1,60),IF($F51="","",IF($F51="인턴","수련교육부(인턴)",$F51)))))</f>
        <v/>
      </c>
      <c r="P51" s="10">
        <f>IF($B51="","",IF($AK51&lt;&gt;"",IF(AND(TODAY()&gt;=INDEX(파견수련계획!$AB$4:$AB$83,$AK51),OR(NOT(ISNUMBER(INDEX(파견수련계획!$AC$4:$AC$83,$AK51))),TODAY()&lt;=INDEX(파견수련계획!$AC$4:$AC$83,$AK51))),"다기관",IF($AF51="","",INDEX(파견수련계획!$T$4:$T$83,$AF51))),IF($AF51="","",INDEX(파견수련계획!$T$4:$T$83,$AF51))))</f>
        <v/>
      </c>
      <c r="Q51" s="10">
        <f>IF($AF51="","",INDEX(파견수련계획!$S$4:$S$83,$AF51))</f>
        <v/>
      </c>
      <c r="R51" s="10">
        <f>IF($AF51="","",INDEX(파견수련계획!$U$4:$U$83,$AF51))</f>
        <v/>
      </c>
      <c r="S51" s="11">
        <f>IF($AF51="","",IF(INDEX(파견수련계획!$H$4:$H$83,$AF51)="","",INDEX(파견수련계획!$H$4:$H$83,$AF51)))</f>
        <v/>
      </c>
      <c r="T51" s="11">
        <f>IF($AF51="","",IF(INDEX(파견수련계획!$I$4:$I$83,$AF51)="","",INDEX(파견수련계획!$I$4:$I$83,$AF51)))</f>
        <v/>
      </c>
      <c r="U51" s="10">
        <f>IF($AF51="","",INDEX(파견수련계획!$X$4:$X$83,$AF51))</f>
        <v/>
      </c>
      <c r="V51" s="17">
        <f>IF($AF51="","",INDEX(파견수련계획!$V$4:$V$83,$AF51))</f>
        <v/>
      </c>
      <c r="W51" s="17">
        <f>IF(AND($U51="파견중",$T51&lt;&gt;""),$T51-TODAY(),"")</f>
        <v/>
      </c>
      <c r="X51" s="17">
        <f>IF(OR($B51="",TRIM($J51&amp;"")=""),"",SUMPRODUCT((파견수련계획!$Q$4:$Q$83=TRIM($J51&amp;""))*파견수련계획!$W$4:$W$83))</f>
        <v/>
      </c>
      <c r="Y51" s="10">
        <f>IF($B51="","",IF($AG51="","",IF(IF(TRIM($J51&amp;"")="",0,SUMPRODUCT((파견수련계획!$Q$4:$Q$83=TRIM($J51&amp;""))*파견수련계획!$AD$4:$AD$83))&gt;0,$AE51,IF(N($X51)&lt;=0,$AG51,IF($AH51+$AI51=DAY(EOMONTH(요약!$B$3,0)),IF(AND($AH51&gt;=요약!$E$3,$AI51&lt;요약!$E$3),"서울병원",IF(AND($AI51&gt;=요약!$E$3,$AH51&lt;요약!$E$3),"구리병원","⚠15일 판정불가(서울 "&amp;$AH51&amp;"일/구리 "&amp;$AI51&amp;"일)")),IF($AJ51="",$AE51,IF(INDEX(파견수련계획!$T$4:$T$83,$AJ51)="통합수련",INDEX(파견수련계획!$S$4:$S$83,$AJ51),$AE51)))))))</f>
        <v/>
      </c>
      <c r="Z51" s="19">
        <f>IF($B51="","",IF($AB51="","기본자료에 없는 사번",IF(COUNTIF($B$2:$B$401,$B51)&gt;1,"중복 사번",IF($AE51="","소속(입사장소) 입력",IF(IF(TRIM($J51&amp;"")="",0,SUMPRODUCT((파견수련계획!$Q$4:$Q$83=TRIM($J51&amp;""))*(파견수련계획!$AA$4:$AA$83&lt;&gt;"")))&gt;0,"파견수련계획 입력오류 확인",IF(LEFT($Y51,1)="⚠","서울·구리 15일 판정 불가(양쪽 모두 이상/미만)",IF(IF($AC51="",0,N(INDEX(인턴근무계획!$T$3:$T$62,$AC51)))&gt;0,"인턴계획 입력오류 확인",IF(AND($AC51&lt;&gt;"",$U51&lt;&gt;"파견중",$N51&lt;&gt;$AE51),"인턴 타지역 근무: 파견 여부 확인","정상"))))))))</f>
        <v/>
      </c>
      <c r="AA51" s="5" t="n"/>
      <c r="AB51" s="10">
        <f>IF($B51="","",IFERROR(MATCH($B51,기본자료!$B$2:$B$1001,0),IFERROR(MATCH($B51&amp;"",기본자료!$B$2:$B$1001,0),IFERROR(MATCH(VALUE($B51),기본자료!$B$2:$B$1001,0),""))))</f>
        <v/>
      </c>
      <c r="AC51" s="10">
        <f>IF($B51="","",IFERROR(MATCH($B51,인턴근무계획!$D$3:$D$62,0),IFERROR(MATCH($B51&amp;"",인턴근무계획!$D$3:$D$62,0),IFERROR(MATCH(VALUE($B51),인턴근무계획!$D$3:$D$62,0),""))))</f>
        <v/>
      </c>
      <c r="AD51" s="10">
        <f>IF(OR($AC51="",인턴현황!$G$3=""),"",INDEX(인턴근무계획!$M$3:$R$62,$AC51,인턴현황!$G$3)&amp;"")</f>
        <v/>
      </c>
      <c r="AE51" s="10">
        <f>IF($B51="","",IF($M51&lt;&gt;"",$M51,IF($AF51&lt;&gt;"",IF(LEFT(INDEX(파견수련계획!$R$4:$R$83,$AF51),1)&lt;&gt;"⚠",INDEX(파견수련계획!$R$4:$R$83,$AF51),IF($H51="","",IF(RIGHT($H51,2)="병원",$H51,$H51&amp;"병원"))),IF($H51="","",IF(RIGHT($H51,2)="병원",$H51,$H51&amp;"병원")))))</f>
        <v/>
      </c>
      <c r="AF51" s="10">
        <f>IF(OR($B51="",TRIM($J51&amp;"")=""),"",IFERROR(MATCH(TRIM($J51&amp;"")&amp;"|파견중",파견수련계획!$Y$4:$Y$83,0),IFERROR(MATCH(TRIM($J51&amp;"")&amp;"|파견예정",파견수련계획!$Y$4:$Y$83,0),IFERROR(MATCH(TRIM($J51&amp;"")&amp;"|파견종료",파견수련계획!$Y$4:$Y$83,0),""))))</f>
        <v/>
      </c>
      <c r="AG51" s="10">
        <f>IF($B51="","",IF(AND(IF(OR($AC51="",인턴현황!$K$2=""),"",INDEX(인턴근무계획!$M$3:$R$62,$AC51,인턴현황!$K$2)&amp;"")&lt;&gt;"",LEFT(IF(OR($AC51="",인턴현황!$K$2=""),"",INDEX(인턴근무계획!$M$3:$R$62,$AC51,인턴현황!$K$2)&amp;""),1)&lt;&gt;"⚠"),LEFT(IF(OR($AC51="",인턴현황!$K$2=""),"",INDEX(인턴근무계획!$M$3:$R$62,$AC51,인턴현황!$K$2)&amp;""),FIND(" ",IF(OR($AC51="",인턴현황!$K$2=""),"",INDEX(인턴근무계획!$M$3:$R$62,$AC51,인턴현황!$K$2)&amp;""))-1),$AE51))</f>
        <v/>
      </c>
      <c r="AH51" s="17">
        <f>IF($B51="","",IF(TRIM($J51&amp;"")="",0,SUMPRODUCT((파견수련계획!$Q$4:$Q$83=TRIM($J51&amp;""))*(파견수련계획!$S$4:$S$83="서울병원")*파견수련계획!$W$4:$W$83))+IF($AG51="서울병원",MAX(0,DAY(EOMONTH(요약!$B$3,0))-N($X51)),0))</f>
        <v/>
      </c>
      <c r="AI51" s="17">
        <f>IF($B51="","",IF(TRIM($J51&amp;"")="",0,SUMPRODUCT((파견수련계획!$Q$4:$Q$83=TRIM($J51&amp;""))*(파견수련계획!$S$4:$S$83="구리병원")*파견수련계획!$W$4:$W$83))+IF($AG51="구리병원",MAX(0,DAY(EOMONTH(요약!$B$3,0))-N($X51)),0))</f>
        <v/>
      </c>
      <c r="AJ51" s="10">
        <f>IF(OR($B51="",TRIM($J51&amp;"")=""),"",IFERROR(MATCH(TRIM($J51&amp;"")&amp;"|월",파견수련계획!$Z$4:$Z$83,0),""))</f>
        <v/>
      </c>
      <c r="AK51" s="10">
        <f>IF(OR($B51="",TRIM($J51&amp;"")=""),"",IFERROR(MATCH(TRIM($J51&amp;"")&amp;"|다기관",파견수련계획!$AE$4:$AE$83,0),""))</f>
        <v/>
      </c>
      <c r="AL51" s="10">
        <f>IF($AK51="","","다기관 "&amp;TEXT(INDEX(파견수련계획!$AB$4:$AB$83,$AK51),"yyyy-mm-dd")&amp;"~"&amp;IF(ISNUMBER(INDEX(파견수련계획!$AC$4:$AC$83,$AK51)),TEXT(INDEX(파견수련계획!$AC$4:$AC$83,$AK51),"yyyy-mm-dd"),""))</f>
        <v/>
      </c>
    </row>
    <row r="52">
      <c r="A52" s="10">
        <f>IF(B52="","",ROW()-1)</f>
        <v/>
      </c>
      <c r="B52" s="18" t="n"/>
      <c r="C52" s="10">
        <f>IF($AB52="","",IF(INDEX(기본자료!$C$2:$C$1001,$AB52)="","",INDEX(기본자료!$C$2:$C$1001,$AB52)))</f>
        <v/>
      </c>
      <c r="D52" s="10">
        <f>IF($AB52="","",IF(INDEX(기본자료!$J$2:$J$1001,$AB52)="","",INDEX(기본자료!$J$2:$J$1001,$AB52)))</f>
        <v/>
      </c>
      <c r="E52" s="11">
        <f>IF($AB52="","",IF(INDEX(기본자료!$K$2:$K$1001,$AB52)="","",IF(NOT(ISNUMBER(INDEX(기본자료!$K$2:$K$1001,$AB52))),INDEX(기본자료!$K$2:$K$1001,$AB52),IF(INDEX(기본자료!$K$2:$K$1001,$AB52)&lt;1000000,INDEX(기본자료!$K$2:$K$1001,$AB52),IF(AND(INDEX(기본자료!$K$2:$K$1001,$AB52)&gt;=10000101,INT(MOD(INDEX(기본자료!$K$2:$K$1001,$AB52),10000)/100)&gt;=1,INT(MOD(INDEX(기본자료!$K$2:$K$1001,$AB52),10000)/100)&lt;=12,MOD(INDEX(기본자료!$K$2:$K$1001,$AB52),100)&gt;=1,MOD(INDEX(기본자료!$K$2:$K$1001,$AB52),100)&lt;=31),DATE(INT(INDEX(기본자료!$K$2:$K$1001,$AB52)/10000),INT(MOD(INDEX(기본자료!$K$2:$K$1001,$AB52),10000)/100),MOD(INDEX(기본자료!$K$2:$K$1001,$AB52),100)),INDEX(기본자료!$K$2:$K$1001,$AB52)&amp;"")))))</f>
        <v/>
      </c>
      <c r="F52" s="10">
        <f>IF($AB52="","",IF(INDEX(기본자료!$D$2:$D$1001,$AB52)="","",INDEX(기본자료!$D$2:$D$1001,$AB52)))</f>
        <v/>
      </c>
      <c r="G52" s="10">
        <f>IF($AB52="","",IF(INDEX(기본자료!$E$2:$E$1001,$AB52)="","",INDEX(기본자료!$E$2:$E$1001,$AB52)))</f>
        <v/>
      </c>
      <c r="H52" s="10">
        <f>IF($AB52="","",IF(INDEX(기본자료!$F$2:$F$1001,$AB52)="","",INDEX(기본자료!$F$2:$F$1001,$AB52)))</f>
        <v/>
      </c>
      <c r="I52" s="11">
        <f>IF($AB52="","",IF(INDEX(기본자료!$G$2:$G$1001,$AB52)="","",IF(NOT(ISNUMBER(INDEX(기본자료!$G$2:$G$1001,$AB52))),INDEX(기본자료!$G$2:$G$1001,$AB52),IF(INDEX(기본자료!$G$2:$G$1001,$AB52)&lt;1000000,INDEX(기본자료!$G$2:$G$1001,$AB52),IF(AND(INDEX(기본자료!$G$2:$G$1001,$AB52)&gt;=10000101,INT(MOD(INDEX(기본자료!$G$2:$G$1001,$AB52),10000)/100)&gt;=1,INT(MOD(INDEX(기본자료!$G$2:$G$1001,$AB52),10000)/100)&lt;=12,MOD(INDEX(기본자료!$G$2:$G$1001,$AB52),100)&gt;=1,MOD(INDEX(기본자료!$G$2:$G$1001,$AB52),100)&lt;=31),DATE(INT(INDEX(기본자료!$G$2:$G$1001,$AB52)/10000),INT(MOD(INDEX(기본자료!$G$2:$G$1001,$AB52),10000)/100),MOD(INDEX(기본자료!$G$2:$G$1001,$AB52),100)),INDEX(기본자료!$G$2:$G$1001,$AB52)&amp;"")))))</f>
        <v/>
      </c>
      <c r="J52" s="10">
        <f>IF($AB52="","",IF(INDEX(기본자료!$H$2:$H$1001,$AB52)="","",INDEX(기본자료!$H$2:$H$1001,$AB52)))</f>
        <v/>
      </c>
      <c r="K52" s="10">
        <f>IF($AB52="","",IF(INDEX(기본자료!$I$2:$I$1001,$AB52)="","",INDEX(기본자료!$I$2:$I$1001,$AB52)))</f>
        <v/>
      </c>
      <c r="L52" s="10">
        <f>IF($AB52="","",IF(INDEX(기본자료!$A$2:$A$1001,$AB52)="","",INDEX(기본자료!$A$2:$A$1001,$AB52)))</f>
        <v/>
      </c>
      <c r="M52" s="15" t="n"/>
      <c r="N52" s="10">
        <f>IF($B52="","",IF(AND($U52="파견중",$Q52&lt;&gt;""),$Q52,IF(AND($AD52&lt;&gt;"",LEFT($AD52,1)&lt;&gt;"⚠"),LEFT($AD52,FIND(" ",$AD52)-1),IF($H52="","",IF(RIGHT($H52,2)="병원",$H52,$H52&amp;"병원")))))</f>
        <v/>
      </c>
      <c r="O52" s="10">
        <f>IF($B52="","",IF(AND($U52="파견중",$Q52&lt;&gt;""),IF($R52&lt;&gt;"",$R52,"파견과 미입력"),IF(AND($AD52&lt;&gt;"",LEFT($AD52,1)&lt;&gt;"⚠"),MID($AD52,FIND(" ",$AD52)+1,60),IF($F52="","",IF($F52="인턴","수련교육부(인턴)",$F52)))))</f>
        <v/>
      </c>
      <c r="P52" s="10">
        <f>IF($B52="","",IF($AK52&lt;&gt;"",IF(AND(TODAY()&gt;=INDEX(파견수련계획!$AB$4:$AB$83,$AK52),OR(NOT(ISNUMBER(INDEX(파견수련계획!$AC$4:$AC$83,$AK52))),TODAY()&lt;=INDEX(파견수련계획!$AC$4:$AC$83,$AK52))),"다기관",IF($AF52="","",INDEX(파견수련계획!$T$4:$T$83,$AF52))),IF($AF52="","",INDEX(파견수련계획!$T$4:$T$83,$AF52))))</f>
        <v/>
      </c>
      <c r="Q52" s="10">
        <f>IF($AF52="","",INDEX(파견수련계획!$S$4:$S$83,$AF52))</f>
        <v/>
      </c>
      <c r="R52" s="10">
        <f>IF($AF52="","",INDEX(파견수련계획!$U$4:$U$83,$AF52))</f>
        <v/>
      </c>
      <c r="S52" s="11">
        <f>IF($AF52="","",IF(INDEX(파견수련계획!$H$4:$H$83,$AF52)="","",INDEX(파견수련계획!$H$4:$H$83,$AF52)))</f>
        <v/>
      </c>
      <c r="T52" s="11">
        <f>IF($AF52="","",IF(INDEX(파견수련계획!$I$4:$I$83,$AF52)="","",INDEX(파견수련계획!$I$4:$I$83,$AF52)))</f>
        <v/>
      </c>
      <c r="U52" s="10">
        <f>IF($AF52="","",INDEX(파견수련계획!$X$4:$X$83,$AF52))</f>
        <v/>
      </c>
      <c r="V52" s="17">
        <f>IF($AF52="","",INDEX(파견수련계획!$V$4:$V$83,$AF52))</f>
        <v/>
      </c>
      <c r="W52" s="17">
        <f>IF(AND($U52="파견중",$T52&lt;&gt;""),$T52-TODAY(),"")</f>
        <v/>
      </c>
      <c r="X52" s="17">
        <f>IF(OR($B52="",TRIM($J52&amp;"")=""),"",SUMPRODUCT((파견수련계획!$Q$4:$Q$83=TRIM($J52&amp;""))*파견수련계획!$W$4:$W$83))</f>
        <v/>
      </c>
      <c r="Y52" s="10">
        <f>IF($B52="","",IF($AG52="","",IF(IF(TRIM($J52&amp;"")="",0,SUMPRODUCT((파견수련계획!$Q$4:$Q$83=TRIM($J52&amp;""))*파견수련계획!$AD$4:$AD$83))&gt;0,$AE52,IF(N($X52)&lt;=0,$AG52,IF($AH52+$AI52=DAY(EOMONTH(요약!$B$3,0)),IF(AND($AH52&gt;=요약!$E$3,$AI52&lt;요약!$E$3),"서울병원",IF(AND($AI52&gt;=요약!$E$3,$AH52&lt;요약!$E$3),"구리병원","⚠15일 판정불가(서울 "&amp;$AH52&amp;"일/구리 "&amp;$AI52&amp;"일)")),IF($AJ52="",$AE52,IF(INDEX(파견수련계획!$T$4:$T$83,$AJ52)="통합수련",INDEX(파견수련계획!$S$4:$S$83,$AJ52),$AE52)))))))</f>
        <v/>
      </c>
      <c r="Z52" s="19">
        <f>IF($B52="","",IF($AB52="","기본자료에 없는 사번",IF(COUNTIF($B$2:$B$401,$B52)&gt;1,"중복 사번",IF($AE52="","소속(입사장소) 입력",IF(IF(TRIM($J52&amp;"")="",0,SUMPRODUCT((파견수련계획!$Q$4:$Q$83=TRIM($J52&amp;""))*(파견수련계획!$AA$4:$AA$83&lt;&gt;"")))&gt;0,"파견수련계획 입력오류 확인",IF(LEFT($Y52,1)="⚠","서울·구리 15일 판정 불가(양쪽 모두 이상/미만)",IF(IF($AC52="",0,N(INDEX(인턴근무계획!$T$3:$T$62,$AC52)))&gt;0,"인턴계획 입력오류 확인",IF(AND($AC52&lt;&gt;"",$U52&lt;&gt;"파견중",$N52&lt;&gt;$AE52),"인턴 타지역 근무: 파견 여부 확인","정상"))))))))</f>
        <v/>
      </c>
      <c r="AA52" s="5" t="n"/>
      <c r="AB52" s="10">
        <f>IF($B52="","",IFERROR(MATCH($B52,기본자료!$B$2:$B$1001,0),IFERROR(MATCH($B52&amp;"",기본자료!$B$2:$B$1001,0),IFERROR(MATCH(VALUE($B52),기본자료!$B$2:$B$1001,0),""))))</f>
        <v/>
      </c>
      <c r="AC52" s="10">
        <f>IF($B52="","",IFERROR(MATCH($B52,인턴근무계획!$D$3:$D$62,0),IFERROR(MATCH($B52&amp;"",인턴근무계획!$D$3:$D$62,0),IFERROR(MATCH(VALUE($B52),인턴근무계획!$D$3:$D$62,0),""))))</f>
        <v/>
      </c>
      <c r="AD52" s="10">
        <f>IF(OR($AC52="",인턴현황!$G$3=""),"",INDEX(인턴근무계획!$M$3:$R$62,$AC52,인턴현황!$G$3)&amp;"")</f>
        <v/>
      </c>
      <c r="AE52" s="10">
        <f>IF($B52="","",IF($M52&lt;&gt;"",$M52,IF($AF52&lt;&gt;"",IF(LEFT(INDEX(파견수련계획!$R$4:$R$83,$AF52),1)&lt;&gt;"⚠",INDEX(파견수련계획!$R$4:$R$83,$AF52),IF($H52="","",IF(RIGHT($H52,2)="병원",$H52,$H52&amp;"병원"))),IF($H52="","",IF(RIGHT($H52,2)="병원",$H52,$H52&amp;"병원")))))</f>
        <v/>
      </c>
      <c r="AF52" s="10">
        <f>IF(OR($B52="",TRIM($J52&amp;"")=""),"",IFERROR(MATCH(TRIM($J52&amp;"")&amp;"|파견중",파견수련계획!$Y$4:$Y$83,0),IFERROR(MATCH(TRIM($J52&amp;"")&amp;"|파견예정",파견수련계획!$Y$4:$Y$83,0),IFERROR(MATCH(TRIM($J52&amp;"")&amp;"|파견종료",파견수련계획!$Y$4:$Y$83,0),""))))</f>
        <v/>
      </c>
      <c r="AG52" s="10">
        <f>IF($B52="","",IF(AND(IF(OR($AC52="",인턴현황!$K$2=""),"",INDEX(인턴근무계획!$M$3:$R$62,$AC52,인턴현황!$K$2)&amp;"")&lt;&gt;"",LEFT(IF(OR($AC52="",인턴현황!$K$2=""),"",INDEX(인턴근무계획!$M$3:$R$62,$AC52,인턴현황!$K$2)&amp;""),1)&lt;&gt;"⚠"),LEFT(IF(OR($AC52="",인턴현황!$K$2=""),"",INDEX(인턴근무계획!$M$3:$R$62,$AC52,인턴현황!$K$2)&amp;""),FIND(" ",IF(OR($AC52="",인턴현황!$K$2=""),"",INDEX(인턴근무계획!$M$3:$R$62,$AC52,인턴현황!$K$2)&amp;""))-1),$AE52))</f>
        <v/>
      </c>
      <c r="AH52" s="17">
        <f>IF($B52="","",IF(TRIM($J52&amp;"")="",0,SUMPRODUCT((파견수련계획!$Q$4:$Q$83=TRIM($J52&amp;""))*(파견수련계획!$S$4:$S$83="서울병원")*파견수련계획!$W$4:$W$83))+IF($AG52="서울병원",MAX(0,DAY(EOMONTH(요약!$B$3,0))-N($X52)),0))</f>
        <v/>
      </c>
      <c r="AI52" s="17">
        <f>IF($B52="","",IF(TRIM($J52&amp;"")="",0,SUMPRODUCT((파견수련계획!$Q$4:$Q$83=TRIM($J52&amp;""))*(파견수련계획!$S$4:$S$83="구리병원")*파견수련계획!$W$4:$W$83))+IF($AG52="구리병원",MAX(0,DAY(EOMONTH(요약!$B$3,0))-N($X52)),0))</f>
        <v/>
      </c>
      <c r="AJ52" s="10">
        <f>IF(OR($B52="",TRIM($J52&amp;"")=""),"",IFERROR(MATCH(TRIM($J52&amp;"")&amp;"|월",파견수련계획!$Z$4:$Z$83,0),""))</f>
        <v/>
      </c>
      <c r="AK52" s="10">
        <f>IF(OR($B52="",TRIM($J52&amp;"")=""),"",IFERROR(MATCH(TRIM($J52&amp;"")&amp;"|다기관",파견수련계획!$AE$4:$AE$83,0),""))</f>
        <v/>
      </c>
      <c r="AL52" s="10">
        <f>IF($AK52="","","다기관 "&amp;TEXT(INDEX(파견수련계획!$AB$4:$AB$83,$AK52),"yyyy-mm-dd")&amp;"~"&amp;IF(ISNUMBER(INDEX(파견수련계획!$AC$4:$AC$83,$AK52)),TEXT(INDEX(파견수련계획!$AC$4:$AC$83,$AK52),"yyyy-mm-dd"),""))</f>
        <v/>
      </c>
    </row>
    <row r="53">
      <c r="A53" s="10">
        <f>IF(B53="","",ROW()-1)</f>
        <v/>
      </c>
      <c r="B53" s="18" t="n"/>
      <c r="C53" s="10">
        <f>IF($AB53="","",IF(INDEX(기본자료!$C$2:$C$1001,$AB53)="","",INDEX(기본자료!$C$2:$C$1001,$AB53)))</f>
        <v/>
      </c>
      <c r="D53" s="10">
        <f>IF($AB53="","",IF(INDEX(기본자료!$J$2:$J$1001,$AB53)="","",INDEX(기본자료!$J$2:$J$1001,$AB53)))</f>
        <v/>
      </c>
      <c r="E53" s="11">
        <f>IF($AB53="","",IF(INDEX(기본자료!$K$2:$K$1001,$AB53)="","",IF(NOT(ISNUMBER(INDEX(기본자료!$K$2:$K$1001,$AB53))),INDEX(기본자료!$K$2:$K$1001,$AB53),IF(INDEX(기본자료!$K$2:$K$1001,$AB53)&lt;1000000,INDEX(기본자료!$K$2:$K$1001,$AB53),IF(AND(INDEX(기본자료!$K$2:$K$1001,$AB53)&gt;=10000101,INT(MOD(INDEX(기본자료!$K$2:$K$1001,$AB53),10000)/100)&gt;=1,INT(MOD(INDEX(기본자료!$K$2:$K$1001,$AB53),10000)/100)&lt;=12,MOD(INDEX(기본자료!$K$2:$K$1001,$AB53),100)&gt;=1,MOD(INDEX(기본자료!$K$2:$K$1001,$AB53),100)&lt;=31),DATE(INT(INDEX(기본자료!$K$2:$K$1001,$AB53)/10000),INT(MOD(INDEX(기본자료!$K$2:$K$1001,$AB53),10000)/100),MOD(INDEX(기본자료!$K$2:$K$1001,$AB53),100)),INDEX(기본자료!$K$2:$K$1001,$AB53)&amp;"")))))</f>
        <v/>
      </c>
      <c r="F53" s="10">
        <f>IF($AB53="","",IF(INDEX(기본자료!$D$2:$D$1001,$AB53)="","",INDEX(기본자료!$D$2:$D$1001,$AB53)))</f>
        <v/>
      </c>
      <c r="G53" s="10">
        <f>IF($AB53="","",IF(INDEX(기본자료!$E$2:$E$1001,$AB53)="","",INDEX(기본자료!$E$2:$E$1001,$AB53)))</f>
        <v/>
      </c>
      <c r="H53" s="10">
        <f>IF($AB53="","",IF(INDEX(기본자료!$F$2:$F$1001,$AB53)="","",INDEX(기본자료!$F$2:$F$1001,$AB53)))</f>
        <v/>
      </c>
      <c r="I53" s="11">
        <f>IF($AB53="","",IF(INDEX(기본자료!$G$2:$G$1001,$AB53)="","",IF(NOT(ISNUMBER(INDEX(기본자료!$G$2:$G$1001,$AB53))),INDEX(기본자료!$G$2:$G$1001,$AB53),IF(INDEX(기본자료!$G$2:$G$1001,$AB53)&lt;1000000,INDEX(기본자료!$G$2:$G$1001,$AB53),IF(AND(INDEX(기본자료!$G$2:$G$1001,$AB53)&gt;=10000101,INT(MOD(INDEX(기본자료!$G$2:$G$1001,$AB53),10000)/100)&gt;=1,INT(MOD(INDEX(기본자료!$G$2:$G$1001,$AB53),10000)/100)&lt;=12,MOD(INDEX(기본자료!$G$2:$G$1001,$AB53),100)&gt;=1,MOD(INDEX(기본자료!$G$2:$G$1001,$AB53),100)&lt;=31),DATE(INT(INDEX(기본자료!$G$2:$G$1001,$AB53)/10000),INT(MOD(INDEX(기본자료!$G$2:$G$1001,$AB53),10000)/100),MOD(INDEX(기본자료!$G$2:$G$1001,$AB53),100)),INDEX(기본자료!$G$2:$G$1001,$AB53)&amp;"")))))</f>
        <v/>
      </c>
      <c r="J53" s="10">
        <f>IF($AB53="","",IF(INDEX(기본자료!$H$2:$H$1001,$AB53)="","",INDEX(기본자료!$H$2:$H$1001,$AB53)))</f>
        <v/>
      </c>
      <c r="K53" s="10">
        <f>IF($AB53="","",IF(INDEX(기본자료!$I$2:$I$1001,$AB53)="","",INDEX(기본자료!$I$2:$I$1001,$AB53)))</f>
        <v/>
      </c>
      <c r="L53" s="10">
        <f>IF($AB53="","",IF(INDEX(기본자료!$A$2:$A$1001,$AB53)="","",INDEX(기본자료!$A$2:$A$1001,$AB53)))</f>
        <v/>
      </c>
      <c r="M53" s="15" t="n"/>
      <c r="N53" s="10">
        <f>IF($B53="","",IF(AND($U53="파견중",$Q53&lt;&gt;""),$Q53,IF(AND($AD53&lt;&gt;"",LEFT($AD53,1)&lt;&gt;"⚠"),LEFT($AD53,FIND(" ",$AD53)-1),IF($H53="","",IF(RIGHT($H53,2)="병원",$H53,$H53&amp;"병원")))))</f>
        <v/>
      </c>
      <c r="O53" s="10">
        <f>IF($B53="","",IF(AND($U53="파견중",$Q53&lt;&gt;""),IF($R53&lt;&gt;"",$R53,"파견과 미입력"),IF(AND($AD53&lt;&gt;"",LEFT($AD53,1)&lt;&gt;"⚠"),MID($AD53,FIND(" ",$AD53)+1,60),IF($F53="","",IF($F53="인턴","수련교육부(인턴)",$F53)))))</f>
        <v/>
      </c>
      <c r="P53" s="10">
        <f>IF($B53="","",IF($AK53&lt;&gt;"",IF(AND(TODAY()&gt;=INDEX(파견수련계획!$AB$4:$AB$83,$AK53),OR(NOT(ISNUMBER(INDEX(파견수련계획!$AC$4:$AC$83,$AK53))),TODAY()&lt;=INDEX(파견수련계획!$AC$4:$AC$83,$AK53))),"다기관",IF($AF53="","",INDEX(파견수련계획!$T$4:$T$83,$AF53))),IF($AF53="","",INDEX(파견수련계획!$T$4:$T$83,$AF53))))</f>
        <v/>
      </c>
      <c r="Q53" s="10">
        <f>IF($AF53="","",INDEX(파견수련계획!$S$4:$S$83,$AF53))</f>
        <v/>
      </c>
      <c r="R53" s="10">
        <f>IF($AF53="","",INDEX(파견수련계획!$U$4:$U$83,$AF53))</f>
        <v/>
      </c>
      <c r="S53" s="11">
        <f>IF($AF53="","",IF(INDEX(파견수련계획!$H$4:$H$83,$AF53)="","",INDEX(파견수련계획!$H$4:$H$83,$AF53)))</f>
        <v/>
      </c>
      <c r="T53" s="11">
        <f>IF($AF53="","",IF(INDEX(파견수련계획!$I$4:$I$83,$AF53)="","",INDEX(파견수련계획!$I$4:$I$83,$AF53)))</f>
        <v/>
      </c>
      <c r="U53" s="10">
        <f>IF($AF53="","",INDEX(파견수련계획!$X$4:$X$83,$AF53))</f>
        <v/>
      </c>
      <c r="V53" s="17">
        <f>IF($AF53="","",INDEX(파견수련계획!$V$4:$V$83,$AF53))</f>
        <v/>
      </c>
      <c r="W53" s="17">
        <f>IF(AND($U53="파견중",$T53&lt;&gt;""),$T53-TODAY(),"")</f>
        <v/>
      </c>
      <c r="X53" s="17">
        <f>IF(OR($B53="",TRIM($J53&amp;"")=""),"",SUMPRODUCT((파견수련계획!$Q$4:$Q$83=TRIM($J53&amp;""))*파견수련계획!$W$4:$W$83))</f>
        <v/>
      </c>
      <c r="Y53" s="10">
        <f>IF($B53="","",IF($AG53="","",IF(IF(TRIM($J53&amp;"")="",0,SUMPRODUCT((파견수련계획!$Q$4:$Q$83=TRIM($J53&amp;""))*파견수련계획!$AD$4:$AD$83))&gt;0,$AE53,IF(N($X53)&lt;=0,$AG53,IF($AH53+$AI53=DAY(EOMONTH(요약!$B$3,0)),IF(AND($AH53&gt;=요약!$E$3,$AI53&lt;요약!$E$3),"서울병원",IF(AND($AI53&gt;=요약!$E$3,$AH53&lt;요약!$E$3),"구리병원","⚠15일 판정불가(서울 "&amp;$AH53&amp;"일/구리 "&amp;$AI53&amp;"일)")),IF($AJ53="",$AE53,IF(INDEX(파견수련계획!$T$4:$T$83,$AJ53)="통합수련",INDEX(파견수련계획!$S$4:$S$83,$AJ53),$AE53)))))))</f>
        <v/>
      </c>
      <c r="Z53" s="19">
        <f>IF($B53="","",IF($AB53="","기본자료에 없는 사번",IF(COUNTIF($B$2:$B$401,$B53)&gt;1,"중복 사번",IF($AE53="","소속(입사장소) 입력",IF(IF(TRIM($J53&amp;"")="",0,SUMPRODUCT((파견수련계획!$Q$4:$Q$83=TRIM($J53&amp;""))*(파견수련계획!$AA$4:$AA$83&lt;&gt;"")))&gt;0,"파견수련계획 입력오류 확인",IF(LEFT($Y53,1)="⚠","서울·구리 15일 판정 불가(양쪽 모두 이상/미만)",IF(IF($AC53="",0,N(INDEX(인턴근무계획!$T$3:$T$62,$AC53)))&gt;0,"인턴계획 입력오류 확인",IF(AND($AC53&lt;&gt;"",$U53&lt;&gt;"파견중",$N53&lt;&gt;$AE53),"인턴 타지역 근무: 파견 여부 확인","정상"))))))))</f>
        <v/>
      </c>
      <c r="AA53" s="5" t="n"/>
      <c r="AB53" s="10">
        <f>IF($B53="","",IFERROR(MATCH($B53,기본자료!$B$2:$B$1001,0),IFERROR(MATCH($B53&amp;"",기본자료!$B$2:$B$1001,0),IFERROR(MATCH(VALUE($B53),기본자료!$B$2:$B$1001,0),""))))</f>
        <v/>
      </c>
      <c r="AC53" s="10">
        <f>IF($B53="","",IFERROR(MATCH($B53,인턴근무계획!$D$3:$D$62,0),IFERROR(MATCH($B53&amp;"",인턴근무계획!$D$3:$D$62,0),IFERROR(MATCH(VALUE($B53),인턴근무계획!$D$3:$D$62,0),""))))</f>
        <v/>
      </c>
      <c r="AD53" s="10">
        <f>IF(OR($AC53="",인턴현황!$G$3=""),"",INDEX(인턴근무계획!$M$3:$R$62,$AC53,인턴현황!$G$3)&amp;"")</f>
        <v/>
      </c>
      <c r="AE53" s="10">
        <f>IF($B53="","",IF($M53&lt;&gt;"",$M53,IF($AF53&lt;&gt;"",IF(LEFT(INDEX(파견수련계획!$R$4:$R$83,$AF53),1)&lt;&gt;"⚠",INDEX(파견수련계획!$R$4:$R$83,$AF53),IF($H53="","",IF(RIGHT($H53,2)="병원",$H53,$H53&amp;"병원"))),IF($H53="","",IF(RIGHT($H53,2)="병원",$H53,$H53&amp;"병원")))))</f>
        <v/>
      </c>
      <c r="AF53" s="10">
        <f>IF(OR($B53="",TRIM($J53&amp;"")=""),"",IFERROR(MATCH(TRIM($J53&amp;"")&amp;"|파견중",파견수련계획!$Y$4:$Y$83,0),IFERROR(MATCH(TRIM($J53&amp;"")&amp;"|파견예정",파견수련계획!$Y$4:$Y$83,0),IFERROR(MATCH(TRIM($J53&amp;"")&amp;"|파견종료",파견수련계획!$Y$4:$Y$83,0),""))))</f>
        <v/>
      </c>
      <c r="AG53" s="10">
        <f>IF($B53="","",IF(AND(IF(OR($AC53="",인턴현황!$K$2=""),"",INDEX(인턴근무계획!$M$3:$R$62,$AC53,인턴현황!$K$2)&amp;"")&lt;&gt;"",LEFT(IF(OR($AC53="",인턴현황!$K$2=""),"",INDEX(인턴근무계획!$M$3:$R$62,$AC53,인턴현황!$K$2)&amp;""),1)&lt;&gt;"⚠"),LEFT(IF(OR($AC53="",인턴현황!$K$2=""),"",INDEX(인턴근무계획!$M$3:$R$62,$AC53,인턴현황!$K$2)&amp;""),FIND(" ",IF(OR($AC53="",인턴현황!$K$2=""),"",INDEX(인턴근무계획!$M$3:$R$62,$AC53,인턴현황!$K$2)&amp;""))-1),$AE53))</f>
        <v/>
      </c>
      <c r="AH53" s="17">
        <f>IF($B53="","",IF(TRIM($J53&amp;"")="",0,SUMPRODUCT((파견수련계획!$Q$4:$Q$83=TRIM($J53&amp;""))*(파견수련계획!$S$4:$S$83="서울병원")*파견수련계획!$W$4:$W$83))+IF($AG53="서울병원",MAX(0,DAY(EOMONTH(요약!$B$3,0))-N($X53)),0))</f>
        <v/>
      </c>
      <c r="AI53" s="17">
        <f>IF($B53="","",IF(TRIM($J53&amp;"")="",0,SUMPRODUCT((파견수련계획!$Q$4:$Q$83=TRIM($J53&amp;""))*(파견수련계획!$S$4:$S$83="구리병원")*파견수련계획!$W$4:$W$83))+IF($AG53="구리병원",MAX(0,DAY(EOMONTH(요약!$B$3,0))-N($X53)),0))</f>
        <v/>
      </c>
      <c r="AJ53" s="10">
        <f>IF(OR($B53="",TRIM($J53&amp;"")=""),"",IFERROR(MATCH(TRIM($J53&amp;"")&amp;"|월",파견수련계획!$Z$4:$Z$83,0),""))</f>
        <v/>
      </c>
      <c r="AK53" s="10">
        <f>IF(OR($B53="",TRIM($J53&amp;"")=""),"",IFERROR(MATCH(TRIM($J53&amp;"")&amp;"|다기관",파견수련계획!$AE$4:$AE$83,0),""))</f>
        <v/>
      </c>
      <c r="AL53" s="10">
        <f>IF($AK53="","","다기관 "&amp;TEXT(INDEX(파견수련계획!$AB$4:$AB$83,$AK53),"yyyy-mm-dd")&amp;"~"&amp;IF(ISNUMBER(INDEX(파견수련계획!$AC$4:$AC$83,$AK53)),TEXT(INDEX(파견수련계획!$AC$4:$AC$83,$AK53),"yyyy-mm-dd"),""))</f>
        <v/>
      </c>
    </row>
    <row r="54">
      <c r="A54" s="10">
        <f>IF(B54="","",ROW()-1)</f>
        <v/>
      </c>
      <c r="B54" s="18" t="n"/>
      <c r="C54" s="10">
        <f>IF($AB54="","",IF(INDEX(기본자료!$C$2:$C$1001,$AB54)="","",INDEX(기본자료!$C$2:$C$1001,$AB54)))</f>
        <v/>
      </c>
      <c r="D54" s="10">
        <f>IF($AB54="","",IF(INDEX(기본자료!$J$2:$J$1001,$AB54)="","",INDEX(기본자료!$J$2:$J$1001,$AB54)))</f>
        <v/>
      </c>
      <c r="E54" s="11">
        <f>IF($AB54="","",IF(INDEX(기본자료!$K$2:$K$1001,$AB54)="","",IF(NOT(ISNUMBER(INDEX(기본자료!$K$2:$K$1001,$AB54))),INDEX(기본자료!$K$2:$K$1001,$AB54),IF(INDEX(기본자료!$K$2:$K$1001,$AB54)&lt;1000000,INDEX(기본자료!$K$2:$K$1001,$AB54),IF(AND(INDEX(기본자료!$K$2:$K$1001,$AB54)&gt;=10000101,INT(MOD(INDEX(기본자료!$K$2:$K$1001,$AB54),10000)/100)&gt;=1,INT(MOD(INDEX(기본자료!$K$2:$K$1001,$AB54),10000)/100)&lt;=12,MOD(INDEX(기본자료!$K$2:$K$1001,$AB54),100)&gt;=1,MOD(INDEX(기본자료!$K$2:$K$1001,$AB54),100)&lt;=31),DATE(INT(INDEX(기본자료!$K$2:$K$1001,$AB54)/10000),INT(MOD(INDEX(기본자료!$K$2:$K$1001,$AB54),10000)/100),MOD(INDEX(기본자료!$K$2:$K$1001,$AB54),100)),INDEX(기본자료!$K$2:$K$1001,$AB54)&amp;"")))))</f>
        <v/>
      </c>
      <c r="F54" s="10">
        <f>IF($AB54="","",IF(INDEX(기본자료!$D$2:$D$1001,$AB54)="","",INDEX(기본자료!$D$2:$D$1001,$AB54)))</f>
        <v/>
      </c>
      <c r="G54" s="10">
        <f>IF($AB54="","",IF(INDEX(기본자료!$E$2:$E$1001,$AB54)="","",INDEX(기본자료!$E$2:$E$1001,$AB54)))</f>
        <v/>
      </c>
      <c r="H54" s="10">
        <f>IF($AB54="","",IF(INDEX(기본자료!$F$2:$F$1001,$AB54)="","",INDEX(기본자료!$F$2:$F$1001,$AB54)))</f>
        <v/>
      </c>
      <c r="I54" s="11">
        <f>IF($AB54="","",IF(INDEX(기본자료!$G$2:$G$1001,$AB54)="","",IF(NOT(ISNUMBER(INDEX(기본자료!$G$2:$G$1001,$AB54))),INDEX(기본자료!$G$2:$G$1001,$AB54),IF(INDEX(기본자료!$G$2:$G$1001,$AB54)&lt;1000000,INDEX(기본자료!$G$2:$G$1001,$AB54),IF(AND(INDEX(기본자료!$G$2:$G$1001,$AB54)&gt;=10000101,INT(MOD(INDEX(기본자료!$G$2:$G$1001,$AB54),10000)/100)&gt;=1,INT(MOD(INDEX(기본자료!$G$2:$G$1001,$AB54),10000)/100)&lt;=12,MOD(INDEX(기본자료!$G$2:$G$1001,$AB54),100)&gt;=1,MOD(INDEX(기본자료!$G$2:$G$1001,$AB54),100)&lt;=31),DATE(INT(INDEX(기본자료!$G$2:$G$1001,$AB54)/10000),INT(MOD(INDEX(기본자료!$G$2:$G$1001,$AB54),10000)/100),MOD(INDEX(기본자료!$G$2:$G$1001,$AB54),100)),INDEX(기본자료!$G$2:$G$1001,$AB54)&amp;"")))))</f>
        <v/>
      </c>
      <c r="J54" s="10">
        <f>IF($AB54="","",IF(INDEX(기본자료!$H$2:$H$1001,$AB54)="","",INDEX(기본자료!$H$2:$H$1001,$AB54)))</f>
        <v/>
      </c>
      <c r="K54" s="10">
        <f>IF($AB54="","",IF(INDEX(기본자료!$I$2:$I$1001,$AB54)="","",INDEX(기본자료!$I$2:$I$1001,$AB54)))</f>
        <v/>
      </c>
      <c r="L54" s="10">
        <f>IF($AB54="","",IF(INDEX(기본자료!$A$2:$A$1001,$AB54)="","",INDEX(기본자료!$A$2:$A$1001,$AB54)))</f>
        <v/>
      </c>
      <c r="M54" s="15" t="n"/>
      <c r="N54" s="10">
        <f>IF($B54="","",IF(AND($U54="파견중",$Q54&lt;&gt;""),$Q54,IF(AND($AD54&lt;&gt;"",LEFT($AD54,1)&lt;&gt;"⚠"),LEFT($AD54,FIND(" ",$AD54)-1),IF($H54="","",IF(RIGHT($H54,2)="병원",$H54,$H54&amp;"병원")))))</f>
        <v/>
      </c>
      <c r="O54" s="10">
        <f>IF($B54="","",IF(AND($U54="파견중",$Q54&lt;&gt;""),IF($R54&lt;&gt;"",$R54,"파견과 미입력"),IF(AND($AD54&lt;&gt;"",LEFT($AD54,1)&lt;&gt;"⚠"),MID($AD54,FIND(" ",$AD54)+1,60),IF($F54="","",IF($F54="인턴","수련교육부(인턴)",$F54)))))</f>
        <v/>
      </c>
      <c r="P54" s="10">
        <f>IF($B54="","",IF($AK54&lt;&gt;"",IF(AND(TODAY()&gt;=INDEX(파견수련계획!$AB$4:$AB$83,$AK54),OR(NOT(ISNUMBER(INDEX(파견수련계획!$AC$4:$AC$83,$AK54))),TODAY()&lt;=INDEX(파견수련계획!$AC$4:$AC$83,$AK54))),"다기관",IF($AF54="","",INDEX(파견수련계획!$T$4:$T$83,$AF54))),IF($AF54="","",INDEX(파견수련계획!$T$4:$T$83,$AF54))))</f>
        <v/>
      </c>
      <c r="Q54" s="10">
        <f>IF($AF54="","",INDEX(파견수련계획!$S$4:$S$83,$AF54))</f>
        <v/>
      </c>
      <c r="R54" s="10">
        <f>IF($AF54="","",INDEX(파견수련계획!$U$4:$U$83,$AF54))</f>
        <v/>
      </c>
      <c r="S54" s="11">
        <f>IF($AF54="","",IF(INDEX(파견수련계획!$H$4:$H$83,$AF54)="","",INDEX(파견수련계획!$H$4:$H$83,$AF54)))</f>
        <v/>
      </c>
      <c r="T54" s="11">
        <f>IF($AF54="","",IF(INDEX(파견수련계획!$I$4:$I$83,$AF54)="","",INDEX(파견수련계획!$I$4:$I$83,$AF54)))</f>
        <v/>
      </c>
      <c r="U54" s="10">
        <f>IF($AF54="","",INDEX(파견수련계획!$X$4:$X$83,$AF54))</f>
        <v/>
      </c>
      <c r="V54" s="17">
        <f>IF($AF54="","",INDEX(파견수련계획!$V$4:$V$83,$AF54))</f>
        <v/>
      </c>
      <c r="W54" s="17">
        <f>IF(AND($U54="파견중",$T54&lt;&gt;""),$T54-TODAY(),"")</f>
        <v/>
      </c>
      <c r="X54" s="17">
        <f>IF(OR($B54="",TRIM($J54&amp;"")=""),"",SUMPRODUCT((파견수련계획!$Q$4:$Q$83=TRIM($J54&amp;""))*파견수련계획!$W$4:$W$83))</f>
        <v/>
      </c>
      <c r="Y54" s="10">
        <f>IF($B54="","",IF($AG54="","",IF(IF(TRIM($J54&amp;"")="",0,SUMPRODUCT((파견수련계획!$Q$4:$Q$83=TRIM($J54&amp;""))*파견수련계획!$AD$4:$AD$83))&gt;0,$AE54,IF(N($X54)&lt;=0,$AG54,IF($AH54+$AI54=DAY(EOMONTH(요약!$B$3,0)),IF(AND($AH54&gt;=요약!$E$3,$AI54&lt;요약!$E$3),"서울병원",IF(AND($AI54&gt;=요약!$E$3,$AH54&lt;요약!$E$3),"구리병원","⚠15일 판정불가(서울 "&amp;$AH54&amp;"일/구리 "&amp;$AI54&amp;"일)")),IF($AJ54="",$AE54,IF(INDEX(파견수련계획!$T$4:$T$83,$AJ54)="통합수련",INDEX(파견수련계획!$S$4:$S$83,$AJ54),$AE54)))))))</f>
        <v/>
      </c>
      <c r="Z54" s="19">
        <f>IF($B54="","",IF($AB54="","기본자료에 없는 사번",IF(COUNTIF($B$2:$B$401,$B54)&gt;1,"중복 사번",IF($AE54="","소속(입사장소) 입력",IF(IF(TRIM($J54&amp;"")="",0,SUMPRODUCT((파견수련계획!$Q$4:$Q$83=TRIM($J54&amp;""))*(파견수련계획!$AA$4:$AA$83&lt;&gt;"")))&gt;0,"파견수련계획 입력오류 확인",IF(LEFT($Y54,1)="⚠","서울·구리 15일 판정 불가(양쪽 모두 이상/미만)",IF(IF($AC54="",0,N(INDEX(인턴근무계획!$T$3:$T$62,$AC54)))&gt;0,"인턴계획 입력오류 확인",IF(AND($AC54&lt;&gt;"",$U54&lt;&gt;"파견중",$N54&lt;&gt;$AE54),"인턴 타지역 근무: 파견 여부 확인","정상"))))))))</f>
        <v/>
      </c>
      <c r="AA54" s="5" t="n"/>
      <c r="AB54" s="10">
        <f>IF($B54="","",IFERROR(MATCH($B54,기본자료!$B$2:$B$1001,0),IFERROR(MATCH($B54&amp;"",기본자료!$B$2:$B$1001,0),IFERROR(MATCH(VALUE($B54),기본자료!$B$2:$B$1001,0),""))))</f>
        <v/>
      </c>
      <c r="AC54" s="10">
        <f>IF($B54="","",IFERROR(MATCH($B54,인턴근무계획!$D$3:$D$62,0),IFERROR(MATCH($B54&amp;"",인턴근무계획!$D$3:$D$62,0),IFERROR(MATCH(VALUE($B54),인턴근무계획!$D$3:$D$62,0),""))))</f>
        <v/>
      </c>
      <c r="AD54" s="10">
        <f>IF(OR($AC54="",인턴현황!$G$3=""),"",INDEX(인턴근무계획!$M$3:$R$62,$AC54,인턴현황!$G$3)&amp;"")</f>
        <v/>
      </c>
      <c r="AE54" s="10">
        <f>IF($B54="","",IF($M54&lt;&gt;"",$M54,IF($AF54&lt;&gt;"",IF(LEFT(INDEX(파견수련계획!$R$4:$R$83,$AF54),1)&lt;&gt;"⚠",INDEX(파견수련계획!$R$4:$R$83,$AF54),IF($H54="","",IF(RIGHT($H54,2)="병원",$H54,$H54&amp;"병원"))),IF($H54="","",IF(RIGHT($H54,2)="병원",$H54,$H54&amp;"병원")))))</f>
        <v/>
      </c>
      <c r="AF54" s="10">
        <f>IF(OR($B54="",TRIM($J54&amp;"")=""),"",IFERROR(MATCH(TRIM($J54&amp;"")&amp;"|파견중",파견수련계획!$Y$4:$Y$83,0),IFERROR(MATCH(TRIM($J54&amp;"")&amp;"|파견예정",파견수련계획!$Y$4:$Y$83,0),IFERROR(MATCH(TRIM($J54&amp;"")&amp;"|파견종료",파견수련계획!$Y$4:$Y$83,0),""))))</f>
        <v/>
      </c>
      <c r="AG54" s="10">
        <f>IF($B54="","",IF(AND(IF(OR($AC54="",인턴현황!$K$2=""),"",INDEX(인턴근무계획!$M$3:$R$62,$AC54,인턴현황!$K$2)&amp;"")&lt;&gt;"",LEFT(IF(OR($AC54="",인턴현황!$K$2=""),"",INDEX(인턴근무계획!$M$3:$R$62,$AC54,인턴현황!$K$2)&amp;""),1)&lt;&gt;"⚠"),LEFT(IF(OR($AC54="",인턴현황!$K$2=""),"",INDEX(인턴근무계획!$M$3:$R$62,$AC54,인턴현황!$K$2)&amp;""),FIND(" ",IF(OR($AC54="",인턴현황!$K$2=""),"",INDEX(인턴근무계획!$M$3:$R$62,$AC54,인턴현황!$K$2)&amp;""))-1),$AE54))</f>
        <v/>
      </c>
      <c r="AH54" s="17">
        <f>IF($B54="","",IF(TRIM($J54&amp;"")="",0,SUMPRODUCT((파견수련계획!$Q$4:$Q$83=TRIM($J54&amp;""))*(파견수련계획!$S$4:$S$83="서울병원")*파견수련계획!$W$4:$W$83))+IF($AG54="서울병원",MAX(0,DAY(EOMONTH(요약!$B$3,0))-N($X54)),0))</f>
        <v/>
      </c>
      <c r="AI54" s="17">
        <f>IF($B54="","",IF(TRIM($J54&amp;"")="",0,SUMPRODUCT((파견수련계획!$Q$4:$Q$83=TRIM($J54&amp;""))*(파견수련계획!$S$4:$S$83="구리병원")*파견수련계획!$W$4:$W$83))+IF($AG54="구리병원",MAX(0,DAY(EOMONTH(요약!$B$3,0))-N($X54)),0))</f>
        <v/>
      </c>
      <c r="AJ54" s="10">
        <f>IF(OR($B54="",TRIM($J54&amp;"")=""),"",IFERROR(MATCH(TRIM($J54&amp;"")&amp;"|월",파견수련계획!$Z$4:$Z$83,0),""))</f>
        <v/>
      </c>
      <c r="AK54" s="10">
        <f>IF(OR($B54="",TRIM($J54&amp;"")=""),"",IFERROR(MATCH(TRIM($J54&amp;"")&amp;"|다기관",파견수련계획!$AE$4:$AE$83,0),""))</f>
        <v/>
      </c>
      <c r="AL54" s="10">
        <f>IF($AK54="","","다기관 "&amp;TEXT(INDEX(파견수련계획!$AB$4:$AB$83,$AK54),"yyyy-mm-dd")&amp;"~"&amp;IF(ISNUMBER(INDEX(파견수련계획!$AC$4:$AC$83,$AK54)),TEXT(INDEX(파견수련계획!$AC$4:$AC$83,$AK54),"yyyy-mm-dd"),""))</f>
        <v/>
      </c>
    </row>
    <row r="55">
      <c r="A55" s="10">
        <f>IF(B55="","",ROW()-1)</f>
        <v/>
      </c>
      <c r="B55" s="18" t="n"/>
      <c r="C55" s="10">
        <f>IF($AB55="","",IF(INDEX(기본자료!$C$2:$C$1001,$AB55)="","",INDEX(기본자료!$C$2:$C$1001,$AB55)))</f>
        <v/>
      </c>
      <c r="D55" s="10">
        <f>IF($AB55="","",IF(INDEX(기본자료!$J$2:$J$1001,$AB55)="","",INDEX(기본자료!$J$2:$J$1001,$AB55)))</f>
        <v/>
      </c>
      <c r="E55" s="11">
        <f>IF($AB55="","",IF(INDEX(기본자료!$K$2:$K$1001,$AB55)="","",IF(NOT(ISNUMBER(INDEX(기본자료!$K$2:$K$1001,$AB55))),INDEX(기본자료!$K$2:$K$1001,$AB55),IF(INDEX(기본자료!$K$2:$K$1001,$AB55)&lt;1000000,INDEX(기본자료!$K$2:$K$1001,$AB55),IF(AND(INDEX(기본자료!$K$2:$K$1001,$AB55)&gt;=10000101,INT(MOD(INDEX(기본자료!$K$2:$K$1001,$AB55),10000)/100)&gt;=1,INT(MOD(INDEX(기본자료!$K$2:$K$1001,$AB55),10000)/100)&lt;=12,MOD(INDEX(기본자료!$K$2:$K$1001,$AB55),100)&gt;=1,MOD(INDEX(기본자료!$K$2:$K$1001,$AB55),100)&lt;=31),DATE(INT(INDEX(기본자료!$K$2:$K$1001,$AB55)/10000),INT(MOD(INDEX(기본자료!$K$2:$K$1001,$AB55),10000)/100),MOD(INDEX(기본자료!$K$2:$K$1001,$AB55),100)),INDEX(기본자료!$K$2:$K$1001,$AB55)&amp;"")))))</f>
        <v/>
      </c>
      <c r="F55" s="10">
        <f>IF($AB55="","",IF(INDEX(기본자료!$D$2:$D$1001,$AB55)="","",INDEX(기본자료!$D$2:$D$1001,$AB55)))</f>
        <v/>
      </c>
      <c r="G55" s="10">
        <f>IF($AB55="","",IF(INDEX(기본자료!$E$2:$E$1001,$AB55)="","",INDEX(기본자료!$E$2:$E$1001,$AB55)))</f>
        <v/>
      </c>
      <c r="H55" s="10">
        <f>IF($AB55="","",IF(INDEX(기본자료!$F$2:$F$1001,$AB55)="","",INDEX(기본자료!$F$2:$F$1001,$AB55)))</f>
        <v/>
      </c>
      <c r="I55" s="11">
        <f>IF($AB55="","",IF(INDEX(기본자료!$G$2:$G$1001,$AB55)="","",IF(NOT(ISNUMBER(INDEX(기본자료!$G$2:$G$1001,$AB55))),INDEX(기본자료!$G$2:$G$1001,$AB55),IF(INDEX(기본자료!$G$2:$G$1001,$AB55)&lt;1000000,INDEX(기본자료!$G$2:$G$1001,$AB55),IF(AND(INDEX(기본자료!$G$2:$G$1001,$AB55)&gt;=10000101,INT(MOD(INDEX(기본자료!$G$2:$G$1001,$AB55),10000)/100)&gt;=1,INT(MOD(INDEX(기본자료!$G$2:$G$1001,$AB55),10000)/100)&lt;=12,MOD(INDEX(기본자료!$G$2:$G$1001,$AB55),100)&gt;=1,MOD(INDEX(기본자료!$G$2:$G$1001,$AB55),100)&lt;=31),DATE(INT(INDEX(기본자료!$G$2:$G$1001,$AB55)/10000),INT(MOD(INDEX(기본자료!$G$2:$G$1001,$AB55),10000)/100),MOD(INDEX(기본자료!$G$2:$G$1001,$AB55),100)),INDEX(기본자료!$G$2:$G$1001,$AB55)&amp;"")))))</f>
        <v/>
      </c>
      <c r="J55" s="10">
        <f>IF($AB55="","",IF(INDEX(기본자료!$H$2:$H$1001,$AB55)="","",INDEX(기본자료!$H$2:$H$1001,$AB55)))</f>
        <v/>
      </c>
      <c r="K55" s="10">
        <f>IF($AB55="","",IF(INDEX(기본자료!$I$2:$I$1001,$AB55)="","",INDEX(기본자료!$I$2:$I$1001,$AB55)))</f>
        <v/>
      </c>
      <c r="L55" s="10">
        <f>IF($AB55="","",IF(INDEX(기본자료!$A$2:$A$1001,$AB55)="","",INDEX(기본자료!$A$2:$A$1001,$AB55)))</f>
        <v/>
      </c>
      <c r="M55" s="15" t="n"/>
      <c r="N55" s="10">
        <f>IF($B55="","",IF(AND($U55="파견중",$Q55&lt;&gt;""),$Q55,IF(AND($AD55&lt;&gt;"",LEFT($AD55,1)&lt;&gt;"⚠"),LEFT($AD55,FIND(" ",$AD55)-1),IF($H55="","",IF(RIGHT($H55,2)="병원",$H55,$H55&amp;"병원")))))</f>
        <v/>
      </c>
      <c r="O55" s="10">
        <f>IF($B55="","",IF(AND($U55="파견중",$Q55&lt;&gt;""),IF($R55&lt;&gt;"",$R55,"파견과 미입력"),IF(AND($AD55&lt;&gt;"",LEFT($AD55,1)&lt;&gt;"⚠"),MID($AD55,FIND(" ",$AD55)+1,60),IF($F55="","",IF($F55="인턴","수련교육부(인턴)",$F55)))))</f>
        <v/>
      </c>
      <c r="P55" s="10">
        <f>IF($B55="","",IF($AK55&lt;&gt;"",IF(AND(TODAY()&gt;=INDEX(파견수련계획!$AB$4:$AB$83,$AK55),OR(NOT(ISNUMBER(INDEX(파견수련계획!$AC$4:$AC$83,$AK55))),TODAY()&lt;=INDEX(파견수련계획!$AC$4:$AC$83,$AK55))),"다기관",IF($AF55="","",INDEX(파견수련계획!$T$4:$T$83,$AF55))),IF($AF55="","",INDEX(파견수련계획!$T$4:$T$83,$AF55))))</f>
        <v/>
      </c>
      <c r="Q55" s="10">
        <f>IF($AF55="","",INDEX(파견수련계획!$S$4:$S$83,$AF55))</f>
        <v/>
      </c>
      <c r="R55" s="10">
        <f>IF($AF55="","",INDEX(파견수련계획!$U$4:$U$83,$AF55))</f>
        <v/>
      </c>
      <c r="S55" s="11">
        <f>IF($AF55="","",IF(INDEX(파견수련계획!$H$4:$H$83,$AF55)="","",INDEX(파견수련계획!$H$4:$H$83,$AF55)))</f>
        <v/>
      </c>
      <c r="T55" s="11">
        <f>IF($AF55="","",IF(INDEX(파견수련계획!$I$4:$I$83,$AF55)="","",INDEX(파견수련계획!$I$4:$I$83,$AF55)))</f>
        <v/>
      </c>
      <c r="U55" s="10">
        <f>IF($AF55="","",INDEX(파견수련계획!$X$4:$X$83,$AF55))</f>
        <v/>
      </c>
      <c r="V55" s="17">
        <f>IF($AF55="","",INDEX(파견수련계획!$V$4:$V$83,$AF55))</f>
        <v/>
      </c>
      <c r="W55" s="17">
        <f>IF(AND($U55="파견중",$T55&lt;&gt;""),$T55-TODAY(),"")</f>
        <v/>
      </c>
      <c r="X55" s="17">
        <f>IF(OR($B55="",TRIM($J55&amp;"")=""),"",SUMPRODUCT((파견수련계획!$Q$4:$Q$83=TRIM($J55&amp;""))*파견수련계획!$W$4:$W$83))</f>
        <v/>
      </c>
      <c r="Y55" s="10">
        <f>IF($B55="","",IF($AG55="","",IF(IF(TRIM($J55&amp;"")="",0,SUMPRODUCT((파견수련계획!$Q$4:$Q$83=TRIM($J55&amp;""))*파견수련계획!$AD$4:$AD$83))&gt;0,$AE55,IF(N($X55)&lt;=0,$AG55,IF($AH55+$AI55=DAY(EOMONTH(요약!$B$3,0)),IF(AND($AH55&gt;=요약!$E$3,$AI55&lt;요약!$E$3),"서울병원",IF(AND($AI55&gt;=요약!$E$3,$AH55&lt;요약!$E$3),"구리병원","⚠15일 판정불가(서울 "&amp;$AH55&amp;"일/구리 "&amp;$AI55&amp;"일)")),IF($AJ55="",$AE55,IF(INDEX(파견수련계획!$T$4:$T$83,$AJ55)="통합수련",INDEX(파견수련계획!$S$4:$S$83,$AJ55),$AE55)))))))</f>
        <v/>
      </c>
      <c r="Z55" s="19">
        <f>IF($B55="","",IF($AB55="","기본자료에 없는 사번",IF(COUNTIF($B$2:$B$401,$B55)&gt;1,"중복 사번",IF($AE55="","소속(입사장소) 입력",IF(IF(TRIM($J55&amp;"")="",0,SUMPRODUCT((파견수련계획!$Q$4:$Q$83=TRIM($J55&amp;""))*(파견수련계획!$AA$4:$AA$83&lt;&gt;"")))&gt;0,"파견수련계획 입력오류 확인",IF(LEFT($Y55,1)="⚠","서울·구리 15일 판정 불가(양쪽 모두 이상/미만)",IF(IF($AC55="",0,N(INDEX(인턴근무계획!$T$3:$T$62,$AC55)))&gt;0,"인턴계획 입력오류 확인",IF(AND($AC55&lt;&gt;"",$U55&lt;&gt;"파견중",$N55&lt;&gt;$AE55),"인턴 타지역 근무: 파견 여부 확인","정상"))))))))</f>
        <v/>
      </c>
      <c r="AA55" s="5" t="n"/>
      <c r="AB55" s="10">
        <f>IF($B55="","",IFERROR(MATCH($B55,기본자료!$B$2:$B$1001,0),IFERROR(MATCH($B55&amp;"",기본자료!$B$2:$B$1001,0),IFERROR(MATCH(VALUE($B55),기본자료!$B$2:$B$1001,0),""))))</f>
        <v/>
      </c>
      <c r="AC55" s="10">
        <f>IF($B55="","",IFERROR(MATCH($B55,인턴근무계획!$D$3:$D$62,0),IFERROR(MATCH($B55&amp;"",인턴근무계획!$D$3:$D$62,0),IFERROR(MATCH(VALUE($B55),인턴근무계획!$D$3:$D$62,0),""))))</f>
        <v/>
      </c>
      <c r="AD55" s="10">
        <f>IF(OR($AC55="",인턴현황!$G$3=""),"",INDEX(인턴근무계획!$M$3:$R$62,$AC55,인턴현황!$G$3)&amp;"")</f>
        <v/>
      </c>
      <c r="AE55" s="10">
        <f>IF($B55="","",IF($M55&lt;&gt;"",$M55,IF($AF55&lt;&gt;"",IF(LEFT(INDEX(파견수련계획!$R$4:$R$83,$AF55),1)&lt;&gt;"⚠",INDEX(파견수련계획!$R$4:$R$83,$AF55),IF($H55="","",IF(RIGHT($H55,2)="병원",$H55,$H55&amp;"병원"))),IF($H55="","",IF(RIGHT($H55,2)="병원",$H55,$H55&amp;"병원")))))</f>
        <v/>
      </c>
      <c r="AF55" s="10">
        <f>IF(OR($B55="",TRIM($J55&amp;"")=""),"",IFERROR(MATCH(TRIM($J55&amp;"")&amp;"|파견중",파견수련계획!$Y$4:$Y$83,0),IFERROR(MATCH(TRIM($J55&amp;"")&amp;"|파견예정",파견수련계획!$Y$4:$Y$83,0),IFERROR(MATCH(TRIM($J55&amp;"")&amp;"|파견종료",파견수련계획!$Y$4:$Y$83,0),""))))</f>
        <v/>
      </c>
      <c r="AG55" s="10">
        <f>IF($B55="","",IF(AND(IF(OR($AC55="",인턴현황!$K$2=""),"",INDEX(인턴근무계획!$M$3:$R$62,$AC55,인턴현황!$K$2)&amp;"")&lt;&gt;"",LEFT(IF(OR($AC55="",인턴현황!$K$2=""),"",INDEX(인턴근무계획!$M$3:$R$62,$AC55,인턴현황!$K$2)&amp;""),1)&lt;&gt;"⚠"),LEFT(IF(OR($AC55="",인턴현황!$K$2=""),"",INDEX(인턴근무계획!$M$3:$R$62,$AC55,인턴현황!$K$2)&amp;""),FIND(" ",IF(OR($AC55="",인턴현황!$K$2=""),"",INDEX(인턴근무계획!$M$3:$R$62,$AC55,인턴현황!$K$2)&amp;""))-1),$AE55))</f>
        <v/>
      </c>
      <c r="AH55" s="17">
        <f>IF($B55="","",IF(TRIM($J55&amp;"")="",0,SUMPRODUCT((파견수련계획!$Q$4:$Q$83=TRIM($J55&amp;""))*(파견수련계획!$S$4:$S$83="서울병원")*파견수련계획!$W$4:$W$83))+IF($AG55="서울병원",MAX(0,DAY(EOMONTH(요약!$B$3,0))-N($X55)),0))</f>
        <v/>
      </c>
      <c r="AI55" s="17">
        <f>IF($B55="","",IF(TRIM($J55&amp;"")="",0,SUMPRODUCT((파견수련계획!$Q$4:$Q$83=TRIM($J55&amp;""))*(파견수련계획!$S$4:$S$83="구리병원")*파견수련계획!$W$4:$W$83))+IF($AG55="구리병원",MAX(0,DAY(EOMONTH(요약!$B$3,0))-N($X55)),0))</f>
        <v/>
      </c>
      <c r="AJ55" s="10">
        <f>IF(OR($B55="",TRIM($J55&amp;"")=""),"",IFERROR(MATCH(TRIM($J55&amp;"")&amp;"|월",파견수련계획!$Z$4:$Z$83,0),""))</f>
        <v/>
      </c>
      <c r="AK55" s="10">
        <f>IF(OR($B55="",TRIM($J55&amp;"")=""),"",IFERROR(MATCH(TRIM($J55&amp;"")&amp;"|다기관",파견수련계획!$AE$4:$AE$83,0),""))</f>
        <v/>
      </c>
      <c r="AL55" s="10">
        <f>IF($AK55="","","다기관 "&amp;TEXT(INDEX(파견수련계획!$AB$4:$AB$83,$AK55),"yyyy-mm-dd")&amp;"~"&amp;IF(ISNUMBER(INDEX(파견수련계획!$AC$4:$AC$83,$AK55)),TEXT(INDEX(파견수련계획!$AC$4:$AC$83,$AK55),"yyyy-mm-dd"),""))</f>
        <v/>
      </c>
    </row>
    <row r="56">
      <c r="A56" s="10">
        <f>IF(B56="","",ROW()-1)</f>
        <v/>
      </c>
      <c r="B56" s="18" t="n"/>
      <c r="C56" s="10">
        <f>IF($AB56="","",IF(INDEX(기본자료!$C$2:$C$1001,$AB56)="","",INDEX(기본자료!$C$2:$C$1001,$AB56)))</f>
        <v/>
      </c>
      <c r="D56" s="10">
        <f>IF($AB56="","",IF(INDEX(기본자료!$J$2:$J$1001,$AB56)="","",INDEX(기본자료!$J$2:$J$1001,$AB56)))</f>
        <v/>
      </c>
      <c r="E56" s="11">
        <f>IF($AB56="","",IF(INDEX(기본자료!$K$2:$K$1001,$AB56)="","",IF(NOT(ISNUMBER(INDEX(기본자료!$K$2:$K$1001,$AB56))),INDEX(기본자료!$K$2:$K$1001,$AB56),IF(INDEX(기본자료!$K$2:$K$1001,$AB56)&lt;1000000,INDEX(기본자료!$K$2:$K$1001,$AB56),IF(AND(INDEX(기본자료!$K$2:$K$1001,$AB56)&gt;=10000101,INT(MOD(INDEX(기본자료!$K$2:$K$1001,$AB56),10000)/100)&gt;=1,INT(MOD(INDEX(기본자료!$K$2:$K$1001,$AB56),10000)/100)&lt;=12,MOD(INDEX(기본자료!$K$2:$K$1001,$AB56),100)&gt;=1,MOD(INDEX(기본자료!$K$2:$K$1001,$AB56),100)&lt;=31),DATE(INT(INDEX(기본자료!$K$2:$K$1001,$AB56)/10000),INT(MOD(INDEX(기본자료!$K$2:$K$1001,$AB56),10000)/100),MOD(INDEX(기본자료!$K$2:$K$1001,$AB56),100)),INDEX(기본자료!$K$2:$K$1001,$AB56)&amp;"")))))</f>
        <v/>
      </c>
      <c r="F56" s="10">
        <f>IF($AB56="","",IF(INDEX(기본자료!$D$2:$D$1001,$AB56)="","",INDEX(기본자료!$D$2:$D$1001,$AB56)))</f>
        <v/>
      </c>
      <c r="G56" s="10">
        <f>IF($AB56="","",IF(INDEX(기본자료!$E$2:$E$1001,$AB56)="","",INDEX(기본자료!$E$2:$E$1001,$AB56)))</f>
        <v/>
      </c>
      <c r="H56" s="10">
        <f>IF($AB56="","",IF(INDEX(기본자료!$F$2:$F$1001,$AB56)="","",INDEX(기본자료!$F$2:$F$1001,$AB56)))</f>
        <v/>
      </c>
      <c r="I56" s="11">
        <f>IF($AB56="","",IF(INDEX(기본자료!$G$2:$G$1001,$AB56)="","",IF(NOT(ISNUMBER(INDEX(기본자료!$G$2:$G$1001,$AB56))),INDEX(기본자료!$G$2:$G$1001,$AB56),IF(INDEX(기본자료!$G$2:$G$1001,$AB56)&lt;1000000,INDEX(기본자료!$G$2:$G$1001,$AB56),IF(AND(INDEX(기본자료!$G$2:$G$1001,$AB56)&gt;=10000101,INT(MOD(INDEX(기본자료!$G$2:$G$1001,$AB56),10000)/100)&gt;=1,INT(MOD(INDEX(기본자료!$G$2:$G$1001,$AB56),10000)/100)&lt;=12,MOD(INDEX(기본자료!$G$2:$G$1001,$AB56),100)&gt;=1,MOD(INDEX(기본자료!$G$2:$G$1001,$AB56),100)&lt;=31),DATE(INT(INDEX(기본자료!$G$2:$G$1001,$AB56)/10000),INT(MOD(INDEX(기본자료!$G$2:$G$1001,$AB56),10000)/100),MOD(INDEX(기본자료!$G$2:$G$1001,$AB56),100)),INDEX(기본자료!$G$2:$G$1001,$AB56)&amp;"")))))</f>
        <v/>
      </c>
      <c r="J56" s="10">
        <f>IF($AB56="","",IF(INDEX(기본자료!$H$2:$H$1001,$AB56)="","",INDEX(기본자료!$H$2:$H$1001,$AB56)))</f>
        <v/>
      </c>
      <c r="K56" s="10">
        <f>IF($AB56="","",IF(INDEX(기본자료!$I$2:$I$1001,$AB56)="","",INDEX(기본자료!$I$2:$I$1001,$AB56)))</f>
        <v/>
      </c>
      <c r="L56" s="10">
        <f>IF($AB56="","",IF(INDEX(기본자료!$A$2:$A$1001,$AB56)="","",INDEX(기본자료!$A$2:$A$1001,$AB56)))</f>
        <v/>
      </c>
      <c r="M56" s="15" t="n"/>
      <c r="N56" s="10">
        <f>IF($B56="","",IF(AND($U56="파견중",$Q56&lt;&gt;""),$Q56,IF(AND($AD56&lt;&gt;"",LEFT($AD56,1)&lt;&gt;"⚠"),LEFT($AD56,FIND(" ",$AD56)-1),IF($H56="","",IF(RIGHT($H56,2)="병원",$H56,$H56&amp;"병원")))))</f>
        <v/>
      </c>
      <c r="O56" s="10">
        <f>IF($B56="","",IF(AND($U56="파견중",$Q56&lt;&gt;""),IF($R56&lt;&gt;"",$R56,"파견과 미입력"),IF(AND($AD56&lt;&gt;"",LEFT($AD56,1)&lt;&gt;"⚠"),MID($AD56,FIND(" ",$AD56)+1,60),IF($F56="","",IF($F56="인턴","수련교육부(인턴)",$F56)))))</f>
        <v/>
      </c>
      <c r="P56" s="10">
        <f>IF($B56="","",IF($AK56&lt;&gt;"",IF(AND(TODAY()&gt;=INDEX(파견수련계획!$AB$4:$AB$83,$AK56),OR(NOT(ISNUMBER(INDEX(파견수련계획!$AC$4:$AC$83,$AK56))),TODAY()&lt;=INDEX(파견수련계획!$AC$4:$AC$83,$AK56))),"다기관",IF($AF56="","",INDEX(파견수련계획!$T$4:$T$83,$AF56))),IF($AF56="","",INDEX(파견수련계획!$T$4:$T$83,$AF56))))</f>
        <v/>
      </c>
      <c r="Q56" s="10">
        <f>IF($AF56="","",INDEX(파견수련계획!$S$4:$S$83,$AF56))</f>
        <v/>
      </c>
      <c r="R56" s="10">
        <f>IF($AF56="","",INDEX(파견수련계획!$U$4:$U$83,$AF56))</f>
        <v/>
      </c>
      <c r="S56" s="11">
        <f>IF($AF56="","",IF(INDEX(파견수련계획!$H$4:$H$83,$AF56)="","",INDEX(파견수련계획!$H$4:$H$83,$AF56)))</f>
        <v/>
      </c>
      <c r="T56" s="11">
        <f>IF($AF56="","",IF(INDEX(파견수련계획!$I$4:$I$83,$AF56)="","",INDEX(파견수련계획!$I$4:$I$83,$AF56)))</f>
        <v/>
      </c>
      <c r="U56" s="10">
        <f>IF($AF56="","",INDEX(파견수련계획!$X$4:$X$83,$AF56))</f>
        <v/>
      </c>
      <c r="V56" s="17">
        <f>IF($AF56="","",INDEX(파견수련계획!$V$4:$V$83,$AF56))</f>
        <v/>
      </c>
      <c r="W56" s="17">
        <f>IF(AND($U56="파견중",$T56&lt;&gt;""),$T56-TODAY(),"")</f>
        <v/>
      </c>
      <c r="X56" s="17">
        <f>IF(OR($B56="",TRIM($J56&amp;"")=""),"",SUMPRODUCT((파견수련계획!$Q$4:$Q$83=TRIM($J56&amp;""))*파견수련계획!$W$4:$W$83))</f>
        <v/>
      </c>
      <c r="Y56" s="10">
        <f>IF($B56="","",IF($AG56="","",IF(IF(TRIM($J56&amp;"")="",0,SUMPRODUCT((파견수련계획!$Q$4:$Q$83=TRIM($J56&amp;""))*파견수련계획!$AD$4:$AD$83))&gt;0,$AE56,IF(N($X56)&lt;=0,$AG56,IF($AH56+$AI56=DAY(EOMONTH(요약!$B$3,0)),IF(AND($AH56&gt;=요약!$E$3,$AI56&lt;요약!$E$3),"서울병원",IF(AND($AI56&gt;=요약!$E$3,$AH56&lt;요약!$E$3),"구리병원","⚠15일 판정불가(서울 "&amp;$AH56&amp;"일/구리 "&amp;$AI56&amp;"일)")),IF($AJ56="",$AE56,IF(INDEX(파견수련계획!$T$4:$T$83,$AJ56)="통합수련",INDEX(파견수련계획!$S$4:$S$83,$AJ56),$AE56)))))))</f>
        <v/>
      </c>
      <c r="Z56" s="19">
        <f>IF($B56="","",IF($AB56="","기본자료에 없는 사번",IF(COUNTIF($B$2:$B$401,$B56)&gt;1,"중복 사번",IF($AE56="","소속(입사장소) 입력",IF(IF(TRIM($J56&amp;"")="",0,SUMPRODUCT((파견수련계획!$Q$4:$Q$83=TRIM($J56&amp;""))*(파견수련계획!$AA$4:$AA$83&lt;&gt;"")))&gt;0,"파견수련계획 입력오류 확인",IF(LEFT($Y56,1)="⚠","서울·구리 15일 판정 불가(양쪽 모두 이상/미만)",IF(IF($AC56="",0,N(INDEX(인턴근무계획!$T$3:$T$62,$AC56)))&gt;0,"인턴계획 입력오류 확인",IF(AND($AC56&lt;&gt;"",$U56&lt;&gt;"파견중",$N56&lt;&gt;$AE56),"인턴 타지역 근무: 파견 여부 확인","정상"))))))))</f>
        <v/>
      </c>
      <c r="AA56" s="5" t="n"/>
      <c r="AB56" s="10">
        <f>IF($B56="","",IFERROR(MATCH($B56,기본자료!$B$2:$B$1001,0),IFERROR(MATCH($B56&amp;"",기본자료!$B$2:$B$1001,0),IFERROR(MATCH(VALUE($B56),기본자료!$B$2:$B$1001,0),""))))</f>
        <v/>
      </c>
      <c r="AC56" s="10">
        <f>IF($B56="","",IFERROR(MATCH($B56,인턴근무계획!$D$3:$D$62,0),IFERROR(MATCH($B56&amp;"",인턴근무계획!$D$3:$D$62,0),IFERROR(MATCH(VALUE($B56),인턴근무계획!$D$3:$D$62,0),""))))</f>
        <v/>
      </c>
      <c r="AD56" s="10">
        <f>IF(OR($AC56="",인턴현황!$G$3=""),"",INDEX(인턴근무계획!$M$3:$R$62,$AC56,인턴현황!$G$3)&amp;"")</f>
        <v/>
      </c>
      <c r="AE56" s="10">
        <f>IF($B56="","",IF($M56&lt;&gt;"",$M56,IF($AF56&lt;&gt;"",IF(LEFT(INDEX(파견수련계획!$R$4:$R$83,$AF56),1)&lt;&gt;"⚠",INDEX(파견수련계획!$R$4:$R$83,$AF56),IF($H56="","",IF(RIGHT($H56,2)="병원",$H56,$H56&amp;"병원"))),IF($H56="","",IF(RIGHT($H56,2)="병원",$H56,$H56&amp;"병원")))))</f>
        <v/>
      </c>
      <c r="AF56" s="10">
        <f>IF(OR($B56="",TRIM($J56&amp;"")=""),"",IFERROR(MATCH(TRIM($J56&amp;"")&amp;"|파견중",파견수련계획!$Y$4:$Y$83,0),IFERROR(MATCH(TRIM($J56&amp;"")&amp;"|파견예정",파견수련계획!$Y$4:$Y$83,0),IFERROR(MATCH(TRIM($J56&amp;"")&amp;"|파견종료",파견수련계획!$Y$4:$Y$83,0),""))))</f>
        <v/>
      </c>
      <c r="AG56" s="10">
        <f>IF($B56="","",IF(AND(IF(OR($AC56="",인턴현황!$K$2=""),"",INDEX(인턴근무계획!$M$3:$R$62,$AC56,인턴현황!$K$2)&amp;"")&lt;&gt;"",LEFT(IF(OR($AC56="",인턴현황!$K$2=""),"",INDEX(인턴근무계획!$M$3:$R$62,$AC56,인턴현황!$K$2)&amp;""),1)&lt;&gt;"⚠"),LEFT(IF(OR($AC56="",인턴현황!$K$2=""),"",INDEX(인턴근무계획!$M$3:$R$62,$AC56,인턴현황!$K$2)&amp;""),FIND(" ",IF(OR($AC56="",인턴현황!$K$2=""),"",INDEX(인턴근무계획!$M$3:$R$62,$AC56,인턴현황!$K$2)&amp;""))-1),$AE56))</f>
        <v/>
      </c>
      <c r="AH56" s="17">
        <f>IF($B56="","",IF(TRIM($J56&amp;"")="",0,SUMPRODUCT((파견수련계획!$Q$4:$Q$83=TRIM($J56&amp;""))*(파견수련계획!$S$4:$S$83="서울병원")*파견수련계획!$W$4:$W$83))+IF($AG56="서울병원",MAX(0,DAY(EOMONTH(요약!$B$3,0))-N($X56)),0))</f>
        <v/>
      </c>
      <c r="AI56" s="17">
        <f>IF($B56="","",IF(TRIM($J56&amp;"")="",0,SUMPRODUCT((파견수련계획!$Q$4:$Q$83=TRIM($J56&amp;""))*(파견수련계획!$S$4:$S$83="구리병원")*파견수련계획!$W$4:$W$83))+IF($AG56="구리병원",MAX(0,DAY(EOMONTH(요약!$B$3,0))-N($X56)),0))</f>
        <v/>
      </c>
      <c r="AJ56" s="10">
        <f>IF(OR($B56="",TRIM($J56&amp;"")=""),"",IFERROR(MATCH(TRIM($J56&amp;"")&amp;"|월",파견수련계획!$Z$4:$Z$83,0),""))</f>
        <v/>
      </c>
      <c r="AK56" s="10">
        <f>IF(OR($B56="",TRIM($J56&amp;"")=""),"",IFERROR(MATCH(TRIM($J56&amp;"")&amp;"|다기관",파견수련계획!$AE$4:$AE$83,0),""))</f>
        <v/>
      </c>
      <c r="AL56" s="10">
        <f>IF($AK56="","","다기관 "&amp;TEXT(INDEX(파견수련계획!$AB$4:$AB$83,$AK56),"yyyy-mm-dd")&amp;"~"&amp;IF(ISNUMBER(INDEX(파견수련계획!$AC$4:$AC$83,$AK56)),TEXT(INDEX(파견수련계획!$AC$4:$AC$83,$AK56),"yyyy-mm-dd"),""))</f>
        <v/>
      </c>
    </row>
    <row r="57">
      <c r="A57" s="10">
        <f>IF(B57="","",ROW()-1)</f>
        <v/>
      </c>
      <c r="B57" s="18" t="n"/>
      <c r="C57" s="10">
        <f>IF($AB57="","",IF(INDEX(기본자료!$C$2:$C$1001,$AB57)="","",INDEX(기본자료!$C$2:$C$1001,$AB57)))</f>
        <v/>
      </c>
      <c r="D57" s="10">
        <f>IF($AB57="","",IF(INDEX(기본자료!$J$2:$J$1001,$AB57)="","",INDEX(기본자료!$J$2:$J$1001,$AB57)))</f>
        <v/>
      </c>
      <c r="E57" s="11">
        <f>IF($AB57="","",IF(INDEX(기본자료!$K$2:$K$1001,$AB57)="","",IF(NOT(ISNUMBER(INDEX(기본자료!$K$2:$K$1001,$AB57))),INDEX(기본자료!$K$2:$K$1001,$AB57),IF(INDEX(기본자료!$K$2:$K$1001,$AB57)&lt;1000000,INDEX(기본자료!$K$2:$K$1001,$AB57),IF(AND(INDEX(기본자료!$K$2:$K$1001,$AB57)&gt;=10000101,INT(MOD(INDEX(기본자료!$K$2:$K$1001,$AB57),10000)/100)&gt;=1,INT(MOD(INDEX(기본자료!$K$2:$K$1001,$AB57),10000)/100)&lt;=12,MOD(INDEX(기본자료!$K$2:$K$1001,$AB57),100)&gt;=1,MOD(INDEX(기본자료!$K$2:$K$1001,$AB57),100)&lt;=31),DATE(INT(INDEX(기본자료!$K$2:$K$1001,$AB57)/10000),INT(MOD(INDEX(기본자료!$K$2:$K$1001,$AB57),10000)/100),MOD(INDEX(기본자료!$K$2:$K$1001,$AB57),100)),INDEX(기본자료!$K$2:$K$1001,$AB57)&amp;"")))))</f>
        <v/>
      </c>
      <c r="F57" s="10">
        <f>IF($AB57="","",IF(INDEX(기본자료!$D$2:$D$1001,$AB57)="","",INDEX(기본자료!$D$2:$D$1001,$AB57)))</f>
        <v/>
      </c>
      <c r="G57" s="10">
        <f>IF($AB57="","",IF(INDEX(기본자료!$E$2:$E$1001,$AB57)="","",INDEX(기본자료!$E$2:$E$1001,$AB57)))</f>
        <v/>
      </c>
      <c r="H57" s="10">
        <f>IF($AB57="","",IF(INDEX(기본자료!$F$2:$F$1001,$AB57)="","",INDEX(기본자료!$F$2:$F$1001,$AB57)))</f>
        <v/>
      </c>
      <c r="I57" s="11">
        <f>IF($AB57="","",IF(INDEX(기본자료!$G$2:$G$1001,$AB57)="","",IF(NOT(ISNUMBER(INDEX(기본자료!$G$2:$G$1001,$AB57))),INDEX(기본자료!$G$2:$G$1001,$AB57),IF(INDEX(기본자료!$G$2:$G$1001,$AB57)&lt;1000000,INDEX(기본자료!$G$2:$G$1001,$AB57),IF(AND(INDEX(기본자료!$G$2:$G$1001,$AB57)&gt;=10000101,INT(MOD(INDEX(기본자료!$G$2:$G$1001,$AB57),10000)/100)&gt;=1,INT(MOD(INDEX(기본자료!$G$2:$G$1001,$AB57),10000)/100)&lt;=12,MOD(INDEX(기본자료!$G$2:$G$1001,$AB57),100)&gt;=1,MOD(INDEX(기본자료!$G$2:$G$1001,$AB57),100)&lt;=31),DATE(INT(INDEX(기본자료!$G$2:$G$1001,$AB57)/10000),INT(MOD(INDEX(기본자료!$G$2:$G$1001,$AB57),10000)/100),MOD(INDEX(기본자료!$G$2:$G$1001,$AB57),100)),INDEX(기본자료!$G$2:$G$1001,$AB57)&amp;"")))))</f>
        <v/>
      </c>
      <c r="J57" s="10">
        <f>IF($AB57="","",IF(INDEX(기본자료!$H$2:$H$1001,$AB57)="","",INDEX(기본자료!$H$2:$H$1001,$AB57)))</f>
        <v/>
      </c>
      <c r="K57" s="10">
        <f>IF($AB57="","",IF(INDEX(기본자료!$I$2:$I$1001,$AB57)="","",INDEX(기본자료!$I$2:$I$1001,$AB57)))</f>
        <v/>
      </c>
      <c r="L57" s="10">
        <f>IF($AB57="","",IF(INDEX(기본자료!$A$2:$A$1001,$AB57)="","",INDEX(기본자료!$A$2:$A$1001,$AB57)))</f>
        <v/>
      </c>
      <c r="M57" s="15" t="n"/>
      <c r="N57" s="10">
        <f>IF($B57="","",IF(AND($U57="파견중",$Q57&lt;&gt;""),$Q57,IF(AND($AD57&lt;&gt;"",LEFT($AD57,1)&lt;&gt;"⚠"),LEFT($AD57,FIND(" ",$AD57)-1),IF($H57="","",IF(RIGHT($H57,2)="병원",$H57,$H57&amp;"병원")))))</f>
        <v/>
      </c>
      <c r="O57" s="10">
        <f>IF($B57="","",IF(AND($U57="파견중",$Q57&lt;&gt;""),IF($R57&lt;&gt;"",$R57,"파견과 미입력"),IF(AND($AD57&lt;&gt;"",LEFT($AD57,1)&lt;&gt;"⚠"),MID($AD57,FIND(" ",$AD57)+1,60),IF($F57="","",IF($F57="인턴","수련교육부(인턴)",$F57)))))</f>
        <v/>
      </c>
      <c r="P57" s="10">
        <f>IF($B57="","",IF($AK57&lt;&gt;"",IF(AND(TODAY()&gt;=INDEX(파견수련계획!$AB$4:$AB$83,$AK57),OR(NOT(ISNUMBER(INDEX(파견수련계획!$AC$4:$AC$83,$AK57))),TODAY()&lt;=INDEX(파견수련계획!$AC$4:$AC$83,$AK57))),"다기관",IF($AF57="","",INDEX(파견수련계획!$T$4:$T$83,$AF57))),IF($AF57="","",INDEX(파견수련계획!$T$4:$T$83,$AF57))))</f>
        <v/>
      </c>
      <c r="Q57" s="10">
        <f>IF($AF57="","",INDEX(파견수련계획!$S$4:$S$83,$AF57))</f>
        <v/>
      </c>
      <c r="R57" s="10">
        <f>IF($AF57="","",INDEX(파견수련계획!$U$4:$U$83,$AF57))</f>
        <v/>
      </c>
      <c r="S57" s="11">
        <f>IF($AF57="","",IF(INDEX(파견수련계획!$H$4:$H$83,$AF57)="","",INDEX(파견수련계획!$H$4:$H$83,$AF57)))</f>
        <v/>
      </c>
      <c r="T57" s="11">
        <f>IF($AF57="","",IF(INDEX(파견수련계획!$I$4:$I$83,$AF57)="","",INDEX(파견수련계획!$I$4:$I$83,$AF57)))</f>
        <v/>
      </c>
      <c r="U57" s="10">
        <f>IF($AF57="","",INDEX(파견수련계획!$X$4:$X$83,$AF57))</f>
        <v/>
      </c>
      <c r="V57" s="17">
        <f>IF($AF57="","",INDEX(파견수련계획!$V$4:$V$83,$AF57))</f>
        <v/>
      </c>
      <c r="W57" s="17">
        <f>IF(AND($U57="파견중",$T57&lt;&gt;""),$T57-TODAY(),"")</f>
        <v/>
      </c>
      <c r="X57" s="17">
        <f>IF(OR($B57="",TRIM($J57&amp;"")=""),"",SUMPRODUCT((파견수련계획!$Q$4:$Q$83=TRIM($J57&amp;""))*파견수련계획!$W$4:$W$83))</f>
        <v/>
      </c>
      <c r="Y57" s="10">
        <f>IF($B57="","",IF($AG57="","",IF(IF(TRIM($J57&amp;"")="",0,SUMPRODUCT((파견수련계획!$Q$4:$Q$83=TRIM($J57&amp;""))*파견수련계획!$AD$4:$AD$83))&gt;0,$AE57,IF(N($X57)&lt;=0,$AG57,IF($AH57+$AI57=DAY(EOMONTH(요약!$B$3,0)),IF(AND($AH57&gt;=요약!$E$3,$AI57&lt;요약!$E$3),"서울병원",IF(AND($AI57&gt;=요약!$E$3,$AH57&lt;요약!$E$3),"구리병원","⚠15일 판정불가(서울 "&amp;$AH57&amp;"일/구리 "&amp;$AI57&amp;"일)")),IF($AJ57="",$AE57,IF(INDEX(파견수련계획!$T$4:$T$83,$AJ57)="통합수련",INDEX(파견수련계획!$S$4:$S$83,$AJ57),$AE57)))))))</f>
        <v/>
      </c>
      <c r="Z57" s="19">
        <f>IF($B57="","",IF($AB57="","기본자료에 없는 사번",IF(COUNTIF($B$2:$B$401,$B57)&gt;1,"중복 사번",IF($AE57="","소속(입사장소) 입력",IF(IF(TRIM($J57&amp;"")="",0,SUMPRODUCT((파견수련계획!$Q$4:$Q$83=TRIM($J57&amp;""))*(파견수련계획!$AA$4:$AA$83&lt;&gt;"")))&gt;0,"파견수련계획 입력오류 확인",IF(LEFT($Y57,1)="⚠","서울·구리 15일 판정 불가(양쪽 모두 이상/미만)",IF(IF($AC57="",0,N(INDEX(인턴근무계획!$T$3:$T$62,$AC57)))&gt;0,"인턴계획 입력오류 확인",IF(AND($AC57&lt;&gt;"",$U57&lt;&gt;"파견중",$N57&lt;&gt;$AE57),"인턴 타지역 근무: 파견 여부 확인","정상"))))))))</f>
        <v/>
      </c>
      <c r="AA57" s="5" t="n"/>
      <c r="AB57" s="10">
        <f>IF($B57="","",IFERROR(MATCH($B57,기본자료!$B$2:$B$1001,0),IFERROR(MATCH($B57&amp;"",기본자료!$B$2:$B$1001,0),IFERROR(MATCH(VALUE($B57),기본자료!$B$2:$B$1001,0),""))))</f>
        <v/>
      </c>
      <c r="AC57" s="10">
        <f>IF($B57="","",IFERROR(MATCH($B57,인턴근무계획!$D$3:$D$62,0),IFERROR(MATCH($B57&amp;"",인턴근무계획!$D$3:$D$62,0),IFERROR(MATCH(VALUE($B57),인턴근무계획!$D$3:$D$62,0),""))))</f>
        <v/>
      </c>
      <c r="AD57" s="10">
        <f>IF(OR($AC57="",인턴현황!$G$3=""),"",INDEX(인턴근무계획!$M$3:$R$62,$AC57,인턴현황!$G$3)&amp;"")</f>
        <v/>
      </c>
      <c r="AE57" s="10">
        <f>IF($B57="","",IF($M57&lt;&gt;"",$M57,IF($AF57&lt;&gt;"",IF(LEFT(INDEX(파견수련계획!$R$4:$R$83,$AF57),1)&lt;&gt;"⚠",INDEX(파견수련계획!$R$4:$R$83,$AF57),IF($H57="","",IF(RIGHT($H57,2)="병원",$H57,$H57&amp;"병원"))),IF($H57="","",IF(RIGHT($H57,2)="병원",$H57,$H57&amp;"병원")))))</f>
        <v/>
      </c>
      <c r="AF57" s="10">
        <f>IF(OR($B57="",TRIM($J57&amp;"")=""),"",IFERROR(MATCH(TRIM($J57&amp;"")&amp;"|파견중",파견수련계획!$Y$4:$Y$83,0),IFERROR(MATCH(TRIM($J57&amp;"")&amp;"|파견예정",파견수련계획!$Y$4:$Y$83,0),IFERROR(MATCH(TRIM($J57&amp;"")&amp;"|파견종료",파견수련계획!$Y$4:$Y$83,0),""))))</f>
        <v/>
      </c>
      <c r="AG57" s="10">
        <f>IF($B57="","",IF(AND(IF(OR($AC57="",인턴현황!$K$2=""),"",INDEX(인턴근무계획!$M$3:$R$62,$AC57,인턴현황!$K$2)&amp;"")&lt;&gt;"",LEFT(IF(OR($AC57="",인턴현황!$K$2=""),"",INDEX(인턴근무계획!$M$3:$R$62,$AC57,인턴현황!$K$2)&amp;""),1)&lt;&gt;"⚠"),LEFT(IF(OR($AC57="",인턴현황!$K$2=""),"",INDEX(인턴근무계획!$M$3:$R$62,$AC57,인턴현황!$K$2)&amp;""),FIND(" ",IF(OR($AC57="",인턴현황!$K$2=""),"",INDEX(인턴근무계획!$M$3:$R$62,$AC57,인턴현황!$K$2)&amp;""))-1),$AE57))</f>
        <v/>
      </c>
      <c r="AH57" s="17">
        <f>IF($B57="","",IF(TRIM($J57&amp;"")="",0,SUMPRODUCT((파견수련계획!$Q$4:$Q$83=TRIM($J57&amp;""))*(파견수련계획!$S$4:$S$83="서울병원")*파견수련계획!$W$4:$W$83))+IF($AG57="서울병원",MAX(0,DAY(EOMONTH(요약!$B$3,0))-N($X57)),0))</f>
        <v/>
      </c>
      <c r="AI57" s="17">
        <f>IF($B57="","",IF(TRIM($J57&amp;"")="",0,SUMPRODUCT((파견수련계획!$Q$4:$Q$83=TRIM($J57&amp;""))*(파견수련계획!$S$4:$S$83="구리병원")*파견수련계획!$W$4:$W$83))+IF($AG57="구리병원",MAX(0,DAY(EOMONTH(요약!$B$3,0))-N($X57)),0))</f>
        <v/>
      </c>
      <c r="AJ57" s="10">
        <f>IF(OR($B57="",TRIM($J57&amp;"")=""),"",IFERROR(MATCH(TRIM($J57&amp;"")&amp;"|월",파견수련계획!$Z$4:$Z$83,0),""))</f>
        <v/>
      </c>
      <c r="AK57" s="10">
        <f>IF(OR($B57="",TRIM($J57&amp;"")=""),"",IFERROR(MATCH(TRIM($J57&amp;"")&amp;"|다기관",파견수련계획!$AE$4:$AE$83,0),""))</f>
        <v/>
      </c>
      <c r="AL57" s="10">
        <f>IF($AK57="","","다기관 "&amp;TEXT(INDEX(파견수련계획!$AB$4:$AB$83,$AK57),"yyyy-mm-dd")&amp;"~"&amp;IF(ISNUMBER(INDEX(파견수련계획!$AC$4:$AC$83,$AK57)),TEXT(INDEX(파견수련계획!$AC$4:$AC$83,$AK57),"yyyy-mm-dd"),""))</f>
        <v/>
      </c>
    </row>
    <row r="58">
      <c r="A58" s="10">
        <f>IF(B58="","",ROW()-1)</f>
        <v/>
      </c>
      <c r="B58" s="18" t="n"/>
      <c r="C58" s="10">
        <f>IF($AB58="","",IF(INDEX(기본자료!$C$2:$C$1001,$AB58)="","",INDEX(기본자료!$C$2:$C$1001,$AB58)))</f>
        <v/>
      </c>
      <c r="D58" s="10">
        <f>IF($AB58="","",IF(INDEX(기본자료!$J$2:$J$1001,$AB58)="","",INDEX(기본자료!$J$2:$J$1001,$AB58)))</f>
        <v/>
      </c>
      <c r="E58" s="11">
        <f>IF($AB58="","",IF(INDEX(기본자료!$K$2:$K$1001,$AB58)="","",IF(NOT(ISNUMBER(INDEX(기본자료!$K$2:$K$1001,$AB58))),INDEX(기본자료!$K$2:$K$1001,$AB58),IF(INDEX(기본자료!$K$2:$K$1001,$AB58)&lt;1000000,INDEX(기본자료!$K$2:$K$1001,$AB58),IF(AND(INDEX(기본자료!$K$2:$K$1001,$AB58)&gt;=10000101,INT(MOD(INDEX(기본자료!$K$2:$K$1001,$AB58),10000)/100)&gt;=1,INT(MOD(INDEX(기본자료!$K$2:$K$1001,$AB58),10000)/100)&lt;=12,MOD(INDEX(기본자료!$K$2:$K$1001,$AB58),100)&gt;=1,MOD(INDEX(기본자료!$K$2:$K$1001,$AB58),100)&lt;=31),DATE(INT(INDEX(기본자료!$K$2:$K$1001,$AB58)/10000),INT(MOD(INDEX(기본자료!$K$2:$K$1001,$AB58),10000)/100),MOD(INDEX(기본자료!$K$2:$K$1001,$AB58),100)),INDEX(기본자료!$K$2:$K$1001,$AB58)&amp;"")))))</f>
        <v/>
      </c>
      <c r="F58" s="10">
        <f>IF($AB58="","",IF(INDEX(기본자료!$D$2:$D$1001,$AB58)="","",INDEX(기본자료!$D$2:$D$1001,$AB58)))</f>
        <v/>
      </c>
      <c r="G58" s="10">
        <f>IF($AB58="","",IF(INDEX(기본자료!$E$2:$E$1001,$AB58)="","",INDEX(기본자료!$E$2:$E$1001,$AB58)))</f>
        <v/>
      </c>
      <c r="H58" s="10">
        <f>IF($AB58="","",IF(INDEX(기본자료!$F$2:$F$1001,$AB58)="","",INDEX(기본자료!$F$2:$F$1001,$AB58)))</f>
        <v/>
      </c>
      <c r="I58" s="11">
        <f>IF($AB58="","",IF(INDEX(기본자료!$G$2:$G$1001,$AB58)="","",IF(NOT(ISNUMBER(INDEX(기본자료!$G$2:$G$1001,$AB58))),INDEX(기본자료!$G$2:$G$1001,$AB58),IF(INDEX(기본자료!$G$2:$G$1001,$AB58)&lt;1000000,INDEX(기본자료!$G$2:$G$1001,$AB58),IF(AND(INDEX(기본자료!$G$2:$G$1001,$AB58)&gt;=10000101,INT(MOD(INDEX(기본자료!$G$2:$G$1001,$AB58),10000)/100)&gt;=1,INT(MOD(INDEX(기본자료!$G$2:$G$1001,$AB58),10000)/100)&lt;=12,MOD(INDEX(기본자료!$G$2:$G$1001,$AB58),100)&gt;=1,MOD(INDEX(기본자료!$G$2:$G$1001,$AB58),100)&lt;=31),DATE(INT(INDEX(기본자료!$G$2:$G$1001,$AB58)/10000),INT(MOD(INDEX(기본자료!$G$2:$G$1001,$AB58),10000)/100),MOD(INDEX(기본자료!$G$2:$G$1001,$AB58),100)),INDEX(기본자료!$G$2:$G$1001,$AB58)&amp;"")))))</f>
        <v/>
      </c>
      <c r="J58" s="10">
        <f>IF($AB58="","",IF(INDEX(기본자료!$H$2:$H$1001,$AB58)="","",INDEX(기본자료!$H$2:$H$1001,$AB58)))</f>
        <v/>
      </c>
      <c r="K58" s="10">
        <f>IF($AB58="","",IF(INDEX(기본자료!$I$2:$I$1001,$AB58)="","",INDEX(기본자료!$I$2:$I$1001,$AB58)))</f>
        <v/>
      </c>
      <c r="L58" s="10">
        <f>IF($AB58="","",IF(INDEX(기본자료!$A$2:$A$1001,$AB58)="","",INDEX(기본자료!$A$2:$A$1001,$AB58)))</f>
        <v/>
      </c>
      <c r="M58" s="15" t="n"/>
      <c r="N58" s="10">
        <f>IF($B58="","",IF(AND($U58="파견중",$Q58&lt;&gt;""),$Q58,IF(AND($AD58&lt;&gt;"",LEFT($AD58,1)&lt;&gt;"⚠"),LEFT($AD58,FIND(" ",$AD58)-1),IF($H58="","",IF(RIGHT($H58,2)="병원",$H58,$H58&amp;"병원")))))</f>
        <v/>
      </c>
      <c r="O58" s="10">
        <f>IF($B58="","",IF(AND($U58="파견중",$Q58&lt;&gt;""),IF($R58&lt;&gt;"",$R58,"파견과 미입력"),IF(AND($AD58&lt;&gt;"",LEFT($AD58,1)&lt;&gt;"⚠"),MID($AD58,FIND(" ",$AD58)+1,60),IF($F58="","",IF($F58="인턴","수련교육부(인턴)",$F58)))))</f>
        <v/>
      </c>
      <c r="P58" s="10">
        <f>IF($B58="","",IF($AK58&lt;&gt;"",IF(AND(TODAY()&gt;=INDEX(파견수련계획!$AB$4:$AB$83,$AK58),OR(NOT(ISNUMBER(INDEX(파견수련계획!$AC$4:$AC$83,$AK58))),TODAY()&lt;=INDEX(파견수련계획!$AC$4:$AC$83,$AK58))),"다기관",IF($AF58="","",INDEX(파견수련계획!$T$4:$T$83,$AF58))),IF($AF58="","",INDEX(파견수련계획!$T$4:$T$83,$AF58))))</f>
        <v/>
      </c>
      <c r="Q58" s="10">
        <f>IF($AF58="","",INDEX(파견수련계획!$S$4:$S$83,$AF58))</f>
        <v/>
      </c>
      <c r="R58" s="10">
        <f>IF($AF58="","",INDEX(파견수련계획!$U$4:$U$83,$AF58))</f>
        <v/>
      </c>
      <c r="S58" s="11">
        <f>IF($AF58="","",IF(INDEX(파견수련계획!$H$4:$H$83,$AF58)="","",INDEX(파견수련계획!$H$4:$H$83,$AF58)))</f>
        <v/>
      </c>
      <c r="T58" s="11">
        <f>IF($AF58="","",IF(INDEX(파견수련계획!$I$4:$I$83,$AF58)="","",INDEX(파견수련계획!$I$4:$I$83,$AF58)))</f>
        <v/>
      </c>
      <c r="U58" s="10">
        <f>IF($AF58="","",INDEX(파견수련계획!$X$4:$X$83,$AF58))</f>
        <v/>
      </c>
      <c r="V58" s="17">
        <f>IF($AF58="","",INDEX(파견수련계획!$V$4:$V$83,$AF58))</f>
        <v/>
      </c>
      <c r="W58" s="17">
        <f>IF(AND($U58="파견중",$T58&lt;&gt;""),$T58-TODAY(),"")</f>
        <v/>
      </c>
      <c r="X58" s="17">
        <f>IF(OR($B58="",TRIM($J58&amp;"")=""),"",SUMPRODUCT((파견수련계획!$Q$4:$Q$83=TRIM($J58&amp;""))*파견수련계획!$W$4:$W$83))</f>
        <v/>
      </c>
      <c r="Y58" s="10">
        <f>IF($B58="","",IF($AG58="","",IF(IF(TRIM($J58&amp;"")="",0,SUMPRODUCT((파견수련계획!$Q$4:$Q$83=TRIM($J58&amp;""))*파견수련계획!$AD$4:$AD$83))&gt;0,$AE58,IF(N($X58)&lt;=0,$AG58,IF($AH58+$AI58=DAY(EOMONTH(요약!$B$3,0)),IF(AND($AH58&gt;=요약!$E$3,$AI58&lt;요약!$E$3),"서울병원",IF(AND($AI58&gt;=요약!$E$3,$AH58&lt;요약!$E$3),"구리병원","⚠15일 판정불가(서울 "&amp;$AH58&amp;"일/구리 "&amp;$AI58&amp;"일)")),IF($AJ58="",$AE58,IF(INDEX(파견수련계획!$T$4:$T$83,$AJ58)="통합수련",INDEX(파견수련계획!$S$4:$S$83,$AJ58),$AE58)))))))</f>
        <v/>
      </c>
      <c r="Z58" s="19">
        <f>IF($B58="","",IF($AB58="","기본자료에 없는 사번",IF(COUNTIF($B$2:$B$401,$B58)&gt;1,"중복 사번",IF($AE58="","소속(입사장소) 입력",IF(IF(TRIM($J58&amp;"")="",0,SUMPRODUCT((파견수련계획!$Q$4:$Q$83=TRIM($J58&amp;""))*(파견수련계획!$AA$4:$AA$83&lt;&gt;"")))&gt;0,"파견수련계획 입력오류 확인",IF(LEFT($Y58,1)="⚠","서울·구리 15일 판정 불가(양쪽 모두 이상/미만)",IF(IF($AC58="",0,N(INDEX(인턴근무계획!$T$3:$T$62,$AC58)))&gt;0,"인턴계획 입력오류 확인",IF(AND($AC58&lt;&gt;"",$U58&lt;&gt;"파견중",$N58&lt;&gt;$AE58),"인턴 타지역 근무: 파견 여부 확인","정상"))))))))</f>
        <v/>
      </c>
      <c r="AA58" s="5" t="n"/>
      <c r="AB58" s="10">
        <f>IF($B58="","",IFERROR(MATCH($B58,기본자료!$B$2:$B$1001,0),IFERROR(MATCH($B58&amp;"",기본자료!$B$2:$B$1001,0),IFERROR(MATCH(VALUE($B58),기본자료!$B$2:$B$1001,0),""))))</f>
        <v/>
      </c>
      <c r="AC58" s="10">
        <f>IF($B58="","",IFERROR(MATCH($B58,인턴근무계획!$D$3:$D$62,0),IFERROR(MATCH($B58&amp;"",인턴근무계획!$D$3:$D$62,0),IFERROR(MATCH(VALUE($B58),인턴근무계획!$D$3:$D$62,0),""))))</f>
        <v/>
      </c>
      <c r="AD58" s="10">
        <f>IF(OR($AC58="",인턴현황!$G$3=""),"",INDEX(인턴근무계획!$M$3:$R$62,$AC58,인턴현황!$G$3)&amp;"")</f>
        <v/>
      </c>
      <c r="AE58" s="10">
        <f>IF($B58="","",IF($M58&lt;&gt;"",$M58,IF($AF58&lt;&gt;"",IF(LEFT(INDEX(파견수련계획!$R$4:$R$83,$AF58),1)&lt;&gt;"⚠",INDEX(파견수련계획!$R$4:$R$83,$AF58),IF($H58="","",IF(RIGHT($H58,2)="병원",$H58,$H58&amp;"병원"))),IF($H58="","",IF(RIGHT($H58,2)="병원",$H58,$H58&amp;"병원")))))</f>
        <v/>
      </c>
      <c r="AF58" s="10">
        <f>IF(OR($B58="",TRIM($J58&amp;"")=""),"",IFERROR(MATCH(TRIM($J58&amp;"")&amp;"|파견중",파견수련계획!$Y$4:$Y$83,0),IFERROR(MATCH(TRIM($J58&amp;"")&amp;"|파견예정",파견수련계획!$Y$4:$Y$83,0),IFERROR(MATCH(TRIM($J58&amp;"")&amp;"|파견종료",파견수련계획!$Y$4:$Y$83,0),""))))</f>
        <v/>
      </c>
      <c r="AG58" s="10">
        <f>IF($B58="","",IF(AND(IF(OR($AC58="",인턴현황!$K$2=""),"",INDEX(인턴근무계획!$M$3:$R$62,$AC58,인턴현황!$K$2)&amp;"")&lt;&gt;"",LEFT(IF(OR($AC58="",인턴현황!$K$2=""),"",INDEX(인턴근무계획!$M$3:$R$62,$AC58,인턴현황!$K$2)&amp;""),1)&lt;&gt;"⚠"),LEFT(IF(OR($AC58="",인턴현황!$K$2=""),"",INDEX(인턴근무계획!$M$3:$R$62,$AC58,인턴현황!$K$2)&amp;""),FIND(" ",IF(OR($AC58="",인턴현황!$K$2=""),"",INDEX(인턴근무계획!$M$3:$R$62,$AC58,인턴현황!$K$2)&amp;""))-1),$AE58))</f>
        <v/>
      </c>
      <c r="AH58" s="17">
        <f>IF($B58="","",IF(TRIM($J58&amp;"")="",0,SUMPRODUCT((파견수련계획!$Q$4:$Q$83=TRIM($J58&amp;""))*(파견수련계획!$S$4:$S$83="서울병원")*파견수련계획!$W$4:$W$83))+IF($AG58="서울병원",MAX(0,DAY(EOMONTH(요약!$B$3,0))-N($X58)),0))</f>
        <v/>
      </c>
      <c r="AI58" s="17">
        <f>IF($B58="","",IF(TRIM($J58&amp;"")="",0,SUMPRODUCT((파견수련계획!$Q$4:$Q$83=TRIM($J58&amp;""))*(파견수련계획!$S$4:$S$83="구리병원")*파견수련계획!$W$4:$W$83))+IF($AG58="구리병원",MAX(0,DAY(EOMONTH(요약!$B$3,0))-N($X58)),0))</f>
        <v/>
      </c>
      <c r="AJ58" s="10">
        <f>IF(OR($B58="",TRIM($J58&amp;"")=""),"",IFERROR(MATCH(TRIM($J58&amp;"")&amp;"|월",파견수련계획!$Z$4:$Z$83,0),""))</f>
        <v/>
      </c>
      <c r="AK58" s="10">
        <f>IF(OR($B58="",TRIM($J58&amp;"")=""),"",IFERROR(MATCH(TRIM($J58&amp;"")&amp;"|다기관",파견수련계획!$AE$4:$AE$83,0),""))</f>
        <v/>
      </c>
      <c r="AL58" s="10">
        <f>IF($AK58="","","다기관 "&amp;TEXT(INDEX(파견수련계획!$AB$4:$AB$83,$AK58),"yyyy-mm-dd")&amp;"~"&amp;IF(ISNUMBER(INDEX(파견수련계획!$AC$4:$AC$83,$AK58)),TEXT(INDEX(파견수련계획!$AC$4:$AC$83,$AK58),"yyyy-mm-dd"),""))</f>
        <v/>
      </c>
    </row>
    <row r="59">
      <c r="A59" s="10">
        <f>IF(B59="","",ROW()-1)</f>
        <v/>
      </c>
      <c r="B59" s="18" t="n"/>
      <c r="C59" s="10">
        <f>IF($AB59="","",IF(INDEX(기본자료!$C$2:$C$1001,$AB59)="","",INDEX(기본자료!$C$2:$C$1001,$AB59)))</f>
        <v/>
      </c>
      <c r="D59" s="10">
        <f>IF($AB59="","",IF(INDEX(기본자료!$J$2:$J$1001,$AB59)="","",INDEX(기본자료!$J$2:$J$1001,$AB59)))</f>
        <v/>
      </c>
      <c r="E59" s="11">
        <f>IF($AB59="","",IF(INDEX(기본자료!$K$2:$K$1001,$AB59)="","",IF(NOT(ISNUMBER(INDEX(기본자료!$K$2:$K$1001,$AB59))),INDEX(기본자료!$K$2:$K$1001,$AB59),IF(INDEX(기본자료!$K$2:$K$1001,$AB59)&lt;1000000,INDEX(기본자료!$K$2:$K$1001,$AB59),IF(AND(INDEX(기본자료!$K$2:$K$1001,$AB59)&gt;=10000101,INT(MOD(INDEX(기본자료!$K$2:$K$1001,$AB59),10000)/100)&gt;=1,INT(MOD(INDEX(기본자료!$K$2:$K$1001,$AB59),10000)/100)&lt;=12,MOD(INDEX(기본자료!$K$2:$K$1001,$AB59),100)&gt;=1,MOD(INDEX(기본자료!$K$2:$K$1001,$AB59),100)&lt;=31),DATE(INT(INDEX(기본자료!$K$2:$K$1001,$AB59)/10000),INT(MOD(INDEX(기본자료!$K$2:$K$1001,$AB59),10000)/100),MOD(INDEX(기본자료!$K$2:$K$1001,$AB59),100)),INDEX(기본자료!$K$2:$K$1001,$AB59)&amp;"")))))</f>
        <v/>
      </c>
      <c r="F59" s="10">
        <f>IF($AB59="","",IF(INDEX(기본자료!$D$2:$D$1001,$AB59)="","",INDEX(기본자료!$D$2:$D$1001,$AB59)))</f>
        <v/>
      </c>
      <c r="G59" s="10">
        <f>IF($AB59="","",IF(INDEX(기본자료!$E$2:$E$1001,$AB59)="","",INDEX(기본자료!$E$2:$E$1001,$AB59)))</f>
        <v/>
      </c>
      <c r="H59" s="10">
        <f>IF($AB59="","",IF(INDEX(기본자료!$F$2:$F$1001,$AB59)="","",INDEX(기본자료!$F$2:$F$1001,$AB59)))</f>
        <v/>
      </c>
      <c r="I59" s="11">
        <f>IF($AB59="","",IF(INDEX(기본자료!$G$2:$G$1001,$AB59)="","",IF(NOT(ISNUMBER(INDEX(기본자료!$G$2:$G$1001,$AB59))),INDEX(기본자료!$G$2:$G$1001,$AB59),IF(INDEX(기본자료!$G$2:$G$1001,$AB59)&lt;1000000,INDEX(기본자료!$G$2:$G$1001,$AB59),IF(AND(INDEX(기본자료!$G$2:$G$1001,$AB59)&gt;=10000101,INT(MOD(INDEX(기본자료!$G$2:$G$1001,$AB59),10000)/100)&gt;=1,INT(MOD(INDEX(기본자료!$G$2:$G$1001,$AB59),10000)/100)&lt;=12,MOD(INDEX(기본자료!$G$2:$G$1001,$AB59),100)&gt;=1,MOD(INDEX(기본자료!$G$2:$G$1001,$AB59),100)&lt;=31),DATE(INT(INDEX(기본자료!$G$2:$G$1001,$AB59)/10000),INT(MOD(INDEX(기본자료!$G$2:$G$1001,$AB59),10000)/100),MOD(INDEX(기본자료!$G$2:$G$1001,$AB59),100)),INDEX(기본자료!$G$2:$G$1001,$AB59)&amp;"")))))</f>
        <v/>
      </c>
      <c r="J59" s="10">
        <f>IF($AB59="","",IF(INDEX(기본자료!$H$2:$H$1001,$AB59)="","",INDEX(기본자료!$H$2:$H$1001,$AB59)))</f>
        <v/>
      </c>
      <c r="K59" s="10">
        <f>IF($AB59="","",IF(INDEX(기본자료!$I$2:$I$1001,$AB59)="","",INDEX(기본자료!$I$2:$I$1001,$AB59)))</f>
        <v/>
      </c>
      <c r="L59" s="10">
        <f>IF($AB59="","",IF(INDEX(기본자료!$A$2:$A$1001,$AB59)="","",INDEX(기본자료!$A$2:$A$1001,$AB59)))</f>
        <v/>
      </c>
      <c r="M59" s="15" t="n"/>
      <c r="N59" s="10">
        <f>IF($B59="","",IF(AND($U59="파견중",$Q59&lt;&gt;""),$Q59,IF(AND($AD59&lt;&gt;"",LEFT($AD59,1)&lt;&gt;"⚠"),LEFT($AD59,FIND(" ",$AD59)-1),IF($H59="","",IF(RIGHT($H59,2)="병원",$H59,$H59&amp;"병원")))))</f>
        <v/>
      </c>
      <c r="O59" s="10">
        <f>IF($B59="","",IF(AND($U59="파견중",$Q59&lt;&gt;""),IF($R59&lt;&gt;"",$R59,"파견과 미입력"),IF(AND($AD59&lt;&gt;"",LEFT($AD59,1)&lt;&gt;"⚠"),MID($AD59,FIND(" ",$AD59)+1,60),IF($F59="","",IF($F59="인턴","수련교육부(인턴)",$F59)))))</f>
        <v/>
      </c>
      <c r="P59" s="10">
        <f>IF($B59="","",IF($AK59&lt;&gt;"",IF(AND(TODAY()&gt;=INDEX(파견수련계획!$AB$4:$AB$83,$AK59),OR(NOT(ISNUMBER(INDEX(파견수련계획!$AC$4:$AC$83,$AK59))),TODAY()&lt;=INDEX(파견수련계획!$AC$4:$AC$83,$AK59))),"다기관",IF($AF59="","",INDEX(파견수련계획!$T$4:$T$83,$AF59))),IF($AF59="","",INDEX(파견수련계획!$T$4:$T$83,$AF59))))</f>
        <v/>
      </c>
      <c r="Q59" s="10">
        <f>IF($AF59="","",INDEX(파견수련계획!$S$4:$S$83,$AF59))</f>
        <v/>
      </c>
      <c r="R59" s="10">
        <f>IF($AF59="","",INDEX(파견수련계획!$U$4:$U$83,$AF59))</f>
        <v/>
      </c>
      <c r="S59" s="11">
        <f>IF($AF59="","",IF(INDEX(파견수련계획!$H$4:$H$83,$AF59)="","",INDEX(파견수련계획!$H$4:$H$83,$AF59)))</f>
        <v/>
      </c>
      <c r="T59" s="11">
        <f>IF($AF59="","",IF(INDEX(파견수련계획!$I$4:$I$83,$AF59)="","",INDEX(파견수련계획!$I$4:$I$83,$AF59)))</f>
        <v/>
      </c>
      <c r="U59" s="10">
        <f>IF($AF59="","",INDEX(파견수련계획!$X$4:$X$83,$AF59))</f>
        <v/>
      </c>
      <c r="V59" s="17">
        <f>IF($AF59="","",INDEX(파견수련계획!$V$4:$V$83,$AF59))</f>
        <v/>
      </c>
      <c r="W59" s="17">
        <f>IF(AND($U59="파견중",$T59&lt;&gt;""),$T59-TODAY(),"")</f>
        <v/>
      </c>
      <c r="X59" s="17">
        <f>IF(OR($B59="",TRIM($J59&amp;"")=""),"",SUMPRODUCT((파견수련계획!$Q$4:$Q$83=TRIM($J59&amp;""))*파견수련계획!$W$4:$W$83))</f>
        <v/>
      </c>
      <c r="Y59" s="10">
        <f>IF($B59="","",IF($AG59="","",IF(IF(TRIM($J59&amp;"")="",0,SUMPRODUCT((파견수련계획!$Q$4:$Q$83=TRIM($J59&amp;""))*파견수련계획!$AD$4:$AD$83))&gt;0,$AE59,IF(N($X59)&lt;=0,$AG59,IF($AH59+$AI59=DAY(EOMONTH(요약!$B$3,0)),IF(AND($AH59&gt;=요약!$E$3,$AI59&lt;요약!$E$3),"서울병원",IF(AND($AI59&gt;=요약!$E$3,$AH59&lt;요약!$E$3),"구리병원","⚠15일 판정불가(서울 "&amp;$AH59&amp;"일/구리 "&amp;$AI59&amp;"일)")),IF($AJ59="",$AE59,IF(INDEX(파견수련계획!$T$4:$T$83,$AJ59)="통합수련",INDEX(파견수련계획!$S$4:$S$83,$AJ59),$AE59)))))))</f>
        <v/>
      </c>
      <c r="Z59" s="19">
        <f>IF($B59="","",IF($AB59="","기본자료에 없는 사번",IF(COUNTIF($B$2:$B$401,$B59)&gt;1,"중복 사번",IF($AE59="","소속(입사장소) 입력",IF(IF(TRIM($J59&amp;"")="",0,SUMPRODUCT((파견수련계획!$Q$4:$Q$83=TRIM($J59&amp;""))*(파견수련계획!$AA$4:$AA$83&lt;&gt;"")))&gt;0,"파견수련계획 입력오류 확인",IF(LEFT($Y59,1)="⚠","서울·구리 15일 판정 불가(양쪽 모두 이상/미만)",IF(IF($AC59="",0,N(INDEX(인턴근무계획!$T$3:$T$62,$AC59)))&gt;0,"인턴계획 입력오류 확인",IF(AND($AC59&lt;&gt;"",$U59&lt;&gt;"파견중",$N59&lt;&gt;$AE59),"인턴 타지역 근무: 파견 여부 확인","정상"))))))))</f>
        <v/>
      </c>
      <c r="AA59" s="5" t="n"/>
      <c r="AB59" s="10">
        <f>IF($B59="","",IFERROR(MATCH($B59,기본자료!$B$2:$B$1001,0),IFERROR(MATCH($B59&amp;"",기본자료!$B$2:$B$1001,0),IFERROR(MATCH(VALUE($B59),기본자료!$B$2:$B$1001,0),""))))</f>
        <v/>
      </c>
      <c r="AC59" s="10">
        <f>IF($B59="","",IFERROR(MATCH($B59,인턴근무계획!$D$3:$D$62,0),IFERROR(MATCH($B59&amp;"",인턴근무계획!$D$3:$D$62,0),IFERROR(MATCH(VALUE($B59),인턴근무계획!$D$3:$D$62,0),""))))</f>
        <v/>
      </c>
      <c r="AD59" s="10">
        <f>IF(OR($AC59="",인턴현황!$G$3=""),"",INDEX(인턴근무계획!$M$3:$R$62,$AC59,인턴현황!$G$3)&amp;"")</f>
        <v/>
      </c>
      <c r="AE59" s="10">
        <f>IF($B59="","",IF($M59&lt;&gt;"",$M59,IF($AF59&lt;&gt;"",IF(LEFT(INDEX(파견수련계획!$R$4:$R$83,$AF59),1)&lt;&gt;"⚠",INDEX(파견수련계획!$R$4:$R$83,$AF59),IF($H59="","",IF(RIGHT($H59,2)="병원",$H59,$H59&amp;"병원"))),IF($H59="","",IF(RIGHT($H59,2)="병원",$H59,$H59&amp;"병원")))))</f>
        <v/>
      </c>
      <c r="AF59" s="10">
        <f>IF(OR($B59="",TRIM($J59&amp;"")=""),"",IFERROR(MATCH(TRIM($J59&amp;"")&amp;"|파견중",파견수련계획!$Y$4:$Y$83,0),IFERROR(MATCH(TRIM($J59&amp;"")&amp;"|파견예정",파견수련계획!$Y$4:$Y$83,0),IFERROR(MATCH(TRIM($J59&amp;"")&amp;"|파견종료",파견수련계획!$Y$4:$Y$83,0),""))))</f>
        <v/>
      </c>
      <c r="AG59" s="10">
        <f>IF($B59="","",IF(AND(IF(OR($AC59="",인턴현황!$K$2=""),"",INDEX(인턴근무계획!$M$3:$R$62,$AC59,인턴현황!$K$2)&amp;"")&lt;&gt;"",LEFT(IF(OR($AC59="",인턴현황!$K$2=""),"",INDEX(인턴근무계획!$M$3:$R$62,$AC59,인턴현황!$K$2)&amp;""),1)&lt;&gt;"⚠"),LEFT(IF(OR($AC59="",인턴현황!$K$2=""),"",INDEX(인턴근무계획!$M$3:$R$62,$AC59,인턴현황!$K$2)&amp;""),FIND(" ",IF(OR($AC59="",인턴현황!$K$2=""),"",INDEX(인턴근무계획!$M$3:$R$62,$AC59,인턴현황!$K$2)&amp;""))-1),$AE59))</f>
        <v/>
      </c>
      <c r="AH59" s="17">
        <f>IF($B59="","",IF(TRIM($J59&amp;"")="",0,SUMPRODUCT((파견수련계획!$Q$4:$Q$83=TRIM($J59&amp;""))*(파견수련계획!$S$4:$S$83="서울병원")*파견수련계획!$W$4:$W$83))+IF($AG59="서울병원",MAX(0,DAY(EOMONTH(요약!$B$3,0))-N($X59)),0))</f>
        <v/>
      </c>
      <c r="AI59" s="17">
        <f>IF($B59="","",IF(TRIM($J59&amp;"")="",0,SUMPRODUCT((파견수련계획!$Q$4:$Q$83=TRIM($J59&amp;""))*(파견수련계획!$S$4:$S$83="구리병원")*파견수련계획!$W$4:$W$83))+IF($AG59="구리병원",MAX(0,DAY(EOMONTH(요약!$B$3,0))-N($X59)),0))</f>
        <v/>
      </c>
      <c r="AJ59" s="10">
        <f>IF(OR($B59="",TRIM($J59&amp;"")=""),"",IFERROR(MATCH(TRIM($J59&amp;"")&amp;"|월",파견수련계획!$Z$4:$Z$83,0),""))</f>
        <v/>
      </c>
      <c r="AK59" s="10">
        <f>IF(OR($B59="",TRIM($J59&amp;"")=""),"",IFERROR(MATCH(TRIM($J59&amp;"")&amp;"|다기관",파견수련계획!$AE$4:$AE$83,0),""))</f>
        <v/>
      </c>
      <c r="AL59" s="10">
        <f>IF($AK59="","","다기관 "&amp;TEXT(INDEX(파견수련계획!$AB$4:$AB$83,$AK59),"yyyy-mm-dd")&amp;"~"&amp;IF(ISNUMBER(INDEX(파견수련계획!$AC$4:$AC$83,$AK59)),TEXT(INDEX(파견수련계획!$AC$4:$AC$83,$AK59),"yyyy-mm-dd"),""))</f>
        <v/>
      </c>
    </row>
    <row r="60">
      <c r="A60" s="10">
        <f>IF(B60="","",ROW()-1)</f>
        <v/>
      </c>
      <c r="B60" s="18" t="n"/>
      <c r="C60" s="10">
        <f>IF($AB60="","",IF(INDEX(기본자료!$C$2:$C$1001,$AB60)="","",INDEX(기본자료!$C$2:$C$1001,$AB60)))</f>
        <v/>
      </c>
      <c r="D60" s="10">
        <f>IF($AB60="","",IF(INDEX(기본자료!$J$2:$J$1001,$AB60)="","",INDEX(기본자료!$J$2:$J$1001,$AB60)))</f>
        <v/>
      </c>
      <c r="E60" s="11">
        <f>IF($AB60="","",IF(INDEX(기본자료!$K$2:$K$1001,$AB60)="","",IF(NOT(ISNUMBER(INDEX(기본자료!$K$2:$K$1001,$AB60))),INDEX(기본자료!$K$2:$K$1001,$AB60),IF(INDEX(기본자료!$K$2:$K$1001,$AB60)&lt;1000000,INDEX(기본자료!$K$2:$K$1001,$AB60),IF(AND(INDEX(기본자료!$K$2:$K$1001,$AB60)&gt;=10000101,INT(MOD(INDEX(기본자료!$K$2:$K$1001,$AB60),10000)/100)&gt;=1,INT(MOD(INDEX(기본자료!$K$2:$K$1001,$AB60),10000)/100)&lt;=12,MOD(INDEX(기본자료!$K$2:$K$1001,$AB60),100)&gt;=1,MOD(INDEX(기본자료!$K$2:$K$1001,$AB60),100)&lt;=31),DATE(INT(INDEX(기본자료!$K$2:$K$1001,$AB60)/10000),INT(MOD(INDEX(기본자료!$K$2:$K$1001,$AB60),10000)/100),MOD(INDEX(기본자료!$K$2:$K$1001,$AB60),100)),INDEX(기본자료!$K$2:$K$1001,$AB60)&amp;"")))))</f>
        <v/>
      </c>
      <c r="F60" s="10">
        <f>IF($AB60="","",IF(INDEX(기본자료!$D$2:$D$1001,$AB60)="","",INDEX(기본자료!$D$2:$D$1001,$AB60)))</f>
        <v/>
      </c>
      <c r="G60" s="10">
        <f>IF($AB60="","",IF(INDEX(기본자료!$E$2:$E$1001,$AB60)="","",INDEX(기본자료!$E$2:$E$1001,$AB60)))</f>
        <v/>
      </c>
      <c r="H60" s="10">
        <f>IF($AB60="","",IF(INDEX(기본자료!$F$2:$F$1001,$AB60)="","",INDEX(기본자료!$F$2:$F$1001,$AB60)))</f>
        <v/>
      </c>
      <c r="I60" s="11">
        <f>IF($AB60="","",IF(INDEX(기본자료!$G$2:$G$1001,$AB60)="","",IF(NOT(ISNUMBER(INDEX(기본자료!$G$2:$G$1001,$AB60))),INDEX(기본자료!$G$2:$G$1001,$AB60),IF(INDEX(기본자료!$G$2:$G$1001,$AB60)&lt;1000000,INDEX(기본자료!$G$2:$G$1001,$AB60),IF(AND(INDEX(기본자료!$G$2:$G$1001,$AB60)&gt;=10000101,INT(MOD(INDEX(기본자료!$G$2:$G$1001,$AB60),10000)/100)&gt;=1,INT(MOD(INDEX(기본자료!$G$2:$G$1001,$AB60),10000)/100)&lt;=12,MOD(INDEX(기본자료!$G$2:$G$1001,$AB60),100)&gt;=1,MOD(INDEX(기본자료!$G$2:$G$1001,$AB60),100)&lt;=31),DATE(INT(INDEX(기본자료!$G$2:$G$1001,$AB60)/10000),INT(MOD(INDEX(기본자료!$G$2:$G$1001,$AB60),10000)/100),MOD(INDEX(기본자료!$G$2:$G$1001,$AB60),100)),INDEX(기본자료!$G$2:$G$1001,$AB60)&amp;"")))))</f>
        <v/>
      </c>
      <c r="J60" s="10">
        <f>IF($AB60="","",IF(INDEX(기본자료!$H$2:$H$1001,$AB60)="","",INDEX(기본자료!$H$2:$H$1001,$AB60)))</f>
        <v/>
      </c>
      <c r="K60" s="10">
        <f>IF($AB60="","",IF(INDEX(기본자료!$I$2:$I$1001,$AB60)="","",INDEX(기본자료!$I$2:$I$1001,$AB60)))</f>
        <v/>
      </c>
      <c r="L60" s="10">
        <f>IF($AB60="","",IF(INDEX(기본자료!$A$2:$A$1001,$AB60)="","",INDEX(기본자료!$A$2:$A$1001,$AB60)))</f>
        <v/>
      </c>
      <c r="M60" s="15" t="n"/>
      <c r="N60" s="10">
        <f>IF($B60="","",IF(AND($U60="파견중",$Q60&lt;&gt;""),$Q60,IF(AND($AD60&lt;&gt;"",LEFT($AD60,1)&lt;&gt;"⚠"),LEFT($AD60,FIND(" ",$AD60)-1),IF($H60="","",IF(RIGHT($H60,2)="병원",$H60,$H60&amp;"병원")))))</f>
        <v/>
      </c>
      <c r="O60" s="10">
        <f>IF($B60="","",IF(AND($U60="파견중",$Q60&lt;&gt;""),IF($R60&lt;&gt;"",$R60,"파견과 미입력"),IF(AND($AD60&lt;&gt;"",LEFT($AD60,1)&lt;&gt;"⚠"),MID($AD60,FIND(" ",$AD60)+1,60),IF($F60="","",IF($F60="인턴","수련교육부(인턴)",$F60)))))</f>
        <v/>
      </c>
      <c r="P60" s="10">
        <f>IF($B60="","",IF($AK60&lt;&gt;"",IF(AND(TODAY()&gt;=INDEX(파견수련계획!$AB$4:$AB$83,$AK60),OR(NOT(ISNUMBER(INDEX(파견수련계획!$AC$4:$AC$83,$AK60))),TODAY()&lt;=INDEX(파견수련계획!$AC$4:$AC$83,$AK60))),"다기관",IF($AF60="","",INDEX(파견수련계획!$T$4:$T$83,$AF60))),IF($AF60="","",INDEX(파견수련계획!$T$4:$T$83,$AF60))))</f>
        <v/>
      </c>
      <c r="Q60" s="10">
        <f>IF($AF60="","",INDEX(파견수련계획!$S$4:$S$83,$AF60))</f>
        <v/>
      </c>
      <c r="R60" s="10">
        <f>IF($AF60="","",INDEX(파견수련계획!$U$4:$U$83,$AF60))</f>
        <v/>
      </c>
      <c r="S60" s="11">
        <f>IF($AF60="","",IF(INDEX(파견수련계획!$H$4:$H$83,$AF60)="","",INDEX(파견수련계획!$H$4:$H$83,$AF60)))</f>
        <v/>
      </c>
      <c r="T60" s="11">
        <f>IF($AF60="","",IF(INDEX(파견수련계획!$I$4:$I$83,$AF60)="","",INDEX(파견수련계획!$I$4:$I$83,$AF60)))</f>
        <v/>
      </c>
      <c r="U60" s="10">
        <f>IF($AF60="","",INDEX(파견수련계획!$X$4:$X$83,$AF60))</f>
        <v/>
      </c>
      <c r="V60" s="17">
        <f>IF($AF60="","",INDEX(파견수련계획!$V$4:$V$83,$AF60))</f>
        <v/>
      </c>
      <c r="W60" s="17">
        <f>IF(AND($U60="파견중",$T60&lt;&gt;""),$T60-TODAY(),"")</f>
        <v/>
      </c>
      <c r="X60" s="17">
        <f>IF(OR($B60="",TRIM($J60&amp;"")=""),"",SUMPRODUCT((파견수련계획!$Q$4:$Q$83=TRIM($J60&amp;""))*파견수련계획!$W$4:$W$83))</f>
        <v/>
      </c>
      <c r="Y60" s="10">
        <f>IF($B60="","",IF($AG60="","",IF(IF(TRIM($J60&amp;"")="",0,SUMPRODUCT((파견수련계획!$Q$4:$Q$83=TRIM($J60&amp;""))*파견수련계획!$AD$4:$AD$83))&gt;0,$AE60,IF(N($X60)&lt;=0,$AG60,IF($AH60+$AI60=DAY(EOMONTH(요약!$B$3,0)),IF(AND($AH60&gt;=요약!$E$3,$AI60&lt;요약!$E$3),"서울병원",IF(AND($AI60&gt;=요약!$E$3,$AH60&lt;요약!$E$3),"구리병원","⚠15일 판정불가(서울 "&amp;$AH60&amp;"일/구리 "&amp;$AI60&amp;"일)")),IF($AJ60="",$AE60,IF(INDEX(파견수련계획!$T$4:$T$83,$AJ60)="통합수련",INDEX(파견수련계획!$S$4:$S$83,$AJ60),$AE60)))))))</f>
        <v/>
      </c>
      <c r="Z60" s="19">
        <f>IF($B60="","",IF($AB60="","기본자료에 없는 사번",IF(COUNTIF($B$2:$B$401,$B60)&gt;1,"중복 사번",IF($AE60="","소속(입사장소) 입력",IF(IF(TRIM($J60&amp;"")="",0,SUMPRODUCT((파견수련계획!$Q$4:$Q$83=TRIM($J60&amp;""))*(파견수련계획!$AA$4:$AA$83&lt;&gt;"")))&gt;0,"파견수련계획 입력오류 확인",IF(LEFT($Y60,1)="⚠","서울·구리 15일 판정 불가(양쪽 모두 이상/미만)",IF(IF($AC60="",0,N(INDEX(인턴근무계획!$T$3:$T$62,$AC60)))&gt;0,"인턴계획 입력오류 확인",IF(AND($AC60&lt;&gt;"",$U60&lt;&gt;"파견중",$N60&lt;&gt;$AE60),"인턴 타지역 근무: 파견 여부 확인","정상"))))))))</f>
        <v/>
      </c>
      <c r="AA60" s="5" t="n"/>
      <c r="AB60" s="10">
        <f>IF($B60="","",IFERROR(MATCH($B60,기본자료!$B$2:$B$1001,0),IFERROR(MATCH($B60&amp;"",기본자료!$B$2:$B$1001,0),IFERROR(MATCH(VALUE($B60),기본자료!$B$2:$B$1001,0),""))))</f>
        <v/>
      </c>
      <c r="AC60" s="10">
        <f>IF($B60="","",IFERROR(MATCH($B60,인턴근무계획!$D$3:$D$62,0),IFERROR(MATCH($B60&amp;"",인턴근무계획!$D$3:$D$62,0),IFERROR(MATCH(VALUE($B60),인턴근무계획!$D$3:$D$62,0),""))))</f>
        <v/>
      </c>
      <c r="AD60" s="10">
        <f>IF(OR($AC60="",인턴현황!$G$3=""),"",INDEX(인턴근무계획!$M$3:$R$62,$AC60,인턴현황!$G$3)&amp;"")</f>
        <v/>
      </c>
      <c r="AE60" s="10">
        <f>IF($B60="","",IF($M60&lt;&gt;"",$M60,IF($AF60&lt;&gt;"",IF(LEFT(INDEX(파견수련계획!$R$4:$R$83,$AF60),1)&lt;&gt;"⚠",INDEX(파견수련계획!$R$4:$R$83,$AF60),IF($H60="","",IF(RIGHT($H60,2)="병원",$H60,$H60&amp;"병원"))),IF($H60="","",IF(RIGHT($H60,2)="병원",$H60,$H60&amp;"병원")))))</f>
        <v/>
      </c>
      <c r="AF60" s="10">
        <f>IF(OR($B60="",TRIM($J60&amp;"")=""),"",IFERROR(MATCH(TRIM($J60&amp;"")&amp;"|파견중",파견수련계획!$Y$4:$Y$83,0),IFERROR(MATCH(TRIM($J60&amp;"")&amp;"|파견예정",파견수련계획!$Y$4:$Y$83,0),IFERROR(MATCH(TRIM($J60&amp;"")&amp;"|파견종료",파견수련계획!$Y$4:$Y$83,0),""))))</f>
        <v/>
      </c>
      <c r="AG60" s="10">
        <f>IF($B60="","",IF(AND(IF(OR($AC60="",인턴현황!$K$2=""),"",INDEX(인턴근무계획!$M$3:$R$62,$AC60,인턴현황!$K$2)&amp;"")&lt;&gt;"",LEFT(IF(OR($AC60="",인턴현황!$K$2=""),"",INDEX(인턴근무계획!$M$3:$R$62,$AC60,인턴현황!$K$2)&amp;""),1)&lt;&gt;"⚠"),LEFT(IF(OR($AC60="",인턴현황!$K$2=""),"",INDEX(인턴근무계획!$M$3:$R$62,$AC60,인턴현황!$K$2)&amp;""),FIND(" ",IF(OR($AC60="",인턴현황!$K$2=""),"",INDEX(인턴근무계획!$M$3:$R$62,$AC60,인턴현황!$K$2)&amp;""))-1),$AE60))</f>
        <v/>
      </c>
      <c r="AH60" s="17">
        <f>IF($B60="","",IF(TRIM($J60&amp;"")="",0,SUMPRODUCT((파견수련계획!$Q$4:$Q$83=TRIM($J60&amp;""))*(파견수련계획!$S$4:$S$83="서울병원")*파견수련계획!$W$4:$W$83))+IF($AG60="서울병원",MAX(0,DAY(EOMONTH(요약!$B$3,0))-N($X60)),0))</f>
        <v/>
      </c>
      <c r="AI60" s="17">
        <f>IF($B60="","",IF(TRIM($J60&amp;"")="",0,SUMPRODUCT((파견수련계획!$Q$4:$Q$83=TRIM($J60&amp;""))*(파견수련계획!$S$4:$S$83="구리병원")*파견수련계획!$W$4:$W$83))+IF($AG60="구리병원",MAX(0,DAY(EOMONTH(요약!$B$3,0))-N($X60)),0))</f>
        <v/>
      </c>
      <c r="AJ60" s="10">
        <f>IF(OR($B60="",TRIM($J60&amp;"")=""),"",IFERROR(MATCH(TRIM($J60&amp;"")&amp;"|월",파견수련계획!$Z$4:$Z$83,0),""))</f>
        <v/>
      </c>
      <c r="AK60" s="10">
        <f>IF(OR($B60="",TRIM($J60&amp;"")=""),"",IFERROR(MATCH(TRIM($J60&amp;"")&amp;"|다기관",파견수련계획!$AE$4:$AE$83,0),""))</f>
        <v/>
      </c>
      <c r="AL60" s="10">
        <f>IF($AK60="","","다기관 "&amp;TEXT(INDEX(파견수련계획!$AB$4:$AB$83,$AK60),"yyyy-mm-dd")&amp;"~"&amp;IF(ISNUMBER(INDEX(파견수련계획!$AC$4:$AC$83,$AK60)),TEXT(INDEX(파견수련계획!$AC$4:$AC$83,$AK60),"yyyy-mm-dd"),""))</f>
        <v/>
      </c>
    </row>
    <row r="61">
      <c r="A61" s="10">
        <f>IF(B61="","",ROW()-1)</f>
        <v/>
      </c>
      <c r="B61" s="18" t="n"/>
      <c r="C61" s="10">
        <f>IF($AB61="","",IF(INDEX(기본자료!$C$2:$C$1001,$AB61)="","",INDEX(기본자료!$C$2:$C$1001,$AB61)))</f>
        <v/>
      </c>
      <c r="D61" s="10">
        <f>IF($AB61="","",IF(INDEX(기본자료!$J$2:$J$1001,$AB61)="","",INDEX(기본자료!$J$2:$J$1001,$AB61)))</f>
        <v/>
      </c>
      <c r="E61" s="11">
        <f>IF($AB61="","",IF(INDEX(기본자료!$K$2:$K$1001,$AB61)="","",IF(NOT(ISNUMBER(INDEX(기본자료!$K$2:$K$1001,$AB61))),INDEX(기본자료!$K$2:$K$1001,$AB61),IF(INDEX(기본자료!$K$2:$K$1001,$AB61)&lt;1000000,INDEX(기본자료!$K$2:$K$1001,$AB61),IF(AND(INDEX(기본자료!$K$2:$K$1001,$AB61)&gt;=10000101,INT(MOD(INDEX(기본자료!$K$2:$K$1001,$AB61),10000)/100)&gt;=1,INT(MOD(INDEX(기본자료!$K$2:$K$1001,$AB61),10000)/100)&lt;=12,MOD(INDEX(기본자료!$K$2:$K$1001,$AB61),100)&gt;=1,MOD(INDEX(기본자료!$K$2:$K$1001,$AB61),100)&lt;=31),DATE(INT(INDEX(기본자료!$K$2:$K$1001,$AB61)/10000),INT(MOD(INDEX(기본자료!$K$2:$K$1001,$AB61),10000)/100),MOD(INDEX(기본자료!$K$2:$K$1001,$AB61),100)),INDEX(기본자료!$K$2:$K$1001,$AB61)&amp;"")))))</f>
        <v/>
      </c>
      <c r="F61" s="10">
        <f>IF($AB61="","",IF(INDEX(기본자료!$D$2:$D$1001,$AB61)="","",INDEX(기본자료!$D$2:$D$1001,$AB61)))</f>
        <v/>
      </c>
      <c r="G61" s="10">
        <f>IF($AB61="","",IF(INDEX(기본자료!$E$2:$E$1001,$AB61)="","",INDEX(기본자료!$E$2:$E$1001,$AB61)))</f>
        <v/>
      </c>
      <c r="H61" s="10">
        <f>IF($AB61="","",IF(INDEX(기본자료!$F$2:$F$1001,$AB61)="","",INDEX(기본자료!$F$2:$F$1001,$AB61)))</f>
        <v/>
      </c>
      <c r="I61" s="11">
        <f>IF($AB61="","",IF(INDEX(기본자료!$G$2:$G$1001,$AB61)="","",IF(NOT(ISNUMBER(INDEX(기본자료!$G$2:$G$1001,$AB61))),INDEX(기본자료!$G$2:$G$1001,$AB61),IF(INDEX(기본자료!$G$2:$G$1001,$AB61)&lt;1000000,INDEX(기본자료!$G$2:$G$1001,$AB61),IF(AND(INDEX(기본자료!$G$2:$G$1001,$AB61)&gt;=10000101,INT(MOD(INDEX(기본자료!$G$2:$G$1001,$AB61),10000)/100)&gt;=1,INT(MOD(INDEX(기본자료!$G$2:$G$1001,$AB61),10000)/100)&lt;=12,MOD(INDEX(기본자료!$G$2:$G$1001,$AB61),100)&gt;=1,MOD(INDEX(기본자료!$G$2:$G$1001,$AB61),100)&lt;=31),DATE(INT(INDEX(기본자료!$G$2:$G$1001,$AB61)/10000),INT(MOD(INDEX(기본자료!$G$2:$G$1001,$AB61),10000)/100),MOD(INDEX(기본자료!$G$2:$G$1001,$AB61),100)),INDEX(기본자료!$G$2:$G$1001,$AB61)&amp;"")))))</f>
        <v/>
      </c>
      <c r="J61" s="10">
        <f>IF($AB61="","",IF(INDEX(기본자료!$H$2:$H$1001,$AB61)="","",INDEX(기본자료!$H$2:$H$1001,$AB61)))</f>
        <v/>
      </c>
      <c r="K61" s="10">
        <f>IF($AB61="","",IF(INDEX(기본자료!$I$2:$I$1001,$AB61)="","",INDEX(기본자료!$I$2:$I$1001,$AB61)))</f>
        <v/>
      </c>
      <c r="L61" s="10">
        <f>IF($AB61="","",IF(INDEX(기본자료!$A$2:$A$1001,$AB61)="","",INDEX(기본자료!$A$2:$A$1001,$AB61)))</f>
        <v/>
      </c>
      <c r="M61" s="15" t="n"/>
      <c r="N61" s="10">
        <f>IF($B61="","",IF(AND($U61="파견중",$Q61&lt;&gt;""),$Q61,IF(AND($AD61&lt;&gt;"",LEFT($AD61,1)&lt;&gt;"⚠"),LEFT($AD61,FIND(" ",$AD61)-1),IF($H61="","",IF(RIGHT($H61,2)="병원",$H61,$H61&amp;"병원")))))</f>
        <v/>
      </c>
      <c r="O61" s="10">
        <f>IF($B61="","",IF(AND($U61="파견중",$Q61&lt;&gt;""),IF($R61&lt;&gt;"",$R61,"파견과 미입력"),IF(AND($AD61&lt;&gt;"",LEFT($AD61,1)&lt;&gt;"⚠"),MID($AD61,FIND(" ",$AD61)+1,60),IF($F61="","",IF($F61="인턴","수련교육부(인턴)",$F61)))))</f>
        <v/>
      </c>
      <c r="P61" s="10">
        <f>IF($B61="","",IF($AK61&lt;&gt;"",IF(AND(TODAY()&gt;=INDEX(파견수련계획!$AB$4:$AB$83,$AK61),OR(NOT(ISNUMBER(INDEX(파견수련계획!$AC$4:$AC$83,$AK61))),TODAY()&lt;=INDEX(파견수련계획!$AC$4:$AC$83,$AK61))),"다기관",IF($AF61="","",INDEX(파견수련계획!$T$4:$T$83,$AF61))),IF($AF61="","",INDEX(파견수련계획!$T$4:$T$83,$AF61))))</f>
        <v/>
      </c>
      <c r="Q61" s="10">
        <f>IF($AF61="","",INDEX(파견수련계획!$S$4:$S$83,$AF61))</f>
        <v/>
      </c>
      <c r="R61" s="10">
        <f>IF($AF61="","",INDEX(파견수련계획!$U$4:$U$83,$AF61))</f>
        <v/>
      </c>
      <c r="S61" s="11">
        <f>IF($AF61="","",IF(INDEX(파견수련계획!$H$4:$H$83,$AF61)="","",INDEX(파견수련계획!$H$4:$H$83,$AF61)))</f>
        <v/>
      </c>
      <c r="T61" s="11">
        <f>IF($AF61="","",IF(INDEX(파견수련계획!$I$4:$I$83,$AF61)="","",INDEX(파견수련계획!$I$4:$I$83,$AF61)))</f>
        <v/>
      </c>
      <c r="U61" s="10">
        <f>IF($AF61="","",INDEX(파견수련계획!$X$4:$X$83,$AF61))</f>
        <v/>
      </c>
      <c r="V61" s="17">
        <f>IF($AF61="","",INDEX(파견수련계획!$V$4:$V$83,$AF61))</f>
        <v/>
      </c>
      <c r="W61" s="17">
        <f>IF(AND($U61="파견중",$T61&lt;&gt;""),$T61-TODAY(),"")</f>
        <v/>
      </c>
      <c r="X61" s="17">
        <f>IF(OR($B61="",TRIM($J61&amp;"")=""),"",SUMPRODUCT((파견수련계획!$Q$4:$Q$83=TRIM($J61&amp;""))*파견수련계획!$W$4:$W$83))</f>
        <v/>
      </c>
      <c r="Y61" s="10">
        <f>IF($B61="","",IF($AG61="","",IF(IF(TRIM($J61&amp;"")="",0,SUMPRODUCT((파견수련계획!$Q$4:$Q$83=TRIM($J61&amp;""))*파견수련계획!$AD$4:$AD$83))&gt;0,$AE61,IF(N($X61)&lt;=0,$AG61,IF($AH61+$AI61=DAY(EOMONTH(요약!$B$3,0)),IF(AND($AH61&gt;=요약!$E$3,$AI61&lt;요약!$E$3),"서울병원",IF(AND($AI61&gt;=요약!$E$3,$AH61&lt;요약!$E$3),"구리병원","⚠15일 판정불가(서울 "&amp;$AH61&amp;"일/구리 "&amp;$AI61&amp;"일)")),IF($AJ61="",$AE61,IF(INDEX(파견수련계획!$T$4:$T$83,$AJ61)="통합수련",INDEX(파견수련계획!$S$4:$S$83,$AJ61),$AE61)))))))</f>
        <v/>
      </c>
      <c r="Z61" s="19">
        <f>IF($B61="","",IF($AB61="","기본자료에 없는 사번",IF(COUNTIF($B$2:$B$401,$B61)&gt;1,"중복 사번",IF($AE61="","소속(입사장소) 입력",IF(IF(TRIM($J61&amp;"")="",0,SUMPRODUCT((파견수련계획!$Q$4:$Q$83=TRIM($J61&amp;""))*(파견수련계획!$AA$4:$AA$83&lt;&gt;"")))&gt;0,"파견수련계획 입력오류 확인",IF(LEFT($Y61,1)="⚠","서울·구리 15일 판정 불가(양쪽 모두 이상/미만)",IF(IF($AC61="",0,N(INDEX(인턴근무계획!$T$3:$T$62,$AC61)))&gt;0,"인턴계획 입력오류 확인",IF(AND($AC61&lt;&gt;"",$U61&lt;&gt;"파견중",$N61&lt;&gt;$AE61),"인턴 타지역 근무: 파견 여부 확인","정상"))))))))</f>
        <v/>
      </c>
      <c r="AA61" s="5" t="n"/>
      <c r="AB61" s="10">
        <f>IF($B61="","",IFERROR(MATCH($B61,기본자료!$B$2:$B$1001,0),IFERROR(MATCH($B61&amp;"",기본자료!$B$2:$B$1001,0),IFERROR(MATCH(VALUE($B61),기본자료!$B$2:$B$1001,0),""))))</f>
        <v/>
      </c>
      <c r="AC61" s="10">
        <f>IF($B61="","",IFERROR(MATCH($B61,인턴근무계획!$D$3:$D$62,0),IFERROR(MATCH($B61&amp;"",인턴근무계획!$D$3:$D$62,0),IFERROR(MATCH(VALUE($B61),인턴근무계획!$D$3:$D$62,0),""))))</f>
        <v/>
      </c>
      <c r="AD61" s="10">
        <f>IF(OR($AC61="",인턴현황!$G$3=""),"",INDEX(인턴근무계획!$M$3:$R$62,$AC61,인턴현황!$G$3)&amp;"")</f>
        <v/>
      </c>
      <c r="AE61" s="10">
        <f>IF($B61="","",IF($M61&lt;&gt;"",$M61,IF($AF61&lt;&gt;"",IF(LEFT(INDEX(파견수련계획!$R$4:$R$83,$AF61),1)&lt;&gt;"⚠",INDEX(파견수련계획!$R$4:$R$83,$AF61),IF($H61="","",IF(RIGHT($H61,2)="병원",$H61,$H61&amp;"병원"))),IF($H61="","",IF(RIGHT($H61,2)="병원",$H61,$H61&amp;"병원")))))</f>
        <v/>
      </c>
      <c r="AF61" s="10">
        <f>IF(OR($B61="",TRIM($J61&amp;"")=""),"",IFERROR(MATCH(TRIM($J61&amp;"")&amp;"|파견중",파견수련계획!$Y$4:$Y$83,0),IFERROR(MATCH(TRIM($J61&amp;"")&amp;"|파견예정",파견수련계획!$Y$4:$Y$83,0),IFERROR(MATCH(TRIM($J61&amp;"")&amp;"|파견종료",파견수련계획!$Y$4:$Y$83,0),""))))</f>
        <v/>
      </c>
      <c r="AG61" s="10">
        <f>IF($B61="","",IF(AND(IF(OR($AC61="",인턴현황!$K$2=""),"",INDEX(인턴근무계획!$M$3:$R$62,$AC61,인턴현황!$K$2)&amp;"")&lt;&gt;"",LEFT(IF(OR($AC61="",인턴현황!$K$2=""),"",INDEX(인턴근무계획!$M$3:$R$62,$AC61,인턴현황!$K$2)&amp;""),1)&lt;&gt;"⚠"),LEFT(IF(OR($AC61="",인턴현황!$K$2=""),"",INDEX(인턴근무계획!$M$3:$R$62,$AC61,인턴현황!$K$2)&amp;""),FIND(" ",IF(OR($AC61="",인턴현황!$K$2=""),"",INDEX(인턴근무계획!$M$3:$R$62,$AC61,인턴현황!$K$2)&amp;""))-1),$AE61))</f>
        <v/>
      </c>
      <c r="AH61" s="17">
        <f>IF($B61="","",IF(TRIM($J61&amp;"")="",0,SUMPRODUCT((파견수련계획!$Q$4:$Q$83=TRIM($J61&amp;""))*(파견수련계획!$S$4:$S$83="서울병원")*파견수련계획!$W$4:$W$83))+IF($AG61="서울병원",MAX(0,DAY(EOMONTH(요약!$B$3,0))-N($X61)),0))</f>
        <v/>
      </c>
      <c r="AI61" s="17">
        <f>IF($B61="","",IF(TRIM($J61&amp;"")="",0,SUMPRODUCT((파견수련계획!$Q$4:$Q$83=TRIM($J61&amp;""))*(파견수련계획!$S$4:$S$83="구리병원")*파견수련계획!$W$4:$W$83))+IF($AG61="구리병원",MAX(0,DAY(EOMONTH(요약!$B$3,0))-N($X61)),0))</f>
        <v/>
      </c>
      <c r="AJ61" s="10">
        <f>IF(OR($B61="",TRIM($J61&amp;"")=""),"",IFERROR(MATCH(TRIM($J61&amp;"")&amp;"|월",파견수련계획!$Z$4:$Z$83,0),""))</f>
        <v/>
      </c>
      <c r="AK61" s="10">
        <f>IF(OR($B61="",TRIM($J61&amp;"")=""),"",IFERROR(MATCH(TRIM($J61&amp;"")&amp;"|다기관",파견수련계획!$AE$4:$AE$83,0),""))</f>
        <v/>
      </c>
      <c r="AL61" s="10">
        <f>IF($AK61="","","다기관 "&amp;TEXT(INDEX(파견수련계획!$AB$4:$AB$83,$AK61),"yyyy-mm-dd")&amp;"~"&amp;IF(ISNUMBER(INDEX(파견수련계획!$AC$4:$AC$83,$AK61)),TEXT(INDEX(파견수련계획!$AC$4:$AC$83,$AK61),"yyyy-mm-dd"),""))</f>
        <v/>
      </c>
    </row>
    <row r="62">
      <c r="A62" s="10">
        <f>IF(B62="","",ROW()-1)</f>
        <v/>
      </c>
      <c r="B62" s="18" t="n"/>
      <c r="C62" s="10">
        <f>IF($AB62="","",IF(INDEX(기본자료!$C$2:$C$1001,$AB62)="","",INDEX(기본자료!$C$2:$C$1001,$AB62)))</f>
        <v/>
      </c>
      <c r="D62" s="10">
        <f>IF($AB62="","",IF(INDEX(기본자료!$J$2:$J$1001,$AB62)="","",INDEX(기본자료!$J$2:$J$1001,$AB62)))</f>
        <v/>
      </c>
      <c r="E62" s="11">
        <f>IF($AB62="","",IF(INDEX(기본자료!$K$2:$K$1001,$AB62)="","",IF(NOT(ISNUMBER(INDEX(기본자료!$K$2:$K$1001,$AB62))),INDEX(기본자료!$K$2:$K$1001,$AB62),IF(INDEX(기본자료!$K$2:$K$1001,$AB62)&lt;1000000,INDEX(기본자료!$K$2:$K$1001,$AB62),IF(AND(INDEX(기본자료!$K$2:$K$1001,$AB62)&gt;=10000101,INT(MOD(INDEX(기본자료!$K$2:$K$1001,$AB62),10000)/100)&gt;=1,INT(MOD(INDEX(기본자료!$K$2:$K$1001,$AB62),10000)/100)&lt;=12,MOD(INDEX(기본자료!$K$2:$K$1001,$AB62),100)&gt;=1,MOD(INDEX(기본자료!$K$2:$K$1001,$AB62),100)&lt;=31),DATE(INT(INDEX(기본자료!$K$2:$K$1001,$AB62)/10000),INT(MOD(INDEX(기본자료!$K$2:$K$1001,$AB62),10000)/100),MOD(INDEX(기본자료!$K$2:$K$1001,$AB62),100)),INDEX(기본자료!$K$2:$K$1001,$AB62)&amp;"")))))</f>
        <v/>
      </c>
      <c r="F62" s="10">
        <f>IF($AB62="","",IF(INDEX(기본자료!$D$2:$D$1001,$AB62)="","",INDEX(기본자료!$D$2:$D$1001,$AB62)))</f>
        <v/>
      </c>
      <c r="G62" s="10">
        <f>IF($AB62="","",IF(INDEX(기본자료!$E$2:$E$1001,$AB62)="","",INDEX(기본자료!$E$2:$E$1001,$AB62)))</f>
        <v/>
      </c>
      <c r="H62" s="10">
        <f>IF($AB62="","",IF(INDEX(기본자료!$F$2:$F$1001,$AB62)="","",INDEX(기본자료!$F$2:$F$1001,$AB62)))</f>
        <v/>
      </c>
      <c r="I62" s="11">
        <f>IF($AB62="","",IF(INDEX(기본자료!$G$2:$G$1001,$AB62)="","",IF(NOT(ISNUMBER(INDEX(기본자료!$G$2:$G$1001,$AB62))),INDEX(기본자료!$G$2:$G$1001,$AB62),IF(INDEX(기본자료!$G$2:$G$1001,$AB62)&lt;1000000,INDEX(기본자료!$G$2:$G$1001,$AB62),IF(AND(INDEX(기본자료!$G$2:$G$1001,$AB62)&gt;=10000101,INT(MOD(INDEX(기본자료!$G$2:$G$1001,$AB62),10000)/100)&gt;=1,INT(MOD(INDEX(기본자료!$G$2:$G$1001,$AB62),10000)/100)&lt;=12,MOD(INDEX(기본자료!$G$2:$G$1001,$AB62),100)&gt;=1,MOD(INDEX(기본자료!$G$2:$G$1001,$AB62),100)&lt;=31),DATE(INT(INDEX(기본자료!$G$2:$G$1001,$AB62)/10000),INT(MOD(INDEX(기본자료!$G$2:$G$1001,$AB62),10000)/100),MOD(INDEX(기본자료!$G$2:$G$1001,$AB62),100)),INDEX(기본자료!$G$2:$G$1001,$AB62)&amp;"")))))</f>
        <v/>
      </c>
      <c r="J62" s="10">
        <f>IF($AB62="","",IF(INDEX(기본자료!$H$2:$H$1001,$AB62)="","",INDEX(기본자료!$H$2:$H$1001,$AB62)))</f>
        <v/>
      </c>
      <c r="K62" s="10">
        <f>IF($AB62="","",IF(INDEX(기본자료!$I$2:$I$1001,$AB62)="","",INDEX(기본자료!$I$2:$I$1001,$AB62)))</f>
        <v/>
      </c>
      <c r="L62" s="10">
        <f>IF($AB62="","",IF(INDEX(기본자료!$A$2:$A$1001,$AB62)="","",INDEX(기본자료!$A$2:$A$1001,$AB62)))</f>
        <v/>
      </c>
      <c r="M62" s="15" t="n"/>
      <c r="N62" s="10">
        <f>IF($B62="","",IF(AND($U62="파견중",$Q62&lt;&gt;""),$Q62,IF(AND($AD62&lt;&gt;"",LEFT($AD62,1)&lt;&gt;"⚠"),LEFT($AD62,FIND(" ",$AD62)-1),IF($H62="","",IF(RIGHT($H62,2)="병원",$H62,$H62&amp;"병원")))))</f>
        <v/>
      </c>
      <c r="O62" s="10">
        <f>IF($B62="","",IF(AND($U62="파견중",$Q62&lt;&gt;""),IF($R62&lt;&gt;"",$R62,"파견과 미입력"),IF(AND($AD62&lt;&gt;"",LEFT($AD62,1)&lt;&gt;"⚠"),MID($AD62,FIND(" ",$AD62)+1,60),IF($F62="","",IF($F62="인턴","수련교육부(인턴)",$F62)))))</f>
        <v/>
      </c>
      <c r="P62" s="10">
        <f>IF($B62="","",IF($AK62&lt;&gt;"",IF(AND(TODAY()&gt;=INDEX(파견수련계획!$AB$4:$AB$83,$AK62),OR(NOT(ISNUMBER(INDEX(파견수련계획!$AC$4:$AC$83,$AK62))),TODAY()&lt;=INDEX(파견수련계획!$AC$4:$AC$83,$AK62))),"다기관",IF($AF62="","",INDEX(파견수련계획!$T$4:$T$83,$AF62))),IF($AF62="","",INDEX(파견수련계획!$T$4:$T$83,$AF62))))</f>
        <v/>
      </c>
      <c r="Q62" s="10">
        <f>IF($AF62="","",INDEX(파견수련계획!$S$4:$S$83,$AF62))</f>
        <v/>
      </c>
      <c r="R62" s="10">
        <f>IF($AF62="","",INDEX(파견수련계획!$U$4:$U$83,$AF62))</f>
        <v/>
      </c>
      <c r="S62" s="11">
        <f>IF($AF62="","",IF(INDEX(파견수련계획!$H$4:$H$83,$AF62)="","",INDEX(파견수련계획!$H$4:$H$83,$AF62)))</f>
        <v/>
      </c>
      <c r="T62" s="11">
        <f>IF($AF62="","",IF(INDEX(파견수련계획!$I$4:$I$83,$AF62)="","",INDEX(파견수련계획!$I$4:$I$83,$AF62)))</f>
        <v/>
      </c>
      <c r="U62" s="10">
        <f>IF($AF62="","",INDEX(파견수련계획!$X$4:$X$83,$AF62))</f>
        <v/>
      </c>
      <c r="V62" s="17">
        <f>IF($AF62="","",INDEX(파견수련계획!$V$4:$V$83,$AF62))</f>
        <v/>
      </c>
      <c r="W62" s="17">
        <f>IF(AND($U62="파견중",$T62&lt;&gt;""),$T62-TODAY(),"")</f>
        <v/>
      </c>
      <c r="X62" s="17">
        <f>IF(OR($B62="",TRIM($J62&amp;"")=""),"",SUMPRODUCT((파견수련계획!$Q$4:$Q$83=TRIM($J62&amp;""))*파견수련계획!$W$4:$W$83))</f>
        <v/>
      </c>
      <c r="Y62" s="10">
        <f>IF($B62="","",IF($AG62="","",IF(IF(TRIM($J62&amp;"")="",0,SUMPRODUCT((파견수련계획!$Q$4:$Q$83=TRIM($J62&amp;""))*파견수련계획!$AD$4:$AD$83))&gt;0,$AE62,IF(N($X62)&lt;=0,$AG62,IF($AH62+$AI62=DAY(EOMONTH(요약!$B$3,0)),IF(AND($AH62&gt;=요약!$E$3,$AI62&lt;요약!$E$3),"서울병원",IF(AND($AI62&gt;=요약!$E$3,$AH62&lt;요약!$E$3),"구리병원","⚠15일 판정불가(서울 "&amp;$AH62&amp;"일/구리 "&amp;$AI62&amp;"일)")),IF($AJ62="",$AE62,IF(INDEX(파견수련계획!$T$4:$T$83,$AJ62)="통합수련",INDEX(파견수련계획!$S$4:$S$83,$AJ62),$AE62)))))))</f>
        <v/>
      </c>
      <c r="Z62" s="19">
        <f>IF($B62="","",IF($AB62="","기본자료에 없는 사번",IF(COUNTIF($B$2:$B$401,$B62)&gt;1,"중복 사번",IF($AE62="","소속(입사장소) 입력",IF(IF(TRIM($J62&amp;"")="",0,SUMPRODUCT((파견수련계획!$Q$4:$Q$83=TRIM($J62&amp;""))*(파견수련계획!$AA$4:$AA$83&lt;&gt;"")))&gt;0,"파견수련계획 입력오류 확인",IF(LEFT($Y62,1)="⚠","서울·구리 15일 판정 불가(양쪽 모두 이상/미만)",IF(IF($AC62="",0,N(INDEX(인턴근무계획!$T$3:$T$62,$AC62)))&gt;0,"인턴계획 입력오류 확인",IF(AND($AC62&lt;&gt;"",$U62&lt;&gt;"파견중",$N62&lt;&gt;$AE62),"인턴 타지역 근무: 파견 여부 확인","정상"))))))))</f>
        <v/>
      </c>
      <c r="AA62" s="5" t="n"/>
      <c r="AB62" s="10">
        <f>IF($B62="","",IFERROR(MATCH($B62,기본자료!$B$2:$B$1001,0),IFERROR(MATCH($B62&amp;"",기본자료!$B$2:$B$1001,0),IFERROR(MATCH(VALUE($B62),기본자료!$B$2:$B$1001,0),""))))</f>
        <v/>
      </c>
      <c r="AC62" s="10">
        <f>IF($B62="","",IFERROR(MATCH($B62,인턴근무계획!$D$3:$D$62,0),IFERROR(MATCH($B62&amp;"",인턴근무계획!$D$3:$D$62,0),IFERROR(MATCH(VALUE($B62),인턴근무계획!$D$3:$D$62,0),""))))</f>
        <v/>
      </c>
      <c r="AD62" s="10">
        <f>IF(OR($AC62="",인턴현황!$G$3=""),"",INDEX(인턴근무계획!$M$3:$R$62,$AC62,인턴현황!$G$3)&amp;"")</f>
        <v/>
      </c>
      <c r="AE62" s="10">
        <f>IF($B62="","",IF($M62&lt;&gt;"",$M62,IF($AF62&lt;&gt;"",IF(LEFT(INDEX(파견수련계획!$R$4:$R$83,$AF62),1)&lt;&gt;"⚠",INDEX(파견수련계획!$R$4:$R$83,$AF62),IF($H62="","",IF(RIGHT($H62,2)="병원",$H62,$H62&amp;"병원"))),IF($H62="","",IF(RIGHT($H62,2)="병원",$H62,$H62&amp;"병원")))))</f>
        <v/>
      </c>
      <c r="AF62" s="10">
        <f>IF(OR($B62="",TRIM($J62&amp;"")=""),"",IFERROR(MATCH(TRIM($J62&amp;"")&amp;"|파견중",파견수련계획!$Y$4:$Y$83,0),IFERROR(MATCH(TRIM($J62&amp;"")&amp;"|파견예정",파견수련계획!$Y$4:$Y$83,0),IFERROR(MATCH(TRIM($J62&amp;"")&amp;"|파견종료",파견수련계획!$Y$4:$Y$83,0),""))))</f>
        <v/>
      </c>
      <c r="AG62" s="10">
        <f>IF($B62="","",IF(AND(IF(OR($AC62="",인턴현황!$K$2=""),"",INDEX(인턴근무계획!$M$3:$R$62,$AC62,인턴현황!$K$2)&amp;"")&lt;&gt;"",LEFT(IF(OR($AC62="",인턴현황!$K$2=""),"",INDEX(인턴근무계획!$M$3:$R$62,$AC62,인턴현황!$K$2)&amp;""),1)&lt;&gt;"⚠"),LEFT(IF(OR($AC62="",인턴현황!$K$2=""),"",INDEX(인턴근무계획!$M$3:$R$62,$AC62,인턴현황!$K$2)&amp;""),FIND(" ",IF(OR($AC62="",인턴현황!$K$2=""),"",INDEX(인턴근무계획!$M$3:$R$62,$AC62,인턴현황!$K$2)&amp;""))-1),$AE62))</f>
        <v/>
      </c>
      <c r="AH62" s="17">
        <f>IF($B62="","",IF(TRIM($J62&amp;"")="",0,SUMPRODUCT((파견수련계획!$Q$4:$Q$83=TRIM($J62&amp;""))*(파견수련계획!$S$4:$S$83="서울병원")*파견수련계획!$W$4:$W$83))+IF($AG62="서울병원",MAX(0,DAY(EOMONTH(요약!$B$3,0))-N($X62)),0))</f>
        <v/>
      </c>
      <c r="AI62" s="17">
        <f>IF($B62="","",IF(TRIM($J62&amp;"")="",0,SUMPRODUCT((파견수련계획!$Q$4:$Q$83=TRIM($J62&amp;""))*(파견수련계획!$S$4:$S$83="구리병원")*파견수련계획!$W$4:$W$83))+IF($AG62="구리병원",MAX(0,DAY(EOMONTH(요약!$B$3,0))-N($X62)),0))</f>
        <v/>
      </c>
      <c r="AJ62" s="10">
        <f>IF(OR($B62="",TRIM($J62&amp;"")=""),"",IFERROR(MATCH(TRIM($J62&amp;"")&amp;"|월",파견수련계획!$Z$4:$Z$83,0),""))</f>
        <v/>
      </c>
      <c r="AK62" s="10">
        <f>IF(OR($B62="",TRIM($J62&amp;"")=""),"",IFERROR(MATCH(TRIM($J62&amp;"")&amp;"|다기관",파견수련계획!$AE$4:$AE$83,0),""))</f>
        <v/>
      </c>
      <c r="AL62" s="10">
        <f>IF($AK62="","","다기관 "&amp;TEXT(INDEX(파견수련계획!$AB$4:$AB$83,$AK62),"yyyy-mm-dd")&amp;"~"&amp;IF(ISNUMBER(INDEX(파견수련계획!$AC$4:$AC$83,$AK62)),TEXT(INDEX(파견수련계획!$AC$4:$AC$83,$AK62),"yyyy-mm-dd"),""))</f>
        <v/>
      </c>
    </row>
    <row r="63">
      <c r="A63" s="10">
        <f>IF(B63="","",ROW()-1)</f>
        <v/>
      </c>
      <c r="B63" s="18" t="n"/>
      <c r="C63" s="10">
        <f>IF($AB63="","",IF(INDEX(기본자료!$C$2:$C$1001,$AB63)="","",INDEX(기본자료!$C$2:$C$1001,$AB63)))</f>
        <v/>
      </c>
      <c r="D63" s="10">
        <f>IF($AB63="","",IF(INDEX(기본자료!$J$2:$J$1001,$AB63)="","",INDEX(기본자료!$J$2:$J$1001,$AB63)))</f>
        <v/>
      </c>
      <c r="E63" s="11">
        <f>IF($AB63="","",IF(INDEX(기본자료!$K$2:$K$1001,$AB63)="","",IF(NOT(ISNUMBER(INDEX(기본자료!$K$2:$K$1001,$AB63))),INDEX(기본자료!$K$2:$K$1001,$AB63),IF(INDEX(기본자료!$K$2:$K$1001,$AB63)&lt;1000000,INDEX(기본자료!$K$2:$K$1001,$AB63),IF(AND(INDEX(기본자료!$K$2:$K$1001,$AB63)&gt;=10000101,INT(MOD(INDEX(기본자료!$K$2:$K$1001,$AB63),10000)/100)&gt;=1,INT(MOD(INDEX(기본자료!$K$2:$K$1001,$AB63),10000)/100)&lt;=12,MOD(INDEX(기본자료!$K$2:$K$1001,$AB63),100)&gt;=1,MOD(INDEX(기본자료!$K$2:$K$1001,$AB63),100)&lt;=31),DATE(INT(INDEX(기본자료!$K$2:$K$1001,$AB63)/10000),INT(MOD(INDEX(기본자료!$K$2:$K$1001,$AB63),10000)/100),MOD(INDEX(기본자료!$K$2:$K$1001,$AB63),100)),INDEX(기본자료!$K$2:$K$1001,$AB63)&amp;"")))))</f>
        <v/>
      </c>
      <c r="F63" s="10">
        <f>IF($AB63="","",IF(INDEX(기본자료!$D$2:$D$1001,$AB63)="","",INDEX(기본자료!$D$2:$D$1001,$AB63)))</f>
        <v/>
      </c>
      <c r="G63" s="10">
        <f>IF($AB63="","",IF(INDEX(기본자료!$E$2:$E$1001,$AB63)="","",INDEX(기본자료!$E$2:$E$1001,$AB63)))</f>
        <v/>
      </c>
      <c r="H63" s="10">
        <f>IF($AB63="","",IF(INDEX(기본자료!$F$2:$F$1001,$AB63)="","",INDEX(기본자료!$F$2:$F$1001,$AB63)))</f>
        <v/>
      </c>
      <c r="I63" s="11">
        <f>IF($AB63="","",IF(INDEX(기본자료!$G$2:$G$1001,$AB63)="","",IF(NOT(ISNUMBER(INDEX(기본자료!$G$2:$G$1001,$AB63))),INDEX(기본자료!$G$2:$G$1001,$AB63),IF(INDEX(기본자료!$G$2:$G$1001,$AB63)&lt;1000000,INDEX(기본자료!$G$2:$G$1001,$AB63),IF(AND(INDEX(기본자료!$G$2:$G$1001,$AB63)&gt;=10000101,INT(MOD(INDEX(기본자료!$G$2:$G$1001,$AB63),10000)/100)&gt;=1,INT(MOD(INDEX(기본자료!$G$2:$G$1001,$AB63),10000)/100)&lt;=12,MOD(INDEX(기본자료!$G$2:$G$1001,$AB63),100)&gt;=1,MOD(INDEX(기본자료!$G$2:$G$1001,$AB63),100)&lt;=31),DATE(INT(INDEX(기본자료!$G$2:$G$1001,$AB63)/10000),INT(MOD(INDEX(기본자료!$G$2:$G$1001,$AB63),10000)/100),MOD(INDEX(기본자료!$G$2:$G$1001,$AB63),100)),INDEX(기본자료!$G$2:$G$1001,$AB63)&amp;"")))))</f>
        <v/>
      </c>
      <c r="J63" s="10">
        <f>IF($AB63="","",IF(INDEX(기본자료!$H$2:$H$1001,$AB63)="","",INDEX(기본자료!$H$2:$H$1001,$AB63)))</f>
        <v/>
      </c>
      <c r="K63" s="10">
        <f>IF($AB63="","",IF(INDEX(기본자료!$I$2:$I$1001,$AB63)="","",INDEX(기본자료!$I$2:$I$1001,$AB63)))</f>
        <v/>
      </c>
      <c r="L63" s="10">
        <f>IF($AB63="","",IF(INDEX(기본자료!$A$2:$A$1001,$AB63)="","",INDEX(기본자료!$A$2:$A$1001,$AB63)))</f>
        <v/>
      </c>
      <c r="M63" s="15" t="n"/>
      <c r="N63" s="10">
        <f>IF($B63="","",IF(AND($U63="파견중",$Q63&lt;&gt;""),$Q63,IF(AND($AD63&lt;&gt;"",LEFT($AD63,1)&lt;&gt;"⚠"),LEFT($AD63,FIND(" ",$AD63)-1),IF($H63="","",IF(RIGHT($H63,2)="병원",$H63,$H63&amp;"병원")))))</f>
        <v/>
      </c>
      <c r="O63" s="10">
        <f>IF($B63="","",IF(AND($U63="파견중",$Q63&lt;&gt;""),IF($R63&lt;&gt;"",$R63,"파견과 미입력"),IF(AND($AD63&lt;&gt;"",LEFT($AD63,1)&lt;&gt;"⚠"),MID($AD63,FIND(" ",$AD63)+1,60),IF($F63="","",IF($F63="인턴","수련교육부(인턴)",$F63)))))</f>
        <v/>
      </c>
      <c r="P63" s="10">
        <f>IF($B63="","",IF($AK63&lt;&gt;"",IF(AND(TODAY()&gt;=INDEX(파견수련계획!$AB$4:$AB$83,$AK63),OR(NOT(ISNUMBER(INDEX(파견수련계획!$AC$4:$AC$83,$AK63))),TODAY()&lt;=INDEX(파견수련계획!$AC$4:$AC$83,$AK63))),"다기관",IF($AF63="","",INDEX(파견수련계획!$T$4:$T$83,$AF63))),IF($AF63="","",INDEX(파견수련계획!$T$4:$T$83,$AF63))))</f>
        <v/>
      </c>
      <c r="Q63" s="10">
        <f>IF($AF63="","",INDEX(파견수련계획!$S$4:$S$83,$AF63))</f>
        <v/>
      </c>
      <c r="R63" s="10">
        <f>IF($AF63="","",INDEX(파견수련계획!$U$4:$U$83,$AF63))</f>
        <v/>
      </c>
      <c r="S63" s="11">
        <f>IF($AF63="","",IF(INDEX(파견수련계획!$H$4:$H$83,$AF63)="","",INDEX(파견수련계획!$H$4:$H$83,$AF63)))</f>
        <v/>
      </c>
      <c r="T63" s="11">
        <f>IF($AF63="","",IF(INDEX(파견수련계획!$I$4:$I$83,$AF63)="","",INDEX(파견수련계획!$I$4:$I$83,$AF63)))</f>
        <v/>
      </c>
      <c r="U63" s="10">
        <f>IF($AF63="","",INDEX(파견수련계획!$X$4:$X$83,$AF63))</f>
        <v/>
      </c>
      <c r="V63" s="17">
        <f>IF($AF63="","",INDEX(파견수련계획!$V$4:$V$83,$AF63))</f>
        <v/>
      </c>
      <c r="W63" s="17">
        <f>IF(AND($U63="파견중",$T63&lt;&gt;""),$T63-TODAY(),"")</f>
        <v/>
      </c>
      <c r="X63" s="17">
        <f>IF(OR($B63="",TRIM($J63&amp;"")=""),"",SUMPRODUCT((파견수련계획!$Q$4:$Q$83=TRIM($J63&amp;""))*파견수련계획!$W$4:$W$83))</f>
        <v/>
      </c>
      <c r="Y63" s="10">
        <f>IF($B63="","",IF($AG63="","",IF(IF(TRIM($J63&amp;"")="",0,SUMPRODUCT((파견수련계획!$Q$4:$Q$83=TRIM($J63&amp;""))*파견수련계획!$AD$4:$AD$83))&gt;0,$AE63,IF(N($X63)&lt;=0,$AG63,IF($AH63+$AI63=DAY(EOMONTH(요약!$B$3,0)),IF(AND($AH63&gt;=요약!$E$3,$AI63&lt;요약!$E$3),"서울병원",IF(AND($AI63&gt;=요약!$E$3,$AH63&lt;요약!$E$3),"구리병원","⚠15일 판정불가(서울 "&amp;$AH63&amp;"일/구리 "&amp;$AI63&amp;"일)")),IF($AJ63="",$AE63,IF(INDEX(파견수련계획!$T$4:$T$83,$AJ63)="통합수련",INDEX(파견수련계획!$S$4:$S$83,$AJ63),$AE63)))))))</f>
        <v/>
      </c>
      <c r="Z63" s="19">
        <f>IF($B63="","",IF($AB63="","기본자료에 없는 사번",IF(COUNTIF($B$2:$B$401,$B63)&gt;1,"중복 사번",IF($AE63="","소속(입사장소) 입력",IF(IF(TRIM($J63&amp;"")="",0,SUMPRODUCT((파견수련계획!$Q$4:$Q$83=TRIM($J63&amp;""))*(파견수련계획!$AA$4:$AA$83&lt;&gt;"")))&gt;0,"파견수련계획 입력오류 확인",IF(LEFT($Y63,1)="⚠","서울·구리 15일 판정 불가(양쪽 모두 이상/미만)",IF(IF($AC63="",0,N(INDEX(인턴근무계획!$T$3:$T$62,$AC63)))&gt;0,"인턴계획 입력오류 확인",IF(AND($AC63&lt;&gt;"",$U63&lt;&gt;"파견중",$N63&lt;&gt;$AE63),"인턴 타지역 근무: 파견 여부 확인","정상"))))))))</f>
        <v/>
      </c>
      <c r="AA63" s="5" t="n"/>
      <c r="AB63" s="10">
        <f>IF($B63="","",IFERROR(MATCH($B63,기본자료!$B$2:$B$1001,0),IFERROR(MATCH($B63&amp;"",기본자료!$B$2:$B$1001,0),IFERROR(MATCH(VALUE($B63),기본자료!$B$2:$B$1001,0),""))))</f>
        <v/>
      </c>
      <c r="AC63" s="10">
        <f>IF($B63="","",IFERROR(MATCH($B63,인턴근무계획!$D$3:$D$62,0),IFERROR(MATCH($B63&amp;"",인턴근무계획!$D$3:$D$62,0),IFERROR(MATCH(VALUE($B63),인턴근무계획!$D$3:$D$62,0),""))))</f>
        <v/>
      </c>
      <c r="AD63" s="10">
        <f>IF(OR($AC63="",인턴현황!$G$3=""),"",INDEX(인턴근무계획!$M$3:$R$62,$AC63,인턴현황!$G$3)&amp;"")</f>
        <v/>
      </c>
      <c r="AE63" s="10">
        <f>IF($B63="","",IF($M63&lt;&gt;"",$M63,IF($AF63&lt;&gt;"",IF(LEFT(INDEX(파견수련계획!$R$4:$R$83,$AF63),1)&lt;&gt;"⚠",INDEX(파견수련계획!$R$4:$R$83,$AF63),IF($H63="","",IF(RIGHT($H63,2)="병원",$H63,$H63&amp;"병원"))),IF($H63="","",IF(RIGHT($H63,2)="병원",$H63,$H63&amp;"병원")))))</f>
        <v/>
      </c>
      <c r="AF63" s="10">
        <f>IF(OR($B63="",TRIM($J63&amp;"")=""),"",IFERROR(MATCH(TRIM($J63&amp;"")&amp;"|파견중",파견수련계획!$Y$4:$Y$83,0),IFERROR(MATCH(TRIM($J63&amp;"")&amp;"|파견예정",파견수련계획!$Y$4:$Y$83,0),IFERROR(MATCH(TRIM($J63&amp;"")&amp;"|파견종료",파견수련계획!$Y$4:$Y$83,0),""))))</f>
        <v/>
      </c>
      <c r="AG63" s="10">
        <f>IF($B63="","",IF(AND(IF(OR($AC63="",인턴현황!$K$2=""),"",INDEX(인턴근무계획!$M$3:$R$62,$AC63,인턴현황!$K$2)&amp;"")&lt;&gt;"",LEFT(IF(OR($AC63="",인턴현황!$K$2=""),"",INDEX(인턴근무계획!$M$3:$R$62,$AC63,인턴현황!$K$2)&amp;""),1)&lt;&gt;"⚠"),LEFT(IF(OR($AC63="",인턴현황!$K$2=""),"",INDEX(인턴근무계획!$M$3:$R$62,$AC63,인턴현황!$K$2)&amp;""),FIND(" ",IF(OR($AC63="",인턴현황!$K$2=""),"",INDEX(인턴근무계획!$M$3:$R$62,$AC63,인턴현황!$K$2)&amp;""))-1),$AE63))</f>
        <v/>
      </c>
      <c r="AH63" s="17">
        <f>IF($B63="","",IF(TRIM($J63&amp;"")="",0,SUMPRODUCT((파견수련계획!$Q$4:$Q$83=TRIM($J63&amp;""))*(파견수련계획!$S$4:$S$83="서울병원")*파견수련계획!$W$4:$W$83))+IF($AG63="서울병원",MAX(0,DAY(EOMONTH(요약!$B$3,0))-N($X63)),0))</f>
        <v/>
      </c>
      <c r="AI63" s="17">
        <f>IF($B63="","",IF(TRIM($J63&amp;"")="",0,SUMPRODUCT((파견수련계획!$Q$4:$Q$83=TRIM($J63&amp;""))*(파견수련계획!$S$4:$S$83="구리병원")*파견수련계획!$W$4:$W$83))+IF($AG63="구리병원",MAX(0,DAY(EOMONTH(요약!$B$3,0))-N($X63)),0))</f>
        <v/>
      </c>
      <c r="AJ63" s="10">
        <f>IF(OR($B63="",TRIM($J63&amp;"")=""),"",IFERROR(MATCH(TRIM($J63&amp;"")&amp;"|월",파견수련계획!$Z$4:$Z$83,0),""))</f>
        <v/>
      </c>
      <c r="AK63" s="10">
        <f>IF(OR($B63="",TRIM($J63&amp;"")=""),"",IFERROR(MATCH(TRIM($J63&amp;"")&amp;"|다기관",파견수련계획!$AE$4:$AE$83,0),""))</f>
        <v/>
      </c>
      <c r="AL63" s="10">
        <f>IF($AK63="","","다기관 "&amp;TEXT(INDEX(파견수련계획!$AB$4:$AB$83,$AK63),"yyyy-mm-dd")&amp;"~"&amp;IF(ISNUMBER(INDEX(파견수련계획!$AC$4:$AC$83,$AK63)),TEXT(INDEX(파견수련계획!$AC$4:$AC$83,$AK63),"yyyy-mm-dd"),""))</f>
        <v/>
      </c>
    </row>
    <row r="64">
      <c r="A64" s="10">
        <f>IF(B64="","",ROW()-1)</f>
        <v/>
      </c>
      <c r="B64" s="18" t="n"/>
      <c r="C64" s="10">
        <f>IF($AB64="","",IF(INDEX(기본자료!$C$2:$C$1001,$AB64)="","",INDEX(기본자료!$C$2:$C$1001,$AB64)))</f>
        <v/>
      </c>
      <c r="D64" s="10">
        <f>IF($AB64="","",IF(INDEX(기본자료!$J$2:$J$1001,$AB64)="","",INDEX(기본자료!$J$2:$J$1001,$AB64)))</f>
        <v/>
      </c>
      <c r="E64" s="11">
        <f>IF($AB64="","",IF(INDEX(기본자료!$K$2:$K$1001,$AB64)="","",IF(NOT(ISNUMBER(INDEX(기본자료!$K$2:$K$1001,$AB64))),INDEX(기본자료!$K$2:$K$1001,$AB64),IF(INDEX(기본자료!$K$2:$K$1001,$AB64)&lt;1000000,INDEX(기본자료!$K$2:$K$1001,$AB64),IF(AND(INDEX(기본자료!$K$2:$K$1001,$AB64)&gt;=10000101,INT(MOD(INDEX(기본자료!$K$2:$K$1001,$AB64),10000)/100)&gt;=1,INT(MOD(INDEX(기본자료!$K$2:$K$1001,$AB64),10000)/100)&lt;=12,MOD(INDEX(기본자료!$K$2:$K$1001,$AB64),100)&gt;=1,MOD(INDEX(기본자료!$K$2:$K$1001,$AB64),100)&lt;=31),DATE(INT(INDEX(기본자료!$K$2:$K$1001,$AB64)/10000),INT(MOD(INDEX(기본자료!$K$2:$K$1001,$AB64),10000)/100),MOD(INDEX(기본자료!$K$2:$K$1001,$AB64),100)),INDEX(기본자료!$K$2:$K$1001,$AB64)&amp;"")))))</f>
        <v/>
      </c>
      <c r="F64" s="10">
        <f>IF($AB64="","",IF(INDEX(기본자료!$D$2:$D$1001,$AB64)="","",INDEX(기본자료!$D$2:$D$1001,$AB64)))</f>
        <v/>
      </c>
      <c r="G64" s="10">
        <f>IF($AB64="","",IF(INDEX(기본자료!$E$2:$E$1001,$AB64)="","",INDEX(기본자료!$E$2:$E$1001,$AB64)))</f>
        <v/>
      </c>
      <c r="H64" s="10">
        <f>IF($AB64="","",IF(INDEX(기본자료!$F$2:$F$1001,$AB64)="","",INDEX(기본자료!$F$2:$F$1001,$AB64)))</f>
        <v/>
      </c>
      <c r="I64" s="11">
        <f>IF($AB64="","",IF(INDEX(기본자료!$G$2:$G$1001,$AB64)="","",IF(NOT(ISNUMBER(INDEX(기본자료!$G$2:$G$1001,$AB64))),INDEX(기본자료!$G$2:$G$1001,$AB64),IF(INDEX(기본자료!$G$2:$G$1001,$AB64)&lt;1000000,INDEX(기본자료!$G$2:$G$1001,$AB64),IF(AND(INDEX(기본자료!$G$2:$G$1001,$AB64)&gt;=10000101,INT(MOD(INDEX(기본자료!$G$2:$G$1001,$AB64),10000)/100)&gt;=1,INT(MOD(INDEX(기본자료!$G$2:$G$1001,$AB64),10000)/100)&lt;=12,MOD(INDEX(기본자료!$G$2:$G$1001,$AB64),100)&gt;=1,MOD(INDEX(기본자료!$G$2:$G$1001,$AB64),100)&lt;=31),DATE(INT(INDEX(기본자료!$G$2:$G$1001,$AB64)/10000),INT(MOD(INDEX(기본자료!$G$2:$G$1001,$AB64),10000)/100),MOD(INDEX(기본자료!$G$2:$G$1001,$AB64),100)),INDEX(기본자료!$G$2:$G$1001,$AB64)&amp;"")))))</f>
        <v/>
      </c>
      <c r="J64" s="10">
        <f>IF($AB64="","",IF(INDEX(기본자료!$H$2:$H$1001,$AB64)="","",INDEX(기본자료!$H$2:$H$1001,$AB64)))</f>
        <v/>
      </c>
      <c r="K64" s="10">
        <f>IF($AB64="","",IF(INDEX(기본자료!$I$2:$I$1001,$AB64)="","",INDEX(기본자료!$I$2:$I$1001,$AB64)))</f>
        <v/>
      </c>
      <c r="L64" s="10">
        <f>IF($AB64="","",IF(INDEX(기본자료!$A$2:$A$1001,$AB64)="","",INDEX(기본자료!$A$2:$A$1001,$AB64)))</f>
        <v/>
      </c>
      <c r="M64" s="15" t="n"/>
      <c r="N64" s="10">
        <f>IF($B64="","",IF(AND($U64="파견중",$Q64&lt;&gt;""),$Q64,IF(AND($AD64&lt;&gt;"",LEFT($AD64,1)&lt;&gt;"⚠"),LEFT($AD64,FIND(" ",$AD64)-1),IF($H64="","",IF(RIGHT($H64,2)="병원",$H64,$H64&amp;"병원")))))</f>
        <v/>
      </c>
      <c r="O64" s="10">
        <f>IF($B64="","",IF(AND($U64="파견중",$Q64&lt;&gt;""),IF($R64&lt;&gt;"",$R64,"파견과 미입력"),IF(AND($AD64&lt;&gt;"",LEFT($AD64,1)&lt;&gt;"⚠"),MID($AD64,FIND(" ",$AD64)+1,60),IF($F64="","",IF($F64="인턴","수련교육부(인턴)",$F64)))))</f>
        <v/>
      </c>
      <c r="P64" s="10">
        <f>IF($B64="","",IF($AK64&lt;&gt;"",IF(AND(TODAY()&gt;=INDEX(파견수련계획!$AB$4:$AB$83,$AK64),OR(NOT(ISNUMBER(INDEX(파견수련계획!$AC$4:$AC$83,$AK64))),TODAY()&lt;=INDEX(파견수련계획!$AC$4:$AC$83,$AK64))),"다기관",IF($AF64="","",INDEX(파견수련계획!$T$4:$T$83,$AF64))),IF($AF64="","",INDEX(파견수련계획!$T$4:$T$83,$AF64))))</f>
        <v/>
      </c>
      <c r="Q64" s="10">
        <f>IF($AF64="","",INDEX(파견수련계획!$S$4:$S$83,$AF64))</f>
        <v/>
      </c>
      <c r="R64" s="10">
        <f>IF($AF64="","",INDEX(파견수련계획!$U$4:$U$83,$AF64))</f>
        <v/>
      </c>
      <c r="S64" s="11">
        <f>IF($AF64="","",IF(INDEX(파견수련계획!$H$4:$H$83,$AF64)="","",INDEX(파견수련계획!$H$4:$H$83,$AF64)))</f>
        <v/>
      </c>
      <c r="T64" s="11">
        <f>IF($AF64="","",IF(INDEX(파견수련계획!$I$4:$I$83,$AF64)="","",INDEX(파견수련계획!$I$4:$I$83,$AF64)))</f>
        <v/>
      </c>
      <c r="U64" s="10">
        <f>IF($AF64="","",INDEX(파견수련계획!$X$4:$X$83,$AF64))</f>
        <v/>
      </c>
      <c r="V64" s="17">
        <f>IF($AF64="","",INDEX(파견수련계획!$V$4:$V$83,$AF64))</f>
        <v/>
      </c>
      <c r="W64" s="17">
        <f>IF(AND($U64="파견중",$T64&lt;&gt;""),$T64-TODAY(),"")</f>
        <v/>
      </c>
      <c r="X64" s="17">
        <f>IF(OR($B64="",TRIM($J64&amp;"")=""),"",SUMPRODUCT((파견수련계획!$Q$4:$Q$83=TRIM($J64&amp;""))*파견수련계획!$W$4:$W$83))</f>
        <v/>
      </c>
      <c r="Y64" s="10">
        <f>IF($B64="","",IF($AG64="","",IF(IF(TRIM($J64&amp;"")="",0,SUMPRODUCT((파견수련계획!$Q$4:$Q$83=TRIM($J64&amp;""))*파견수련계획!$AD$4:$AD$83))&gt;0,$AE64,IF(N($X64)&lt;=0,$AG64,IF($AH64+$AI64=DAY(EOMONTH(요약!$B$3,0)),IF(AND($AH64&gt;=요약!$E$3,$AI64&lt;요약!$E$3),"서울병원",IF(AND($AI64&gt;=요약!$E$3,$AH64&lt;요약!$E$3),"구리병원","⚠15일 판정불가(서울 "&amp;$AH64&amp;"일/구리 "&amp;$AI64&amp;"일)")),IF($AJ64="",$AE64,IF(INDEX(파견수련계획!$T$4:$T$83,$AJ64)="통합수련",INDEX(파견수련계획!$S$4:$S$83,$AJ64),$AE64)))))))</f>
        <v/>
      </c>
      <c r="Z64" s="19">
        <f>IF($B64="","",IF($AB64="","기본자료에 없는 사번",IF(COUNTIF($B$2:$B$401,$B64)&gt;1,"중복 사번",IF($AE64="","소속(입사장소) 입력",IF(IF(TRIM($J64&amp;"")="",0,SUMPRODUCT((파견수련계획!$Q$4:$Q$83=TRIM($J64&amp;""))*(파견수련계획!$AA$4:$AA$83&lt;&gt;"")))&gt;0,"파견수련계획 입력오류 확인",IF(LEFT($Y64,1)="⚠","서울·구리 15일 판정 불가(양쪽 모두 이상/미만)",IF(IF($AC64="",0,N(INDEX(인턴근무계획!$T$3:$T$62,$AC64)))&gt;0,"인턴계획 입력오류 확인",IF(AND($AC64&lt;&gt;"",$U64&lt;&gt;"파견중",$N64&lt;&gt;$AE64),"인턴 타지역 근무: 파견 여부 확인","정상"))))))))</f>
        <v/>
      </c>
      <c r="AA64" s="5" t="n"/>
      <c r="AB64" s="10">
        <f>IF($B64="","",IFERROR(MATCH($B64,기본자료!$B$2:$B$1001,0),IFERROR(MATCH($B64&amp;"",기본자료!$B$2:$B$1001,0),IFERROR(MATCH(VALUE($B64),기본자료!$B$2:$B$1001,0),""))))</f>
        <v/>
      </c>
      <c r="AC64" s="10">
        <f>IF($B64="","",IFERROR(MATCH($B64,인턴근무계획!$D$3:$D$62,0),IFERROR(MATCH($B64&amp;"",인턴근무계획!$D$3:$D$62,0),IFERROR(MATCH(VALUE($B64),인턴근무계획!$D$3:$D$62,0),""))))</f>
        <v/>
      </c>
      <c r="AD64" s="10">
        <f>IF(OR($AC64="",인턴현황!$G$3=""),"",INDEX(인턴근무계획!$M$3:$R$62,$AC64,인턴현황!$G$3)&amp;"")</f>
        <v/>
      </c>
      <c r="AE64" s="10">
        <f>IF($B64="","",IF($M64&lt;&gt;"",$M64,IF($AF64&lt;&gt;"",IF(LEFT(INDEX(파견수련계획!$R$4:$R$83,$AF64),1)&lt;&gt;"⚠",INDEX(파견수련계획!$R$4:$R$83,$AF64),IF($H64="","",IF(RIGHT($H64,2)="병원",$H64,$H64&amp;"병원"))),IF($H64="","",IF(RIGHT($H64,2)="병원",$H64,$H64&amp;"병원")))))</f>
        <v/>
      </c>
      <c r="AF64" s="10">
        <f>IF(OR($B64="",TRIM($J64&amp;"")=""),"",IFERROR(MATCH(TRIM($J64&amp;"")&amp;"|파견중",파견수련계획!$Y$4:$Y$83,0),IFERROR(MATCH(TRIM($J64&amp;"")&amp;"|파견예정",파견수련계획!$Y$4:$Y$83,0),IFERROR(MATCH(TRIM($J64&amp;"")&amp;"|파견종료",파견수련계획!$Y$4:$Y$83,0),""))))</f>
        <v/>
      </c>
      <c r="AG64" s="10">
        <f>IF($B64="","",IF(AND(IF(OR($AC64="",인턴현황!$K$2=""),"",INDEX(인턴근무계획!$M$3:$R$62,$AC64,인턴현황!$K$2)&amp;"")&lt;&gt;"",LEFT(IF(OR($AC64="",인턴현황!$K$2=""),"",INDEX(인턴근무계획!$M$3:$R$62,$AC64,인턴현황!$K$2)&amp;""),1)&lt;&gt;"⚠"),LEFT(IF(OR($AC64="",인턴현황!$K$2=""),"",INDEX(인턴근무계획!$M$3:$R$62,$AC64,인턴현황!$K$2)&amp;""),FIND(" ",IF(OR($AC64="",인턴현황!$K$2=""),"",INDEX(인턴근무계획!$M$3:$R$62,$AC64,인턴현황!$K$2)&amp;""))-1),$AE64))</f>
        <v/>
      </c>
      <c r="AH64" s="17">
        <f>IF($B64="","",IF(TRIM($J64&amp;"")="",0,SUMPRODUCT((파견수련계획!$Q$4:$Q$83=TRIM($J64&amp;""))*(파견수련계획!$S$4:$S$83="서울병원")*파견수련계획!$W$4:$W$83))+IF($AG64="서울병원",MAX(0,DAY(EOMONTH(요약!$B$3,0))-N($X64)),0))</f>
        <v/>
      </c>
      <c r="AI64" s="17">
        <f>IF($B64="","",IF(TRIM($J64&amp;"")="",0,SUMPRODUCT((파견수련계획!$Q$4:$Q$83=TRIM($J64&amp;""))*(파견수련계획!$S$4:$S$83="구리병원")*파견수련계획!$W$4:$W$83))+IF($AG64="구리병원",MAX(0,DAY(EOMONTH(요약!$B$3,0))-N($X64)),0))</f>
        <v/>
      </c>
      <c r="AJ64" s="10">
        <f>IF(OR($B64="",TRIM($J64&amp;"")=""),"",IFERROR(MATCH(TRIM($J64&amp;"")&amp;"|월",파견수련계획!$Z$4:$Z$83,0),""))</f>
        <v/>
      </c>
      <c r="AK64" s="10">
        <f>IF(OR($B64="",TRIM($J64&amp;"")=""),"",IFERROR(MATCH(TRIM($J64&amp;"")&amp;"|다기관",파견수련계획!$AE$4:$AE$83,0),""))</f>
        <v/>
      </c>
      <c r="AL64" s="10">
        <f>IF($AK64="","","다기관 "&amp;TEXT(INDEX(파견수련계획!$AB$4:$AB$83,$AK64),"yyyy-mm-dd")&amp;"~"&amp;IF(ISNUMBER(INDEX(파견수련계획!$AC$4:$AC$83,$AK64)),TEXT(INDEX(파견수련계획!$AC$4:$AC$83,$AK64),"yyyy-mm-dd"),""))</f>
        <v/>
      </c>
    </row>
    <row r="65">
      <c r="A65" s="10">
        <f>IF(B65="","",ROW()-1)</f>
        <v/>
      </c>
      <c r="B65" s="18" t="n"/>
      <c r="C65" s="10">
        <f>IF($AB65="","",IF(INDEX(기본자료!$C$2:$C$1001,$AB65)="","",INDEX(기본자료!$C$2:$C$1001,$AB65)))</f>
        <v/>
      </c>
      <c r="D65" s="10">
        <f>IF($AB65="","",IF(INDEX(기본자료!$J$2:$J$1001,$AB65)="","",INDEX(기본자료!$J$2:$J$1001,$AB65)))</f>
        <v/>
      </c>
      <c r="E65" s="11">
        <f>IF($AB65="","",IF(INDEX(기본자료!$K$2:$K$1001,$AB65)="","",IF(NOT(ISNUMBER(INDEX(기본자료!$K$2:$K$1001,$AB65))),INDEX(기본자료!$K$2:$K$1001,$AB65),IF(INDEX(기본자료!$K$2:$K$1001,$AB65)&lt;1000000,INDEX(기본자료!$K$2:$K$1001,$AB65),IF(AND(INDEX(기본자료!$K$2:$K$1001,$AB65)&gt;=10000101,INT(MOD(INDEX(기본자료!$K$2:$K$1001,$AB65),10000)/100)&gt;=1,INT(MOD(INDEX(기본자료!$K$2:$K$1001,$AB65),10000)/100)&lt;=12,MOD(INDEX(기본자료!$K$2:$K$1001,$AB65),100)&gt;=1,MOD(INDEX(기본자료!$K$2:$K$1001,$AB65),100)&lt;=31),DATE(INT(INDEX(기본자료!$K$2:$K$1001,$AB65)/10000),INT(MOD(INDEX(기본자료!$K$2:$K$1001,$AB65),10000)/100),MOD(INDEX(기본자료!$K$2:$K$1001,$AB65),100)),INDEX(기본자료!$K$2:$K$1001,$AB65)&amp;"")))))</f>
        <v/>
      </c>
      <c r="F65" s="10">
        <f>IF($AB65="","",IF(INDEX(기본자료!$D$2:$D$1001,$AB65)="","",INDEX(기본자료!$D$2:$D$1001,$AB65)))</f>
        <v/>
      </c>
      <c r="G65" s="10">
        <f>IF($AB65="","",IF(INDEX(기본자료!$E$2:$E$1001,$AB65)="","",INDEX(기본자료!$E$2:$E$1001,$AB65)))</f>
        <v/>
      </c>
      <c r="H65" s="10">
        <f>IF($AB65="","",IF(INDEX(기본자료!$F$2:$F$1001,$AB65)="","",INDEX(기본자료!$F$2:$F$1001,$AB65)))</f>
        <v/>
      </c>
      <c r="I65" s="11">
        <f>IF($AB65="","",IF(INDEX(기본자료!$G$2:$G$1001,$AB65)="","",IF(NOT(ISNUMBER(INDEX(기본자료!$G$2:$G$1001,$AB65))),INDEX(기본자료!$G$2:$G$1001,$AB65),IF(INDEX(기본자료!$G$2:$G$1001,$AB65)&lt;1000000,INDEX(기본자료!$G$2:$G$1001,$AB65),IF(AND(INDEX(기본자료!$G$2:$G$1001,$AB65)&gt;=10000101,INT(MOD(INDEX(기본자료!$G$2:$G$1001,$AB65),10000)/100)&gt;=1,INT(MOD(INDEX(기본자료!$G$2:$G$1001,$AB65),10000)/100)&lt;=12,MOD(INDEX(기본자료!$G$2:$G$1001,$AB65),100)&gt;=1,MOD(INDEX(기본자료!$G$2:$G$1001,$AB65),100)&lt;=31),DATE(INT(INDEX(기본자료!$G$2:$G$1001,$AB65)/10000),INT(MOD(INDEX(기본자료!$G$2:$G$1001,$AB65),10000)/100),MOD(INDEX(기본자료!$G$2:$G$1001,$AB65),100)),INDEX(기본자료!$G$2:$G$1001,$AB65)&amp;"")))))</f>
        <v/>
      </c>
      <c r="J65" s="10">
        <f>IF($AB65="","",IF(INDEX(기본자료!$H$2:$H$1001,$AB65)="","",INDEX(기본자료!$H$2:$H$1001,$AB65)))</f>
        <v/>
      </c>
      <c r="K65" s="10">
        <f>IF($AB65="","",IF(INDEX(기본자료!$I$2:$I$1001,$AB65)="","",INDEX(기본자료!$I$2:$I$1001,$AB65)))</f>
        <v/>
      </c>
      <c r="L65" s="10">
        <f>IF($AB65="","",IF(INDEX(기본자료!$A$2:$A$1001,$AB65)="","",INDEX(기본자료!$A$2:$A$1001,$AB65)))</f>
        <v/>
      </c>
      <c r="M65" s="15" t="n"/>
      <c r="N65" s="10">
        <f>IF($B65="","",IF(AND($U65="파견중",$Q65&lt;&gt;""),$Q65,IF(AND($AD65&lt;&gt;"",LEFT($AD65,1)&lt;&gt;"⚠"),LEFT($AD65,FIND(" ",$AD65)-1),IF($H65="","",IF(RIGHT($H65,2)="병원",$H65,$H65&amp;"병원")))))</f>
        <v/>
      </c>
      <c r="O65" s="10">
        <f>IF($B65="","",IF(AND($U65="파견중",$Q65&lt;&gt;""),IF($R65&lt;&gt;"",$R65,"파견과 미입력"),IF(AND($AD65&lt;&gt;"",LEFT($AD65,1)&lt;&gt;"⚠"),MID($AD65,FIND(" ",$AD65)+1,60),IF($F65="","",IF($F65="인턴","수련교육부(인턴)",$F65)))))</f>
        <v/>
      </c>
      <c r="P65" s="10">
        <f>IF($B65="","",IF($AK65&lt;&gt;"",IF(AND(TODAY()&gt;=INDEX(파견수련계획!$AB$4:$AB$83,$AK65),OR(NOT(ISNUMBER(INDEX(파견수련계획!$AC$4:$AC$83,$AK65))),TODAY()&lt;=INDEX(파견수련계획!$AC$4:$AC$83,$AK65))),"다기관",IF($AF65="","",INDEX(파견수련계획!$T$4:$T$83,$AF65))),IF($AF65="","",INDEX(파견수련계획!$T$4:$T$83,$AF65))))</f>
        <v/>
      </c>
      <c r="Q65" s="10">
        <f>IF($AF65="","",INDEX(파견수련계획!$S$4:$S$83,$AF65))</f>
        <v/>
      </c>
      <c r="R65" s="10">
        <f>IF($AF65="","",INDEX(파견수련계획!$U$4:$U$83,$AF65))</f>
        <v/>
      </c>
      <c r="S65" s="11">
        <f>IF($AF65="","",IF(INDEX(파견수련계획!$H$4:$H$83,$AF65)="","",INDEX(파견수련계획!$H$4:$H$83,$AF65)))</f>
        <v/>
      </c>
      <c r="T65" s="11">
        <f>IF($AF65="","",IF(INDEX(파견수련계획!$I$4:$I$83,$AF65)="","",INDEX(파견수련계획!$I$4:$I$83,$AF65)))</f>
        <v/>
      </c>
      <c r="U65" s="10">
        <f>IF($AF65="","",INDEX(파견수련계획!$X$4:$X$83,$AF65))</f>
        <v/>
      </c>
      <c r="V65" s="17">
        <f>IF($AF65="","",INDEX(파견수련계획!$V$4:$V$83,$AF65))</f>
        <v/>
      </c>
      <c r="W65" s="17">
        <f>IF(AND($U65="파견중",$T65&lt;&gt;""),$T65-TODAY(),"")</f>
        <v/>
      </c>
      <c r="X65" s="17">
        <f>IF(OR($B65="",TRIM($J65&amp;"")=""),"",SUMPRODUCT((파견수련계획!$Q$4:$Q$83=TRIM($J65&amp;""))*파견수련계획!$W$4:$W$83))</f>
        <v/>
      </c>
      <c r="Y65" s="10">
        <f>IF($B65="","",IF($AG65="","",IF(IF(TRIM($J65&amp;"")="",0,SUMPRODUCT((파견수련계획!$Q$4:$Q$83=TRIM($J65&amp;""))*파견수련계획!$AD$4:$AD$83))&gt;0,$AE65,IF(N($X65)&lt;=0,$AG65,IF($AH65+$AI65=DAY(EOMONTH(요약!$B$3,0)),IF(AND($AH65&gt;=요약!$E$3,$AI65&lt;요약!$E$3),"서울병원",IF(AND($AI65&gt;=요약!$E$3,$AH65&lt;요약!$E$3),"구리병원","⚠15일 판정불가(서울 "&amp;$AH65&amp;"일/구리 "&amp;$AI65&amp;"일)")),IF($AJ65="",$AE65,IF(INDEX(파견수련계획!$T$4:$T$83,$AJ65)="통합수련",INDEX(파견수련계획!$S$4:$S$83,$AJ65),$AE65)))))))</f>
        <v/>
      </c>
      <c r="Z65" s="19">
        <f>IF($B65="","",IF($AB65="","기본자료에 없는 사번",IF(COUNTIF($B$2:$B$401,$B65)&gt;1,"중복 사번",IF($AE65="","소속(입사장소) 입력",IF(IF(TRIM($J65&amp;"")="",0,SUMPRODUCT((파견수련계획!$Q$4:$Q$83=TRIM($J65&amp;""))*(파견수련계획!$AA$4:$AA$83&lt;&gt;"")))&gt;0,"파견수련계획 입력오류 확인",IF(LEFT($Y65,1)="⚠","서울·구리 15일 판정 불가(양쪽 모두 이상/미만)",IF(IF($AC65="",0,N(INDEX(인턴근무계획!$T$3:$T$62,$AC65)))&gt;0,"인턴계획 입력오류 확인",IF(AND($AC65&lt;&gt;"",$U65&lt;&gt;"파견중",$N65&lt;&gt;$AE65),"인턴 타지역 근무: 파견 여부 확인","정상"))))))))</f>
        <v/>
      </c>
      <c r="AA65" s="5" t="n"/>
      <c r="AB65" s="10">
        <f>IF($B65="","",IFERROR(MATCH($B65,기본자료!$B$2:$B$1001,0),IFERROR(MATCH($B65&amp;"",기본자료!$B$2:$B$1001,0),IFERROR(MATCH(VALUE($B65),기본자료!$B$2:$B$1001,0),""))))</f>
        <v/>
      </c>
      <c r="AC65" s="10">
        <f>IF($B65="","",IFERROR(MATCH($B65,인턴근무계획!$D$3:$D$62,0),IFERROR(MATCH($B65&amp;"",인턴근무계획!$D$3:$D$62,0),IFERROR(MATCH(VALUE($B65),인턴근무계획!$D$3:$D$62,0),""))))</f>
        <v/>
      </c>
      <c r="AD65" s="10">
        <f>IF(OR($AC65="",인턴현황!$G$3=""),"",INDEX(인턴근무계획!$M$3:$R$62,$AC65,인턴현황!$G$3)&amp;"")</f>
        <v/>
      </c>
      <c r="AE65" s="10">
        <f>IF($B65="","",IF($M65&lt;&gt;"",$M65,IF($AF65&lt;&gt;"",IF(LEFT(INDEX(파견수련계획!$R$4:$R$83,$AF65),1)&lt;&gt;"⚠",INDEX(파견수련계획!$R$4:$R$83,$AF65),IF($H65="","",IF(RIGHT($H65,2)="병원",$H65,$H65&amp;"병원"))),IF($H65="","",IF(RIGHT($H65,2)="병원",$H65,$H65&amp;"병원")))))</f>
        <v/>
      </c>
      <c r="AF65" s="10">
        <f>IF(OR($B65="",TRIM($J65&amp;"")=""),"",IFERROR(MATCH(TRIM($J65&amp;"")&amp;"|파견중",파견수련계획!$Y$4:$Y$83,0),IFERROR(MATCH(TRIM($J65&amp;"")&amp;"|파견예정",파견수련계획!$Y$4:$Y$83,0),IFERROR(MATCH(TRIM($J65&amp;"")&amp;"|파견종료",파견수련계획!$Y$4:$Y$83,0),""))))</f>
        <v/>
      </c>
      <c r="AG65" s="10">
        <f>IF($B65="","",IF(AND(IF(OR($AC65="",인턴현황!$K$2=""),"",INDEX(인턴근무계획!$M$3:$R$62,$AC65,인턴현황!$K$2)&amp;"")&lt;&gt;"",LEFT(IF(OR($AC65="",인턴현황!$K$2=""),"",INDEX(인턴근무계획!$M$3:$R$62,$AC65,인턴현황!$K$2)&amp;""),1)&lt;&gt;"⚠"),LEFT(IF(OR($AC65="",인턴현황!$K$2=""),"",INDEX(인턴근무계획!$M$3:$R$62,$AC65,인턴현황!$K$2)&amp;""),FIND(" ",IF(OR($AC65="",인턴현황!$K$2=""),"",INDEX(인턴근무계획!$M$3:$R$62,$AC65,인턴현황!$K$2)&amp;""))-1),$AE65))</f>
        <v/>
      </c>
      <c r="AH65" s="17">
        <f>IF($B65="","",IF(TRIM($J65&amp;"")="",0,SUMPRODUCT((파견수련계획!$Q$4:$Q$83=TRIM($J65&amp;""))*(파견수련계획!$S$4:$S$83="서울병원")*파견수련계획!$W$4:$W$83))+IF($AG65="서울병원",MAX(0,DAY(EOMONTH(요약!$B$3,0))-N($X65)),0))</f>
        <v/>
      </c>
      <c r="AI65" s="17">
        <f>IF($B65="","",IF(TRIM($J65&amp;"")="",0,SUMPRODUCT((파견수련계획!$Q$4:$Q$83=TRIM($J65&amp;""))*(파견수련계획!$S$4:$S$83="구리병원")*파견수련계획!$W$4:$W$83))+IF($AG65="구리병원",MAX(0,DAY(EOMONTH(요약!$B$3,0))-N($X65)),0))</f>
        <v/>
      </c>
      <c r="AJ65" s="10">
        <f>IF(OR($B65="",TRIM($J65&amp;"")=""),"",IFERROR(MATCH(TRIM($J65&amp;"")&amp;"|월",파견수련계획!$Z$4:$Z$83,0),""))</f>
        <v/>
      </c>
      <c r="AK65" s="10">
        <f>IF(OR($B65="",TRIM($J65&amp;"")=""),"",IFERROR(MATCH(TRIM($J65&amp;"")&amp;"|다기관",파견수련계획!$AE$4:$AE$83,0),""))</f>
        <v/>
      </c>
      <c r="AL65" s="10">
        <f>IF($AK65="","","다기관 "&amp;TEXT(INDEX(파견수련계획!$AB$4:$AB$83,$AK65),"yyyy-mm-dd")&amp;"~"&amp;IF(ISNUMBER(INDEX(파견수련계획!$AC$4:$AC$83,$AK65)),TEXT(INDEX(파견수련계획!$AC$4:$AC$83,$AK65),"yyyy-mm-dd"),""))</f>
        <v/>
      </c>
    </row>
    <row r="66">
      <c r="A66" s="10">
        <f>IF(B66="","",ROW()-1)</f>
        <v/>
      </c>
      <c r="B66" s="18" t="n"/>
      <c r="C66" s="10">
        <f>IF($AB66="","",IF(INDEX(기본자료!$C$2:$C$1001,$AB66)="","",INDEX(기본자료!$C$2:$C$1001,$AB66)))</f>
        <v/>
      </c>
      <c r="D66" s="10">
        <f>IF($AB66="","",IF(INDEX(기본자료!$J$2:$J$1001,$AB66)="","",INDEX(기본자료!$J$2:$J$1001,$AB66)))</f>
        <v/>
      </c>
      <c r="E66" s="11">
        <f>IF($AB66="","",IF(INDEX(기본자료!$K$2:$K$1001,$AB66)="","",IF(NOT(ISNUMBER(INDEX(기본자료!$K$2:$K$1001,$AB66))),INDEX(기본자료!$K$2:$K$1001,$AB66),IF(INDEX(기본자료!$K$2:$K$1001,$AB66)&lt;1000000,INDEX(기본자료!$K$2:$K$1001,$AB66),IF(AND(INDEX(기본자료!$K$2:$K$1001,$AB66)&gt;=10000101,INT(MOD(INDEX(기본자료!$K$2:$K$1001,$AB66),10000)/100)&gt;=1,INT(MOD(INDEX(기본자료!$K$2:$K$1001,$AB66),10000)/100)&lt;=12,MOD(INDEX(기본자료!$K$2:$K$1001,$AB66),100)&gt;=1,MOD(INDEX(기본자료!$K$2:$K$1001,$AB66),100)&lt;=31),DATE(INT(INDEX(기본자료!$K$2:$K$1001,$AB66)/10000),INT(MOD(INDEX(기본자료!$K$2:$K$1001,$AB66),10000)/100),MOD(INDEX(기본자료!$K$2:$K$1001,$AB66),100)),INDEX(기본자료!$K$2:$K$1001,$AB66)&amp;"")))))</f>
        <v/>
      </c>
      <c r="F66" s="10">
        <f>IF($AB66="","",IF(INDEX(기본자료!$D$2:$D$1001,$AB66)="","",INDEX(기본자료!$D$2:$D$1001,$AB66)))</f>
        <v/>
      </c>
      <c r="G66" s="10">
        <f>IF($AB66="","",IF(INDEX(기본자료!$E$2:$E$1001,$AB66)="","",INDEX(기본자료!$E$2:$E$1001,$AB66)))</f>
        <v/>
      </c>
      <c r="H66" s="10">
        <f>IF($AB66="","",IF(INDEX(기본자료!$F$2:$F$1001,$AB66)="","",INDEX(기본자료!$F$2:$F$1001,$AB66)))</f>
        <v/>
      </c>
      <c r="I66" s="11">
        <f>IF($AB66="","",IF(INDEX(기본자료!$G$2:$G$1001,$AB66)="","",IF(NOT(ISNUMBER(INDEX(기본자료!$G$2:$G$1001,$AB66))),INDEX(기본자료!$G$2:$G$1001,$AB66),IF(INDEX(기본자료!$G$2:$G$1001,$AB66)&lt;1000000,INDEX(기본자료!$G$2:$G$1001,$AB66),IF(AND(INDEX(기본자료!$G$2:$G$1001,$AB66)&gt;=10000101,INT(MOD(INDEX(기본자료!$G$2:$G$1001,$AB66),10000)/100)&gt;=1,INT(MOD(INDEX(기본자료!$G$2:$G$1001,$AB66),10000)/100)&lt;=12,MOD(INDEX(기본자료!$G$2:$G$1001,$AB66),100)&gt;=1,MOD(INDEX(기본자료!$G$2:$G$1001,$AB66),100)&lt;=31),DATE(INT(INDEX(기본자료!$G$2:$G$1001,$AB66)/10000),INT(MOD(INDEX(기본자료!$G$2:$G$1001,$AB66),10000)/100),MOD(INDEX(기본자료!$G$2:$G$1001,$AB66),100)),INDEX(기본자료!$G$2:$G$1001,$AB66)&amp;"")))))</f>
        <v/>
      </c>
      <c r="J66" s="10">
        <f>IF($AB66="","",IF(INDEX(기본자료!$H$2:$H$1001,$AB66)="","",INDEX(기본자료!$H$2:$H$1001,$AB66)))</f>
        <v/>
      </c>
      <c r="K66" s="10">
        <f>IF($AB66="","",IF(INDEX(기본자료!$I$2:$I$1001,$AB66)="","",INDEX(기본자료!$I$2:$I$1001,$AB66)))</f>
        <v/>
      </c>
      <c r="L66" s="10">
        <f>IF($AB66="","",IF(INDEX(기본자료!$A$2:$A$1001,$AB66)="","",INDEX(기본자료!$A$2:$A$1001,$AB66)))</f>
        <v/>
      </c>
      <c r="M66" s="15" t="n"/>
      <c r="N66" s="10">
        <f>IF($B66="","",IF(AND($U66="파견중",$Q66&lt;&gt;""),$Q66,IF(AND($AD66&lt;&gt;"",LEFT($AD66,1)&lt;&gt;"⚠"),LEFT($AD66,FIND(" ",$AD66)-1),IF($H66="","",IF(RIGHT($H66,2)="병원",$H66,$H66&amp;"병원")))))</f>
        <v/>
      </c>
      <c r="O66" s="10">
        <f>IF($B66="","",IF(AND($U66="파견중",$Q66&lt;&gt;""),IF($R66&lt;&gt;"",$R66,"파견과 미입력"),IF(AND($AD66&lt;&gt;"",LEFT($AD66,1)&lt;&gt;"⚠"),MID($AD66,FIND(" ",$AD66)+1,60),IF($F66="","",IF($F66="인턴","수련교육부(인턴)",$F66)))))</f>
        <v/>
      </c>
      <c r="P66" s="10">
        <f>IF($B66="","",IF($AK66&lt;&gt;"",IF(AND(TODAY()&gt;=INDEX(파견수련계획!$AB$4:$AB$83,$AK66),OR(NOT(ISNUMBER(INDEX(파견수련계획!$AC$4:$AC$83,$AK66))),TODAY()&lt;=INDEX(파견수련계획!$AC$4:$AC$83,$AK66))),"다기관",IF($AF66="","",INDEX(파견수련계획!$T$4:$T$83,$AF66))),IF($AF66="","",INDEX(파견수련계획!$T$4:$T$83,$AF66))))</f>
        <v/>
      </c>
      <c r="Q66" s="10">
        <f>IF($AF66="","",INDEX(파견수련계획!$S$4:$S$83,$AF66))</f>
        <v/>
      </c>
      <c r="R66" s="10">
        <f>IF($AF66="","",INDEX(파견수련계획!$U$4:$U$83,$AF66))</f>
        <v/>
      </c>
      <c r="S66" s="11">
        <f>IF($AF66="","",IF(INDEX(파견수련계획!$H$4:$H$83,$AF66)="","",INDEX(파견수련계획!$H$4:$H$83,$AF66)))</f>
        <v/>
      </c>
      <c r="T66" s="11">
        <f>IF($AF66="","",IF(INDEX(파견수련계획!$I$4:$I$83,$AF66)="","",INDEX(파견수련계획!$I$4:$I$83,$AF66)))</f>
        <v/>
      </c>
      <c r="U66" s="10">
        <f>IF($AF66="","",INDEX(파견수련계획!$X$4:$X$83,$AF66))</f>
        <v/>
      </c>
      <c r="V66" s="17">
        <f>IF($AF66="","",INDEX(파견수련계획!$V$4:$V$83,$AF66))</f>
        <v/>
      </c>
      <c r="W66" s="17">
        <f>IF(AND($U66="파견중",$T66&lt;&gt;""),$T66-TODAY(),"")</f>
        <v/>
      </c>
      <c r="X66" s="17">
        <f>IF(OR($B66="",TRIM($J66&amp;"")=""),"",SUMPRODUCT((파견수련계획!$Q$4:$Q$83=TRIM($J66&amp;""))*파견수련계획!$W$4:$W$83))</f>
        <v/>
      </c>
      <c r="Y66" s="10">
        <f>IF($B66="","",IF($AG66="","",IF(IF(TRIM($J66&amp;"")="",0,SUMPRODUCT((파견수련계획!$Q$4:$Q$83=TRIM($J66&amp;""))*파견수련계획!$AD$4:$AD$83))&gt;0,$AE66,IF(N($X66)&lt;=0,$AG66,IF($AH66+$AI66=DAY(EOMONTH(요약!$B$3,0)),IF(AND($AH66&gt;=요약!$E$3,$AI66&lt;요약!$E$3),"서울병원",IF(AND($AI66&gt;=요약!$E$3,$AH66&lt;요약!$E$3),"구리병원","⚠15일 판정불가(서울 "&amp;$AH66&amp;"일/구리 "&amp;$AI66&amp;"일)")),IF($AJ66="",$AE66,IF(INDEX(파견수련계획!$T$4:$T$83,$AJ66)="통합수련",INDEX(파견수련계획!$S$4:$S$83,$AJ66),$AE66)))))))</f>
        <v/>
      </c>
      <c r="Z66" s="19">
        <f>IF($B66="","",IF($AB66="","기본자료에 없는 사번",IF(COUNTIF($B$2:$B$401,$B66)&gt;1,"중복 사번",IF($AE66="","소속(입사장소) 입력",IF(IF(TRIM($J66&amp;"")="",0,SUMPRODUCT((파견수련계획!$Q$4:$Q$83=TRIM($J66&amp;""))*(파견수련계획!$AA$4:$AA$83&lt;&gt;"")))&gt;0,"파견수련계획 입력오류 확인",IF(LEFT($Y66,1)="⚠","서울·구리 15일 판정 불가(양쪽 모두 이상/미만)",IF(IF($AC66="",0,N(INDEX(인턴근무계획!$T$3:$T$62,$AC66)))&gt;0,"인턴계획 입력오류 확인",IF(AND($AC66&lt;&gt;"",$U66&lt;&gt;"파견중",$N66&lt;&gt;$AE66),"인턴 타지역 근무: 파견 여부 확인","정상"))))))))</f>
        <v/>
      </c>
      <c r="AA66" s="5" t="n"/>
      <c r="AB66" s="10">
        <f>IF($B66="","",IFERROR(MATCH($B66,기본자료!$B$2:$B$1001,0),IFERROR(MATCH($B66&amp;"",기본자료!$B$2:$B$1001,0),IFERROR(MATCH(VALUE($B66),기본자료!$B$2:$B$1001,0),""))))</f>
        <v/>
      </c>
      <c r="AC66" s="10">
        <f>IF($B66="","",IFERROR(MATCH($B66,인턴근무계획!$D$3:$D$62,0),IFERROR(MATCH($B66&amp;"",인턴근무계획!$D$3:$D$62,0),IFERROR(MATCH(VALUE($B66),인턴근무계획!$D$3:$D$62,0),""))))</f>
        <v/>
      </c>
      <c r="AD66" s="10">
        <f>IF(OR($AC66="",인턴현황!$G$3=""),"",INDEX(인턴근무계획!$M$3:$R$62,$AC66,인턴현황!$G$3)&amp;"")</f>
        <v/>
      </c>
      <c r="AE66" s="10">
        <f>IF($B66="","",IF($M66&lt;&gt;"",$M66,IF($AF66&lt;&gt;"",IF(LEFT(INDEX(파견수련계획!$R$4:$R$83,$AF66),1)&lt;&gt;"⚠",INDEX(파견수련계획!$R$4:$R$83,$AF66),IF($H66="","",IF(RIGHT($H66,2)="병원",$H66,$H66&amp;"병원"))),IF($H66="","",IF(RIGHT($H66,2)="병원",$H66,$H66&amp;"병원")))))</f>
        <v/>
      </c>
      <c r="AF66" s="10">
        <f>IF(OR($B66="",TRIM($J66&amp;"")=""),"",IFERROR(MATCH(TRIM($J66&amp;"")&amp;"|파견중",파견수련계획!$Y$4:$Y$83,0),IFERROR(MATCH(TRIM($J66&amp;"")&amp;"|파견예정",파견수련계획!$Y$4:$Y$83,0),IFERROR(MATCH(TRIM($J66&amp;"")&amp;"|파견종료",파견수련계획!$Y$4:$Y$83,0),""))))</f>
        <v/>
      </c>
      <c r="AG66" s="10">
        <f>IF($B66="","",IF(AND(IF(OR($AC66="",인턴현황!$K$2=""),"",INDEX(인턴근무계획!$M$3:$R$62,$AC66,인턴현황!$K$2)&amp;"")&lt;&gt;"",LEFT(IF(OR($AC66="",인턴현황!$K$2=""),"",INDEX(인턴근무계획!$M$3:$R$62,$AC66,인턴현황!$K$2)&amp;""),1)&lt;&gt;"⚠"),LEFT(IF(OR($AC66="",인턴현황!$K$2=""),"",INDEX(인턴근무계획!$M$3:$R$62,$AC66,인턴현황!$K$2)&amp;""),FIND(" ",IF(OR($AC66="",인턴현황!$K$2=""),"",INDEX(인턴근무계획!$M$3:$R$62,$AC66,인턴현황!$K$2)&amp;""))-1),$AE66))</f>
        <v/>
      </c>
      <c r="AH66" s="17">
        <f>IF($B66="","",IF(TRIM($J66&amp;"")="",0,SUMPRODUCT((파견수련계획!$Q$4:$Q$83=TRIM($J66&amp;""))*(파견수련계획!$S$4:$S$83="서울병원")*파견수련계획!$W$4:$W$83))+IF($AG66="서울병원",MAX(0,DAY(EOMONTH(요약!$B$3,0))-N($X66)),0))</f>
        <v/>
      </c>
      <c r="AI66" s="17">
        <f>IF($B66="","",IF(TRIM($J66&amp;"")="",0,SUMPRODUCT((파견수련계획!$Q$4:$Q$83=TRIM($J66&amp;""))*(파견수련계획!$S$4:$S$83="구리병원")*파견수련계획!$W$4:$W$83))+IF($AG66="구리병원",MAX(0,DAY(EOMONTH(요약!$B$3,0))-N($X66)),0))</f>
        <v/>
      </c>
      <c r="AJ66" s="10">
        <f>IF(OR($B66="",TRIM($J66&amp;"")=""),"",IFERROR(MATCH(TRIM($J66&amp;"")&amp;"|월",파견수련계획!$Z$4:$Z$83,0),""))</f>
        <v/>
      </c>
      <c r="AK66" s="10">
        <f>IF(OR($B66="",TRIM($J66&amp;"")=""),"",IFERROR(MATCH(TRIM($J66&amp;"")&amp;"|다기관",파견수련계획!$AE$4:$AE$83,0),""))</f>
        <v/>
      </c>
      <c r="AL66" s="10">
        <f>IF($AK66="","","다기관 "&amp;TEXT(INDEX(파견수련계획!$AB$4:$AB$83,$AK66),"yyyy-mm-dd")&amp;"~"&amp;IF(ISNUMBER(INDEX(파견수련계획!$AC$4:$AC$83,$AK66)),TEXT(INDEX(파견수련계획!$AC$4:$AC$83,$AK66),"yyyy-mm-dd"),""))</f>
        <v/>
      </c>
    </row>
    <row r="67">
      <c r="A67" s="10">
        <f>IF(B67="","",ROW()-1)</f>
        <v/>
      </c>
      <c r="B67" s="18" t="n"/>
      <c r="C67" s="10">
        <f>IF($AB67="","",IF(INDEX(기본자료!$C$2:$C$1001,$AB67)="","",INDEX(기본자료!$C$2:$C$1001,$AB67)))</f>
        <v/>
      </c>
      <c r="D67" s="10">
        <f>IF($AB67="","",IF(INDEX(기본자료!$J$2:$J$1001,$AB67)="","",INDEX(기본자료!$J$2:$J$1001,$AB67)))</f>
        <v/>
      </c>
      <c r="E67" s="11">
        <f>IF($AB67="","",IF(INDEX(기본자료!$K$2:$K$1001,$AB67)="","",IF(NOT(ISNUMBER(INDEX(기본자료!$K$2:$K$1001,$AB67))),INDEX(기본자료!$K$2:$K$1001,$AB67),IF(INDEX(기본자료!$K$2:$K$1001,$AB67)&lt;1000000,INDEX(기본자료!$K$2:$K$1001,$AB67),IF(AND(INDEX(기본자료!$K$2:$K$1001,$AB67)&gt;=10000101,INT(MOD(INDEX(기본자료!$K$2:$K$1001,$AB67),10000)/100)&gt;=1,INT(MOD(INDEX(기본자료!$K$2:$K$1001,$AB67),10000)/100)&lt;=12,MOD(INDEX(기본자료!$K$2:$K$1001,$AB67),100)&gt;=1,MOD(INDEX(기본자료!$K$2:$K$1001,$AB67),100)&lt;=31),DATE(INT(INDEX(기본자료!$K$2:$K$1001,$AB67)/10000),INT(MOD(INDEX(기본자료!$K$2:$K$1001,$AB67),10000)/100),MOD(INDEX(기본자료!$K$2:$K$1001,$AB67),100)),INDEX(기본자료!$K$2:$K$1001,$AB67)&amp;"")))))</f>
        <v/>
      </c>
      <c r="F67" s="10">
        <f>IF($AB67="","",IF(INDEX(기본자료!$D$2:$D$1001,$AB67)="","",INDEX(기본자료!$D$2:$D$1001,$AB67)))</f>
        <v/>
      </c>
      <c r="G67" s="10">
        <f>IF($AB67="","",IF(INDEX(기본자료!$E$2:$E$1001,$AB67)="","",INDEX(기본자료!$E$2:$E$1001,$AB67)))</f>
        <v/>
      </c>
      <c r="H67" s="10">
        <f>IF($AB67="","",IF(INDEX(기본자료!$F$2:$F$1001,$AB67)="","",INDEX(기본자료!$F$2:$F$1001,$AB67)))</f>
        <v/>
      </c>
      <c r="I67" s="11">
        <f>IF($AB67="","",IF(INDEX(기본자료!$G$2:$G$1001,$AB67)="","",IF(NOT(ISNUMBER(INDEX(기본자료!$G$2:$G$1001,$AB67))),INDEX(기본자료!$G$2:$G$1001,$AB67),IF(INDEX(기본자료!$G$2:$G$1001,$AB67)&lt;1000000,INDEX(기본자료!$G$2:$G$1001,$AB67),IF(AND(INDEX(기본자료!$G$2:$G$1001,$AB67)&gt;=10000101,INT(MOD(INDEX(기본자료!$G$2:$G$1001,$AB67),10000)/100)&gt;=1,INT(MOD(INDEX(기본자료!$G$2:$G$1001,$AB67),10000)/100)&lt;=12,MOD(INDEX(기본자료!$G$2:$G$1001,$AB67),100)&gt;=1,MOD(INDEX(기본자료!$G$2:$G$1001,$AB67),100)&lt;=31),DATE(INT(INDEX(기본자료!$G$2:$G$1001,$AB67)/10000),INT(MOD(INDEX(기본자료!$G$2:$G$1001,$AB67),10000)/100),MOD(INDEX(기본자료!$G$2:$G$1001,$AB67),100)),INDEX(기본자료!$G$2:$G$1001,$AB67)&amp;"")))))</f>
        <v/>
      </c>
      <c r="J67" s="10">
        <f>IF($AB67="","",IF(INDEX(기본자료!$H$2:$H$1001,$AB67)="","",INDEX(기본자료!$H$2:$H$1001,$AB67)))</f>
        <v/>
      </c>
      <c r="K67" s="10">
        <f>IF($AB67="","",IF(INDEX(기본자료!$I$2:$I$1001,$AB67)="","",INDEX(기본자료!$I$2:$I$1001,$AB67)))</f>
        <v/>
      </c>
      <c r="L67" s="10">
        <f>IF($AB67="","",IF(INDEX(기본자료!$A$2:$A$1001,$AB67)="","",INDEX(기본자료!$A$2:$A$1001,$AB67)))</f>
        <v/>
      </c>
      <c r="M67" s="15" t="n"/>
      <c r="N67" s="10">
        <f>IF($B67="","",IF(AND($U67="파견중",$Q67&lt;&gt;""),$Q67,IF(AND($AD67&lt;&gt;"",LEFT($AD67,1)&lt;&gt;"⚠"),LEFT($AD67,FIND(" ",$AD67)-1),IF($H67="","",IF(RIGHT($H67,2)="병원",$H67,$H67&amp;"병원")))))</f>
        <v/>
      </c>
      <c r="O67" s="10">
        <f>IF($B67="","",IF(AND($U67="파견중",$Q67&lt;&gt;""),IF($R67&lt;&gt;"",$R67,"파견과 미입력"),IF(AND($AD67&lt;&gt;"",LEFT($AD67,1)&lt;&gt;"⚠"),MID($AD67,FIND(" ",$AD67)+1,60),IF($F67="","",IF($F67="인턴","수련교육부(인턴)",$F67)))))</f>
        <v/>
      </c>
      <c r="P67" s="10">
        <f>IF($B67="","",IF($AK67&lt;&gt;"",IF(AND(TODAY()&gt;=INDEX(파견수련계획!$AB$4:$AB$83,$AK67),OR(NOT(ISNUMBER(INDEX(파견수련계획!$AC$4:$AC$83,$AK67))),TODAY()&lt;=INDEX(파견수련계획!$AC$4:$AC$83,$AK67))),"다기관",IF($AF67="","",INDEX(파견수련계획!$T$4:$T$83,$AF67))),IF($AF67="","",INDEX(파견수련계획!$T$4:$T$83,$AF67))))</f>
        <v/>
      </c>
      <c r="Q67" s="10">
        <f>IF($AF67="","",INDEX(파견수련계획!$S$4:$S$83,$AF67))</f>
        <v/>
      </c>
      <c r="R67" s="10">
        <f>IF($AF67="","",INDEX(파견수련계획!$U$4:$U$83,$AF67))</f>
        <v/>
      </c>
      <c r="S67" s="11">
        <f>IF($AF67="","",IF(INDEX(파견수련계획!$H$4:$H$83,$AF67)="","",INDEX(파견수련계획!$H$4:$H$83,$AF67)))</f>
        <v/>
      </c>
      <c r="T67" s="11">
        <f>IF($AF67="","",IF(INDEX(파견수련계획!$I$4:$I$83,$AF67)="","",INDEX(파견수련계획!$I$4:$I$83,$AF67)))</f>
        <v/>
      </c>
      <c r="U67" s="10">
        <f>IF($AF67="","",INDEX(파견수련계획!$X$4:$X$83,$AF67))</f>
        <v/>
      </c>
      <c r="V67" s="17">
        <f>IF($AF67="","",INDEX(파견수련계획!$V$4:$V$83,$AF67))</f>
        <v/>
      </c>
      <c r="W67" s="17">
        <f>IF(AND($U67="파견중",$T67&lt;&gt;""),$T67-TODAY(),"")</f>
        <v/>
      </c>
      <c r="X67" s="17">
        <f>IF(OR($B67="",TRIM($J67&amp;"")=""),"",SUMPRODUCT((파견수련계획!$Q$4:$Q$83=TRIM($J67&amp;""))*파견수련계획!$W$4:$W$83))</f>
        <v/>
      </c>
      <c r="Y67" s="10">
        <f>IF($B67="","",IF($AG67="","",IF(IF(TRIM($J67&amp;"")="",0,SUMPRODUCT((파견수련계획!$Q$4:$Q$83=TRIM($J67&amp;""))*파견수련계획!$AD$4:$AD$83))&gt;0,$AE67,IF(N($X67)&lt;=0,$AG67,IF($AH67+$AI67=DAY(EOMONTH(요약!$B$3,0)),IF(AND($AH67&gt;=요약!$E$3,$AI67&lt;요약!$E$3),"서울병원",IF(AND($AI67&gt;=요약!$E$3,$AH67&lt;요약!$E$3),"구리병원","⚠15일 판정불가(서울 "&amp;$AH67&amp;"일/구리 "&amp;$AI67&amp;"일)")),IF($AJ67="",$AE67,IF(INDEX(파견수련계획!$T$4:$T$83,$AJ67)="통합수련",INDEX(파견수련계획!$S$4:$S$83,$AJ67),$AE67)))))))</f>
        <v/>
      </c>
      <c r="Z67" s="19">
        <f>IF($B67="","",IF($AB67="","기본자료에 없는 사번",IF(COUNTIF($B$2:$B$401,$B67)&gt;1,"중복 사번",IF($AE67="","소속(입사장소) 입력",IF(IF(TRIM($J67&amp;"")="",0,SUMPRODUCT((파견수련계획!$Q$4:$Q$83=TRIM($J67&amp;""))*(파견수련계획!$AA$4:$AA$83&lt;&gt;"")))&gt;0,"파견수련계획 입력오류 확인",IF(LEFT($Y67,1)="⚠","서울·구리 15일 판정 불가(양쪽 모두 이상/미만)",IF(IF($AC67="",0,N(INDEX(인턴근무계획!$T$3:$T$62,$AC67)))&gt;0,"인턴계획 입력오류 확인",IF(AND($AC67&lt;&gt;"",$U67&lt;&gt;"파견중",$N67&lt;&gt;$AE67),"인턴 타지역 근무: 파견 여부 확인","정상"))))))))</f>
        <v/>
      </c>
      <c r="AA67" s="5" t="n"/>
      <c r="AB67" s="10">
        <f>IF($B67="","",IFERROR(MATCH($B67,기본자료!$B$2:$B$1001,0),IFERROR(MATCH($B67&amp;"",기본자료!$B$2:$B$1001,0),IFERROR(MATCH(VALUE($B67),기본자료!$B$2:$B$1001,0),""))))</f>
        <v/>
      </c>
      <c r="AC67" s="10">
        <f>IF($B67="","",IFERROR(MATCH($B67,인턴근무계획!$D$3:$D$62,0),IFERROR(MATCH($B67&amp;"",인턴근무계획!$D$3:$D$62,0),IFERROR(MATCH(VALUE($B67),인턴근무계획!$D$3:$D$62,0),""))))</f>
        <v/>
      </c>
      <c r="AD67" s="10">
        <f>IF(OR($AC67="",인턴현황!$G$3=""),"",INDEX(인턴근무계획!$M$3:$R$62,$AC67,인턴현황!$G$3)&amp;"")</f>
        <v/>
      </c>
      <c r="AE67" s="10">
        <f>IF($B67="","",IF($M67&lt;&gt;"",$M67,IF($AF67&lt;&gt;"",IF(LEFT(INDEX(파견수련계획!$R$4:$R$83,$AF67),1)&lt;&gt;"⚠",INDEX(파견수련계획!$R$4:$R$83,$AF67),IF($H67="","",IF(RIGHT($H67,2)="병원",$H67,$H67&amp;"병원"))),IF($H67="","",IF(RIGHT($H67,2)="병원",$H67,$H67&amp;"병원")))))</f>
        <v/>
      </c>
      <c r="AF67" s="10">
        <f>IF(OR($B67="",TRIM($J67&amp;"")=""),"",IFERROR(MATCH(TRIM($J67&amp;"")&amp;"|파견중",파견수련계획!$Y$4:$Y$83,0),IFERROR(MATCH(TRIM($J67&amp;"")&amp;"|파견예정",파견수련계획!$Y$4:$Y$83,0),IFERROR(MATCH(TRIM($J67&amp;"")&amp;"|파견종료",파견수련계획!$Y$4:$Y$83,0),""))))</f>
        <v/>
      </c>
      <c r="AG67" s="10">
        <f>IF($B67="","",IF(AND(IF(OR($AC67="",인턴현황!$K$2=""),"",INDEX(인턴근무계획!$M$3:$R$62,$AC67,인턴현황!$K$2)&amp;"")&lt;&gt;"",LEFT(IF(OR($AC67="",인턴현황!$K$2=""),"",INDEX(인턴근무계획!$M$3:$R$62,$AC67,인턴현황!$K$2)&amp;""),1)&lt;&gt;"⚠"),LEFT(IF(OR($AC67="",인턴현황!$K$2=""),"",INDEX(인턴근무계획!$M$3:$R$62,$AC67,인턴현황!$K$2)&amp;""),FIND(" ",IF(OR($AC67="",인턴현황!$K$2=""),"",INDEX(인턴근무계획!$M$3:$R$62,$AC67,인턴현황!$K$2)&amp;""))-1),$AE67))</f>
        <v/>
      </c>
      <c r="AH67" s="17">
        <f>IF($B67="","",IF(TRIM($J67&amp;"")="",0,SUMPRODUCT((파견수련계획!$Q$4:$Q$83=TRIM($J67&amp;""))*(파견수련계획!$S$4:$S$83="서울병원")*파견수련계획!$W$4:$W$83))+IF($AG67="서울병원",MAX(0,DAY(EOMONTH(요약!$B$3,0))-N($X67)),0))</f>
        <v/>
      </c>
      <c r="AI67" s="17">
        <f>IF($B67="","",IF(TRIM($J67&amp;"")="",0,SUMPRODUCT((파견수련계획!$Q$4:$Q$83=TRIM($J67&amp;""))*(파견수련계획!$S$4:$S$83="구리병원")*파견수련계획!$W$4:$W$83))+IF($AG67="구리병원",MAX(0,DAY(EOMONTH(요약!$B$3,0))-N($X67)),0))</f>
        <v/>
      </c>
      <c r="AJ67" s="10">
        <f>IF(OR($B67="",TRIM($J67&amp;"")=""),"",IFERROR(MATCH(TRIM($J67&amp;"")&amp;"|월",파견수련계획!$Z$4:$Z$83,0),""))</f>
        <v/>
      </c>
      <c r="AK67" s="10">
        <f>IF(OR($B67="",TRIM($J67&amp;"")=""),"",IFERROR(MATCH(TRIM($J67&amp;"")&amp;"|다기관",파견수련계획!$AE$4:$AE$83,0),""))</f>
        <v/>
      </c>
      <c r="AL67" s="10">
        <f>IF($AK67="","","다기관 "&amp;TEXT(INDEX(파견수련계획!$AB$4:$AB$83,$AK67),"yyyy-mm-dd")&amp;"~"&amp;IF(ISNUMBER(INDEX(파견수련계획!$AC$4:$AC$83,$AK67)),TEXT(INDEX(파견수련계획!$AC$4:$AC$83,$AK67),"yyyy-mm-dd"),""))</f>
        <v/>
      </c>
    </row>
    <row r="68">
      <c r="A68" s="10">
        <f>IF(B68="","",ROW()-1)</f>
        <v/>
      </c>
      <c r="B68" s="18" t="n"/>
      <c r="C68" s="10">
        <f>IF($AB68="","",IF(INDEX(기본자료!$C$2:$C$1001,$AB68)="","",INDEX(기본자료!$C$2:$C$1001,$AB68)))</f>
        <v/>
      </c>
      <c r="D68" s="10">
        <f>IF($AB68="","",IF(INDEX(기본자료!$J$2:$J$1001,$AB68)="","",INDEX(기본자료!$J$2:$J$1001,$AB68)))</f>
        <v/>
      </c>
      <c r="E68" s="11">
        <f>IF($AB68="","",IF(INDEX(기본자료!$K$2:$K$1001,$AB68)="","",IF(NOT(ISNUMBER(INDEX(기본자료!$K$2:$K$1001,$AB68))),INDEX(기본자료!$K$2:$K$1001,$AB68),IF(INDEX(기본자료!$K$2:$K$1001,$AB68)&lt;1000000,INDEX(기본자료!$K$2:$K$1001,$AB68),IF(AND(INDEX(기본자료!$K$2:$K$1001,$AB68)&gt;=10000101,INT(MOD(INDEX(기본자료!$K$2:$K$1001,$AB68),10000)/100)&gt;=1,INT(MOD(INDEX(기본자료!$K$2:$K$1001,$AB68),10000)/100)&lt;=12,MOD(INDEX(기본자료!$K$2:$K$1001,$AB68),100)&gt;=1,MOD(INDEX(기본자료!$K$2:$K$1001,$AB68),100)&lt;=31),DATE(INT(INDEX(기본자료!$K$2:$K$1001,$AB68)/10000),INT(MOD(INDEX(기본자료!$K$2:$K$1001,$AB68),10000)/100),MOD(INDEX(기본자료!$K$2:$K$1001,$AB68),100)),INDEX(기본자료!$K$2:$K$1001,$AB68)&amp;"")))))</f>
        <v/>
      </c>
      <c r="F68" s="10">
        <f>IF($AB68="","",IF(INDEX(기본자료!$D$2:$D$1001,$AB68)="","",INDEX(기본자료!$D$2:$D$1001,$AB68)))</f>
        <v/>
      </c>
      <c r="G68" s="10">
        <f>IF($AB68="","",IF(INDEX(기본자료!$E$2:$E$1001,$AB68)="","",INDEX(기본자료!$E$2:$E$1001,$AB68)))</f>
        <v/>
      </c>
      <c r="H68" s="10">
        <f>IF($AB68="","",IF(INDEX(기본자료!$F$2:$F$1001,$AB68)="","",INDEX(기본자료!$F$2:$F$1001,$AB68)))</f>
        <v/>
      </c>
      <c r="I68" s="11">
        <f>IF($AB68="","",IF(INDEX(기본자료!$G$2:$G$1001,$AB68)="","",IF(NOT(ISNUMBER(INDEX(기본자료!$G$2:$G$1001,$AB68))),INDEX(기본자료!$G$2:$G$1001,$AB68),IF(INDEX(기본자료!$G$2:$G$1001,$AB68)&lt;1000000,INDEX(기본자료!$G$2:$G$1001,$AB68),IF(AND(INDEX(기본자료!$G$2:$G$1001,$AB68)&gt;=10000101,INT(MOD(INDEX(기본자료!$G$2:$G$1001,$AB68),10000)/100)&gt;=1,INT(MOD(INDEX(기본자료!$G$2:$G$1001,$AB68),10000)/100)&lt;=12,MOD(INDEX(기본자료!$G$2:$G$1001,$AB68),100)&gt;=1,MOD(INDEX(기본자료!$G$2:$G$1001,$AB68),100)&lt;=31),DATE(INT(INDEX(기본자료!$G$2:$G$1001,$AB68)/10000),INT(MOD(INDEX(기본자료!$G$2:$G$1001,$AB68),10000)/100),MOD(INDEX(기본자료!$G$2:$G$1001,$AB68),100)),INDEX(기본자료!$G$2:$G$1001,$AB68)&amp;"")))))</f>
        <v/>
      </c>
      <c r="J68" s="10">
        <f>IF($AB68="","",IF(INDEX(기본자료!$H$2:$H$1001,$AB68)="","",INDEX(기본자료!$H$2:$H$1001,$AB68)))</f>
        <v/>
      </c>
      <c r="K68" s="10">
        <f>IF($AB68="","",IF(INDEX(기본자료!$I$2:$I$1001,$AB68)="","",INDEX(기본자료!$I$2:$I$1001,$AB68)))</f>
        <v/>
      </c>
      <c r="L68" s="10">
        <f>IF($AB68="","",IF(INDEX(기본자료!$A$2:$A$1001,$AB68)="","",INDEX(기본자료!$A$2:$A$1001,$AB68)))</f>
        <v/>
      </c>
      <c r="M68" s="15" t="n"/>
      <c r="N68" s="10">
        <f>IF($B68="","",IF(AND($U68="파견중",$Q68&lt;&gt;""),$Q68,IF(AND($AD68&lt;&gt;"",LEFT($AD68,1)&lt;&gt;"⚠"),LEFT($AD68,FIND(" ",$AD68)-1),IF($H68="","",IF(RIGHT($H68,2)="병원",$H68,$H68&amp;"병원")))))</f>
        <v/>
      </c>
      <c r="O68" s="10">
        <f>IF($B68="","",IF(AND($U68="파견중",$Q68&lt;&gt;""),IF($R68&lt;&gt;"",$R68,"파견과 미입력"),IF(AND($AD68&lt;&gt;"",LEFT($AD68,1)&lt;&gt;"⚠"),MID($AD68,FIND(" ",$AD68)+1,60),IF($F68="","",IF($F68="인턴","수련교육부(인턴)",$F68)))))</f>
        <v/>
      </c>
      <c r="P68" s="10">
        <f>IF($B68="","",IF($AK68&lt;&gt;"",IF(AND(TODAY()&gt;=INDEX(파견수련계획!$AB$4:$AB$83,$AK68),OR(NOT(ISNUMBER(INDEX(파견수련계획!$AC$4:$AC$83,$AK68))),TODAY()&lt;=INDEX(파견수련계획!$AC$4:$AC$83,$AK68))),"다기관",IF($AF68="","",INDEX(파견수련계획!$T$4:$T$83,$AF68))),IF($AF68="","",INDEX(파견수련계획!$T$4:$T$83,$AF68))))</f>
        <v/>
      </c>
      <c r="Q68" s="10">
        <f>IF($AF68="","",INDEX(파견수련계획!$S$4:$S$83,$AF68))</f>
        <v/>
      </c>
      <c r="R68" s="10">
        <f>IF($AF68="","",INDEX(파견수련계획!$U$4:$U$83,$AF68))</f>
        <v/>
      </c>
      <c r="S68" s="11">
        <f>IF($AF68="","",IF(INDEX(파견수련계획!$H$4:$H$83,$AF68)="","",INDEX(파견수련계획!$H$4:$H$83,$AF68)))</f>
        <v/>
      </c>
      <c r="T68" s="11">
        <f>IF($AF68="","",IF(INDEX(파견수련계획!$I$4:$I$83,$AF68)="","",INDEX(파견수련계획!$I$4:$I$83,$AF68)))</f>
        <v/>
      </c>
      <c r="U68" s="10">
        <f>IF($AF68="","",INDEX(파견수련계획!$X$4:$X$83,$AF68))</f>
        <v/>
      </c>
      <c r="V68" s="17">
        <f>IF($AF68="","",INDEX(파견수련계획!$V$4:$V$83,$AF68))</f>
        <v/>
      </c>
      <c r="W68" s="17">
        <f>IF(AND($U68="파견중",$T68&lt;&gt;""),$T68-TODAY(),"")</f>
        <v/>
      </c>
      <c r="X68" s="17">
        <f>IF(OR($B68="",TRIM($J68&amp;"")=""),"",SUMPRODUCT((파견수련계획!$Q$4:$Q$83=TRIM($J68&amp;""))*파견수련계획!$W$4:$W$83))</f>
        <v/>
      </c>
      <c r="Y68" s="10">
        <f>IF($B68="","",IF($AG68="","",IF(IF(TRIM($J68&amp;"")="",0,SUMPRODUCT((파견수련계획!$Q$4:$Q$83=TRIM($J68&amp;""))*파견수련계획!$AD$4:$AD$83))&gt;0,$AE68,IF(N($X68)&lt;=0,$AG68,IF($AH68+$AI68=DAY(EOMONTH(요약!$B$3,0)),IF(AND($AH68&gt;=요약!$E$3,$AI68&lt;요약!$E$3),"서울병원",IF(AND($AI68&gt;=요약!$E$3,$AH68&lt;요약!$E$3),"구리병원","⚠15일 판정불가(서울 "&amp;$AH68&amp;"일/구리 "&amp;$AI68&amp;"일)")),IF($AJ68="",$AE68,IF(INDEX(파견수련계획!$T$4:$T$83,$AJ68)="통합수련",INDEX(파견수련계획!$S$4:$S$83,$AJ68),$AE68)))))))</f>
        <v/>
      </c>
      <c r="Z68" s="19">
        <f>IF($B68="","",IF($AB68="","기본자료에 없는 사번",IF(COUNTIF($B$2:$B$401,$B68)&gt;1,"중복 사번",IF($AE68="","소속(입사장소) 입력",IF(IF(TRIM($J68&amp;"")="",0,SUMPRODUCT((파견수련계획!$Q$4:$Q$83=TRIM($J68&amp;""))*(파견수련계획!$AA$4:$AA$83&lt;&gt;"")))&gt;0,"파견수련계획 입력오류 확인",IF(LEFT($Y68,1)="⚠","서울·구리 15일 판정 불가(양쪽 모두 이상/미만)",IF(IF($AC68="",0,N(INDEX(인턴근무계획!$T$3:$T$62,$AC68)))&gt;0,"인턴계획 입력오류 확인",IF(AND($AC68&lt;&gt;"",$U68&lt;&gt;"파견중",$N68&lt;&gt;$AE68),"인턴 타지역 근무: 파견 여부 확인","정상"))))))))</f>
        <v/>
      </c>
      <c r="AA68" s="5" t="n"/>
      <c r="AB68" s="10">
        <f>IF($B68="","",IFERROR(MATCH($B68,기본자료!$B$2:$B$1001,0),IFERROR(MATCH($B68&amp;"",기본자료!$B$2:$B$1001,0),IFERROR(MATCH(VALUE($B68),기본자료!$B$2:$B$1001,0),""))))</f>
        <v/>
      </c>
      <c r="AC68" s="10">
        <f>IF($B68="","",IFERROR(MATCH($B68,인턴근무계획!$D$3:$D$62,0),IFERROR(MATCH($B68&amp;"",인턴근무계획!$D$3:$D$62,0),IFERROR(MATCH(VALUE($B68),인턴근무계획!$D$3:$D$62,0),""))))</f>
        <v/>
      </c>
      <c r="AD68" s="10">
        <f>IF(OR($AC68="",인턴현황!$G$3=""),"",INDEX(인턴근무계획!$M$3:$R$62,$AC68,인턴현황!$G$3)&amp;"")</f>
        <v/>
      </c>
      <c r="AE68" s="10">
        <f>IF($B68="","",IF($M68&lt;&gt;"",$M68,IF($AF68&lt;&gt;"",IF(LEFT(INDEX(파견수련계획!$R$4:$R$83,$AF68),1)&lt;&gt;"⚠",INDEX(파견수련계획!$R$4:$R$83,$AF68),IF($H68="","",IF(RIGHT($H68,2)="병원",$H68,$H68&amp;"병원"))),IF($H68="","",IF(RIGHT($H68,2)="병원",$H68,$H68&amp;"병원")))))</f>
        <v/>
      </c>
      <c r="AF68" s="10">
        <f>IF(OR($B68="",TRIM($J68&amp;"")=""),"",IFERROR(MATCH(TRIM($J68&amp;"")&amp;"|파견중",파견수련계획!$Y$4:$Y$83,0),IFERROR(MATCH(TRIM($J68&amp;"")&amp;"|파견예정",파견수련계획!$Y$4:$Y$83,0),IFERROR(MATCH(TRIM($J68&amp;"")&amp;"|파견종료",파견수련계획!$Y$4:$Y$83,0),""))))</f>
        <v/>
      </c>
      <c r="AG68" s="10">
        <f>IF($B68="","",IF(AND(IF(OR($AC68="",인턴현황!$K$2=""),"",INDEX(인턴근무계획!$M$3:$R$62,$AC68,인턴현황!$K$2)&amp;"")&lt;&gt;"",LEFT(IF(OR($AC68="",인턴현황!$K$2=""),"",INDEX(인턴근무계획!$M$3:$R$62,$AC68,인턴현황!$K$2)&amp;""),1)&lt;&gt;"⚠"),LEFT(IF(OR($AC68="",인턴현황!$K$2=""),"",INDEX(인턴근무계획!$M$3:$R$62,$AC68,인턴현황!$K$2)&amp;""),FIND(" ",IF(OR($AC68="",인턴현황!$K$2=""),"",INDEX(인턴근무계획!$M$3:$R$62,$AC68,인턴현황!$K$2)&amp;""))-1),$AE68))</f>
        <v/>
      </c>
      <c r="AH68" s="17">
        <f>IF($B68="","",IF(TRIM($J68&amp;"")="",0,SUMPRODUCT((파견수련계획!$Q$4:$Q$83=TRIM($J68&amp;""))*(파견수련계획!$S$4:$S$83="서울병원")*파견수련계획!$W$4:$W$83))+IF($AG68="서울병원",MAX(0,DAY(EOMONTH(요약!$B$3,0))-N($X68)),0))</f>
        <v/>
      </c>
      <c r="AI68" s="17">
        <f>IF($B68="","",IF(TRIM($J68&amp;"")="",0,SUMPRODUCT((파견수련계획!$Q$4:$Q$83=TRIM($J68&amp;""))*(파견수련계획!$S$4:$S$83="구리병원")*파견수련계획!$W$4:$W$83))+IF($AG68="구리병원",MAX(0,DAY(EOMONTH(요약!$B$3,0))-N($X68)),0))</f>
        <v/>
      </c>
      <c r="AJ68" s="10">
        <f>IF(OR($B68="",TRIM($J68&amp;"")=""),"",IFERROR(MATCH(TRIM($J68&amp;"")&amp;"|월",파견수련계획!$Z$4:$Z$83,0),""))</f>
        <v/>
      </c>
      <c r="AK68" s="10">
        <f>IF(OR($B68="",TRIM($J68&amp;"")=""),"",IFERROR(MATCH(TRIM($J68&amp;"")&amp;"|다기관",파견수련계획!$AE$4:$AE$83,0),""))</f>
        <v/>
      </c>
      <c r="AL68" s="10">
        <f>IF($AK68="","","다기관 "&amp;TEXT(INDEX(파견수련계획!$AB$4:$AB$83,$AK68),"yyyy-mm-dd")&amp;"~"&amp;IF(ISNUMBER(INDEX(파견수련계획!$AC$4:$AC$83,$AK68)),TEXT(INDEX(파견수련계획!$AC$4:$AC$83,$AK68),"yyyy-mm-dd"),""))</f>
        <v/>
      </c>
    </row>
    <row r="69">
      <c r="A69" s="10">
        <f>IF(B69="","",ROW()-1)</f>
        <v/>
      </c>
      <c r="B69" s="18" t="n"/>
      <c r="C69" s="10">
        <f>IF($AB69="","",IF(INDEX(기본자료!$C$2:$C$1001,$AB69)="","",INDEX(기본자료!$C$2:$C$1001,$AB69)))</f>
        <v/>
      </c>
      <c r="D69" s="10">
        <f>IF($AB69="","",IF(INDEX(기본자료!$J$2:$J$1001,$AB69)="","",INDEX(기본자료!$J$2:$J$1001,$AB69)))</f>
        <v/>
      </c>
      <c r="E69" s="11">
        <f>IF($AB69="","",IF(INDEX(기본자료!$K$2:$K$1001,$AB69)="","",IF(NOT(ISNUMBER(INDEX(기본자료!$K$2:$K$1001,$AB69))),INDEX(기본자료!$K$2:$K$1001,$AB69),IF(INDEX(기본자료!$K$2:$K$1001,$AB69)&lt;1000000,INDEX(기본자료!$K$2:$K$1001,$AB69),IF(AND(INDEX(기본자료!$K$2:$K$1001,$AB69)&gt;=10000101,INT(MOD(INDEX(기본자료!$K$2:$K$1001,$AB69),10000)/100)&gt;=1,INT(MOD(INDEX(기본자료!$K$2:$K$1001,$AB69),10000)/100)&lt;=12,MOD(INDEX(기본자료!$K$2:$K$1001,$AB69),100)&gt;=1,MOD(INDEX(기본자료!$K$2:$K$1001,$AB69),100)&lt;=31),DATE(INT(INDEX(기본자료!$K$2:$K$1001,$AB69)/10000),INT(MOD(INDEX(기본자료!$K$2:$K$1001,$AB69),10000)/100),MOD(INDEX(기본자료!$K$2:$K$1001,$AB69),100)),INDEX(기본자료!$K$2:$K$1001,$AB69)&amp;"")))))</f>
        <v/>
      </c>
      <c r="F69" s="10">
        <f>IF($AB69="","",IF(INDEX(기본자료!$D$2:$D$1001,$AB69)="","",INDEX(기본자료!$D$2:$D$1001,$AB69)))</f>
        <v/>
      </c>
      <c r="G69" s="10">
        <f>IF($AB69="","",IF(INDEX(기본자료!$E$2:$E$1001,$AB69)="","",INDEX(기본자료!$E$2:$E$1001,$AB69)))</f>
        <v/>
      </c>
      <c r="H69" s="10">
        <f>IF($AB69="","",IF(INDEX(기본자료!$F$2:$F$1001,$AB69)="","",INDEX(기본자료!$F$2:$F$1001,$AB69)))</f>
        <v/>
      </c>
      <c r="I69" s="11">
        <f>IF($AB69="","",IF(INDEX(기본자료!$G$2:$G$1001,$AB69)="","",IF(NOT(ISNUMBER(INDEX(기본자료!$G$2:$G$1001,$AB69))),INDEX(기본자료!$G$2:$G$1001,$AB69),IF(INDEX(기본자료!$G$2:$G$1001,$AB69)&lt;1000000,INDEX(기본자료!$G$2:$G$1001,$AB69),IF(AND(INDEX(기본자료!$G$2:$G$1001,$AB69)&gt;=10000101,INT(MOD(INDEX(기본자료!$G$2:$G$1001,$AB69),10000)/100)&gt;=1,INT(MOD(INDEX(기본자료!$G$2:$G$1001,$AB69),10000)/100)&lt;=12,MOD(INDEX(기본자료!$G$2:$G$1001,$AB69),100)&gt;=1,MOD(INDEX(기본자료!$G$2:$G$1001,$AB69),100)&lt;=31),DATE(INT(INDEX(기본자료!$G$2:$G$1001,$AB69)/10000),INT(MOD(INDEX(기본자료!$G$2:$G$1001,$AB69),10000)/100),MOD(INDEX(기본자료!$G$2:$G$1001,$AB69),100)),INDEX(기본자료!$G$2:$G$1001,$AB69)&amp;"")))))</f>
        <v/>
      </c>
      <c r="J69" s="10">
        <f>IF($AB69="","",IF(INDEX(기본자료!$H$2:$H$1001,$AB69)="","",INDEX(기본자료!$H$2:$H$1001,$AB69)))</f>
        <v/>
      </c>
      <c r="K69" s="10">
        <f>IF($AB69="","",IF(INDEX(기본자료!$I$2:$I$1001,$AB69)="","",INDEX(기본자료!$I$2:$I$1001,$AB69)))</f>
        <v/>
      </c>
      <c r="L69" s="10">
        <f>IF($AB69="","",IF(INDEX(기본자료!$A$2:$A$1001,$AB69)="","",INDEX(기본자료!$A$2:$A$1001,$AB69)))</f>
        <v/>
      </c>
      <c r="M69" s="15" t="n"/>
      <c r="N69" s="10">
        <f>IF($B69="","",IF(AND($U69="파견중",$Q69&lt;&gt;""),$Q69,IF(AND($AD69&lt;&gt;"",LEFT($AD69,1)&lt;&gt;"⚠"),LEFT($AD69,FIND(" ",$AD69)-1),IF($H69="","",IF(RIGHT($H69,2)="병원",$H69,$H69&amp;"병원")))))</f>
        <v/>
      </c>
      <c r="O69" s="10">
        <f>IF($B69="","",IF(AND($U69="파견중",$Q69&lt;&gt;""),IF($R69&lt;&gt;"",$R69,"파견과 미입력"),IF(AND($AD69&lt;&gt;"",LEFT($AD69,1)&lt;&gt;"⚠"),MID($AD69,FIND(" ",$AD69)+1,60),IF($F69="","",IF($F69="인턴","수련교육부(인턴)",$F69)))))</f>
        <v/>
      </c>
      <c r="P69" s="10">
        <f>IF($B69="","",IF($AK69&lt;&gt;"",IF(AND(TODAY()&gt;=INDEX(파견수련계획!$AB$4:$AB$83,$AK69),OR(NOT(ISNUMBER(INDEX(파견수련계획!$AC$4:$AC$83,$AK69))),TODAY()&lt;=INDEX(파견수련계획!$AC$4:$AC$83,$AK69))),"다기관",IF($AF69="","",INDEX(파견수련계획!$T$4:$T$83,$AF69))),IF($AF69="","",INDEX(파견수련계획!$T$4:$T$83,$AF69))))</f>
        <v/>
      </c>
      <c r="Q69" s="10">
        <f>IF($AF69="","",INDEX(파견수련계획!$S$4:$S$83,$AF69))</f>
        <v/>
      </c>
      <c r="R69" s="10">
        <f>IF($AF69="","",INDEX(파견수련계획!$U$4:$U$83,$AF69))</f>
        <v/>
      </c>
      <c r="S69" s="11">
        <f>IF($AF69="","",IF(INDEX(파견수련계획!$H$4:$H$83,$AF69)="","",INDEX(파견수련계획!$H$4:$H$83,$AF69)))</f>
        <v/>
      </c>
      <c r="T69" s="11">
        <f>IF($AF69="","",IF(INDEX(파견수련계획!$I$4:$I$83,$AF69)="","",INDEX(파견수련계획!$I$4:$I$83,$AF69)))</f>
        <v/>
      </c>
      <c r="U69" s="10">
        <f>IF($AF69="","",INDEX(파견수련계획!$X$4:$X$83,$AF69))</f>
        <v/>
      </c>
      <c r="V69" s="17">
        <f>IF($AF69="","",INDEX(파견수련계획!$V$4:$V$83,$AF69))</f>
        <v/>
      </c>
      <c r="W69" s="17">
        <f>IF(AND($U69="파견중",$T69&lt;&gt;""),$T69-TODAY(),"")</f>
        <v/>
      </c>
      <c r="X69" s="17">
        <f>IF(OR($B69="",TRIM($J69&amp;"")=""),"",SUMPRODUCT((파견수련계획!$Q$4:$Q$83=TRIM($J69&amp;""))*파견수련계획!$W$4:$W$83))</f>
        <v/>
      </c>
      <c r="Y69" s="10">
        <f>IF($B69="","",IF($AG69="","",IF(IF(TRIM($J69&amp;"")="",0,SUMPRODUCT((파견수련계획!$Q$4:$Q$83=TRIM($J69&amp;""))*파견수련계획!$AD$4:$AD$83))&gt;0,$AE69,IF(N($X69)&lt;=0,$AG69,IF($AH69+$AI69=DAY(EOMONTH(요약!$B$3,0)),IF(AND($AH69&gt;=요약!$E$3,$AI69&lt;요약!$E$3),"서울병원",IF(AND($AI69&gt;=요약!$E$3,$AH69&lt;요약!$E$3),"구리병원","⚠15일 판정불가(서울 "&amp;$AH69&amp;"일/구리 "&amp;$AI69&amp;"일)")),IF($AJ69="",$AE69,IF(INDEX(파견수련계획!$T$4:$T$83,$AJ69)="통합수련",INDEX(파견수련계획!$S$4:$S$83,$AJ69),$AE69)))))))</f>
        <v/>
      </c>
      <c r="Z69" s="19">
        <f>IF($B69="","",IF($AB69="","기본자료에 없는 사번",IF(COUNTIF($B$2:$B$401,$B69)&gt;1,"중복 사번",IF($AE69="","소속(입사장소) 입력",IF(IF(TRIM($J69&amp;"")="",0,SUMPRODUCT((파견수련계획!$Q$4:$Q$83=TRIM($J69&amp;""))*(파견수련계획!$AA$4:$AA$83&lt;&gt;"")))&gt;0,"파견수련계획 입력오류 확인",IF(LEFT($Y69,1)="⚠","서울·구리 15일 판정 불가(양쪽 모두 이상/미만)",IF(IF($AC69="",0,N(INDEX(인턴근무계획!$T$3:$T$62,$AC69)))&gt;0,"인턴계획 입력오류 확인",IF(AND($AC69&lt;&gt;"",$U69&lt;&gt;"파견중",$N69&lt;&gt;$AE69),"인턴 타지역 근무: 파견 여부 확인","정상"))))))))</f>
        <v/>
      </c>
      <c r="AA69" s="5" t="n"/>
      <c r="AB69" s="10">
        <f>IF($B69="","",IFERROR(MATCH($B69,기본자료!$B$2:$B$1001,0),IFERROR(MATCH($B69&amp;"",기본자료!$B$2:$B$1001,0),IFERROR(MATCH(VALUE($B69),기본자료!$B$2:$B$1001,0),""))))</f>
        <v/>
      </c>
      <c r="AC69" s="10">
        <f>IF($B69="","",IFERROR(MATCH($B69,인턴근무계획!$D$3:$D$62,0),IFERROR(MATCH($B69&amp;"",인턴근무계획!$D$3:$D$62,0),IFERROR(MATCH(VALUE($B69),인턴근무계획!$D$3:$D$62,0),""))))</f>
        <v/>
      </c>
      <c r="AD69" s="10">
        <f>IF(OR($AC69="",인턴현황!$G$3=""),"",INDEX(인턴근무계획!$M$3:$R$62,$AC69,인턴현황!$G$3)&amp;"")</f>
        <v/>
      </c>
      <c r="AE69" s="10">
        <f>IF($B69="","",IF($M69&lt;&gt;"",$M69,IF($AF69&lt;&gt;"",IF(LEFT(INDEX(파견수련계획!$R$4:$R$83,$AF69),1)&lt;&gt;"⚠",INDEX(파견수련계획!$R$4:$R$83,$AF69),IF($H69="","",IF(RIGHT($H69,2)="병원",$H69,$H69&amp;"병원"))),IF($H69="","",IF(RIGHT($H69,2)="병원",$H69,$H69&amp;"병원")))))</f>
        <v/>
      </c>
      <c r="AF69" s="10">
        <f>IF(OR($B69="",TRIM($J69&amp;"")=""),"",IFERROR(MATCH(TRIM($J69&amp;"")&amp;"|파견중",파견수련계획!$Y$4:$Y$83,0),IFERROR(MATCH(TRIM($J69&amp;"")&amp;"|파견예정",파견수련계획!$Y$4:$Y$83,0),IFERROR(MATCH(TRIM($J69&amp;"")&amp;"|파견종료",파견수련계획!$Y$4:$Y$83,0),""))))</f>
        <v/>
      </c>
      <c r="AG69" s="10">
        <f>IF($B69="","",IF(AND(IF(OR($AC69="",인턴현황!$K$2=""),"",INDEX(인턴근무계획!$M$3:$R$62,$AC69,인턴현황!$K$2)&amp;"")&lt;&gt;"",LEFT(IF(OR($AC69="",인턴현황!$K$2=""),"",INDEX(인턴근무계획!$M$3:$R$62,$AC69,인턴현황!$K$2)&amp;""),1)&lt;&gt;"⚠"),LEFT(IF(OR($AC69="",인턴현황!$K$2=""),"",INDEX(인턴근무계획!$M$3:$R$62,$AC69,인턴현황!$K$2)&amp;""),FIND(" ",IF(OR($AC69="",인턴현황!$K$2=""),"",INDEX(인턴근무계획!$M$3:$R$62,$AC69,인턴현황!$K$2)&amp;""))-1),$AE69))</f>
        <v/>
      </c>
      <c r="AH69" s="17">
        <f>IF($B69="","",IF(TRIM($J69&amp;"")="",0,SUMPRODUCT((파견수련계획!$Q$4:$Q$83=TRIM($J69&amp;""))*(파견수련계획!$S$4:$S$83="서울병원")*파견수련계획!$W$4:$W$83))+IF($AG69="서울병원",MAX(0,DAY(EOMONTH(요약!$B$3,0))-N($X69)),0))</f>
        <v/>
      </c>
      <c r="AI69" s="17">
        <f>IF($B69="","",IF(TRIM($J69&amp;"")="",0,SUMPRODUCT((파견수련계획!$Q$4:$Q$83=TRIM($J69&amp;""))*(파견수련계획!$S$4:$S$83="구리병원")*파견수련계획!$W$4:$W$83))+IF($AG69="구리병원",MAX(0,DAY(EOMONTH(요약!$B$3,0))-N($X69)),0))</f>
        <v/>
      </c>
      <c r="AJ69" s="10">
        <f>IF(OR($B69="",TRIM($J69&amp;"")=""),"",IFERROR(MATCH(TRIM($J69&amp;"")&amp;"|월",파견수련계획!$Z$4:$Z$83,0),""))</f>
        <v/>
      </c>
      <c r="AK69" s="10">
        <f>IF(OR($B69="",TRIM($J69&amp;"")=""),"",IFERROR(MATCH(TRIM($J69&amp;"")&amp;"|다기관",파견수련계획!$AE$4:$AE$83,0),""))</f>
        <v/>
      </c>
      <c r="AL69" s="10">
        <f>IF($AK69="","","다기관 "&amp;TEXT(INDEX(파견수련계획!$AB$4:$AB$83,$AK69),"yyyy-mm-dd")&amp;"~"&amp;IF(ISNUMBER(INDEX(파견수련계획!$AC$4:$AC$83,$AK69)),TEXT(INDEX(파견수련계획!$AC$4:$AC$83,$AK69),"yyyy-mm-dd"),""))</f>
        <v/>
      </c>
    </row>
    <row r="70">
      <c r="A70" s="10">
        <f>IF(B70="","",ROW()-1)</f>
        <v/>
      </c>
      <c r="B70" s="18" t="n"/>
      <c r="C70" s="10">
        <f>IF($AB70="","",IF(INDEX(기본자료!$C$2:$C$1001,$AB70)="","",INDEX(기본자료!$C$2:$C$1001,$AB70)))</f>
        <v/>
      </c>
      <c r="D70" s="10">
        <f>IF($AB70="","",IF(INDEX(기본자료!$J$2:$J$1001,$AB70)="","",INDEX(기본자료!$J$2:$J$1001,$AB70)))</f>
        <v/>
      </c>
      <c r="E70" s="11">
        <f>IF($AB70="","",IF(INDEX(기본자료!$K$2:$K$1001,$AB70)="","",IF(NOT(ISNUMBER(INDEX(기본자료!$K$2:$K$1001,$AB70))),INDEX(기본자료!$K$2:$K$1001,$AB70),IF(INDEX(기본자료!$K$2:$K$1001,$AB70)&lt;1000000,INDEX(기본자료!$K$2:$K$1001,$AB70),IF(AND(INDEX(기본자료!$K$2:$K$1001,$AB70)&gt;=10000101,INT(MOD(INDEX(기본자료!$K$2:$K$1001,$AB70),10000)/100)&gt;=1,INT(MOD(INDEX(기본자료!$K$2:$K$1001,$AB70),10000)/100)&lt;=12,MOD(INDEX(기본자료!$K$2:$K$1001,$AB70),100)&gt;=1,MOD(INDEX(기본자료!$K$2:$K$1001,$AB70),100)&lt;=31),DATE(INT(INDEX(기본자료!$K$2:$K$1001,$AB70)/10000),INT(MOD(INDEX(기본자료!$K$2:$K$1001,$AB70),10000)/100),MOD(INDEX(기본자료!$K$2:$K$1001,$AB70),100)),INDEX(기본자료!$K$2:$K$1001,$AB70)&amp;"")))))</f>
        <v/>
      </c>
      <c r="F70" s="10">
        <f>IF($AB70="","",IF(INDEX(기본자료!$D$2:$D$1001,$AB70)="","",INDEX(기본자료!$D$2:$D$1001,$AB70)))</f>
        <v/>
      </c>
      <c r="G70" s="10">
        <f>IF($AB70="","",IF(INDEX(기본자료!$E$2:$E$1001,$AB70)="","",INDEX(기본자료!$E$2:$E$1001,$AB70)))</f>
        <v/>
      </c>
      <c r="H70" s="10">
        <f>IF($AB70="","",IF(INDEX(기본자료!$F$2:$F$1001,$AB70)="","",INDEX(기본자료!$F$2:$F$1001,$AB70)))</f>
        <v/>
      </c>
      <c r="I70" s="11">
        <f>IF($AB70="","",IF(INDEX(기본자료!$G$2:$G$1001,$AB70)="","",IF(NOT(ISNUMBER(INDEX(기본자료!$G$2:$G$1001,$AB70))),INDEX(기본자료!$G$2:$G$1001,$AB70),IF(INDEX(기본자료!$G$2:$G$1001,$AB70)&lt;1000000,INDEX(기본자료!$G$2:$G$1001,$AB70),IF(AND(INDEX(기본자료!$G$2:$G$1001,$AB70)&gt;=10000101,INT(MOD(INDEX(기본자료!$G$2:$G$1001,$AB70),10000)/100)&gt;=1,INT(MOD(INDEX(기본자료!$G$2:$G$1001,$AB70),10000)/100)&lt;=12,MOD(INDEX(기본자료!$G$2:$G$1001,$AB70),100)&gt;=1,MOD(INDEX(기본자료!$G$2:$G$1001,$AB70),100)&lt;=31),DATE(INT(INDEX(기본자료!$G$2:$G$1001,$AB70)/10000),INT(MOD(INDEX(기본자료!$G$2:$G$1001,$AB70),10000)/100),MOD(INDEX(기본자료!$G$2:$G$1001,$AB70),100)),INDEX(기본자료!$G$2:$G$1001,$AB70)&amp;"")))))</f>
        <v/>
      </c>
      <c r="J70" s="10">
        <f>IF($AB70="","",IF(INDEX(기본자료!$H$2:$H$1001,$AB70)="","",INDEX(기본자료!$H$2:$H$1001,$AB70)))</f>
        <v/>
      </c>
      <c r="K70" s="10">
        <f>IF($AB70="","",IF(INDEX(기본자료!$I$2:$I$1001,$AB70)="","",INDEX(기본자료!$I$2:$I$1001,$AB70)))</f>
        <v/>
      </c>
      <c r="L70" s="10">
        <f>IF($AB70="","",IF(INDEX(기본자료!$A$2:$A$1001,$AB70)="","",INDEX(기본자료!$A$2:$A$1001,$AB70)))</f>
        <v/>
      </c>
      <c r="M70" s="15" t="n"/>
      <c r="N70" s="10">
        <f>IF($B70="","",IF(AND($U70="파견중",$Q70&lt;&gt;""),$Q70,IF(AND($AD70&lt;&gt;"",LEFT($AD70,1)&lt;&gt;"⚠"),LEFT($AD70,FIND(" ",$AD70)-1),IF($H70="","",IF(RIGHT($H70,2)="병원",$H70,$H70&amp;"병원")))))</f>
        <v/>
      </c>
      <c r="O70" s="10">
        <f>IF($B70="","",IF(AND($U70="파견중",$Q70&lt;&gt;""),IF($R70&lt;&gt;"",$R70,"파견과 미입력"),IF(AND($AD70&lt;&gt;"",LEFT($AD70,1)&lt;&gt;"⚠"),MID($AD70,FIND(" ",$AD70)+1,60),IF($F70="","",IF($F70="인턴","수련교육부(인턴)",$F70)))))</f>
        <v/>
      </c>
      <c r="P70" s="10">
        <f>IF($B70="","",IF($AK70&lt;&gt;"",IF(AND(TODAY()&gt;=INDEX(파견수련계획!$AB$4:$AB$83,$AK70),OR(NOT(ISNUMBER(INDEX(파견수련계획!$AC$4:$AC$83,$AK70))),TODAY()&lt;=INDEX(파견수련계획!$AC$4:$AC$83,$AK70))),"다기관",IF($AF70="","",INDEX(파견수련계획!$T$4:$T$83,$AF70))),IF($AF70="","",INDEX(파견수련계획!$T$4:$T$83,$AF70))))</f>
        <v/>
      </c>
      <c r="Q70" s="10">
        <f>IF($AF70="","",INDEX(파견수련계획!$S$4:$S$83,$AF70))</f>
        <v/>
      </c>
      <c r="R70" s="10">
        <f>IF($AF70="","",INDEX(파견수련계획!$U$4:$U$83,$AF70))</f>
        <v/>
      </c>
      <c r="S70" s="11">
        <f>IF($AF70="","",IF(INDEX(파견수련계획!$H$4:$H$83,$AF70)="","",INDEX(파견수련계획!$H$4:$H$83,$AF70)))</f>
        <v/>
      </c>
      <c r="T70" s="11">
        <f>IF($AF70="","",IF(INDEX(파견수련계획!$I$4:$I$83,$AF70)="","",INDEX(파견수련계획!$I$4:$I$83,$AF70)))</f>
        <v/>
      </c>
      <c r="U70" s="10">
        <f>IF($AF70="","",INDEX(파견수련계획!$X$4:$X$83,$AF70))</f>
        <v/>
      </c>
      <c r="V70" s="17">
        <f>IF($AF70="","",INDEX(파견수련계획!$V$4:$V$83,$AF70))</f>
        <v/>
      </c>
      <c r="W70" s="17">
        <f>IF(AND($U70="파견중",$T70&lt;&gt;""),$T70-TODAY(),"")</f>
        <v/>
      </c>
      <c r="X70" s="17">
        <f>IF(OR($B70="",TRIM($J70&amp;"")=""),"",SUMPRODUCT((파견수련계획!$Q$4:$Q$83=TRIM($J70&amp;""))*파견수련계획!$W$4:$W$83))</f>
        <v/>
      </c>
      <c r="Y70" s="10">
        <f>IF($B70="","",IF($AG70="","",IF(IF(TRIM($J70&amp;"")="",0,SUMPRODUCT((파견수련계획!$Q$4:$Q$83=TRIM($J70&amp;""))*파견수련계획!$AD$4:$AD$83))&gt;0,$AE70,IF(N($X70)&lt;=0,$AG70,IF($AH70+$AI70=DAY(EOMONTH(요약!$B$3,0)),IF(AND($AH70&gt;=요약!$E$3,$AI70&lt;요약!$E$3),"서울병원",IF(AND($AI70&gt;=요약!$E$3,$AH70&lt;요약!$E$3),"구리병원","⚠15일 판정불가(서울 "&amp;$AH70&amp;"일/구리 "&amp;$AI70&amp;"일)")),IF($AJ70="",$AE70,IF(INDEX(파견수련계획!$T$4:$T$83,$AJ70)="통합수련",INDEX(파견수련계획!$S$4:$S$83,$AJ70),$AE70)))))))</f>
        <v/>
      </c>
      <c r="Z70" s="19">
        <f>IF($B70="","",IF($AB70="","기본자료에 없는 사번",IF(COUNTIF($B$2:$B$401,$B70)&gt;1,"중복 사번",IF($AE70="","소속(입사장소) 입력",IF(IF(TRIM($J70&amp;"")="",0,SUMPRODUCT((파견수련계획!$Q$4:$Q$83=TRIM($J70&amp;""))*(파견수련계획!$AA$4:$AA$83&lt;&gt;"")))&gt;0,"파견수련계획 입력오류 확인",IF(LEFT($Y70,1)="⚠","서울·구리 15일 판정 불가(양쪽 모두 이상/미만)",IF(IF($AC70="",0,N(INDEX(인턴근무계획!$T$3:$T$62,$AC70)))&gt;0,"인턴계획 입력오류 확인",IF(AND($AC70&lt;&gt;"",$U70&lt;&gt;"파견중",$N70&lt;&gt;$AE70),"인턴 타지역 근무: 파견 여부 확인","정상"))))))))</f>
        <v/>
      </c>
      <c r="AA70" s="5" t="n"/>
      <c r="AB70" s="10">
        <f>IF($B70="","",IFERROR(MATCH($B70,기본자료!$B$2:$B$1001,0),IFERROR(MATCH($B70&amp;"",기본자료!$B$2:$B$1001,0),IFERROR(MATCH(VALUE($B70),기본자료!$B$2:$B$1001,0),""))))</f>
        <v/>
      </c>
      <c r="AC70" s="10">
        <f>IF($B70="","",IFERROR(MATCH($B70,인턴근무계획!$D$3:$D$62,0),IFERROR(MATCH($B70&amp;"",인턴근무계획!$D$3:$D$62,0),IFERROR(MATCH(VALUE($B70),인턴근무계획!$D$3:$D$62,0),""))))</f>
        <v/>
      </c>
      <c r="AD70" s="10">
        <f>IF(OR($AC70="",인턴현황!$G$3=""),"",INDEX(인턴근무계획!$M$3:$R$62,$AC70,인턴현황!$G$3)&amp;"")</f>
        <v/>
      </c>
      <c r="AE70" s="10">
        <f>IF($B70="","",IF($M70&lt;&gt;"",$M70,IF($AF70&lt;&gt;"",IF(LEFT(INDEX(파견수련계획!$R$4:$R$83,$AF70),1)&lt;&gt;"⚠",INDEX(파견수련계획!$R$4:$R$83,$AF70),IF($H70="","",IF(RIGHT($H70,2)="병원",$H70,$H70&amp;"병원"))),IF($H70="","",IF(RIGHT($H70,2)="병원",$H70,$H70&amp;"병원")))))</f>
        <v/>
      </c>
      <c r="AF70" s="10">
        <f>IF(OR($B70="",TRIM($J70&amp;"")=""),"",IFERROR(MATCH(TRIM($J70&amp;"")&amp;"|파견중",파견수련계획!$Y$4:$Y$83,0),IFERROR(MATCH(TRIM($J70&amp;"")&amp;"|파견예정",파견수련계획!$Y$4:$Y$83,0),IFERROR(MATCH(TRIM($J70&amp;"")&amp;"|파견종료",파견수련계획!$Y$4:$Y$83,0),""))))</f>
        <v/>
      </c>
      <c r="AG70" s="10">
        <f>IF($B70="","",IF(AND(IF(OR($AC70="",인턴현황!$K$2=""),"",INDEX(인턴근무계획!$M$3:$R$62,$AC70,인턴현황!$K$2)&amp;"")&lt;&gt;"",LEFT(IF(OR($AC70="",인턴현황!$K$2=""),"",INDEX(인턴근무계획!$M$3:$R$62,$AC70,인턴현황!$K$2)&amp;""),1)&lt;&gt;"⚠"),LEFT(IF(OR($AC70="",인턴현황!$K$2=""),"",INDEX(인턴근무계획!$M$3:$R$62,$AC70,인턴현황!$K$2)&amp;""),FIND(" ",IF(OR($AC70="",인턴현황!$K$2=""),"",INDEX(인턴근무계획!$M$3:$R$62,$AC70,인턴현황!$K$2)&amp;""))-1),$AE70))</f>
        <v/>
      </c>
      <c r="AH70" s="17">
        <f>IF($B70="","",IF(TRIM($J70&amp;"")="",0,SUMPRODUCT((파견수련계획!$Q$4:$Q$83=TRIM($J70&amp;""))*(파견수련계획!$S$4:$S$83="서울병원")*파견수련계획!$W$4:$W$83))+IF($AG70="서울병원",MAX(0,DAY(EOMONTH(요약!$B$3,0))-N($X70)),0))</f>
        <v/>
      </c>
      <c r="AI70" s="17">
        <f>IF($B70="","",IF(TRIM($J70&amp;"")="",0,SUMPRODUCT((파견수련계획!$Q$4:$Q$83=TRIM($J70&amp;""))*(파견수련계획!$S$4:$S$83="구리병원")*파견수련계획!$W$4:$W$83))+IF($AG70="구리병원",MAX(0,DAY(EOMONTH(요약!$B$3,0))-N($X70)),0))</f>
        <v/>
      </c>
      <c r="AJ70" s="10">
        <f>IF(OR($B70="",TRIM($J70&amp;"")=""),"",IFERROR(MATCH(TRIM($J70&amp;"")&amp;"|월",파견수련계획!$Z$4:$Z$83,0),""))</f>
        <v/>
      </c>
      <c r="AK70" s="10">
        <f>IF(OR($B70="",TRIM($J70&amp;"")=""),"",IFERROR(MATCH(TRIM($J70&amp;"")&amp;"|다기관",파견수련계획!$AE$4:$AE$83,0),""))</f>
        <v/>
      </c>
      <c r="AL70" s="10">
        <f>IF($AK70="","","다기관 "&amp;TEXT(INDEX(파견수련계획!$AB$4:$AB$83,$AK70),"yyyy-mm-dd")&amp;"~"&amp;IF(ISNUMBER(INDEX(파견수련계획!$AC$4:$AC$83,$AK70)),TEXT(INDEX(파견수련계획!$AC$4:$AC$83,$AK70),"yyyy-mm-dd"),""))</f>
        <v/>
      </c>
    </row>
    <row r="71">
      <c r="A71" s="10">
        <f>IF(B71="","",ROW()-1)</f>
        <v/>
      </c>
      <c r="B71" s="18" t="n"/>
      <c r="C71" s="10">
        <f>IF($AB71="","",IF(INDEX(기본자료!$C$2:$C$1001,$AB71)="","",INDEX(기본자료!$C$2:$C$1001,$AB71)))</f>
        <v/>
      </c>
      <c r="D71" s="10">
        <f>IF($AB71="","",IF(INDEX(기본자료!$J$2:$J$1001,$AB71)="","",INDEX(기본자료!$J$2:$J$1001,$AB71)))</f>
        <v/>
      </c>
      <c r="E71" s="11">
        <f>IF($AB71="","",IF(INDEX(기본자료!$K$2:$K$1001,$AB71)="","",IF(NOT(ISNUMBER(INDEX(기본자료!$K$2:$K$1001,$AB71))),INDEX(기본자료!$K$2:$K$1001,$AB71),IF(INDEX(기본자료!$K$2:$K$1001,$AB71)&lt;1000000,INDEX(기본자료!$K$2:$K$1001,$AB71),IF(AND(INDEX(기본자료!$K$2:$K$1001,$AB71)&gt;=10000101,INT(MOD(INDEX(기본자료!$K$2:$K$1001,$AB71),10000)/100)&gt;=1,INT(MOD(INDEX(기본자료!$K$2:$K$1001,$AB71),10000)/100)&lt;=12,MOD(INDEX(기본자료!$K$2:$K$1001,$AB71),100)&gt;=1,MOD(INDEX(기본자료!$K$2:$K$1001,$AB71),100)&lt;=31),DATE(INT(INDEX(기본자료!$K$2:$K$1001,$AB71)/10000),INT(MOD(INDEX(기본자료!$K$2:$K$1001,$AB71),10000)/100),MOD(INDEX(기본자료!$K$2:$K$1001,$AB71),100)),INDEX(기본자료!$K$2:$K$1001,$AB71)&amp;"")))))</f>
        <v/>
      </c>
      <c r="F71" s="10">
        <f>IF($AB71="","",IF(INDEX(기본자료!$D$2:$D$1001,$AB71)="","",INDEX(기본자료!$D$2:$D$1001,$AB71)))</f>
        <v/>
      </c>
      <c r="G71" s="10">
        <f>IF($AB71="","",IF(INDEX(기본자료!$E$2:$E$1001,$AB71)="","",INDEX(기본자료!$E$2:$E$1001,$AB71)))</f>
        <v/>
      </c>
      <c r="H71" s="10">
        <f>IF($AB71="","",IF(INDEX(기본자료!$F$2:$F$1001,$AB71)="","",INDEX(기본자료!$F$2:$F$1001,$AB71)))</f>
        <v/>
      </c>
      <c r="I71" s="11">
        <f>IF($AB71="","",IF(INDEX(기본자료!$G$2:$G$1001,$AB71)="","",IF(NOT(ISNUMBER(INDEX(기본자료!$G$2:$G$1001,$AB71))),INDEX(기본자료!$G$2:$G$1001,$AB71),IF(INDEX(기본자료!$G$2:$G$1001,$AB71)&lt;1000000,INDEX(기본자료!$G$2:$G$1001,$AB71),IF(AND(INDEX(기본자료!$G$2:$G$1001,$AB71)&gt;=10000101,INT(MOD(INDEX(기본자료!$G$2:$G$1001,$AB71),10000)/100)&gt;=1,INT(MOD(INDEX(기본자료!$G$2:$G$1001,$AB71),10000)/100)&lt;=12,MOD(INDEX(기본자료!$G$2:$G$1001,$AB71),100)&gt;=1,MOD(INDEX(기본자료!$G$2:$G$1001,$AB71),100)&lt;=31),DATE(INT(INDEX(기본자료!$G$2:$G$1001,$AB71)/10000),INT(MOD(INDEX(기본자료!$G$2:$G$1001,$AB71),10000)/100),MOD(INDEX(기본자료!$G$2:$G$1001,$AB71),100)),INDEX(기본자료!$G$2:$G$1001,$AB71)&amp;"")))))</f>
        <v/>
      </c>
      <c r="J71" s="10">
        <f>IF($AB71="","",IF(INDEX(기본자료!$H$2:$H$1001,$AB71)="","",INDEX(기본자료!$H$2:$H$1001,$AB71)))</f>
        <v/>
      </c>
      <c r="K71" s="10">
        <f>IF($AB71="","",IF(INDEX(기본자료!$I$2:$I$1001,$AB71)="","",INDEX(기본자료!$I$2:$I$1001,$AB71)))</f>
        <v/>
      </c>
      <c r="L71" s="10">
        <f>IF($AB71="","",IF(INDEX(기본자료!$A$2:$A$1001,$AB71)="","",INDEX(기본자료!$A$2:$A$1001,$AB71)))</f>
        <v/>
      </c>
      <c r="M71" s="15" t="n"/>
      <c r="N71" s="10">
        <f>IF($B71="","",IF(AND($U71="파견중",$Q71&lt;&gt;""),$Q71,IF(AND($AD71&lt;&gt;"",LEFT($AD71,1)&lt;&gt;"⚠"),LEFT($AD71,FIND(" ",$AD71)-1),IF($H71="","",IF(RIGHT($H71,2)="병원",$H71,$H71&amp;"병원")))))</f>
        <v/>
      </c>
      <c r="O71" s="10">
        <f>IF($B71="","",IF(AND($U71="파견중",$Q71&lt;&gt;""),IF($R71&lt;&gt;"",$R71,"파견과 미입력"),IF(AND($AD71&lt;&gt;"",LEFT($AD71,1)&lt;&gt;"⚠"),MID($AD71,FIND(" ",$AD71)+1,60),IF($F71="","",IF($F71="인턴","수련교육부(인턴)",$F71)))))</f>
        <v/>
      </c>
      <c r="P71" s="10">
        <f>IF($B71="","",IF($AK71&lt;&gt;"",IF(AND(TODAY()&gt;=INDEX(파견수련계획!$AB$4:$AB$83,$AK71),OR(NOT(ISNUMBER(INDEX(파견수련계획!$AC$4:$AC$83,$AK71))),TODAY()&lt;=INDEX(파견수련계획!$AC$4:$AC$83,$AK71))),"다기관",IF($AF71="","",INDEX(파견수련계획!$T$4:$T$83,$AF71))),IF($AF71="","",INDEX(파견수련계획!$T$4:$T$83,$AF71))))</f>
        <v/>
      </c>
      <c r="Q71" s="10">
        <f>IF($AF71="","",INDEX(파견수련계획!$S$4:$S$83,$AF71))</f>
        <v/>
      </c>
      <c r="R71" s="10">
        <f>IF($AF71="","",INDEX(파견수련계획!$U$4:$U$83,$AF71))</f>
        <v/>
      </c>
      <c r="S71" s="11">
        <f>IF($AF71="","",IF(INDEX(파견수련계획!$H$4:$H$83,$AF71)="","",INDEX(파견수련계획!$H$4:$H$83,$AF71)))</f>
        <v/>
      </c>
      <c r="T71" s="11">
        <f>IF($AF71="","",IF(INDEX(파견수련계획!$I$4:$I$83,$AF71)="","",INDEX(파견수련계획!$I$4:$I$83,$AF71)))</f>
        <v/>
      </c>
      <c r="U71" s="10">
        <f>IF($AF71="","",INDEX(파견수련계획!$X$4:$X$83,$AF71))</f>
        <v/>
      </c>
      <c r="V71" s="17">
        <f>IF($AF71="","",INDEX(파견수련계획!$V$4:$V$83,$AF71))</f>
        <v/>
      </c>
      <c r="W71" s="17">
        <f>IF(AND($U71="파견중",$T71&lt;&gt;""),$T71-TODAY(),"")</f>
        <v/>
      </c>
      <c r="X71" s="17">
        <f>IF(OR($B71="",TRIM($J71&amp;"")=""),"",SUMPRODUCT((파견수련계획!$Q$4:$Q$83=TRIM($J71&amp;""))*파견수련계획!$W$4:$W$83))</f>
        <v/>
      </c>
      <c r="Y71" s="10">
        <f>IF($B71="","",IF($AG71="","",IF(IF(TRIM($J71&amp;"")="",0,SUMPRODUCT((파견수련계획!$Q$4:$Q$83=TRIM($J71&amp;""))*파견수련계획!$AD$4:$AD$83))&gt;0,$AE71,IF(N($X71)&lt;=0,$AG71,IF($AH71+$AI71=DAY(EOMONTH(요약!$B$3,0)),IF(AND($AH71&gt;=요약!$E$3,$AI71&lt;요약!$E$3),"서울병원",IF(AND($AI71&gt;=요약!$E$3,$AH71&lt;요약!$E$3),"구리병원","⚠15일 판정불가(서울 "&amp;$AH71&amp;"일/구리 "&amp;$AI71&amp;"일)")),IF($AJ71="",$AE71,IF(INDEX(파견수련계획!$T$4:$T$83,$AJ71)="통합수련",INDEX(파견수련계획!$S$4:$S$83,$AJ71),$AE71)))))))</f>
        <v/>
      </c>
      <c r="Z71" s="19">
        <f>IF($B71="","",IF($AB71="","기본자료에 없는 사번",IF(COUNTIF($B$2:$B$401,$B71)&gt;1,"중복 사번",IF($AE71="","소속(입사장소) 입력",IF(IF(TRIM($J71&amp;"")="",0,SUMPRODUCT((파견수련계획!$Q$4:$Q$83=TRIM($J71&amp;""))*(파견수련계획!$AA$4:$AA$83&lt;&gt;"")))&gt;0,"파견수련계획 입력오류 확인",IF(LEFT($Y71,1)="⚠","서울·구리 15일 판정 불가(양쪽 모두 이상/미만)",IF(IF($AC71="",0,N(INDEX(인턴근무계획!$T$3:$T$62,$AC71)))&gt;0,"인턴계획 입력오류 확인",IF(AND($AC71&lt;&gt;"",$U71&lt;&gt;"파견중",$N71&lt;&gt;$AE71),"인턴 타지역 근무: 파견 여부 확인","정상"))))))))</f>
        <v/>
      </c>
      <c r="AA71" s="5" t="n"/>
      <c r="AB71" s="10">
        <f>IF($B71="","",IFERROR(MATCH($B71,기본자료!$B$2:$B$1001,0),IFERROR(MATCH($B71&amp;"",기본자료!$B$2:$B$1001,0),IFERROR(MATCH(VALUE($B71),기본자료!$B$2:$B$1001,0),""))))</f>
        <v/>
      </c>
      <c r="AC71" s="10">
        <f>IF($B71="","",IFERROR(MATCH($B71,인턴근무계획!$D$3:$D$62,0),IFERROR(MATCH($B71&amp;"",인턴근무계획!$D$3:$D$62,0),IFERROR(MATCH(VALUE($B71),인턴근무계획!$D$3:$D$62,0),""))))</f>
        <v/>
      </c>
      <c r="AD71" s="10">
        <f>IF(OR($AC71="",인턴현황!$G$3=""),"",INDEX(인턴근무계획!$M$3:$R$62,$AC71,인턴현황!$G$3)&amp;"")</f>
        <v/>
      </c>
      <c r="AE71" s="10">
        <f>IF($B71="","",IF($M71&lt;&gt;"",$M71,IF($AF71&lt;&gt;"",IF(LEFT(INDEX(파견수련계획!$R$4:$R$83,$AF71),1)&lt;&gt;"⚠",INDEX(파견수련계획!$R$4:$R$83,$AF71),IF($H71="","",IF(RIGHT($H71,2)="병원",$H71,$H71&amp;"병원"))),IF($H71="","",IF(RIGHT($H71,2)="병원",$H71,$H71&amp;"병원")))))</f>
        <v/>
      </c>
      <c r="AF71" s="10">
        <f>IF(OR($B71="",TRIM($J71&amp;"")=""),"",IFERROR(MATCH(TRIM($J71&amp;"")&amp;"|파견중",파견수련계획!$Y$4:$Y$83,0),IFERROR(MATCH(TRIM($J71&amp;"")&amp;"|파견예정",파견수련계획!$Y$4:$Y$83,0),IFERROR(MATCH(TRIM($J71&amp;"")&amp;"|파견종료",파견수련계획!$Y$4:$Y$83,0),""))))</f>
        <v/>
      </c>
      <c r="AG71" s="10">
        <f>IF($B71="","",IF(AND(IF(OR($AC71="",인턴현황!$K$2=""),"",INDEX(인턴근무계획!$M$3:$R$62,$AC71,인턴현황!$K$2)&amp;"")&lt;&gt;"",LEFT(IF(OR($AC71="",인턴현황!$K$2=""),"",INDEX(인턴근무계획!$M$3:$R$62,$AC71,인턴현황!$K$2)&amp;""),1)&lt;&gt;"⚠"),LEFT(IF(OR($AC71="",인턴현황!$K$2=""),"",INDEX(인턴근무계획!$M$3:$R$62,$AC71,인턴현황!$K$2)&amp;""),FIND(" ",IF(OR($AC71="",인턴현황!$K$2=""),"",INDEX(인턴근무계획!$M$3:$R$62,$AC71,인턴현황!$K$2)&amp;""))-1),$AE71))</f>
        <v/>
      </c>
      <c r="AH71" s="17">
        <f>IF($B71="","",IF(TRIM($J71&amp;"")="",0,SUMPRODUCT((파견수련계획!$Q$4:$Q$83=TRIM($J71&amp;""))*(파견수련계획!$S$4:$S$83="서울병원")*파견수련계획!$W$4:$W$83))+IF($AG71="서울병원",MAX(0,DAY(EOMONTH(요약!$B$3,0))-N($X71)),0))</f>
        <v/>
      </c>
      <c r="AI71" s="17">
        <f>IF($B71="","",IF(TRIM($J71&amp;"")="",0,SUMPRODUCT((파견수련계획!$Q$4:$Q$83=TRIM($J71&amp;""))*(파견수련계획!$S$4:$S$83="구리병원")*파견수련계획!$W$4:$W$83))+IF($AG71="구리병원",MAX(0,DAY(EOMONTH(요약!$B$3,0))-N($X71)),0))</f>
        <v/>
      </c>
      <c r="AJ71" s="10">
        <f>IF(OR($B71="",TRIM($J71&amp;"")=""),"",IFERROR(MATCH(TRIM($J71&amp;"")&amp;"|월",파견수련계획!$Z$4:$Z$83,0),""))</f>
        <v/>
      </c>
      <c r="AK71" s="10">
        <f>IF(OR($B71="",TRIM($J71&amp;"")=""),"",IFERROR(MATCH(TRIM($J71&amp;"")&amp;"|다기관",파견수련계획!$AE$4:$AE$83,0),""))</f>
        <v/>
      </c>
      <c r="AL71" s="10">
        <f>IF($AK71="","","다기관 "&amp;TEXT(INDEX(파견수련계획!$AB$4:$AB$83,$AK71),"yyyy-mm-dd")&amp;"~"&amp;IF(ISNUMBER(INDEX(파견수련계획!$AC$4:$AC$83,$AK71)),TEXT(INDEX(파견수련계획!$AC$4:$AC$83,$AK71),"yyyy-mm-dd"),""))</f>
        <v/>
      </c>
    </row>
    <row r="72">
      <c r="A72" s="10">
        <f>IF(B72="","",ROW()-1)</f>
        <v/>
      </c>
      <c r="B72" s="18" t="n"/>
      <c r="C72" s="10">
        <f>IF($AB72="","",IF(INDEX(기본자료!$C$2:$C$1001,$AB72)="","",INDEX(기본자료!$C$2:$C$1001,$AB72)))</f>
        <v/>
      </c>
      <c r="D72" s="10">
        <f>IF($AB72="","",IF(INDEX(기본자료!$J$2:$J$1001,$AB72)="","",INDEX(기본자료!$J$2:$J$1001,$AB72)))</f>
        <v/>
      </c>
      <c r="E72" s="11">
        <f>IF($AB72="","",IF(INDEX(기본자료!$K$2:$K$1001,$AB72)="","",IF(NOT(ISNUMBER(INDEX(기본자료!$K$2:$K$1001,$AB72))),INDEX(기본자료!$K$2:$K$1001,$AB72),IF(INDEX(기본자료!$K$2:$K$1001,$AB72)&lt;1000000,INDEX(기본자료!$K$2:$K$1001,$AB72),IF(AND(INDEX(기본자료!$K$2:$K$1001,$AB72)&gt;=10000101,INT(MOD(INDEX(기본자료!$K$2:$K$1001,$AB72),10000)/100)&gt;=1,INT(MOD(INDEX(기본자료!$K$2:$K$1001,$AB72),10000)/100)&lt;=12,MOD(INDEX(기본자료!$K$2:$K$1001,$AB72),100)&gt;=1,MOD(INDEX(기본자료!$K$2:$K$1001,$AB72),100)&lt;=31),DATE(INT(INDEX(기본자료!$K$2:$K$1001,$AB72)/10000),INT(MOD(INDEX(기본자료!$K$2:$K$1001,$AB72),10000)/100),MOD(INDEX(기본자료!$K$2:$K$1001,$AB72),100)),INDEX(기본자료!$K$2:$K$1001,$AB72)&amp;"")))))</f>
        <v/>
      </c>
      <c r="F72" s="10">
        <f>IF($AB72="","",IF(INDEX(기본자료!$D$2:$D$1001,$AB72)="","",INDEX(기본자료!$D$2:$D$1001,$AB72)))</f>
        <v/>
      </c>
      <c r="G72" s="10">
        <f>IF($AB72="","",IF(INDEX(기본자료!$E$2:$E$1001,$AB72)="","",INDEX(기본자료!$E$2:$E$1001,$AB72)))</f>
        <v/>
      </c>
      <c r="H72" s="10">
        <f>IF($AB72="","",IF(INDEX(기본자료!$F$2:$F$1001,$AB72)="","",INDEX(기본자료!$F$2:$F$1001,$AB72)))</f>
        <v/>
      </c>
      <c r="I72" s="11">
        <f>IF($AB72="","",IF(INDEX(기본자료!$G$2:$G$1001,$AB72)="","",IF(NOT(ISNUMBER(INDEX(기본자료!$G$2:$G$1001,$AB72))),INDEX(기본자료!$G$2:$G$1001,$AB72),IF(INDEX(기본자료!$G$2:$G$1001,$AB72)&lt;1000000,INDEX(기본자료!$G$2:$G$1001,$AB72),IF(AND(INDEX(기본자료!$G$2:$G$1001,$AB72)&gt;=10000101,INT(MOD(INDEX(기본자료!$G$2:$G$1001,$AB72),10000)/100)&gt;=1,INT(MOD(INDEX(기본자료!$G$2:$G$1001,$AB72),10000)/100)&lt;=12,MOD(INDEX(기본자료!$G$2:$G$1001,$AB72),100)&gt;=1,MOD(INDEX(기본자료!$G$2:$G$1001,$AB72),100)&lt;=31),DATE(INT(INDEX(기본자료!$G$2:$G$1001,$AB72)/10000),INT(MOD(INDEX(기본자료!$G$2:$G$1001,$AB72),10000)/100),MOD(INDEX(기본자료!$G$2:$G$1001,$AB72),100)),INDEX(기본자료!$G$2:$G$1001,$AB72)&amp;"")))))</f>
        <v/>
      </c>
      <c r="J72" s="10">
        <f>IF($AB72="","",IF(INDEX(기본자료!$H$2:$H$1001,$AB72)="","",INDEX(기본자료!$H$2:$H$1001,$AB72)))</f>
        <v/>
      </c>
      <c r="K72" s="10">
        <f>IF($AB72="","",IF(INDEX(기본자료!$I$2:$I$1001,$AB72)="","",INDEX(기본자료!$I$2:$I$1001,$AB72)))</f>
        <v/>
      </c>
      <c r="L72" s="10">
        <f>IF($AB72="","",IF(INDEX(기본자료!$A$2:$A$1001,$AB72)="","",INDEX(기본자료!$A$2:$A$1001,$AB72)))</f>
        <v/>
      </c>
      <c r="M72" s="15" t="n"/>
      <c r="N72" s="10">
        <f>IF($B72="","",IF(AND($U72="파견중",$Q72&lt;&gt;""),$Q72,IF(AND($AD72&lt;&gt;"",LEFT($AD72,1)&lt;&gt;"⚠"),LEFT($AD72,FIND(" ",$AD72)-1),IF($H72="","",IF(RIGHT($H72,2)="병원",$H72,$H72&amp;"병원")))))</f>
        <v/>
      </c>
      <c r="O72" s="10">
        <f>IF($B72="","",IF(AND($U72="파견중",$Q72&lt;&gt;""),IF($R72&lt;&gt;"",$R72,"파견과 미입력"),IF(AND($AD72&lt;&gt;"",LEFT($AD72,1)&lt;&gt;"⚠"),MID($AD72,FIND(" ",$AD72)+1,60),IF($F72="","",IF($F72="인턴","수련교육부(인턴)",$F72)))))</f>
        <v/>
      </c>
      <c r="P72" s="10">
        <f>IF($B72="","",IF($AK72&lt;&gt;"",IF(AND(TODAY()&gt;=INDEX(파견수련계획!$AB$4:$AB$83,$AK72),OR(NOT(ISNUMBER(INDEX(파견수련계획!$AC$4:$AC$83,$AK72))),TODAY()&lt;=INDEX(파견수련계획!$AC$4:$AC$83,$AK72))),"다기관",IF($AF72="","",INDEX(파견수련계획!$T$4:$T$83,$AF72))),IF($AF72="","",INDEX(파견수련계획!$T$4:$T$83,$AF72))))</f>
        <v/>
      </c>
      <c r="Q72" s="10">
        <f>IF($AF72="","",INDEX(파견수련계획!$S$4:$S$83,$AF72))</f>
        <v/>
      </c>
      <c r="R72" s="10">
        <f>IF($AF72="","",INDEX(파견수련계획!$U$4:$U$83,$AF72))</f>
        <v/>
      </c>
      <c r="S72" s="11">
        <f>IF($AF72="","",IF(INDEX(파견수련계획!$H$4:$H$83,$AF72)="","",INDEX(파견수련계획!$H$4:$H$83,$AF72)))</f>
        <v/>
      </c>
      <c r="T72" s="11">
        <f>IF($AF72="","",IF(INDEX(파견수련계획!$I$4:$I$83,$AF72)="","",INDEX(파견수련계획!$I$4:$I$83,$AF72)))</f>
        <v/>
      </c>
      <c r="U72" s="10">
        <f>IF($AF72="","",INDEX(파견수련계획!$X$4:$X$83,$AF72))</f>
        <v/>
      </c>
      <c r="V72" s="17">
        <f>IF($AF72="","",INDEX(파견수련계획!$V$4:$V$83,$AF72))</f>
        <v/>
      </c>
      <c r="W72" s="17">
        <f>IF(AND($U72="파견중",$T72&lt;&gt;""),$T72-TODAY(),"")</f>
        <v/>
      </c>
      <c r="X72" s="17">
        <f>IF(OR($B72="",TRIM($J72&amp;"")=""),"",SUMPRODUCT((파견수련계획!$Q$4:$Q$83=TRIM($J72&amp;""))*파견수련계획!$W$4:$W$83))</f>
        <v/>
      </c>
      <c r="Y72" s="10">
        <f>IF($B72="","",IF($AG72="","",IF(IF(TRIM($J72&amp;"")="",0,SUMPRODUCT((파견수련계획!$Q$4:$Q$83=TRIM($J72&amp;""))*파견수련계획!$AD$4:$AD$83))&gt;0,$AE72,IF(N($X72)&lt;=0,$AG72,IF($AH72+$AI72=DAY(EOMONTH(요약!$B$3,0)),IF(AND($AH72&gt;=요약!$E$3,$AI72&lt;요약!$E$3),"서울병원",IF(AND($AI72&gt;=요약!$E$3,$AH72&lt;요약!$E$3),"구리병원","⚠15일 판정불가(서울 "&amp;$AH72&amp;"일/구리 "&amp;$AI72&amp;"일)")),IF($AJ72="",$AE72,IF(INDEX(파견수련계획!$T$4:$T$83,$AJ72)="통합수련",INDEX(파견수련계획!$S$4:$S$83,$AJ72),$AE72)))))))</f>
        <v/>
      </c>
      <c r="Z72" s="19">
        <f>IF($B72="","",IF($AB72="","기본자료에 없는 사번",IF(COUNTIF($B$2:$B$401,$B72)&gt;1,"중복 사번",IF($AE72="","소속(입사장소) 입력",IF(IF(TRIM($J72&amp;"")="",0,SUMPRODUCT((파견수련계획!$Q$4:$Q$83=TRIM($J72&amp;""))*(파견수련계획!$AA$4:$AA$83&lt;&gt;"")))&gt;0,"파견수련계획 입력오류 확인",IF(LEFT($Y72,1)="⚠","서울·구리 15일 판정 불가(양쪽 모두 이상/미만)",IF(IF($AC72="",0,N(INDEX(인턴근무계획!$T$3:$T$62,$AC72)))&gt;0,"인턴계획 입력오류 확인",IF(AND($AC72&lt;&gt;"",$U72&lt;&gt;"파견중",$N72&lt;&gt;$AE72),"인턴 타지역 근무: 파견 여부 확인","정상"))))))))</f>
        <v/>
      </c>
      <c r="AA72" s="5" t="n"/>
      <c r="AB72" s="10">
        <f>IF($B72="","",IFERROR(MATCH($B72,기본자료!$B$2:$B$1001,0),IFERROR(MATCH($B72&amp;"",기본자료!$B$2:$B$1001,0),IFERROR(MATCH(VALUE($B72),기본자료!$B$2:$B$1001,0),""))))</f>
        <v/>
      </c>
      <c r="AC72" s="10">
        <f>IF($B72="","",IFERROR(MATCH($B72,인턴근무계획!$D$3:$D$62,0),IFERROR(MATCH($B72&amp;"",인턴근무계획!$D$3:$D$62,0),IFERROR(MATCH(VALUE($B72),인턴근무계획!$D$3:$D$62,0),""))))</f>
        <v/>
      </c>
      <c r="AD72" s="10">
        <f>IF(OR($AC72="",인턴현황!$G$3=""),"",INDEX(인턴근무계획!$M$3:$R$62,$AC72,인턴현황!$G$3)&amp;"")</f>
        <v/>
      </c>
      <c r="AE72" s="10">
        <f>IF($B72="","",IF($M72&lt;&gt;"",$M72,IF($AF72&lt;&gt;"",IF(LEFT(INDEX(파견수련계획!$R$4:$R$83,$AF72),1)&lt;&gt;"⚠",INDEX(파견수련계획!$R$4:$R$83,$AF72),IF($H72="","",IF(RIGHT($H72,2)="병원",$H72,$H72&amp;"병원"))),IF($H72="","",IF(RIGHT($H72,2)="병원",$H72,$H72&amp;"병원")))))</f>
        <v/>
      </c>
      <c r="AF72" s="10">
        <f>IF(OR($B72="",TRIM($J72&amp;"")=""),"",IFERROR(MATCH(TRIM($J72&amp;"")&amp;"|파견중",파견수련계획!$Y$4:$Y$83,0),IFERROR(MATCH(TRIM($J72&amp;"")&amp;"|파견예정",파견수련계획!$Y$4:$Y$83,0),IFERROR(MATCH(TRIM($J72&amp;"")&amp;"|파견종료",파견수련계획!$Y$4:$Y$83,0),""))))</f>
        <v/>
      </c>
      <c r="AG72" s="10">
        <f>IF($B72="","",IF(AND(IF(OR($AC72="",인턴현황!$K$2=""),"",INDEX(인턴근무계획!$M$3:$R$62,$AC72,인턴현황!$K$2)&amp;"")&lt;&gt;"",LEFT(IF(OR($AC72="",인턴현황!$K$2=""),"",INDEX(인턴근무계획!$M$3:$R$62,$AC72,인턴현황!$K$2)&amp;""),1)&lt;&gt;"⚠"),LEFT(IF(OR($AC72="",인턴현황!$K$2=""),"",INDEX(인턴근무계획!$M$3:$R$62,$AC72,인턴현황!$K$2)&amp;""),FIND(" ",IF(OR($AC72="",인턴현황!$K$2=""),"",INDEX(인턴근무계획!$M$3:$R$62,$AC72,인턴현황!$K$2)&amp;""))-1),$AE72))</f>
        <v/>
      </c>
      <c r="AH72" s="17">
        <f>IF($B72="","",IF(TRIM($J72&amp;"")="",0,SUMPRODUCT((파견수련계획!$Q$4:$Q$83=TRIM($J72&amp;""))*(파견수련계획!$S$4:$S$83="서울병원")*파견수련계획!$W$4:$W$83))+IF($AG72="서울병원",MAX(0,DAY(EOMONTH(요약!$B$3,0))-N($X72)),0))</f>
        <v/>
      </c>
      <c r="AI72" s="17">
        <f>IF($B72="","",IF(TRIM($J72&amp;"")="",0,SUMPRODUCT((파견수련계획!$Q$4:$Q$83=TRIM($J72&amp;""))*(파견수련계획!$S$4:$S$83="구리병원")*파견수련계획!$W$4:$W$83))+IF($AG72="구리병원",MAX(0,DAY(EOMONTH(요약!$B$3,0))-N($X72)),0))</f>
        <v/>
      </c>
      <c r="AJ72" s="10">
        <f>IF(OR($B72="",TRIM($J72&amp;"")=""),"",IFERROR(MATCH(TRIM($J72&amp;"")&amp;"|월",파견수련계획!$Z$4:$Z$83,0),""))</f>
        <v/>
      </c>
      <c r="AK72" s="10">
        <f>IF(OR($B72="",TRIM($J72&amp;"")=""),"",IFERROR(MATCH(TRIM($J72&amp;"")&amp;"|다기관",파견수련계획!$AE$4:$AE$83,0),""))</f>
        <v/>
      </c>
      <c r="AL72" s="10">
        <f>IF($AK72="","","다기관 "&amp;TEXT(INDEX(파견수련계획!$AB$4:$AB$83,$AK72),"yyyy-mm-dd")&amp;"~"&amp;IF(ISNUMBER(INDEX(파견수련계획!$AC$4:$AC$83,$AK72)),TEXT(INDEX(파견수련계획!$AC$4:$AC$83,$AK72),"yyyy-mm-dd"),""))</f>
        <v/>
      </c>
    </row>
    <row r="73">
      <c r="A73" s="10">
        <f>IF(B73="","",ROW()-1)</f>
        <v/>
      </c>
      <c r="B73" s="18" t="n"/>
      <c r="C73" s="10">
        <f>IF($AB73="","",IF(INDEX(기본자료!$C$2:$C$1001,$AB73)="","",INDEX(기본자료!$C$2:$C$1001,$AB73)))</f>
        <v/>
      </c>
      <c r="D73" s="10">
        <f>IF($AB73="","",IF(INDEX(기본자료!$J$2:$J$1001,$AB73)="","",INDEX(기본자료!$J$2:$J$1001,$AB73)))</f>
        <v/>
      </c>
      <c r="E73" s="11">
        <f>IF($AB73="","",IF(INDEX(기본자료!$K$2:$K$1001,$AB73)="","",IF(NOT(ISNUMBER(INDEX(기본자료!$K$2:$K$1001,$AB73))),INDEX(기본자료!$K$2:$K$1001,$AB73),IF(INDEX(기본자료!$K$2:$K$1001,$AB73)&lt;1000000,INDEX(기본자료!$K$2:$K$1001,$AB73),IF(AND(INDEX(기본자료!$K$2:$K$1001,$AB73)&gt;=10000101,INT(MOD(INDEX(기본자료!$K$2:$K$1001,$AB73),10000)/100)&gt;=1,INT(MOD(INDEX(기본자료!$K$2:$K$1001,$AB73),10000)/100)&lt;=12,MOD(INDEX(기본자료!$K$2:$K$1001,$AB73),100)&gt;=1,MOD(INDEX(기본자료!$K$2:$K$1001,$AB73),100)&lt;=31),DATE(INT(INDEX(기본자료!$K$2:$K$1001,$AB73)/10000),INT(MOD(INDEX(기본자료!$K$2:$K$1001,$AB73),10000)/100),MOD(INDEX(기본자료!$K$2:$K$1001,$AB73),100)),INDEX(기본자료!$K$2:$K$1001,$AB73)&amp;"")))))</f>
        <v/>
      </c>
      <c r="F73" s="10">
        <f>IF($AB73="","",IF(INDEX(기본자료!$D$2:$D$1001,$AB73)="","",INDEX(기본자료!$D$2:$D$1001,$AB73)))</f>
        <v/>
      </c>
      <c r="G73" s="10">
        <f>IF($AB73="","",IF(INDEX(기본자료!$E$2:$E$1001,$AB73)="","",INDEX(기본자료!$E$2:$E$1001,$AB73)))</f>
        <v/>
      </c>
      <c r="H73" s="10">
        <f>IF($AB73="","",IF(INDEX(기본자료!$F$2:$F$1001,$AB73)="","",INDEX(기본자료!$F$2:$F$1001,$AB73)))</f>
        <v/>
      </c>
      <c r="I73" s="11">
        <f>IF($AB73="","",IF(INDEX(기본자료!$G$2:$G$1001,$AB73)="","",IF(NOT(ISNUMBER(INDEX(기본자료!$G$2:$G$1001,$AB73))),INDEX(기본자료!$G$2:$G$1001,$AB73),IF(INDEX(기본자료!$G$2:$G$1001,$AB73)&lt;1000000,INDEX(기본자료!$G$2:$G$1001,$AB73),IF(AND(INDEX(기본자료!$G$2:$G$1001,$AB73)&gt;=10000101,INT(MOD(INDEX(기본자료!$G$2:$G$1001,$AB73),10000)/100)&gt;=1,INT(MOD(INDEX(기본자료!$G$2:$G$1001,$AB73),10000)/100)&lt;=12,MOD(INDEX(기본자료!$G$2:$G$1001,$AB73),100)&gt;=1,MOD(INDEX(기본자료!$G$2:$G$1001,$AB73),100)&lt;=31),DATE(INT(INDEX(기본자료!$G$2:$G$1001,$AB73)/10000),INT(MOD(INDEX(기본자료!$G$2:$G$1001,$AB73),10000)/100),MOD(INDEX(기본자료!$G$2:$G$1001,$AB73),100)),INDEX(기본자료!$G$2:$G$1001,$AB73)&amp;"")))))</f>
        <v/>
      </c>
      <c r="J73" s="10">
        <f>IF($AB73="","",IF(INDEX(기본자료!$H$2:$H$1001,$AB73)="","",INDEX(기본자료!$H$2:$H$1001,$AB73)))</f>
        <v/>
      </c>
      <c r="K73" s="10">
        <f>IF($AB73="","",IF(INDEX(기본자료!$I$2:$I$1001,$AB73)="","",INDEX(기본자료!$I$2:$I$1001,$AB73)))</f>
        <v/>
      </c>
      <c r="L73" s="10">
        <f>IF($AB73="","",IF(INDEX(기본자료!$A$2:$A$1001,$AB73)="","",INDEX(기본자료!$A$2:$A$1001,$AB73)))</f>
        <v/>
      </c>
      <c r="M73" s="15" t="n"/>
      <c r="N73" s="10">
        <f>IF($B73="","",IF(AND($U73="파견중",$Q73&lt;&gt;""),$Q73,IF(AND($AD73&lt;&gt;"",LEFT($AD73,1)&lt;&gt;"⚠"),LEFT($AD73,FIND(" ",$AD73)-1),IF($H73="","",IF(RIGHT($H73,2)="병원",$H73,$H73&amp;"병원")))))</f>
        <v/>
      </c>
      <c r="O73" s="10">
        <f>IF($B73="","",IF(AND($U73="파견중",$Q73&lt;&gt;""),IF($R73&lt;&gt;"",$R73,"파견과 미입력"),IF(AND($AD73&lt;&gt;"",LEFT($AD73,1)&lt;&gt;"⚠"),MID($AD73,FIND(" ",$AD73)+1,60),IF($F73="","",IF($F73="인턴","수련교육부(인턴)",$F73)))))</f>
        <v/>
      </c>
      <c r="P73" s="10">
        <f>IF($B73="","",IF($AK73&lt;&gt;"",IF(AND(TODAY()&gt;=INDEX(파견수련계획!$AB$4:$AB$83,$AK73),OR(NOT(ISNUMBER(INDEX(파견수련계획!$AC$4:$AC$83,$AK73))),TODAY()&lt;=INDEX(파견수련계획!$AC$4:$AC$83,$AK73))),"다기관",IF($AF73="","",INDEX(파견수련계획!$T$4:$T$83,$AF73))),IF($AF73="","",INDEX(파견수련계획!$T$4:$T$83,$AF73))))</f>
        <v/>
      </c>
      <c r="Q73" s="10">
        <f>IF($AF73="","",INDEX(파견수련계획!$S$4:$S$83,$AF73))</f>
        <v/>
      </c>
      <c r="R73" s="10">
        <f>IF($AF73="","",INDEX(파견수련계획!$U$4:$U$83,$AF73))</f>
        <v/>
      </c>
      <c r="S73" s="11">
        <f>IF($AF73="","",IF(INDEX(파견수련계획!$H$4:$H$83,$AF73)="","",INDEX(파견수련계획!$H$4:$H$83,$AF73)))</f>
        <v/>
      </c>
      <c r="T73" s="11">
        <f>IF($AF73="","",IF(INDEX(파견수련계획!$I$4:$I$83,$AF73)="","",INDEX(파견수련계획!$I$4:$I$83,$AF73)))</f>
        <v/>
      </c>
      <c r="U73" s="10">
        <f>IF($AF73="","",INDEX(파견수련계획!$X$4:$X$83,$AF73))</f>
        <v/>
      </c>
      <c r="V73" s="17">
        <f>IF($AF73="","",INDEX(파견수련계획!$V$4:$V$83,$AF73))</f>
        <v/>
      </c>
      <c r="W73" s="17">
        <f>IF(AND($U73="파견중",$T73&lt;&gt;""),$T73-TODAY(),"")</f>
        <v/>
      </c>
      <c r="X73" s="17">
        <f>IF(OR($B73="",TRIM($J73&amp;"")=""),"",SUMPRODUCT((파견수련계획!$Q$4:$Q$83=TRIM($J73&amp;""))*파견수련계획!$W$4:$W$83))</f>
        <v/>
      </c>
      <c r="Y73" s="10">
        <f>IF($B73="","",IF($AG73="","",IF(IF(TRIM($J73&amp;"")="",0,SUMPRODUCT((파견수련계획!$Q$4:$Q$83=TRIM($J73&amp;""))*파견수련계획!$AD$4:$AD$83))&gt;0,$AE73,IF(N($X73)&lt;=0,$AG73,IF($AH73+$AI73=DAY(EOMONTH(요약!$B$3,0)),IF(AND($AH73&gt;=요약!$E$3,$AI73&lt;요약!$E$3),"서울병원",IF(AND($AI73&gt;=요약!$E$3,$AH73&lt;요약!$E$3),"구리병원","⚠15일 판정불가(서울 "&amp;$AH73&amp;"일/구리 "&amp;$AI73&amp;"일)")),IF($AJ73="",$AE73,IF(INDEX(파견수련계획!$T$4:$T$83,$AJ73)="통합수련",INDEX(파견수련계획!$S$4:$S$83,$AJ73),$AE73)))))))</f>
        <v/>
      </c>
      <c r="Z73" s="19">
        <f>IF($B73="","",IF($AB73="","기본자료에 없는 사번",IF(COUNTIF($B$2:$B$401,$B73)&gt;1,"중복 사번",IF($AE73="","소속(입사장소) 입력",IF(IF(TRIM($J73&amp;"")="",0,SUMPRODUCT((파견수련계획!$Q$4:$Q$83=TRIM($J73&amp;""))*(파견수련계획!$AA$4:$AA$83&lt;&gt;"")))&gt;0,"파견수련계획 입력오류 확인",IF(LEFT($Y73,1)="⚠","서울·구리 15일 판정 불가(양쪽 모두 이상/미만)",IF(IF($AC73="",0,N(INDEX(인턴근무계획!$T$3:$T$62,$AC73)))&gt;0,"인턴계획 입력오류 확인",IF(AND($AC73&lt;&gt;"",$U73&lt;&gt;"파견중",$N73&lt;&gt;$AE73),"인턴 타지역 근무: 파견 여부 확인","정상"))))))))</f>
        <v/>
      </c>
      <c r="AA73" s="5" t="n"/>
      <c r="AB73" s="10">
        <f>IF($B73="","",IFERROR(MATCH($B73,기본자료!$B$2:$B$1001,0),IFERROR(MATCH($B73&amp;"",기본자료!$B$2:$B$1001,0),IFERROR(MATCH(VALUE($B73),기본자료!$B$2:$B$1001,0),""))))</f>
        <v/>
      </c>
      <c r="AC73" s="10">
        <f>IF($B73="","",IFERROR(MATCH($B73,인턴근무계획!$D$3:$D$62,0),IFERROR(MATCH($B73&amp;"",인턴근무계획!$D$3:$D$62,0),IFERROR(MATCH(VALUE($B73),인턴근무계획!$D$3:$D$62,0),""))))</f>
        <v/>
      </c>
      <c r="AD73" s="10">
        <f>IF(OR($AC73="",인턴현황!$G$3=""),"",INDEX(인턴근무계획!$M$3:$R$62,$AC73,인턴현황!$G$3)&amp;"")</f>
        <v/>
      </c>
      <c r="AE73" s="10">
        <f>IF($B73="","",IF($M73&lt;&gt;"",$M73,IF($AF73&lt;&gt;"",IF(LEFT(INDEX(파견수련계획!$R$4:$R$83,$AF73),1)&lt;&gt;"⚠",INDEX(파견수련계획!$R$4:$R$83,$AF73),IF($H73="","",IF(RIGHT($H73,2)="병원",$H73,$H73&amp;"병원"))),IF($H73="","",IF(RIGHT($H73,2)="병원",$H73,$H73&amp;"병원")))))</f>
        <v/>
      </c>
      <c r="AF73" s="10">
        <f>IF(OR($B73="",TRIM($J73&amp;"")=""),"",IFERROR(MATCH(TRIM($J73&amp;"")&amp;"|파견중",파견수련계획!$Y$4:$Y$83,0),IFERROR(MATCH(TRIM($J73&amp;"")&amp;"|파견예정",파견수련계획!$Y$4:$Y$83,0),IFERROR(MATCH(TRIM($J73&amp;"")&amp;"|파견종료",파견수련계획!$Y$4:$Y$83,0),""))))</f>
        <v/>
      </c>
      <c r="AG73" s="10">
        <f>IF($B73="","",IF(AND(IF(OR($AC73="",인턴현황!$K$2=""),"",INDEX(인턴근무계획!$M$3:$R$62,$AC73,인턴현황!$K$2)&amp;"")&lt;&gt;"",LEFT(IF(OR($AC73="",인턴현황!$K$2=""),"",INDEX(인턴근무계획!$M$3:$R$62,$AC73,인턴현황!$K$2)&amp;""),1)&lt;&gt;"⚠"),LEFT(IF(OR($AC73="",인턴현황!$K$2=""),"",INDEX(인턴근무계획!$M$3:$R$62,$AC73,인턴현황!$K$2)&amp;""),FIND(" ",IF(OR($AC73="",인턴현황!$K$2=""),"",INDEX(인턴근무계획!$M$3:$R$62,$AC73,인턴현황!$K$2)&amp;""))-1),$AE73))</f>
        <v/>
      </c>
      <c r="AH73" s="17">
        <f>IF($B73="","",IF(TRIM($J73&amp;"")="",0,SUMPRODUCT((파견수련계획!$Q$4:$Q$83=TRIM($J73&amp;""))*(파견수련계획!$S$4:$S$83="서울병원")*파견수련계획!$W$4:$W$83))+IF($AG73="서울병원",MAX(0,DAY(EOMONTH(요약!$B$3,0))-N($X73)),0))</f>
        <v/>
      </c>
      <c r="AI73" s="17">
        <f>IF($B73="","",IF(TRIM($J73&amp;"")="",0,SUMPRODUCT((파견수련계획!$Q$4:$Q$83=TRIM($J73&amp;""))*(파견수련계획!$S$4:$S$83="구리병원")*파견수련계획!$W$4:$W$83))+IF($AG73="구리병원",MAX(0,DAY(EOMONTH(요약!$B$3,0))-N($X73)),0))</f>
        <v/>
      </c>
      <c r="AJ73" s="10">
        <f>IF(OR($B73="",TRIM($J73&amp;"")=""),"",IFERROR(MATCH(TRIM($J73&amp;"")&amp;"|월",파견수련계획!$Z$4:$Z$83,0),""))</f>
        <v/>
      </c>
      <c r="AK73" s="10">
        <f>IF(OR($B73="",TRIM($J73&amp;"")=""),"",IFERROR(MATCH(TRIM($J73&amp;"")&amp;"|다기관",파견수련계획!$AE$4:$AE$83,0),""))</f>
        <v/>
      </c>
      <c r="AL73" s="10">
        <f>IF($AK73="","","다기관 "&amp;TEXT(INDEX(파견수련계획!$AB$4:$AB$83,$AK73),"yyyy-mm-dd")&amp;"~"&amp;IF(ISNUMBER(INDEX(파견수련계획!$AC$4:$AC$83,$AK73)),TEXT(INDEX(파견수련계획!$AC$4:$AC$83,$AK73),"yyyy-mm-dd"),""))</f>
        <v/>
      </c>
    </row>
    <row r="74">
      <c r="A74" s="10">
        <f>IF(B74="","",ROW()-1)</f>
        <v/>
      </c>
      <c r="B74" s="18" t="n"/>
      <c r="C74" s="10">
        <f>IF($AB74="","",IF(INDEX(기본자료!$C$2:$C$1001,$AB74)="","",INDEX(기본자료!$C$2:$C$1001,$AB74)))</f>
        <v/>
      </c>
      <c r="D74" s="10">
        <f>IF($AB74="","",IF(INDEX(기본자료!$J$2:$J$1001,$AB74)="","",INDEX(기본자료!$J$2:$J$1001,$AB74)))</f>
        <v/>
      </c>
      <c r="E74" s="11">
        <f>IF($AB74="","",IF(INDEX(기본자료!$K$2:$K$1001,$AB74)="","",IF(NOT(ISNUMBER(INDEX(기본자료!$K$2:$K$1001,$AB74))),INDEX(기본자료!$K$2:$K$1001,$AB74),IF(INDEX(기본자료!$K$2:$K$1001,$AB74)&lt;1000000,INDEX(기본자료!$K$2:$K$1001,$AB74),IF(AND(INDEX(기본자료!$K$2:$K$1001,$AB74)&gt;=10000101,INT(MOD(INDEX(기본자료!$K$2:$K$1001,$AB74),10000)/100)&gt;=1,INT(MOD(INDEX(기본자료!$K$2:$K$1001,$AB74),10000)/100)&lt;=12,MOD(INDEX(기본자료!$K$2:$K$1001,$AB74),100)&gt;=1,MOD(INDEX(기본자료!$K$2:$K$1001,$AB74),100)&lt;=31),DATE(INT(INDEX(기본자료!$K$2:$K$1001,$AB74)/10000),INT(MOD(INDEX(기본자료!$K$2:$K$1001,$AB74),10000)/100),MOD(INDEX(기본자료!$K$2:$K$1001,$AB74),100)),INDEX(기본자료!$K$2:$K$1001,$AB74)&amp;"")))))</f>
        <v/>
      </c>
      <c r="F74" s="10">
        <f>IF($AB74="","",IF(INDEX(기본자료!$D$2:$D$1001,$AB74)="","",INDEX(기본자료!$D$2:$D$1001,$AB74)))</f>
        <v/>
      </c>
      <c r="G74" s="10">
        <f>IF($AB74="","",IF(INDEX(기본자료!$E$2:$E$1001,$AB74)="","",INDEX(기본자료!$E$2:$E$1001,$AB74)))</f>
        <v/>
      </c>
      <c r="H74" s="10">
        <f>IF($AB74="","",IF(INDEX(기본자료!$F$2:$F$1001,$AB74)="","",INDEX(기본자료!$F$2:$F$1001,$AB74)))</f>
        <v/>
      </c>
      <c r="I74" s="11">
        <f>IF($AB74="","",IF(INDEX(기본자료!$G$2:$G$1001,$AB74)="","",IF(NOT(ISNUMBER(INDEX(기본자료!$G$2:$G$1001,$AB74))),INDEX(기본자료!$G$2:$G$1001,$AB74),IF(INDEX(기본자료!$G$2:$G$1001,$AB74)&lt;1000000,INDEX(기본자료!$G$2:$G$1001,$AB74),IF(AND(INDEX(기본자료!$G$2:$G$1001,$AB74)&gt;=10000101,INT(MOD(INDEX(기본자료!$G$2:$G$1001,$AB74),10000)/100)&gt;=1,INT(MOD(INDEX(기본자료!$G$2:$G$1001,$AB74),10000)/100)&lt;=12,MOD(INDEX(기본자료!$G$2:$G$1001,$AB74),100)&gt;=1,MOD(INDEX(기본자료!$G$2:$G$1001,$AB74),100)&lt;=31),DATE(INT(INDEX(기본자료!$G$2:$G$1001,$AB74)/10000),INT(MOD(INDEX(기본자료!$G$2:$G$1001,$AB74),10000)/100),MOD(INDEX(기본자료!$G$2:$G$1001,$AB74),100)),INDEX(기본자료!$G$2:$G$1001,$AB74)&amp;"")))))</f>
        <v/>
      </c>
      <c r="J74" s="10">
        <f>IF($AB74="","",IF(INDEX(기본자료!$H$2:$H$1001,$AB74)="","",INDEX(기본자료!$H$2:$H$1001,$AB74)))</f>
        <v/>
      </c>
      <c r="K74" s="10">
        <f>IF($AB74="","",IF(INDEX(기본자료!$I$2:$I$1001,$AB74)="","",INDEX(기본자료!$I$2:$I$1001,$AB74)))</f>
        <v/>
      </c>
      <c r="L74" s="10">
        <f>IF($AB74="","",IF(INDEX(기본자료!$A$2:$A$1001,$AB74)="","",INDEX(기본자료!$A$2:$A$1001,$AB74)))</f>
        <v/>
      </c>
      <c r="M74" s="15" t="n"/>
      <c r="N74" s="10">
        <f>IF($B74="","",IF(AND($U74="파견중",$Q74&lt;&gt;""),$Q74,IF(AND($AD74&lt;&gt;"",LEFT($AD74,1)&lt;&gt;"⚠"),LEFT($AD74,FIND(" ",$AD74)-1),IF($H74="","",IF(RIGHT($H74,2)="병원",$H74,$H74&amp;"병원")))))</f>
        <v/>
      </c>
      <c r="O74" s="10">
        <f>IF($B74="","",IF(AND($U74="파견중",$Q74&lt;&gt;""),IF($R74&lt;&gt;"",$R74,"파견과 미입력"),IF(AND($AD74&lt;&gt;"",LEFT($AD74,1)&lt;&gt;"⚠"),MID($AD74,FIND(" ",$AD74)+1,60),IF($F74="","",IF($F74="인턴","수련교육부(인턴)",$F74)))))</f>
        <v/>
      </c>
      <c r="P74" s="10">
        <f>IF($B74="","",IF($AK74&lt;&gt;"",IF(AND(TODAY()&gt;=INDEX(파견수련계획!$AB$4:$AB$83,$AK74),OR(NOT(ISNUMBER(INDEX(파견수련계획!$AC$4:$AC$83,$AK74))),TODAY()&lt;=INDEX(파견수련계획!$AC$4:$AC$83,$AK74))),"다기관",IF($AF74="","",INDEX(파견수련계획!$T$4:$T$83,$AF74))),IF($AF74="","",INDEX(파견수련계획!$T$4:$T$83,$AF74))))</f>
        <v/>
      </c>
      <c r="Q74" s="10">
        <f>IF($AF74="","",INDEX(파견수련계획!$S$4:$S$83,$AF74))</f>
        <v/>
      </c>
      <c r="R74" s="10">
        <f>IF($AF74="","",INDEX(파견수련계획!$U$4:$U$83,$AF74))</f>
        <v/>
      </c>
      <c r="S74" s="11">
        <f>IF($AF74="","",IF(INDEX(파견수련계획!$H$4:$H$83,$AF74)="","",INDEX(파견수련계획!$H$4:$H$83,$AF74)))</f>
        <v/>
      </c>
      <c r="T74" s="11">
        <f>IF($AF74="","",IF(INDEX(파견수련계획!$I$4:$I$83,$AF74)="","",INDEX(파견수련계획!$I$4:$I$83,$AF74)))</f>
        <v/>
      </c>
      <c r="U74" s="10">
        <f>IF($AF74="","",INDEX(파견수련계획!$X$4:$X$83,$AF74))</f>
        <v/>
      </c>
      <c r="V74" s="17">
        <f>IF($AF74="","",INDEX(파견수련계획!$V$4:$V$83,$AF74))</f>
        <v/>
      </c>
      <c r="W74" s="17">
        <f>IF(AND($U74="파견중",$T74&lt;&gt;""),$T74-TODAY(),"")</f>
        <v/>
      </c>
      <c r="X74" s="17">
        <f>IF(OR($B74="",TRIM($J74&amp;"")=""),"",SUMPRODUCT((파견수련계획!$Q$4:$Q$83=TRIM($J74&amp;""))*파견수련계획!$W$4:$W$83))</f>
        <v/>
      </c>
      <c r="Y74" s="10">
        <f>IF($B74="","",IF($AG74="","",IF(IF(TRIM($J74&amp;"")="",0,SUMPRODUCT((파견수련계획!$Q$4:$Q$83=TRIM($J74&amp;""))*파견수련계획!$AD$4:$AD$83))&gt;0,$AE74,IF(N($X74)&lt;=0,$AG74,IF($AH74+$AI74=DAY(EOMONTH(요약!$B$3,0)),IF(AND($AH74&gt;=요약!$E$3,$AI74&lt;요약!$E$3),"서울병원",IF(AND($AI74&gt;=요약!$E$3,$AH74&lt;요약!$E$3),"구리병원","⚠15일 판정불가(서울 "&amp;$AH74&amp;"일/구리 "&amp;$AI74&amp;"일)")),IF($AJ74="",$AE74,IF(INDEX(파견수련계획!$T$4:$T$83,$AJ74)="통합수련",INDEX(파견수련계획!$S$4:$S$83,$AJ74),$AE74)))))))</f>
        <v/>
      </c>
      <c r="Z74" s="19">
        <f>IF($B74="","",IF($AB74="","기본자료에 없는 사번",IF(COUNTIF($B$2:$B$401,$B74)&gt;1,"중복 사번",IF($AE74="","소속(입사장소) 입력",IF(IF(TRIM($J74&amp;"")="",0,SUMPRODUCT((파견수련계획!$Q$4:$Q$83=TRIM($J74&amp;""))*(파견수련계획!$AA$4:$AA$83&lt;&gt;"")))&gt;0,"파견수련계획 입력오류 확인",IF(LEFT($Y74,1)="⚠","서울·구리 15일 판정 불가(양쪽 모두 이상/미만)",IF(IF($AC74="",0,N(INDEX(인턴근무계획!$T$3:$T$62,$AC74)))&gt;0,"인턴계획 입력오류 확인",IF(AND($AC74&lt;&gt;"",$U74&lt;&gt;"파견중",$N74&lt;&gt;$AE74),"인턴 타지역 근무: 파견 여부 확인","정상"))))))))</f>
        <v/>
      </c>
      <c r="AA74" s="5" t="n"/>
      <c r="AB74" s="10">
        <f>IF($B74="","",IFERROR(MATCH($B74,기본자료!$B$2:$B$1001,0),IFERROR(MATCH($B74&amp;"",기본자료!$B$2:$B$1001,0),IFERROR(MATCH(VALUE($B74),기본자료!$B$2:$B$1001,0),""))))</f>
        <v/>
      </c>
      <c r="AC74" s="10">
        <f>IF($B74="","",IFERROR(MATCH($B74,인턴근무계획!$D$3:$D$62,0),IFERROR(MATCH($B74&amp;"",인턴근무계획!$D$3:$D$62,0),IFERROR(MATCH(VALUE($B74),인턴근무계획!$D$3:$D$62,0),""))))</f>
        <v/>
      </c>
      <c r="AD74" s="10">
        <f>IF(OR($AC74="",인턴현황!$G$3=""),"",INDEX(인턴근무계획!$M$3:$R$62,$AC74,인턴현황!$G$3)&amp;"")</f>
        <v/>
      </c>
      <c r="AE74" s="10">
        <f>IF($B74="","",IF($M74&lt;&gt;"",$M74,IF($AF74&lt;&gt;"",IF(LEFT(INDEX(파견수련계획!$R$4:$R$83,$AF74),1)&lt;&gt;"⚠",INDEX(파견수련계획!$R$4:$R$83,$AF74),IF($H74="","",IF(RIGHT($H74,2)="병원",$H74,$H74&amp;"병원"))),IF($H74="","",IF(RIGHT($H74,2)="병원",$H74,$H74&amp;"병원")))))</f>
        <v/>
      </c>
      <c r="AF74" s="10">
        <f>IF(OR($B74="",TRIM($J74&amp;"")=""),"",IFERROR(MATCH(TRIM($J74&amp;"")&amp;"|파견중",파견수련계획!$Y$4:$Y$83,0),IFERROR(MATCH(TRIM($J74&amp;"")&amp;"|파견예정",파견수련계획!$Y$4:$Y$83,0),IFERROR(MATCH(TRIM($J74&amp;"")&amp;"|파견종료",파견수련계획!$Y$4:$Y$83,0),""))))</f>
        <v/>
      </c>
      <c r="AG74" s="10">
        <f>IF($B74="","",IF(AND(IF(OR($AC74="",인턴현황!$K$2=""),"",INDEX(인턴근무계획!$M$3:$R$62,$AC74,인턴현황!$K$2)&amp;"")&lt;&gt;"",LEFT(IF(OR($AC74="",인턴현황!$K$2=""),"",INDEX(인턴근무계획!$M$3:$R$62,$AC74,인턴현황!$K$2)&amp;""),1)&lt;&gt;"⚠"),LEFT(IF(OR($AC74="",인턴현황!$K$2=""),"",INDEX(인턴근무계획!$M$3:$R$62,$AC74,인턴현황!$K$2)&amp;""),FIND(" ",IF(OR($AC74="",인턴현황!$K$2=""),"",INDEX(인턴근무계획!$M$3:$R$62,$AC74,인턴현황!$K$2)&amp;""))-1),$AE74))</f>
        <v/>
      </c>
      <c r="AH74" s="17">
        <f>IF($B74="","",IF(TRIM($J74&amp;"")="",0,SUMPRODUCT((파견수련계획!$Q$4:$Q$83=TRIM($J74&amp;""))*(파견수련계획!$S$4:$S$83="서울병원")*파견수련계획!$W$4:$W$83))+IF($AG74="서울병원",MAX(0,DAY(EOMONTH(요약!$B$3,0))-N($X74)),0))</f>
        <v/>
      </c>
      <c r="AI74" s="17">
        <f>IF($B74="","",IF(TRIM($J74&amp;"")="",0,SUMPRODUCT((파견수련계획!$Q$4:$Q$83=TRIM($J74&amp;""))*(파견수련계획!$S$4:$S$83="구리병원")*파견수련계획!$W$4:$W$83))+IF($AG74="구리병원",MAX(0,DAY(EOMONTH(요약!$B$3,0))-N($X74)),0))</f>
        <v/>
      </c>
      <c r="AJ74" s="10">
        <f>IF(OR($B74="",TRIM($J74&amp;"")=""),"",IFERROR(MATCH(TRIM($J74&amp;"")&amp;"|월",파견수련계획!$Z$4:$Z$83,0),""))</f>
        <v/>
      </c>
      <c r="AK74" s="10">
        <f>IF(OR($B74="",TRIM($J74&amp;"")=""),"",IFERROR(MATCH(TRIM($J74&amp;"")&amp;"|다기관",파견수련계획!$AE$4:$AE$83,0),""))</f>
        <v/>
      </c>
      <c r="AL74" s="10">
        <f>IF($AK74="","","다기관 "&amp;TEXT(INDEX(파견수련계획!$AB$4:$AB$83,$AK74),"yyyy-mm-dd")&amp;"~"&amp;IF(ISNUMBER(INDEX(파견수련계획!$AC$4:$AC$83,$AK74)),TEXT(INDEX(파견수련계획!$AC$4:$AC$83,$AK74),"yyyy-mm-dd"),""))</f>
        <v/>
      </c>
    </row>
    <row r="75">
      <c r="A75" s="10">
        <f>IF(B75="","",ROW()-1)</f>
        <v/>
      </c>
      <c r="B75" s="18" t="n"/>
      <c r="C75" s="10">
        <f>IF($AB75="","",IF(INDEX(기본자료!$C$2:$C$1001,$AB75)="","",INDEX(기본자료!$C$2:$C$1001,$AB75)))</f>
        <v/>
      </c>
      <c r="D75" s="10">
        <f>IF($AB75="","",IF(INDEX(기본자료!$J$2:$J$1001,$AB75)="","",INDEX(기본자료!$J$2:$J$1001,$AB75)))</f>
        <v/>
      </c>
      <c r="E75" s="11">
        <f>IF($AB75="","",IF(INDEX(기본자료!$K$2:$K$1001,$AB75)="","",IF(NOT(ISNUMBER(INDEX(기본자료!$K$2:$K$1001,$AB75))),INDEX(기본자료!$K$2:$K$1001,$AB75),IF(INDEX(기본자료!$K$2:$K$1001,$AB75)&lt;1000000,INDEX(기본자료!$K$2:$K$1001,$AB75),IF(AND(INDEX(기본자료!$K$2:$K$1001,$AB75)&gt;=10000101,INT(MOD(INDEX(기본자료!$K$2:$K$1001,$AB75),10000)/100)&gt;=1,INT(MOD(INDEX(기본자료!$K$2:$K$1001,$AB75),10000)/100)&lt;=12,MOD(INDEX(기본자료!$K$2:$K$1001,$AB75),100)&gt;=1,MOD(INDEX(기본자료!$K$2:$K$1001,$AB75),100)&lt;=31),DATE(INT(INDEX(기본자료!$K$2:$K$1001,$AB75)/10000),INT(MOD(INDEX(기본자료!$K$2:$K$1001,$AB75),10000)/100),MOD(INDEX(기본자료!$K$2:$K$1001,$AB75),100)),INDEX(기본자료!$K$2:$K$1001,$AB75)&amp;"")))))</f>
        <v/>
      </c>
      <c r="F75" s="10">
        <f>IF($AB75="","",IF(INDEX(기본자료!$D$2:$D$1001,$AB75)="","",INDEX(기본자료!$D$2:$D$1001,$AB75)))</f>
        <v/>
      </c>
      <c r="G75" s="10">
        <f>IF($AB75="","",IF(INDEX(기본자료!$E$2:$E$1001,$AB75)="","",INDEX(기본자료!$E$2:$E$1001,$AB75)))</f>
        <v/>
      </c>
      <c r="H75" s="10">
        <f>IF($AB75="","",IF(INDEX(기본자료!$F$2:$F$1001,$AB75)="","",INDEX(기본자료!$F$2:$F$1001,$AB75)))</f>
        <v/>
      </c>
      <c r="I75" s="11">
        <f>IF($AB75="","",IF(INDEX(기본자료!$G$2:$G$1001,$AB75)="","",IF(NOT(ISNUMBER(INDEX(기본자료!$G$2:$G$1001,$AB75))),INDEX(기본자료!$G$2:$G$1001,$AB75),IF(INDEX(기본자료!$G$2:$G$1001,$AB75)&lt;1000000,INDEX(기본자료!$G$2:$G$1001,$AB75),IF(AND(INDEX(기본자료!$G$2:$G$1001,$AB75)&gt;=10000101,INT(MOD(INDEX(기본자료!$G$2:$G$1001,$AB75),10000)/100)&gt;=1,INT(MOD(INDEX(기본자료!$G$2:$G$1001,$AB75),10000)/100)&lt;=12,MOD(INDEX(기본자료!$G$2:$G$1001,$AB75),100)&gt;=1,MOD(INDEX(기본자료!$G$2:$G$1001,$AB75),100)&lt;=31),DATE(INT(INDEX(기본자료!$G$2:$G$1001,$AB75)/10000),INT(MOD(INDEX(기본자료!$G$2:$G$1001,$AB75),10000)/100),MOD(INDEX(기본자료!$G$2:$G$1001,$AB75),100)),INDEX(기본자료!$G$2:$G$1001,$AB75)&amp;"")))))</f>
        <v/>
      </c>
      <c r="J75" s="10">
        <f>IF($AB75="","",IF(INDEX(기본자료!$H$2:$H$1001,$AB75)="","",INDEX(기본자료!$H$2:$H$1001,$AB75)))</f>
        <v/>
      </c>
      <c r="K75" s="10">
        <f>IF($AB75="","",IF(INDEX(기본자료!$I$2:$I$1001,$AB75)="","",INDEX(기본자료!$I$2:$I$1001,$AB75)))</f>
        <v/>
      </c>
      <c r="L75" s="10">
        <f>IF($AB75="","",IF(INDEX(기본자료!$A$2:$A$1001,$AB75)="","",INDEX(기본자료!$A$2:$A$1001,$AB75)))</f>
        <v/>
      </c>
      <c r="M75" s="15" t="n"/>
      <c r="N75" s="10">
        <f>IF($B75="","",IF(AND($U75="파견중",$Q75&lt;&gt;""),$Q75,IF(AND($AD75&lt;&gt;"",LEFT($AD75,1)&lt;&gt;"⚠"),LEFT($AD75,FIND(" ",$AD75)-1),IF($H75="","",IF(RIGHT($H75,2)="병원",$H75,$H75&amp;"병원")))))</f>
        <v/>
      </c>
      <c r="O75" s="10">
        <f>IF($B75="","",IF(AND($U75="파견중",$Q75&lt;&gt;""),IF($R75&lt;&gt;"",$R75,"파견과 미입력"),IF(AND($AD75&lt;&gt;"",LEFT($AD75,1)&lt;&gt;"⚠"),MID($AD75,FIND(" ",$AD75)+1,60),IF($F75="","",IF($F75="인턴","수련교육부(인턴)",$F75)))))</f>
        <v/>
      </c>
      <c r="P75" s="10">
        <f>IF($B75="","",IF($AK75&lt;&gt;"",IF(AND(TODAY()&gt;=INDEX(파견수련계획!$AB$4:$AB$83,$AK75),OR(NOT(ISNUMBER(INDEX(파견수련계획!$AC$4:$AC$83,$AK75))),TODAY()&lt;=INDEX(파견수련계획!$AC$4:$AC$83,$AK75))),"다기관",IF($AF75="","",INDEX(파견수련계획!$T$4:$T$83,$AF75))),IF($AF75="","",INDEX(파견수련계획!$T$4:$T$83,$AF75))))</f>
        <v/>
      </c>
      <c r="Q75" s="10">
        <f>IF($AF75="","",INDEX(파견수련계획!$S$4:$S$83,$AF75))</f>
        <v/>
      </c>
      <c r="R75" s="10">
        <f>IF($AF75="","",INDEX(파견수련계획!$U$4:$U$83,$AF75))</f>
        <v/>
      </c>
      <c r="S75" s="11">
        <f>IF($AF75="","",IF(INDEX(파견수련계획!$H$4:$H$83,$AF75)="","",INDEX(파견수련계획!$H$4:$H$83,$AF75)))</f>
        <v/>
      </c>
      <c r="T75" s="11">
        <f>IF($AF75="","",IF(INDEX(파견수련계획!$I$4:$I$83,$AF75)="","",INDEX(파견수련계획!$I$4:$I$83,$AF75)))</f>
        <v/>
      </c>
      <c r="U75" s="10">
        <f>IF($AF75="","",INDEX(파견수련계획!$X$4:$X$83,$AF75))</f>
        <v/>
      </c>
      <c r="V75" s="17">
        <f>IF($AF75="","",INDEX(파견수련계획!$V$4:$V$83,$AF75))</f>
        <v/>
      </c>
      <c r="W75" s="17">
        <f>IF(AND($U75="파견중",$T75&lt;&gt;""),$T75-TODAY(),"")</f>
        <v/>
      </c>
      <c r="X75" s="17">
        <f>IF(OR($B75="",TRIM($J75&amp;"")=""),"",SUMPRODUCT((파견수련계획!$Q$4:$Q$83=TRIM($J75&amp;""))*파견수련계획!$W$4:$W$83))</f>
        <v/>
      </c>
      <c r="Y75" s="10">
        <f>IF($B75="","",IF($AG75="","",IF(IF(TRIM($J75&amp;"")="",0,SUMPRODUCT((파견수련계획!$Q$4:$Q$83=TRIM($J75&amp;""))*파견수련계획!$AD$4:$AD$83))&gt;0,$AE75,IF(N($X75)&lt;=0,$AG75,IF($AH75+$AI75=DAY(EOMONTH(요약!$B$3,0)),IF(AND($AH75&gt;=요약!$E$3,$AI75&lt;요약!$E$3),"서울병원",IF(AND($AI75&gt;=요약!$E$3,$AH75&lt;요약!$E$3),"구리병원","⚠15일 판정불가(서울 "&amp;$AH75&amp;"일/구리 "&amp;$AI75&amp;"일)")),IF($AJ75="",$AE75,IF(INDEX(파견수련계획!$T$4:$T$83,$AJ75)="통합수련",INDEX(파견수련계획!$S$4:$S$83,$AJ75),$AE75)))))))</f>
        <v/>
      </c>
      <c r="Z75" s="19">
        <f>IF($B75="","",IF($AB75="","기본자료에 없는 사번",IF(COUNTIF($B$2:$B$401,$B75)&gt;1,"중복 사번",IF($AE75="","소속(입사장소) 입력",IF(IF(TRIM($J75&amp;"")="",0,SUMPRODUCT((파견수련계획!$Q$4:$Q$83=TRIM($J75&amp;""))*(파견수련계획!$AA$4:$AA$83&lt;&gt;"")))&gt;0,"파견수련계획 입력오류 확인",IF(LEFT($Y75,1)="⚠","서울·구리 15일 판정 불가(양쪽 모두 이상/미만)",IF(IF($AC75="",0,N(INDEX(인턴근무계획!$T$3:$T$62,$AC75)))&gt;0,"인턴계획 입력오류 확인",IF(AND($AC75&lt;&gt;"",$U75&lt;&gt;"파견중",$N75&lt;&gt;$AE75),"인턴 타지역 근무: 파견 여부 확인","정상"))))))))</f>
        <v/>
      </c>
      <c r="AA75" s="5" t="n"/>
      <c r="AB75" s="10">
        <f>IF($B75="","",IFERROR(MATCH($B75,기본자료!$B$2:$B$1001,0),IFERROR(MATCH($B75&amp;"",기본자료!$B$2:$B$1001,0),IFERROR(MATCH(VALUE($B75),기본자료!$B$2:$B$1001,0),""))))</f>
        <v/>
      </c>
      <c r="AC75" s="10">
        <f>IF($B75="","",IFERROR(MATCH($B75,인턴근무계획!$D$3:$D$62,0),IFERROR(MATCH($B75&amp;"",인턴근무계획!$D$3:$D$62,0),IFERROR(MATCH(VALUE($B75),인턴근무계획!$D$3:$D$62,0),""))))</f>
        <v/>
      </c>
      <c r="AD75" s="10">
        <f>IF(OR($AC75="",인턴현황!$G$3=""),"",INDEX(인턴근무계획!$M$3:$R$62,$AC75,인턴현황!$G$3)&amp;"")</f>
        <v/>
      </c>
      <c r="AE75" s="10">
        <f>IF($B75="","",IF($M75&lt;&gt;"",$M75,IF($AF75&lt;&gt;"",IF(LEFT(INDEX(파견수련계획!$R$4:$R$83,$AF75),1)&lt;&gt;"⚠",INDEX(파견수련계획!$R$4:$R$83,$AF75),IF($H75="","",IF(RIGHT($H75,2)="병원",$H75,$H75&amp;"병원"))),IF($H75="","",IF(RIGHT($H75,2)="병원",$H75,$H75&amp;"병원")))))</f>
        <v/>
      </c>
      <c r="AF75" s="10">
        <f>IF(OR($B75="",TRIM($J75&amp;"")=""),"",IFERROR(MATCH(TRIM($J75&amp;"")&amp;"|파견중",파견수련계획!$Y$4:$Y$83,0),IFERROR(MATCH(TRIM($J75&amp;"")&amp;"|파견예정",파견수련계획!$Y$4:$Y$83,0),IFERROR(MATCH(TRIM($J75&amp;"")&amp;"|파견종료",파견수련계획!$Y$4:$Y$83,0),""))))</f>
        <v/>
      </c>
      <c r="AG75" s="10">
        <f>IF($B75="","",IF(AND(IF(OR($AC75="",인턴현황!$K$2=""),"",INDEX(인턴근무계획!$M$3:$R$62,$AC75,인턴현황!$K$2)&amp;"")&lt;&gt;"",LEFT(IF(OR($AC75="",인턴현황!$K$2=""),"",INDEX(인턴근무계획!$M$3:$R$62,$AC75,인턴현황!$K$2)&amp;""),1)&lt;&gt;"⚠"),LEFT(IF(OR($AC75="",인턴현황!$K$2=""),"",INDEX(인턴근무계획!$M$3:$R$62,$AC75,인턴현황!$K$2)&amp;""),FIND(" ",IF(OR($AC75="",인턴현황!$K$2=""),"",INDEX(인턴근무계획!$M$3:$R$62,$AC75,인턴현황!$K$2)&amp;""))-1),$AE75))</f>
        <v/>
      </c>
      <c r="AH75" s="17">
        <f>IF($B75="","",IF(TRIM($J75&amp;"")="",0,SUMPRODUCT((파견수련계획!$Q$4:$Q$83=TRIM($J75&amp;""))*(파견수련계획!$S$4:$S$83="서울병원")*파견수련계획!$W$4:$W$83))+IF($AG75="서울병원",MAX(0,DAY(EOMONTH(요약!$B$3,0))-N($X75)),0))</f>
        <v/>
      </c>
      <c r="AI75" s="17">
        <f>IF($B75="","",IF(TRIM($J75&amp;"")="",0,SUMPRODUCT((파견수련계획!$Q$4:$Q$83=TRIM($J75&amp;""))*(파견수련계획!$S$4:$S$83="구리병원")*파견수련계획!$W$4:$W$83))+IF($AG75="구리병원",MAX(0,DAY(EOMONTH(요약!$B$3,0))-N($X75)),0))</f>
        <v/>
      </c>
      <c r="AJ75" s="10">
        <f>IF(OR($B75="",TRIM($J75&amp;"")=""),"",IFERROR(MATCH(TRIM($J75&amp;"")&amp;"|월",파견수련계획!$Z$4:$Z$83,0),""))</f>
        <v/>
      </c>
      <c r="AK75" s="10">
        <f>IF(OR($B75="",TRIM($J75&amp;"")=""),"",IFERROR(MATCH(TRIM($J75&amp;"")&amp;"|다기관",파견수련계획!$AE$4:$AE$83,0),""))</f>
        <v/>
      </c>
      <c r="AL75" s="10">
        <f>IF($AK75="","","다기관 "&amp;TEXT(INDEX(파견수련계획!$AB$4:$AB$83,$AK75),"yyyy-mm-dd")&amp;"~"&amp;IF(ISNUMBER(INDEX(파견수련계획!$AC$4:$AC$83,$AK75)),TEXT(INDEX(파견수련계획!$AC$4:$AC$83,$AK75),"yyyy-mm-dd"),""))</f>
        <v/>
      </c>
    </row>
    <row r="76">
      <c r="A76" s="10">
        <f>IF(B76="","",ROW()-1)</f>
        <v/>
      </c>
      <c r="B76" s="18" t="n"/>
      <c r="C76" s="10">
        <f>IF($AB76="","",IF(INDEX(기본자료!$C$2:$C$1001,$AB76)="","",INDEX(기본자료!$C$2:$C$1001,$AB76)))</f>
        <v/>
      </c>
      <c r="D76" s="10">
        <f>IF($AB76="","",IF(INDEX(기본자료!$J$2:$J$1001,$AB76)="","",INDEX(기본자료!$J$2:$J$1001,$AB76)))</f>
        <v/>
      </c>
      <c r="E76" s="11">
        <f>IF($AB76="","",IF(INDEX(기본자료!$K$2:$K$1001,$AB76)="","",IF(NOT(ISNUMBER(INDEX(기본자료!$K$2:$K$1001,$AB76))),INDEX(기본자료!$K$2:$K$1001,$AB76),IF(INDEX(기본자료!$K$2:$K$1001,$AB76)&lt;1000000,INDEX(기본자료!$K$2:$K$1001,$AB76),IF(AND(INDEX(기본자료!$K$2:$K$1001,$AB76)&gt;=10000101,INT(MOD(INDEX(기본자료!$K$2:$K$1001,$AB76),10000)/100)&gt;=1,INT(MOD(INDEX(기본자료!$K$2:$K$1001,$AB76),10000)/100)&lt;=12,MOD(INDEX(기본자료!$K$2:$K$1001,$AB76),100)&gt;=1,MOD(INDEX(기본자료!$K$2:$K$1001,$AB76),100)&lt;=31),DATE(INT(INDEX(기본자료!$K$2:$K$1001,$AB76)/10000),INT(MOD(INDEX(기본자료!$K$2:$K$1001,$AB76),10000)/100),MOD(INDEX(기본자료!$K$2:$K$1001,$AB76),100)),INDEX(기본자료!$K$2:$K$1001,$AB76)&amp;"")))))</f>
        <v/>
      </c>
      <c r="F76" s="10">
        <f>IF($AB76="","",IF(INDEX(기본자료!$D$2:$D$1001,$AB76)="","",INDEX(기본자료!$D$2:$D$1001,$AB76)))</f>
        <v/>
      </c>
      <c r="G76" s="10">
        <f>IF($AB76="","",IF(INDEX(기본자료!$E$2:$E$1001,$AB76)="","",INDEX(기본자료!$E$2:$E$1001,$AB76)))</f>
        <v/>
      </c>
      <c r="H76" s="10">
        <f>IF($AB76="","",IF(INDEX(기본자료!$F$2:$F$1001,$AB76)="","",INDEX(기본자료!$F$2:$F$1001,$AB76)))</f>
        <v/>
      </c>
      <c r="I76" s="11">
        <f>IF($AB76="","",IF(INDEX(기본자료!$G$2:$G$1001,$AB76)="","",IF(NOT(ISNUMBER(INDEX(기본자료!$G$2:$G$1001,$AB76))),INDEX(기본자료!$G$2:$G$1001,$AB76),IF(INDEX(기본자료!$G$2:$G$1001,$AB76)&lt;1000000,INDEX(기본자료!$G$2:$G$1001,$AB76),IF(AND(INDEX(기본자료!$G$2:$G$1001,$AB76)&gt;=10000101,INT(MOD(INDEX(기본자료!$G$2:$G$1001,$AB76),10000)/100)&gt;=1,INT(MOD(INDEX(기본자료!$G$2:$G$1001,$AB76),10000)/100)&lt;=12,MOD(INDEX(기본자료!$G$2:$G$1001,$AB76),100)&gt;=1,MOD(INDEX(기본자료!$G$2:$G$1001,$AB76),100)&lt;=31),DATE(INT(INDEX(기본자료!$G$2:$G$1001,$AB76)/10000),INT(MOD(INDEX(기본자료!$G$2:$G$1001,$AB76),10000)/100),MOD(INDEX(기본자료!$G$2:$G$1001,$AB76),100)),INDEX(기본자료!$G$2:$G$1001,$AB76)&amp;"")))))</f>
        <v/>
      </c>
      <c r="J76" s="10">
        <f>IF($AB76="","",IF(INDEX(기본자료!$H$2:$H$1001,$AB76)="","",INDEX(기본자료!$H$2:$H$1001,$AB76)))</f>
        <v/>
      </c>
      <c r="K76" s="10">
        <f>IF($AB76="","",IF(INDEX(기본자료!$I$2:$I$1001,$AB76)="","",INDEX(기본자료!$I$2:$I$1001,$AB76)))</f>
        <v/>
      </c>
      <c r="L76" s="10">
        <f>IF($AB76="","",IF(INDEX(기본자료!$A$2:$A$1001,$AB76)="","",INDEX(기본자료!$A$2:$A$1001,$AB76)))</f>
        <v/>
      </c>
      <c r="M76" s="15" t="n"/>
      <c r="N76" s="10">
        <f>IF($B76="","",IF(AND($U76="파견중",$Q76&lt;&gt;""),$Q76,IF(AND($AD76&lt;&gt;"",LEFT($AD76,1)&lt;&gt;"⚠"),LEFT($AD76,FIND(" ",$AD76)-1),IF($H76="","",IF(RIGHT($H76,2)="병원",$H76,$H76&amp;"병원")))))</f>
        <v/>
      </c>
      <c r="O76" s="10">
        <f>IF($B76="","",IF(AND($U76="파견중",$Q76&lt;&gt;""),IF($R76&lt;&gt;"",$R76,"파견과 미입력"),IF(AND($AD76&lt;&gt;"",LEFT($AD76,1)&lt;&gt;"⚠"),MID($AD76,FIND(" ",$AD76)+1,60),IF($F76="","",IF($F76="인턴","수련교육부(인턴)",$F76)))))</f>
        <v/>
      </c>
      <c r="P76" s="10">
        <f>IF($B76="","",IF($AK76&lt;&gt;"",IF(AND(TODAY()&gt;=INDEX(파견수련계획!$AB$4:$AB$83,$AK76),OR(NOT(ISNUMBER(INDEX(파견수련계획!$AC$4:$AC$83,$AK76))),TODAY()&lt;=INDEX(파견수련계획!$AC$4:$AC$83,$AK76))),"다기관",IF($AF76="","",INDEX(파견수련계획!$T$4:$T$83,$AF76))),IF($AF76="","",INDEX(파견수련계획!$T$4:$T$83,$AF76))))</f>
        <v/>
      </c>
      <c r="Q76" s="10">
        <f>IF($AF76="","",INDEX(파견수련계획!$S$4:$S$83,$AF76))</f>
        <v/>
      </c>
      <c r="R76" s="10">
        <f>IF($AF76="","",INDEX(파견수련계획!$U$4:$U$83,$AF76))</f>
        <v/>
      </c>
      <c r="S76" s="11">
        <f>IF($AF76="","",IF(INDEX(파견수련계획!$H$4:$H$83,$AF76)="","",INDEX(파견수련계획!$H$4:$H$83,$AF76)))</f>
        <v/>
      </c>
      <c r="T76" s="11">
        <f>IF($AF76="","",IF(INDEX(파견수련계획!$I$4:$I$83,$AF76)="","",INDEX(파견수련계획!$I$4:$I$83,$AF76)))</f>
        <v/>
      </c>
      <c r="U76" s="10">
        <f>IF($AF76="","",INDEX(파견수련계획!$X$4:$X$83,$AF76))</f>
        <v/>
      </c>
      <c r="V76" s="17">
        <f>IF($AF76="","",INDEX(파견수련계획!$V$4:$V$83,$AF76))</f>
        <v/>
      </c>
      <c r="W76" s="17">
        <f>IF(AND($U76="파견중",$T76&lt;&gt;""),$T76-TODAY(),"")</f>
        <v/>
      </c>
      <c r="X76" s="17">
        <f>IF(OR($B76="",TRIM($J76&amp;"")=""),"",SUMPRODUCT((파견수련계획!$Q$4:$Q$83=TRIM($J76&amp;""))*파견수련계획!$W$4:$W$83))</f>
        <v/>
      </c>
      <c r="Y76" s="10">
        <f>IF($B76="","",IF($AG76="","",IF(IF(TRIM($J76&amp;"")="",0,SUMPRODUCT((파견수련계획!$Q$4:$Q$83=TRIM($J76&amp;""))*파견수련계획!$AD$4:$AD$83))&gt;0,$AE76,IF(N($X76)&lt;=0,$AG76,IF($AH76+$AI76=DAY(EOMONTH(요약!$B$3,0)),IF(AND($AH76&gt;=요약!$E$3,$AI76&lt;요약!$E$3),"서울병원",IF(AND($AI76&gt;=요약!$E$3,$AH76&lt;요약!$E$3),"구리병원","⚠15일 판정불가(서울 "&amp;$AH76&amp;"일/구리 "&amp;$AI76&amp;"일)")),IF($AJ76="",$AE76,IF(INDEX(파견수련계획!$T$4:$T$83,$AJ76)="통합수련",INDEX(파견수련계획!$S$4:$S$83,$AJ76),$AE76)))))))</f>
        <v/>
      </c>
      <c r="Z76" s="19">
        <f>IF($B76="","",IF($AB76="","기본자료에 없는 사번",IF(COUNTIF($B$2:$B$401,$B76)&gt;1,"중복 사번",IF($AE76="","소속(입사장소) 입력",IF(IF(TRIM($J76&amp;"")="",0,SUMPRODUCT((파견수련계획!$Q$4:$Q$83=TRIM($J76&amp;""))*(파견수련계획!$AA$4:$AA$83&lt;&gt;"")))&gt;0,"파견수련계획 입력오류 확인",IF(LEFT($Y76,1)="⚠","서울·구리 15일 판정 불가(양쪽 모두 이상/미만)",IF(IF($AC76="",0,N(INDEX(인턴근무계획!$T$3:$T$62,$AC76)))&gt;0,"인턴계획 입력오류 확인",IF(AND($AC76&lt;&gt;"",$U76&lt;&gt;"파견중",$N76&lt;&gt;$AE76),"인턴 타지역 근무: 파견 여부 확인","정상"))))))))</f>
        <v/>
      </c>
      <c r="AA76" s="5" t="n"/>
      <c r="AB76" s="10">
        <f>IF($B76="","",IFERROR(MATCH($B76,기본자료!$B$2:$B$1001,0),IFERROR(MATCH($B76&amp;"",기본자료!$B$2:$B$1001,0),IFERROR(MATCH(VALUE($B76),기본자료!$B$2:$B$1001,0),""))))</f>
        <v/>
      </c>
      <c r="AC76" s="10">
        <f>IF($B76="","",IFERROR(MATCH($B76,인턴근무계획!$D$3:$D$62,0),IFERROR(MATCH($B76&amp;"",인턴근무계획!$D$3:$D$62,0),IFERROR(MATCH(VALUE($B76),인턴근무계획!$D$3:$D$62,0),""))))</f>
        <v/>
      </c>
      <c r="AD76" s="10">
        <f>IF(OR($AC76="",인턴현황!$G$3=""),"",INDEX(인턴근무계획!$M$3:$R$62,$AC76,인턴현황!$G$3)&amp;"")</f>
        <v/>
      </c>
      <c r="AE76" s="10">
        <f>IF($B76="","",IF($M76&lt;&gt;"",$M76,IF($AF76&lt;&gt;"",IF(LEFT(INDEX(파견수련계획!$R$4:$R$83,$AF76),1)&lt;&gt;"⚠",INDEX(파견수련계획!$R$4:$R$83,$AF76),IF($H76="","",IF(RIGHT($H76,2)="병원",$H76,$H76&amp;"병원"))),IF($H76="","",IF(RIGHT($H76,2)="병원",$H76,$H76&amp;"병원")))))</f>
        <v/>
      </c>
      <c r="AF76" s="10">
        <f>IF(OR($B76="",TRIM($J76&amp;"")=""),"",IFERROR(MATCH(TRIM($J76&amp;"")&amp;"|파견중",파견수련계획!$Y$4:$Y$83,0),IFERROR(MATCH(TRIM($J76&amp;"")&amp;"|파견예정",파견수련계획!$Y$4:$Y$83,0),IFERROR(MATCH(TRIM($J76&amp;"")&amp;"|파견종료",파견수련계획!$Y$4:$Y$83,0),""))))</f>
        <v/>
      </c>
      <c r="AG76" s="10">
        <f>IF($B76="","",IF(AND(IF(OR($AC76="",인턴현황!$K$2=""),"",INDEX(인턴근무계획!$M$3:$R$62,$AC76,인턴현황!$K$2)&amp;"")&lt;&gt;"",LEFT(IF(OR($AC76="",인턴현황!$K$2=""),"",INDEX(인턴근무계획!$M$3:$R$62,$AC76,인턴현황!$K$2)&amp;""),1)&lt;&gt;"⚠"),LEFT(IF(OR($AC76="",인턴현황!$K$2=""),"",INDEX(인턴근무계획!$M$3:$R$62,$AC76,인턴현황!$K$2)&amp;""),FIND(" ",IF(OR($AC76="",인턴현황!$K$2=""),"",INDEX(인턴근무계획!$M$3:$R$62,$AC76,인턴현황!$K$2)&amp;""))-1),$AE76))</f>
        <v/>
      </c>
      <c r="AH76" s="17">
        <f>IF($B76="","",IF(TRIM($J76&amp;"")="",0,SUMPRODUCT((파견수련계획!$Q$4:$Q$83=TRIM($J76&amp;""))*(파견수련계획!$S$4:$S$83="서울병원")*파견수련계획!$W$4:$W$83))+IF($AG76="서울병원",MAX(0,DAY(EOMONTH(요약!$B$3,0))-N($X76)),0))</f>
        <v/>
      </c>
      <c r="AI76" s="17">
        <f>IF($B76="","",IF(TRIM($J76&amp;"")="",0,SUMPRODUCT((파견수련계획!$Q$4:$Q$83=TRIM($J76&amp;""))*(파견수련계획!$S$4:$S$83="구리병원")*파견수련계획!$W$4:$W$83))+IF($AG76="구리병원",MAX(0,DAY(EOMONTH(요약!$B$3,0))-N($X76)),0))</f>
        <v/>
      </c>
      <c r="AJ76" s="10">
        <f>IF(OR($B76="",TRIM($J76&amp;"")=""),"",IFERROR(MATCH(TRIM($J76&amp;"")&amp;"|월",파견수련계획!$Z$4:$Z$83,0),""))</f>
        <v/>
      </c>
      <c r="AK76" s="10">
        <f>IF(OR($B76="",TRIM($J76&amp;"")=""),"",IFERROR(MATCH(TRIM($J76&amp;"")&amp;"|다기관",파견수련계획!$AE$4:$AE$83,0),""))</f>
        <v/>
      </c>
      <c r="AL76" s="10">
        <f>IF($AK76="","","다기관 "&amp;TEXT(INDEX(파견수련계획!$AB$4:$AB$83,$AK76),"yyyy-mm-dd")&amp;"~"&amp;IF(ISNUMBER(INDEX(파견수련계획!$AC$4:$AC$83,$AK76)),TEXT(INDEX(파견수련계획!$AC$4:$AC$83,$AK76),"yyyy-mm-dd"),""))</f>
        <v/>
      </c>
    </row>
    <row r="77">
      <c r="A77" s="10">
        <f>IF(B77="","",ROW()-1)</f>
        <v/>
      </c>
      <c r="B77" s="18" t="n"/>
      <c r="C77" s="10">
        <f>IF($AB77="","",IF(INDEX(기본자료!$C$2:$C$1001,$AB77)="","",INDEX(기본자료!$C$2:$C$1001,$AB77)))</f>
        <v/>
      </c>
      <c r="D77" s="10">
        <f>IF($AB77="","",IF(INDEX(기본자료!$J$2:$J$1001,$AB77)="","",INDEX(기본자료!$J$2:$J$1001,$AB77)))</f>
        <v/>
      </c>
      <c r="E77" s="11">
        <f>IF($AB77="","",IF(INDEX(기본자료!$K$2:$K$1001,$AB77)="","",IF(NOT(ISNUMBER(INDEX(기본자료!$K$2:$K$1001,$AB77))),INDEX(기본자료!$K$2:$K$1001,$AB77),IF(INDEX(기본자료!$K$2:$K$1001,$AB77)&lt;1000000,INDEX(기본자료!$K$2:$K$1001,$AB77),IF(AND(INDEX(기본자료!$K$2:$K$1001,$AB77)&gt;=10000101,INT(MOD(INDEX(기본자료!$K$2:$K$1001,$AB77),10000)/100)&gt;=1,INT(MOD(INDEX(기본자료!$K$2:$K$1001,$AB77),10000)/100)&lt;=12,MOD(INDEX(기본자료!$K$2:$K$1001,$AB77),100)&gt;=1,MOD(INDEX(기본자료!$K$2:$K$1001,$AB77),100)&lt;=31),DATE(INT(INDEX(기본자료!$K$2:$K$1001,$AB77)/10000),INT(MOD(INDEX(기본자료!$K$2:$K$1001,$AB77),10000)/100),MOD(INDEX(기본자료!$K$2:$K$1001,$AB77),100)),INDEX(기본자료!$K$2:$K$1001,$AB77)&amp;"")))))</f>
        <v/>
      </c>
      <c r="F77" s="10">
        <f>IF($AB77="","",IF(INDEX(기본자료!$D$2:$D$1001,$AB77)="","",INDEX(기본자료!$D$2:$D$1001,$AB77)))</f>
        <v/>
      </c>
      <c r="G77" s="10">
        <f>IF($AB77="","",IF(INDEX(기본자료!$E$2:$E$1001,$AB77)="","",INDEX(기본자료!$E$2:$E$1001,$AB77)))</f>
        <v/>
      </c>
      <c r="H77" s="10">
        <f>IF($AB77="","",IF(INDEX(기본자료!$F$2:$F$1001,$AB77)="","",INDEX(기본자료!$F$2:$F$1001,$AB77)))</f>
        <v/>
      </c>
      <c r="I77" s="11">
        <f>IF($AB77="","",IF(INDEX(기본자료!$G$2:$G$1001,$AB77)="","",IF(NOT(ISNUMBER(INDEX(기본자료!$G$2:$G$1001,$AB77))),INDEX(기본자료!$G$2:$G$1001,$AB77),IF(INDEX(기본자료!$G$2:$G$1001,$AB77)&lt;1000000,INDEX(기본자료!$G$2:$G$1001,$AB77),IF(AND(INDEX(기본자료!$G$2:$G$1001,$AB77)&gt;=10000101,INT(MOD(INDEX(기본자료!$G$2:$G$1001,$AB77),10000)/100)&gt;=1,INT(MOD(INDEX(기본자료!$G$2:$G$1001,$AB77),10000)/100)&lt;=12,MOD(INDEX(기본자료!$G$2:$G$1001,$AB77),100)&gt;=1,MOD(INDEX(기본자료!$G$2:$G$1001,$AB77),100)&lt;=31),DATE(INT(INDEX(기본자료!$G$2:$G$1001,$AB77)/10000),INT(MOD(INDEX(기본자료!$G$2:$G$1001,$AB77),10000)/100),MOD(INDEX(기본자료!$G$2:$G$1001,$AB77),100)),INDEX(기본자료!$G$2:$G$1001,$AB77)&amp;"")))))</f>
        <v/>
      </c>
      <c r="J77" s="10">
        <f>IF($AB77="","",IF(INDEX(기본자료!$H$2:$H$1001,$AB77)="","",INDEX(기본자료!$H$2:$H$1001,$AB77)))</f>
        <v/>
      </c>
      <c r="K77" s="10">
        <f>IF($AB77="","",IF(INDEX(기본자료!$I$2:$I$1001,$AB77)="","",INDEX(기본자료!$I$2:$I$1001,$AB77)))</f>
        <v/>
      </c>
      <c r="L77" s="10">
        <f>IF($AB77="","",IF(INDEX(기본자료!$A$2:$A$1001,$AB77)="","",INDEX(기본자료!$A$2:$A$1001,$AB77)))</f>
        <v/>
      </c>
      <c r="M77" s="15" t="n"/>
      <c r="N77" s="10">
        <f>IF($B77="","",IF(AND($U77="파견중",$Q77&lt;&gt;""),$Q77,IF(AND($AD77&lt;&gt;"",LEFT($AD77,1)&lt;&gt;"⚠"),LEFT($AD77,FIND(" ",$AD77)-1),IF($H77="","",IF(RIGHT($H77,2)="병원",$H77,$H77&amp;"병원")))))</f>
        <v/>
      </c>
      <c r="O77" s="10">
        <f>IF($B77="","",IF(AND($U77="파견중",$Q77&lt;&gt;""),IF($R77&lt;&gt;"",$R77,"파견과 미입력"),IF(AND($AD77&lt;&gt;"",LEFT($AD77,1)&lt;&gt;"⚠"),MID($AD77,FIND(" ",$AD77)+1,60),IF($F77="","",IF($F77="인턴","수련교육부(인턴)",$F77)))))</f>
        <v/>
      </c>
      <c r="P77" s="10">
        <f>IF($B77="","",IF($AK77&lt;&gt;"",IF(AND(TODAY()&gt;=INDEX(파견수련계획!$AB$4:$AB$83,$AK77),OR(NOT(ISNUMBER(INDEX(파견수련계획!$AC$4:$AC$83,$AK77))),TODAY()&lt;=INDEX(파견수련계획!$AC$4:$AC$83,$AK77))),"다기관",IF($AF77="","",INDEX(파견수련계획!$T$4:$T$83,$AF77))),IF($AF77="","",INDEX(파견수련계획!$T$4:$T$83,$AF77))))</f>
        <v/>
      </c>
      <c r="Q77" s="10">
        <f>IF($AF77="","",INDEX(파견수련계획!$S$4:$S$83,$AF77))</f>
        <v/>
      </c>
      <c r="R77" s="10">
        <f>IF($AF77="","",INDEX(파견수련계획!$U$4:$U$83,$AF77))</f>
        <v/>
      </c>
      <c r="S77" s="11">
        <f>IF($AF77="","",IF(INDEX(파견수련계획!$H$4:$H$83,$AF77)="","",INDEX(파견수련계획!$H$4:$H$83,$AF77)))</f>
        <v/>
      </c>
      <c r="T77" s="11">
        <f>IF($AF77="","",IF(INDEX(파견수련계획!$I$4:$I$83,$AF77)="","",INDEX(파견수련계획!$I$4:$I$83,$AF77)))</f>
        <v/>
      </c>
      <c r="U77" s="10">
        <f>IF($AF77="","",INDEX(파견수련계획!$X$4:$X$83,$AF77))</f>
        <v/>
      </c>
      <c r="V77" s="17">
        <f>IF($AF77="","",INDEX(파견수련계획!$V$4:$V$83,$AF77))</f>
        <v/>
      </c>
      <c r="W77" s="17">
        <f>IF(AND($U77="파견중",$T77&lt;&gt;""),$T77-TODAY(),"")</f>
        <v/>
      </c>
      <c r="X77" s="17">
        <f>IF(OR($B77="",TRIM($J77&amp;"")=""),"",SUMPRODUCT((파견수련계획!$Q$4:$Q$83=TRIM($J77&amp;""))*파견수련계획!$W$4:$W$83))</f>
        <v/>
      </c>
      <c r="Y77" s="10">
        <f>IF($B77="","",IF($AG77="","",IF(IF(TRIM($J77&amp;"")="",0,SUMPRODUCT((파견수련계획!$Q$4:$Q$83=TRIM($J77&amp;""))*파견수련계획!$AD$4:$AD$83))&gt;0,$AE77,IF(N($X77)&lt;=0,$AG77,IF($AH77+$AI77=DAY(EOMONTH(요약!$B$3,0)),IF(AND($AH77&gt;=요약!$E$3,$AI77&lt;요약!$E$3),"서울병원",IF(AND($AI77&gt;=요약!$E$3,$AH77&lt;요약!$E$3),"구리병원","⚠15일 판정불가(서울 "&amp;$AH77&amp;"일/구리 "&amp;$AI77&amp;"일)")),IF($AJ77="",$AE77,IF(INDEX(파견수련계획!$T$4:$T$83,$AJ77)="통합수련",INDEX(파견수련계획!$S$4:$S$83,$AJ77),$AE77)))))))</f>
        <v/>
      </c>
      <c r="Z77" s="19">
        <f>IF($B77="","",IF($AB77="","기본자료에 없는 사번",IF(COUNTIF($B$2:$B$401,$B77)&gt;1,"중복 사번",IF($AE77="","소속(입사장소) 입력",IF(IF(TRIM($J77&amp;"")="",0,SUMPRODUCT((파견수련계획!$Q$4:$Q$83=TRIM($J77&amp;""))*(파견수련계획!$AA$4:$AA$83&lt;&gt;"")))&gt;0,"파견수련계획 입력오류 확인",IF(LEFT($Y77,1)="⚠","서울·구리 15일 판정 불가(양쪽 모두 이상/미만)",IF(IF($AC77="",0,N(INDEX(인턴근무계획!$T$3:$T$62,$AC77)))&gt;0,"인턴계획 입력오류 확인",IF(AND($AC77&lt;&gt;"",$U77&lt;&gt;"파견중",$N77&lt;&gt;$AE77),"인턴 타지역 근무: 파견 여부 확인","정상"))))))))</f>
        <v/>
      </c>
      <c r="AA77" s="5" t="n"/>
      <c r="AB77" s="10">
        <f>IF($B77="","",IFERROR(MATCH($B77,기본자료!$B$2:$B$1001,0),IFERROR(MATCH($B77&amp;"",기본자료!$B$2:$B$1001,0),IFERROR(MATCH(VALUE($B77),기본자료!$B$2:$B$1001,0),""))))</f>
        <v/>
      </c>
      <c r="AC77" s="10">
        <f>IF($B77="","",IFERROR(MATCH($B77,인턴근무계획!$D$3:$D$62,0),IFERROR(MATCH($B77&amp;"",인턴근무계획!$D$3:$D$62,0),IFERROR(MATCH(VALUE($B77),인턴근무계획!$D$3:$D$62,0),""))))</f>
        <v/>
      </c>
      <c r="AD77" s="10">
        <f>IF(OR($AC77="",인턴현황!$G$3=""),"",INDEX(인턴근무계획!$M$3:$R$62,$AC77,인턴현황!$G$3)&amp;"")</f>
        <v/>
      </c>
      <c r="AE77" s="10">
        <f>IF($B77="","",IF($M77&lt;&gt;"",$M77,IF($AF77&lt;&gt;"",IF(LEFT(INDEX(파견수련계획!$R$4:$R$83,$AF77),1)&lt;&gt;"⚠",INDEX(파견수련계획!$R$4:$R$83,$AF77),IF($H77="","",IF(RIGHT($H77,2)="병원",$H77,$H77&amp;"병원"))),IF($H77="","",IF(RIGHT($H77,2)="병원",$H77,$H77&amp;"병원")))))</f>
        <v/>
      </c>
      <c r="AF77" s="10">
        <f>IF(OR($B77="",TRIM($J77&amp;"")=""),"",IFERROR(MATCH(TRIM($J77&amp;"")&amp;"|파견중",파견수련계획!$Y$4:$Y$83,0),IFERROR(MATCH(TRIM($J77&amp;"")&amp;"|파견예정",파견수련계획!$Y$4:$Y$83,0),IFERROR(MATCH(TRIM($J77&amp;"")&amp;"|파견종료",파견수련계획!$Y$4:$Y$83,0),""))))</f>
        <v/>
      </c>
      <c r="AG77" s="10">
        <f>IF($B77="","",IF(AND(IF(OR($AC77="",인턴현황!$K$2=""),"",INDEX(인턴근무계획!$M$3:$R$62,$AC77,인턴현황!$K$2)&amp;"")&lt;&gt;"",LEFT(IF(OR($AC77="",인턴현황!$K$2=""),"",INDEX(인턴근무계획!$M$3:$R$62,$AC77,인턴현황!$K$2)&amp;""),1)&lt;&gt;"⚠"),LEFT(IF(OR($AC77="",인턴현황!$K$2=""),"",INDEX(인턴근무계획!$M$3:$R$62,$AC77,인턴현황!$K$2)&amp;""),FIND(" ",IF(OR($AC77="",인턴현황!$K$2=""),"",INDEX(인턴근무계획!$M$3:$R$62,$AC77,인턴현황!$K$2)&amp;""))-1),$AE77))</f>
        <v/>
      </c>
      <c r="AH77" s="17">
        <f>IF($B77="","",IF(TRIM($J77&amp;"")="",0,SUMPRODUCT((파견수련계획!$Q$4:$Q$83=TRIM($J77&amp;""))*(파견수련계획!$S$4:$S$83="서울병원")*파견수련계획!$W$4:$W$83))+IF($AG77="서울병원",MAX(0,DAY(EOMONTH(요약!$B$3,0))-N($X77)),0))</f>
        <v/>
      </c>
      <c r="AI77" s="17">
        <f>IF($B77="","",IF(TRIM($J77&amp;"")="",0,SUMPRODUCT((파견수련계획!$Q$4:$Q$83=TRIM($J77&amp;""))*(파견수련계획!$S$4:$S$83="구리병원")*파견수련계획!$W$4:$W$83))+IF($AG77="구리병원",MAX(0,DAY(EOMONTH(요약!$B$3,0))-N($X77)),0))</f>
        <v/>
      </c>
      <c r="AJ77" s="10">
        <f>IF(OR($B77="",TRIM($J77&amp;"")=""),"",IFERROR(MATCH(TRIM($J77&amp;"")&amp;"|월",파견수련계획!$Z$4:$Z$83,0),""))</f>
        <v/>
      </c>
      <c r="AK77" s="10">
        <f>IF(OR($B77="",TRIM($J77&amp;"")=""),"",IFERROR(MATCH(TRIM($J77&amp;"")&amp;"|다기관",파견수련계획!$AE$4:$AE$83,0),""))</f>
        <v/>
      </c>
      <c r="AL77" s="10">
        <f>IF($AK77="","","다기관 "&amp;TEXT(INDEX(파견수련계획!$AB$4:$AB$83,$AK77),"yyyy-mm-dd")&amp;"~"&amp;IF(ISNUMBER(INDEX(파견수련계획!$AC$4:$AC$83,$AK77)),TEXT(INDEX(파견수련계획!$AC$4:$AC$83,$AK77),"yyyy-mm-dd"),""))</f>
        <v/>
      </c>
    </row>
    <row r="78">
      <c r="A78" s="10">
        <f>IF(B78="","",ROW()-1)</f>
        <v/>
      </c>
      <c r="B78" s="18" t="n"/>
      <c r="C78" s="10">
        <f>IF($AB78="","",IF(INDEX(기본자료!$C$2:$C$1001,$AB78)="","",INDEX(기본자료!$C$2:$C$1001,$AB78)))</f>
        <v/>
      </c>
      <c r="D78" s="10">
        <f>IF($AB78="","",IF(INDEX(기본자료!$J$2:$J$1001,$AB78)="","",INDEX(기본자료!$J$2:$J$1001,$AB78)))</f>
        <v/>
      </c>
      <c r="E78" s="11">
        <f>IF($AB78="","",IF(INDEX(기본자료!$K$2:$K$1001,$AB78)="","",IF(NOT(ISNUMBER(INDEX(기본자료!$K$2:$K$1001,$AB78))),INDEX(기본자료!$K$2:$K$1001,$AB78),IF(INDEX(기본자료!$K$2:$K$1001,$AB78)&lt;1000000,INDEX(기본자료!$K$2:$K$1001,$AB78),IF(AND(INDEX(기본자료!$K$2:$K$1001,$AB78)&gt;=10000101,INT(MOD(INDEX(기본자료!$K$2:$K$1001,$AB78),10000)/100)&gt;=1,INT(MOD(INDEX(기본자료!$K$2:$K$1001,$AB78),10000)/100)&lt;=12,MOD(INDEX(기본자료!$K$2:$K$1001,$AB78),100)&gt;=1,MOD(INDEX(기본자료!$K$2:$K$1001,$AB78),100)&lt;=31),DATE(INT(INDEX(기본자료!$K$2:$K$1001,$AB78)/10000),INT(MOD(INDEX(기본자료!$K$2:$K$1001,$AB78),10000)/100),MOD(INDEX(기본자료!$K$2:$K$1001,$AB78),100)),INDEX(기본자료!$K$2:$K$1001,$AB78)&amp;"")))))</f>
        <v/>
      </c>
      <c r="F78" s="10">
        <f>IF($AB78="","",IF(INDEX(기본자료!$D$2:$D$1001,$AB78)="","",INDEX(기본자료!$D$2:$D$1001,$AB78)))</f>
        <v/>
      </c>
      <c r="G78" s="10">
        <f>IF($AB78="","",IF(INDEX(기본자료!$E$2:$E$1001,$AB78)="","",INDEX(기본자료!$E$2:$E$1001,$AB78)))</f>
        <v/>
      </c>
      <c r="H78" s="10">
        <f>IF($AB78="","",IF(INDEX(기본자료!$F$2:$F$1001,$AB78)="","",INDEX(기본자료!$F$2:$F$1001,$AB78)))</f>
        <v/>
      </c>
      <c r="I78" s="11">
        <f>IF($AB78="","",IF(INDEX(기본자료!$G$2:$G$1001,$AB78)="","",IF(NOT(ISNUMBER(INDEX(기본자료!$G$2:$G$1001,$AB78))),INDEX(기본자료!$G$2:$G$1001,$AB78),IF(INDEX(기본자료!$G$2:$G$1001,$AB78)&lt;1000000,INDEX(기본자료!$G$2:$G$1001,$AB78),IF(AND(INDEX(기본자료!$G$2:$G$1001,$AB78)&gt;=10000101,INT(MOD(INDEX(기본자료!$G$2:$G$1001,$AB78),10000)/100)&gt;=1,INT(MOD(INDEX(기본자료!$G$2:$G$1001,$AB78),10000)/100)&lt;=12,MOD(INDEX(기본자료!$G$2:$G$1001,$AB78),100)&gt;=1,MOD(INDEX(기본자료!$G$2:$G$1001,$AB78),100)&lt;=31),DATE(INT(INDEX(기본자료!$G$2:$G$1001,$AB78)/10000),INT(MOD(INDEX(기본자료!$G$2:$G$1001,$AB78),10000)/100),MOD(INDEX(기본자료!$G$2:$G$1001,$AB78),100)),INDEX(기본자료!$G$2:$G$1001,$AB78)&amp;"")))))</f>
        <v/>
      </c>
      <c r="J78" s="10">
        <f>IF($AB78="","",IF(INDEX(기본자료!$H$2:$H$1001,$AB78)="","",INDEX(기본자료!$H$2:$H$1001,$AB78)))</f>
        <v/>
      </c>
      <c r="K78" s="10">
        <f>IF($AB78="","",IF(INDEX(기본자료!$I$2:$I$1001,$AB78)="","",INDEX(기본자료!$I$2:$I$1001,$AB78)))</f>
        <v/>
      </c>
      <c r="L78" s="10">
        <f>IF($AB78="","",IF(INDEX(기본자료!$A$2:$A$1001,$AB78)="","",INDEX(기본자료!$A$2:$A$1001,$AB78)))</f>
        <v/>
      </c>
      <c r="M78" s="15" t="n"/>
      <c r="N78" s="10">
        <f>IF($B78="","",IF(AND($U78="파견중",$Q78&lt;&gt;""),$Q78,IF(AND($AD78&lt;&gt;"",LEFT($AD78,1)&lt;&gt;"⚠"),LEFT($AD78,FIND(" ",$AD78)-1),IF($H78="","",IF(RIGHT($H78,2)="병원",$H78,$H78&amp;"병원")))))</f>
        <v/>
      </c>
      <c r="O78" s="10">
        <f>IF($B78="","",IF(AND($U78="파견중",$Q78&lt;&gt;""),IF($R78&lt;&gt;"",$R78,"파견과 미입력"),IF(AND($AD78&lt;&gt;"",LEFT($AD78,1)&lt;&gt;"⚠"),MID($AD78,FIND(" ",$AD78)+1,60),IF($F78="","",IF($F78="인턴","수련교육부(인턴)",$F78)))))</f>
        <v/>
      </c>
      <c r="P78" s="10">
        <f>IF($B78="","",IF($AK78&lt;&gt;"",IF(AND(TODAY()&gt;=INDEX(파견수련계획!$AB$4:$AB$83,$AK78),OR(NOT(ISNUMBER(INDEX(파견수련계획!$AC$4:$AC$83,$AK78))),TODAY()&lt;=INDEX(파견수련계획!$AC$4:$AC$83,$AK78))),"다기관",IF($AF78="","",INDEX(파견수련계획!$T$4:$T$83,$AF78))),IF($AF78="","",INDEX(파견수련계획!$T$4:$T$83,$AF78))))</f>
        <v/>
      </c>
      <c r="Q78" s="10">
        <f>IF($AF78="","",INDEX(파견수련계획!$S$4:$S$83,$AF78))</f>
        <v/>
      </c>
      <c r="R78" s="10">
        <f>IF($AF78="","",INDEX(파견수련계획!$U$4:$U$83,$AF78))</f>
        <v/>
      </c>
      <c r="S78" s="11">
        <f>IF($AF78="","",IF(INDEX(파견수련계획!$H$4:$H$83,$AF78)="","",INDEX(파견수련계획!$H$4:$H$83,$AF78)))</f>
        <v/>
      </c>
      <c r="T78" s="11">
        <f>IF($AF78="","",IF(INDEX(파견수련계획!$I$4:$I$83,$AF78)="","",INDEX(파견수련계획!$I$4:$I$83,$AF78)))</f>
        <v/>
      </c>
      <c r="U78" s="10">
        <f>IF($AF78="","",INDEX(파견수련계획!$X$4:$X$83,$AF78))</f>
        <v/>
      </c>
      <c r="V78" s="17">
        <f>IF($AF78="","",INDEX(파견수련계획!$V$4:$V$83,$AF78))</f>
        <v/>
      </c>
      <c r="W78" s="17">
        <f>IF(AND($U78="파견중",$T78&lt;&gt;""),$T78-TODAY(),"")</f>
        <v/>
      </c>
      <c r="X78" s="17">
        <f>IF(OR($B78="",TRIM($J78&amp;"")=""),"",SUMPRODUCT((파견수련계획!$Q$4:$Q$83=TRIM($J78&amp;""))*파견수련계획!$W$4:$W$83))</f>
        <v/>
      </c>
      <c r="Y78" s="10">
        <f>IF($B78="","",IF($AG78="","",IF(IF(TRIM($J78&amp;"")="",0,SUMPRODUCT((파견수련계획!$Q$4:$Q$83=TRIM($J78&amp;""))*파견수련계획!$AD$4:$AD$83))&gt;0,$AE78,IF(N($X78)&lt;=0,$AG78,IF($AH78+$AI78=DAY(EOMONTH(요약!$B$3,0)),IF(AND($AH78&gt;=요약!$E$3,$AI78&lt;요약!$E$3),"서울병원",IF(AND($AI78&gt;=요약!$E$3,$AH78&lt;요약!$E$3),"구리병원","⚠15일 판정불가(서울 "&amp;$AH78&amp;"일/구리 "&amp;$AI78&amp;"일)")),IF($AJ78="",$AE78,IF(INDEX(파견수련계획!$T$4:$T$83,$AJ78)="통합수련",INDEX(파견수련계획!$S$4:$S$83,$AJ78),$AE78)))))))</f>
        <v/>
      </c>
      <c r="Z78" s="19">
        <f>IF($B78="","",IF($AB78="","기본자료에 없는 사번",IF(COUNTIF($B$2:$B$401,$B78)&gt;1,"중복 사번",IF($AE78="","소속(입사장소) 입력",IF(IF(TRIM($J78&amp;"")="",0,SUMPRODUCT((파견수련계획!$Q$4:$Q$83=TRIM($J78&amp;""))*(파견수련계획!$AA$4:$AA$83&lt;&gt;"")))&gt;0,"파견수련계획 입력오류 확인",IF(LEFT($Y78,1)="⚠","서울·구리 15일 판정 불가(양쪽 모두 이상/미만)",IF(IF($AC78="",0,N(INDEX(인턴근무계획!$T$3:$T$62,$AC78)))&gt;0,"인턴계획 입력오류 확인",IF(AND($AC78&lt;&gt;"",$U78&lt;&gt;"파견중",$N78&lt;&gt;$AE78),"인턴 타지역 근무: 파견 여부 확인","정상"))))))))</f>
        <v/>
      </c>
      <c r="AA78" s="5" t="n"/>
      <c r="AB78" s="10">
        <f>IF($B78="","",IFERROR(MATCH($B78,기본자료!$B$2:$B$1001,0),IFERROR(MATCH($B78&amp;"",기본자료!$B$2:$B$1001,0),IFERROR(MATCH(VALUE($B78),기본자료!$B$2:$B$1001,0),""))))</f>
        <v/>
      </c>
      <c r="AC78" s="10">
        <f>IF($B78="","",IFERROR(MATCH($B78,인턴근무계획!$D$3:$D$62,0),IFERROR(MATCH($B78&amp;"",인턴근무계획!$D$3:$D$62,0),IFERROR(MATCH(VALUE($B78),인턴근무계획!$D$3:$D$62,0),""))))</f>
        <v/>
      </c>
      <c r="AD78" s="10">
        <f>IF(OR($AC78="",인턴현황!$G$3=""),"",INDEX(인턴근무계획!$M$3:$R$62,$AC78,인턴현황!$G$3)&amp;"")</f>
        <v/>
      </c>
      <c r="AE78" s="10">
        <f>IF($B78="","",IF($M78&lt;&gt;"",$M78,IF($AF78&lt;&gt;"",IF(LEFT(INDEX(파견수련계획!$R$4:$R$83,$AF78),1)&lt;&gt;"⚠",INDEX(파견수련계획!$R$4:$R$83,$AF78),IF($H78="","",IF(RIGHT($H78,2)="병원",$H78,$H78&amp;"병원"))),IF($H78="","",IF(RIGHT($H78,2)="병원",$H78,$H78&amp;"병원")))))</f>
        <v/>
      </c>
      <c r="AF78" s="10">
        <f>IF(OR($B78="",TRIM($J78&amp;"")=""),"",IFERROR(MATCH(TRIM($J78&amp;"")&amp;"|파견중",파견수련계획!$Y$4:$Y$83,0),IFERROR(MATCH(TRIM($J78&amp;"")&amp;"|파견예정",파견수련계획!$Y$4:$Y$83,0),IFERROR(MATCH(TRIM($J78&amp;"")&amp;"|파견종료",파견수련계획!$Y$4:$Y$83,0),""))))</f>
        <v/>
      </c>
      <c r="AG78" s="10">
        <f>IF($B78="","",IF(AND(IF(OR($AC78="",인턴현황!$K$2=""),"",INDEX(인턴근무계획!$M$3:$R$62,$AC78,인턴현황!$K$2)&amp;"")&lt;&gt;"",LEFT(IF(OR($AC78="",인턴현황!$K$2=""),"",INDEX(인턴근무계획!$M$3:$R$62,$AC78,인턴현황!$K$2)&amp;""),1)&lt;&gt;"⚠"),LEFT(IF(OR($AC78="",인턴현황!$K$2=""),"",INDEX(인턴근무계획!$M$3:$R$62,$AC78,인턴현황!$K$2)&amp;""),FIND(" ",IF(OR($AC78="",인턴현황!$K$2=""),"",INDEX(인턴근무계획!$M$3:$R$62,$AC78,인턴현황!$K$2)&amp;""))-1),$AE78))</f>
        <v/>
      </c>
      <c r="AH78" s="17">
        <f>IF($B78="","",IF(TRIM($J78&amp;"")="",0,SUMPRODUCT((파견수련계획!$Q$4:$Q$83=TRIM($J78&amp;""))*(파견수련계획!$S$4:$S$83="서울병원")*파견수련계획!$W$4:$W$83))+IF($AG78="서울병원",MAX(0,DAY(EOMONTH(요약!$B$3,0))-N($X78)),0))</f>
        <v/>
      </c>
      <c r="AI78" s="17">
        <f>IF($B78="","",IF(TRIM($J78&amp;"")="",0,SUMPRODUCT((파견수련계획!$Q$4:$Q$83=TRIM($J78&amp;""))*(파견수련계획!$S$4:$S$83="구리병원")*파견수련계획!$W$4:$W$83))+IF($AG78="구리병원",MAX(0,DAY(EOMONTH(요약!$B$3,0))-N($X78)),0))</f>
        <v/>
      </c>
      <c r="AJ78" s="10">
        <f>IF(OR($B78="",TRIM($J78&amp;"")=""),"",IFERROR(MATCH(TRIM($J78&amp;"")&amp;"|월",파견수련계획!$Z$4:$Z$83,0),""))</f>
        <v/>
      </c>
      <c r="AK78" s="10">
        <f>IF(OR($B78="",TRIM($J78&amp;"")=""),"",IFERROR(MATCH(TRIM($J78&amp;"")&amp;"|다기관",파견수련계획!$AE$4:$AE$83,0),""))</f>
        <v/>
      </c>
      <c r="AL78" s="10">
        <f>IF($AK78="","","다기관 "&amp;TEXT(INDEX(파견수련계획!$AB$4:$AB$83,$AK78),"yyyy-mm-dd")&amp;"~"&amp;IF(ISNUMBER(INDEX(파견수련계획!$AC$4:$AC$83,$AK78)),TEXT(INDEX(파견수련계획!$AC$4:$AC$83,$AK78),"yyyy-mm-dd"),""))</f>
        <v/>
      </c>
    </row>
    <row r="79">
      <c r="A79" s="10">
        <f>IF(B79="","",ROW()-1)</f>
        <v/>
      </c>
      <c r="B79" s="18" t="n"/>
      <c r="C79" s="10">
        <f>IF($AB79="","",IF(INDEX(기본자료!$C$2:$C$1001,$AB79)="","",INDEX(기본자료!$C$2:$C$1001,$AB79)))</f>
        <v/>
      </c>
      <c r="D79" s="10">
        <f>IF($AB79="","",IF(INDEX(기본자료!$J$2:$J$1001,$AB79)="","",INDEX(기본자료!$J$2:$J$1001,$AB79)))</f>
        <v/>
      </c>
      <c r="E79" s="11">
        <f>IF($AB79="","",IF(INDEX(기본자료!$K$2:$K$1001,$AB79)="","",IF(NOT(ISNUMBER(INDEX(기본자료!$K$2:$K$1001,$AB79))),INDEX(기본자료!$K$2:$K$1001,$AB79),IF(INDEX(기본자료!$K$2:$K$1001,$AB79)&lt;1000000,INDEX(기본자료!$K$2:$K$1001,$AB79),IF(AND(INDEX(기본자료!$K$2:$K$1001,$AB79)&gt;=10000101,INT(MOD(INDEX(기본자료!$K$2:$K$1001,$AB79),10000)/100)&gt;=1,INT(MOD(INDEX(기본자료!$K$2:$K$1001,$AB79),10000)/100)&lt;=12,MOD(INDEX(기본자료!$K$2:$K$1001,$AB79),100)&gt;=1,MOD(INDEX(기본자료!$K$2:$K$1001,$AB79),100)&lt;=31),DATE(INT(INDEX(기본자료!$K$2:$K$1001,$AB79)/10000),INT(MOD(INDEX(기본자료!$K$2:$K$1001,$AB79),10000)/100),MOD(INDEX(기본자료!$K$2:$K$1001,$AB79),100)),INDEX(기본자료!$K$2:$K$1001,$AB79)&amp;"")))))</f>
        <v/>
      </c>
      <c r="F79" s="10">
        <f>IF($AB79="","",IF(INDEX(기본자료!$D$2:$D$1001,$AB79)="","",INDEX(기본자료!$D$2:$D$1001,$AB79)))</f>
        <v/>
      </c>
      <c r="G79" s="10">
        <f>IF($AB79="","",IF(INDEX(기본자료!$E$2:$E$1001,$AB79)="","",INDEX(기본자료!$E$2:$E$1001,$AB79)))</f>
        <v/>
      </c>
      <c r="H79" s="10">
        <f>IF($AB79="","",IF(INDEX(기본자료!$F$2:$F$1001,$AB79)="","",INDEX(기본자료!$F$2:$F$1001,$AB79)))</f>
        <v/>
      </c>
      <c r="I79" s="11">
        <f>IF($AB79="","",IF(INDEX(기본자료!$G$2:$G$1001,$AB79)="","",IF(NOT(ISNUMBER(INDEX(기본자료!$G$2:$G$1001,$AB79))),INDEX(기본자료!$G$2:$G$1001,$AB79),IF(INDEX(기본자료!$G$2:$G$1001,$AB79)&lt;1000000,INDEX(기본자료!$G$2:$G$1001,$AB79),IF(AND(INDEX(기본자료!$G$2:$G$1001,$AB79)&gt;=10000101,INT(MOD(INDEX(기본자료!$G$2:$G$1001,$AB79),10000)/100)&gt;=1,INT(MOD(INDEX(기본자료!$G$2:$G$1001,$AB79),10000)/100)&lt;=12,MOD(INDEX(기본자료!$G$2:$G$1001,$AB79),100)&gt;=1,MOD(INDEX(기본자료!$G$2:$G$1001,$AB79),100)&lt;=31),DATE(INT(INDEX(기본자료!$G$2:$G$1001,$AB79)/10000),INT(MOD(INDEX(기본자료!$G$2:$G$1001,$AB79),10000)/100),MOD(INDEX(기본자료!$G$2:$G$1001,$AB79),100)),INDEX(기본자료!$G$2:$G$1001,$AB79)&amp;"")))))</f>
        <v/>
      </c>
      <c r="J79" s="10">
        <f>IF($AB79="","",IF(INDEX(기본자료!$H$2:$H$1001,$AB79)="","",INDEX(기본자료!$H$2:$H$1001,$AB79)))</f>
        <v/>
      </c>
      <c r="K79" s="10">
        <f>IF($AB79="","",IF(INDEX(기본자료!$I$2:$I$1001,$AB79)="","",INDEX(기본자료!$I$2:$I$1001,$AB79)))</f>
        <v/>
      </c>
      <c r="L79" s="10">
        <f>IF($AB79="","",IF(INDEX(기본자료!$A$2:$A$1001,$AB79)="","",INDEX(기본자료!$A$2:$A$1001,$AB79)))</f>
        <v/>
      </c>
      <c r="M79" s="15" t="n"/>
      <c r="N79" s="10">
        <f>IF($B79="","",IF(AND($U79="파견중",$Q79&lt;&gt;""),$Q79,IF(AND($AD79&lt;&gt;"",LEFT($AD79,1)&lt;&gt;"⚠"),LEFT($AD79,FIND(" ",$AD79)-1),IF($H79="","",IF(RIGHT($H79,2)="병원",$H79,$H79&amp;"병원")))))</f>
        <v/>
      </c>
      <c r="O79" s="10">
        <f>IF($B79="","",IF(AND($U79="파견중",$Q79&lt;&gt;""),IF($R79&lt;&gt;"",$R79,"파견과 미입력"),IF(AND($AD79&lt;&gt;"",LEFT($AD79,1)&lt;&gt;"⚠"),MID($AD79,FIND(" ",$AD79)+1,60),IF($F79="","",IF($F79="인턴","수련교육부(인턴)",$F79)))))</f>
        <v/>
      </c>
      <c r="P79" s="10">
        <f>IF($B79="","",IF($AK79&lt;&gt;"",IF(AND(TODAY()&gt;=INDEX(파견수련계획!$AB$4:$AB$83,$AK79),OR(NOT(ISNUMBER(INDEX(파견수련계획!$AC$4:$AC$83,$AK79))),TODAY()&lt;=INDEX(파견수련계획!$AC$4:$AC$83,$AK79))),"다기관",IF($AF79="","",INDEX(파견수련계획!$T$4:$T$83,$AF79))),IF($AF79="","",INDEX(파견수련계획!$T$4:$T$83,$AF79))))</f>
        <v/>
      </c>
      <c r="Q79" s="10">
        <f>IF($AF79="","",INDEX(파견수련계획!$S$4:$S$83,$AF79))</f>
        <v/>
      </c>
      <c r="R79" s="10">
        <f>IF($AF79="","",INDEX(파견수련계획!$U$4:$U$83,$AF79))</f>
        <v/>
      </c>
      <c r="S79" s="11">
        <f>IF($AF79="","",IF(INDEX(파견수련계획!$H$4:$H$83,$AF79)="","",INDEX(파견수련계획!$H$4:$H$83,$AF79)))</f>
        <v/>
      </c>
      <c r="T79" s="11">
        <f>IF($AF79="","",IF(INDEX(파견수련계획!$I$4:$I$83,$AF79)="","",INDEX(파견수련계획!$I$4:$I$83,$AF79)))</f>
        <v/>
      </c>
      <c r="U79" s="10">
        <f>IF($AF79="","",INDEX(파견수련계획!$X$4:$X$83,$AF79))</f>
        <v/>
      </c>
      <c r="V79" s="17">
        <f>IF($AF79="","",INDEX(파견수련계획!$V$4:$V$83,$AF79))</f>
        <v/>
      </c>
      <c r="W79" s="17">
        <f>IF(AND($U79="파견중",$T79&lt;&gt;""),$T79-TODAY(),"")</f>
        <v/>
      </c>
      <c r="X79" s="17">
        <f>IF(OR($B79="",TRIM($J79&amp;"")=""),"",SUMPRODUCT((파견수련계획!$Q$4:$Q$83=TRIM($J79&amp;""))*파견수련계획!$W$4:$W$83))</f>
        <v/>
      </c>
      <c r="Y79" s="10">
        <f>IF($B79="","",IF($AG79="","",IF(IF(TRIM($J79&amp;"")="",0,SUMPRODUCT((파견수련계획!$Q$4:$Q$83=TRIM($J79&amp;""))*파견수련계획!$AD$4:$AD$83))&gt;0,$AE79,IF(N($X79)&lt;=0,$AG79,IF($AH79+$AI79=DAY(EOMONTH(요약!$B$3,0)),IF(AND($AH79&gt;=요약!$E$3,$AI79&lt;요약!$E$3),"서울병원",IF(AND($AI79&gt;=요약!$E$3,$AH79&lt;요약!$E$3),"구리병원","⚠15일 판정불가(서울 "&amp;$AH79&amp;"일/구리 "&amp;$AI79&amp;"일)")),IF($AJ79="",$AE79,IF(INDEX(파견수련계획!$T$4:$T$83,$AJ79)="통합수련",INDEX(파견수련계획!$S$4:$S$83,$AJ79),$AE79)))))))</f>
        <v/>
      </c>
      <c r="Z79" s="19">
        <f>IF($B79="","",IF($AB79="","기본자료에 없는 사번",IF(COUNTIF($B$2:$B$401,$B79)&gt;1,"중복 사번",IF($AE79="","소속(입사장소) 입력",IF(IF(TRIM($J79&amp;"")="",0,SUMPRODUCT((파견수련계획!$Q$4:$Q$83=TRIM($J79&amp;""))*(파견수련계획!$AA$4:$AA$83&lt;&gt;"")))&gt;0,"파견수련계획 입력오류 확인",IF(LEFT($Y79,1)="⚠","서울·구리 15일 판정 불가(양쪽 모두 이상/미만)",IF(IF($AC79="",0,N(INDEX(인턴근무계획!$T$3:$T$62,$AC79)))&gt;0,"인턴계획 입력오류 확인",IF(AND($AC79&lt;&gt;"",$U79&lt;&gt;"파견중",$N79&lt;&gt;$AE79),"인턴 타지역 근무: 파견 여부 확인","정상"))))))))</f>
        <v/>
      </c>
      <c r="AA79" s="5" t="n"/>
      <c r="AB79" s="10">
        <f>IF($B79="","",IFERROR(MATCH($B79,기본자료!$B$2:$B$1001,0),IFERROR(MATCH($B79&amp;"",기본자료!$B$2:$B$1001,0),IFERROR(MATCH(VALUE($B79),기본자료!$B$2:$B$1001,0),""))))</f>
        <v/>
      </c>
      <c r="AC79" s="10">
        <f>IF($B79="","",IFERROR(MATCH($B79,인턴근무계획!$D$3:$D$62,0),IFERROR(MATCH($B79&amp;"",인턴근무계획!$D$3:$D$62,0),IFERROR(MATCH(VALUE($B79),인턴근무계획!$D$3:$D$62,0),""))))</f>
        <v/>
      </c>
      <c r="AD79" s="10">
        <f>IF(OR($AC79="",인턴현황!$G$3=""),"",INDEX(인턴근무계획!$M$3:$R$62,$AC79,인턴현황!$G$3)&amp;"")</f>
        <v/>
      </c>
      <c r="AE79" s="10">
        <f>IF($B79="","",IF($M79&lt;&gt;"",$M79,IF($AF79&lt;&gt;"",IF(LEFT(INDEX(파견수련계획!$R$4:$R$83,$AF79),1)&lt;&gt;"⚠",INDEX(파견수련계획!$R$4:$R$83,$AF79),IF($H79="","",IF(RIGHT($H79,2)="병원",$H79,$H79&amp;"병원"))),IF($H79="","",IF(RIGHT($H79,2)="병원",$H79,$H79&amp;"병원")))))</f>
        <v/>
      </c>
      <c r="AF79" s="10">
        <f>IF(OR($B79="",TRIM($J79&amp;"")=""),"",IFERROR(MATCH(TRIM($J79&amp;"")&amp;"|파견중",파견수련계획!$Y$4:$Y$83,0),IFERROR(MATCH(TRIM($J79&amp;"")&amp;"|파견예정",파견수련계획!$Y$4:$Y$83,0),IFERROR(MATCH(TRIM($J79&amp;"")&amp;"|파견종료",파견수련계획!$Y$4:$Y$83,0),""))))</f>
        <v/>
      </c>
      <c r="AG79" s="10">
        <f>IF($B79="","",IF(AND(IF(OR($AC79="",인턴현황!$K$2=""),"",INDEX(인턴근무계획!$M$3:$R$62,$AC79,인턴현황!$K$2)&amp;"")&lt;&gt;"",LEFT(IF(OR($AC79="",인턴현황!$K$2=""),"",INDEX(인턴근무계획!$M$3:$R$62,$AC79,인턴현황!$K$2)&amp;""),1)&lt;&gt;"⚠"),LEFT(IF(OR($AC79="",인턴현황!$K$2=""),"",INDEX(인턴근무계획!$M$3:$R$62,$AC79,인턴현황!$K$2)&amp;""),FIND(" ",IF(OR($AC79="",인턴현황!$K$2=""),"",INDEX(인턴근무계획!$M$3:$R$62,$AC79,인턴현황!$K$2)&amp;""))-1),$AE79))</f>
        <v/>
      </c>
      <c r="AH79" s="17">
        <f>IF($B79="","",IF(TRIM($J79&amp;"")="",0,SUMPRODUCT((파견수련계획!$Q$4:$Q$83=TRIM($J79&amp;""))*(파견수련계획!$S$4:$S$83="서울병원")*파견수련계획!$W$4:$W$83))+IF($AG79="서울병원",MAX(0,DAY(EOMONTH(요약!$B$3,0))-N($X79)),0))</f>
        <v/>
      </c>
      <c r="AI79" s="17">
        <f>IF($B79="","",IF(TRIM($J79&amp;"")="",0,SUMPRODUCT((파견수련계획!$Q$4:$Q$83=TRIM($J79&amp;""))*(파견수련계획!$S$4:$S$83="구리병원")*파견수련계획!$W$4:$W$83))+IF($AG79="구리병원",MAX(0,DAY(EOMONTH(요약!$B$3,0))-N($X79)),0))</f>
        <v/>
      </c>
      <c r="AJ79" s="10">
        <f>IF(OR($B79="",TRIM($J79&amp;"")=""),"",IFERROR(MATCH(TRIM($J79&amp;"")&amp;"|월",파견수련계획!$Z$4:$Z$83,0),""))</f>
        <v/>
      </c>
      <c r="AK79" s="10">
        <f>IF(OR($B79="",TRIM($J79&amp;"")=""),"",IFERROR(MATCH(TRIM($J79&amp;"")&amp;"|다기관",파견수련계획!$AE$4:$AE$83,0),""))</f>
        <v/>
      </c>
      <c r="AL79" s="10">
        <f>IF($AK79="","","다기관 "&amp;TEXT(INDEX(파견수련계획!$AB$4:$AB$83,$AK79),"yyyy-mm-dd")&amp;"~"&amp;IF(ISNUMBER(INDEX(파견수련계획!$AC$4:$AC$83,$AK79)),TEXT(INDEX(파견수련계획!$AC$4:$AC$83,$AK79),"yyyy-mm-dd"),""))</f>
        <v/>
      </c>
    </row>
    <row r="80">
      <c r="A80" s="10">
        <f>IF(B80="","",ROW()-1)</f>
        <v/>
      </c>
      <c r="B80" s="18" t="n"/>
      <c r="C80" s="10">
        <f>IF($AB80="","",IF(INDEX(기본자료!$C$2:$C$1001,$AB80)="","",INDEX(기본자료!$C$2:$C$1001,$AB80)))</f>
        <v/>
      </c>
      <c r="D80" s="10">
        <f>IF($AB80="","",IF(INDEX(기본자료!$J$2:$J$1001,$AB80)="","",INDEX(기본자료!$J$2:$J$1001,$AB80)))</f>
        <v/>
      </c>
      <c r="E80" s="11">
        <f>IF($AB80="","",IF(INDEX(기본자료!$K$2:$K$1001,$AB80)="","",IF(NOT(ISNUMBER(INDEX(기본자료!$K$2:$K$1001,$AB80))),INDEX(기본자료!$K$2:$K$1001,$AB80),IF(INDEX(기본자료!$K$2:$K$1001,$AB80)&lt;1000000,INDEX(기본자료!$K$2:$K$1001,$AB80),IF(AND(INDEX(기본자료!$K$2:$K$1001,$AB80)&gt;=10000101,INT(MOD(INDEX(기본자료!$K$2:$K$1001,$AB80),10000)/100)&gt;=1,INT(MOD(INDEX(기본자료!$K$2:$K$1001,$AB80),10000)/100)&lt;=12,MOD(INDEX(기본자료!$K$2:$K$1001,$AB80),100)&gt;=1,MOD(INDEX(기본자료!$K$2:$K$1001,$AB80),100)&lt;=31),DATE(INT(INDEX(기본자료!$K$2:$K$1001,$AB80)/10000),INT(MOD(INDEX(기본자료!$K$2:$K$1001,$AB80),10000)/100),MOD(INDEX(기본자료!$K$2:$K$1001,$AB80),100)),INDEX(기본자료!$K$2:$K$1001,$AB80)&amp;"")))))</f>
        <v/>
      </c>
      <c r="F80" s="10">
        <f>IF($AB80="","",IF(INDEX(기본자료!$D$2:$D$1001,$AB80)="","",INDEX(기본자료!$D$2:$D$1001,$AB80)))</f>
        <v/>
      </c>
      <c r="G80" s="10">
        <f>IF($AB80="","",IF(INDEX(기본자료!$E$2:$E$1001,$AB80)="","",INDEX(기본자료!$E$2:$E$1001,$AB80)))</f>
        <v/>
      </c>
      <c r="H80" s="10">
        <f>IF($AB80="","",IF(INDEX(기본자료!$F$2:$F$1001,$AB80)="","",INDEX(기본자료!$F$2:$F$1001,$AB80)))</f>
        <v/>
      </c>
      <c r="I80" s="11">
        <f>IF($AB80="","",IF(INDEX(기본자료!$G$2:$G$1001,$AB80)="","",IF(NOT(ISNUMBER(INDEX(기본자료!$G$2:$G$1001,$AB80))),INDEX(기본자료!$G$2:$G$1001,$AB80),IF(INDEX(기본자료!$G$2:$G$1001,$AB80)&lt;1000000,INDEX(기본자료!$G$2:$G$1001,$AB80),IF(AND(INDEX(기본자료!$G$2:$G$1001,$AB80)&gt;=10000101,INT(MOD(INDEX(기본자료!$G$2:$G$1001,$AB80),10000)/100)&gt;=1,INT(MOD(INDEX(기본자료!$G$2:$G$1001,$AB80),10000)/100)&lt;=12,MOD(INDEX(기본자료!$G$2:$G$1001,$AB80),100)&gt;=1,MOD(INDEX(기본자료!$G$2:$G$1001,$AB80),100)&lt;=31),DATE(INT(INDEX(기본자료!$G$2:$G$1001,$AB80)/10000),INT(MOD(INDEX(기본자료!$G$2:$G$1001,$AB80),10000)/100),MOD(INDEX(기본자료!$G$2:$G$1001,$AB80),100)),INDEX(기본자료!$G$2:$G$1001,$AB80)&amp;"")))))</f>
        <v/>
      </c>
      <c r="J80" s="10">
        <f>IF($AB80="","",IF(INDEX(기본자료!$H$2:$H$1001,$AB80)="","",INDEX(기본자료!$H$2:$H$1001,$AB80)))</f>
        <v/>
      </c>
      <c r="K80" s="10">
        <f>IF($AB80="","",IF(INDEX(기본자료!$I$2:$I$1001,$AB80)="","",INDEX(기본자료!$I$2:$I$1001,$AB80)))</f>
        <v/>
      </c>
      <c r="L80" s="10">
        <f>IF($AB80="","",IF(INDEX(기본자료!$A$2:$A$1001,$AB80)="","",INDEX(기본자료!$A$2:$A$1001,$AB80)))</f>
        <v/>
      </c>
      <c r="M80" s="15" t="n"/>
      <c r="N80" s="10">
        <f>IF($B80="","",IF(AND($U80="파견중",$Q80&lt;&gt;""),$Q80,IF(AND($AD80&lt;&gt;"",LEFT($AD80,1)&lt;&gt;"⚠"),LEFT($AD80,FIND(" ",$AD80)-1),IF($H80="","",IF(RIGHT($H80,2)="병원",$H80,$H80&amp;"병원")))))</f>
        <v/>
      </c>
      <c r="O80" s="10">
        <f>IF($B80="","",IF(AND($U80="파견중",$Q80&lt;&gt;""),IF($R80&lt;&gt;"",$R80,"파견과 미입력"),IF(AND($AD80&lt;&gt;"",LEFT($AD80,1)&lt;&gt;"⚠"),MID($AD80,FIND(" ",$AD80)+1,60),IF($F80="","",IF($F80="인턴","수련교육부(인턴)",$F80)))))</f>
        <v/>
      </c>
      <c r="P80" s="10">
        <f>IF($B80="","",IF($AK80&lt;&gt;"",IF(AND(TODAY()&gt;=INDEX(파견수련계획!$AB$4:$AB$83,$AK80),OR(NOT(ISNUMBER(INDEX(파견수련계획!$AC$4:$AC$83,$AK80))),TODAY()&lt;=INDEX(파견수련계획!$AC$4:$AC$83,$AK80))),"다기관",IF($AF80="","",INDEX(파견수련계획!$T$4:$T$83,$AF80))),IF($AF80="","",INDEX(파견수련계획!$T$4:$T$83,$AF80))))</f>
        <v/>
      </c>
      <c r="Q80" s="10">
        <f>IF($AF80="","",INDEX(파견수련계획!$S$4:$S$83,$AF80))</f>
        <v/>
      </c>
      <c r="R80" s="10">
        <f>IF($AF80="","",INDEX(파견수련계획!$U$4:$U$83,$AF80))</f>
        <v/>
      </c>
      <c r="S80" s="11">
        <f>IF($AF80="","",IF(INDEX(파견수련계획!$H$4:$H$83,$AF80)="","",INDEX(파견수련계획!$H$4:$H$83,$AF80)))</f>
        <v/>
      </c>
      <c r="T80" s="11">
        <f>IF($AF80="","",IF(INDEX(파견수련계획!$I$4:$I$83,$AF80)="","",INDEX(파견수련계획!$I$4:$I$83,$AF80)))</f>
        <v/>
      </c>
      <c r="U80" s="10">
        <f>IF($AF80="","",INDEX(파견수련계획!$X$4:$X$83,$AF80))</f>
        <v/>
      </c>
      <c r="V80" s="17">
        <f>IF($AF80="","",INDEX(파견수련계획!$V$4:$V$83,$AF80))</f>
        <v/>
      </c>
      <c r="W80" s="17">
        <f>IF(AND($U80="파견중",$T80&lt;&gt;""),$T80-TODAY(),"")</f>
        <v/>
      </c>
      <c r="X80" s="17">
        <f>IF(OR($B80="",TRIM($J80&amp;"")=""),"",SUMPRODUCT((파견수련계획!$Q$4:$Q$83=TRIM($J80&amp;""))*파견수련계획!$W$4:$W$83))</f>
        <v/>
      </c>
      <c r="Y80" s="10">
        <f>IF($B80="","",IF($AG80="","",IF(IF(TRIM($J80&amp;"")="",0,SUMPRODUCT((파견수련계획!$Q$4:$Q$83=TRIM($J80&amp;""))*파견수련계획!$AD$4:$AD$83))&gt;0,$AE80,IF(N($X80)&lt;=0,$AG80,IF($AH80+$AI80=DAY(EOMONTH(요약!$B$3,0)),IF(AND($AH80&gt;=요약!$E$3,$AI80&lt;요약!$E$3),"서울병원",IF(AND($AI80&gt;=요약!$E$3,$AH80&lt;요약!$E$3),"구리병원","⚠15일 판정불가(서울 "&amp;$AH80&amp;"일/구리 "&amp;$AI80&amp;"일)")),IF($AJ80="",$AE80,IF(INDEX(파견수련계획!$T$4:$T$83,$AJ80)="통합수련",INDEX(파견수련계획!$S$4:$S$83,$AJ80),$AE80)))))))</f>
        <v/>
      </c>
      <c r="Z80" s="19">
        <f>IF($B80="","",IF($AB80="","기본자료에 없는 사번",IF(COUNTIF($B$2:$B$401,$B80)&gt;1,"중복 사번",IF($AE80="","소속(입사장소) 입력",IF(IF(TRIM($J80&amp;"")="",0,SUMPRODUCT((파견수련계획!$Q$4:$Q$83=TRIM($J80&amp;""))*(파견수련계획!$AA$4:$AA$83&lt;&gt;"")))&gt;0,"파견수련계획 입력오류 확인",IF(LEFT($Y80,1)="⚠","서울·구리 15일 판정 불가(양쪽 모두 이상/미만)",IF(IF($AC80="",0,N(INDEX(인턴근무계획!$T$3:$T$62,$AC80)))&gt;0,"인턴계획 입력오류 확인",IF(AND($AC80&lt;&gt;"",$U80&lt;&gt;"파견중",$N80&lt;&gt;$AE80),"인턴 타지역 근무: 파견 여부 확인","정상"))))))))</f>
        <v/>
      </c>
      <c r="AA80" s="5" t="n"/>
      <c r="AB80" s="10">
        <f>IF($B80="","",IFERROR(MATCH($B80,기본자료!$B$2:$B$1001,0),IFERROR(MATCH($B80&amp;"",기본자료!$B$2:$B$1001,0),IFERROR(MATCH(VALUE($B80),기본자료!$B$2:$B$1001,0),""))))</f>
        <v/>
      </c>
      <c r="AC80" s="10">
        <f>IF($B80="","",IFERROR(MATCH($B80,인턴근무계획!$D$3:$D$62,0),IFERROR(MATCH($B80&amp;"",인턴근무계획!$D$3:$D$62,0),IFERROR(MATCH(VALUE($B80),인턴근무계획!$D$3:$D$62,0),""))))</f>
        <v/>
      </c>
      <c r="AD80" s="10">
        <f>IF(OR($AC80="",인턴현황!$G$3=""),"",INDEX(인턴근무계획!$M$3:$R$62,$AC80,인턴현황!$G$3)&amp;"")</f>
        <v/>
      </c>
      <c r="AE80" s="10">
        <f>IF($B80="","",IF($M80&lt;&gt;"",$M80,IF($AF80&lt;&gt;"",IF(LEFT(INDEX(파견수련계획!$R$4:$R$83,$AF80),1)&lt;&gt;"⚠",INDEX(파견수련계획!$R$4:$R$83,$AF80),IF($H80="","",IF(RIGHT($H80,2)="병원",$H80,$H80&amp;"병원"))),IF($H80="","",IF(RIGHT($H80,2)="병원",$H80,$H80&amp;"병원")))))</f>
        <v/>
      </c>
      <c r="AF80" s="10">
        <f>IF(OR($B80="",TRIM($J80&amp;"")=""),"",IFERROR(MATCH(TRIM($J80&amp;"")&amp;"|파견중",파견수련계획!$Y$4:$Y$83,0),IFERROR(MATCH(TRIM($J80&amp;"")&amp;"|파견예정",파견수련계획!$Y$4:$Y$83,0),IFERROR(MATCH(TRIM($J80&amp;"")&amp;"|파견종료",파견수련계획!$Y$4:$Y$83,0),""))))</f>
        <v/>
      </c>
      <c r="AG80" s="10">
        <f>IF($B80="","",IF(AND(IF(OR($AC80="",인턴현황!$K$2=""),"",INDEX(인턴근무계획!$M$3:$R$62,$AC80,인턴현황!$K$2)&amp;"")&lt;&gt;"",LEFT(IF(OR($AC80="",인턴현황!$K$2=""),"",INDEX(인턴근무계획!$M$3:$R$62,$AC80,인턴현황!$K$2)&amp;""),1)&lt;&gt;"⚠"),LEFT(IF(OR($AC80="",인턴현황!$K$2=""),"",INDEX(인턴근무계획!$M$3:$R$62,$AC80,인턴현황!$K$2)&amp;""),FIND(" ",IF(OR($AC80="",인턴현황!$K$2=""),"",INDEX(인턴근무계획!$M$3:$R$62,$AC80,인턴현황!$K$2)&amp;""))-1),$AE80))</f>
        <v/>
      </c>
      <c r="AH80" s="17">
        <f>IF($B80="","",IF(TRIM($J80&amp;"")="",0,SUMPRODUCT((파견수련계획!$Q$4:$Q$83=TRIM($J80&amp;""))*(파견수련계획!$S$4:$S$83="서울병원")*파견수련계획!$W$4:$W$83))+IF($AG80="서울병원",MAX(0,DAY(EOMONTH(요약!$B$3,0))-N($X80)),0))</f>
        <v/>
      </c>
      <c r="AI80" s="17">
        <f>IF($B80="","",IF(TRIM($J80&amp;"")="",0,SUMPRODUCT((파견수련계획!$Q$4:$Q$83=TRIM($J80&amp;""))*(파견수련계획!$S$4:$S$83="구리병원")*파견수련계획!$W$4:$W$83))+IF($AG80="구리병원",MAX(0,DAY(EOMONTH(요약!$B$3,0))-N($X80)),0))</f>
        <v/>
      </c>
      <c r="AJ80" s="10">
        <f>IF(OR($B80="",TRIM($J80&amp;"")=""),"",IFERROR(MATCH(TRIM($J80&amp;"")&amp;"|월",파견수련계획!$Z$4:$Z$83,0),""))</f>
        <v/>
      </c>
      <c r="AK80" s="10">
        <f>IF(OR($B80="",TRIM($J80&amp;"")=""),"",IFERROR(MATCH(TRIM($J80&amp;"")&amp;"|다기관",파견수련계획!$AE$4:$AE$83,0),""))</f>
        <v/>
      </c>
      <c r="AL80" s="10">
        <f>IF($AK80="","","다기관 "&amp;TEXT(INDEX(파견수련계획!$AB$4:$AB$83,$AK80),"yyyy-mm-dd")&amp;"~"&amp;IF(ISNUMBER(INDEX(파견수련계획!$AC$4:$AC$83,$AK80)),TEXT(INDEX(파견수련계획!$AC$4:$AC$83,$AK80),"yyyy-mm-dd"),""))</f>
        <v/>
      </c>
    </row>
    <row r="81">
      <c r="A81" s="10">
        <f>IF(B81="","",ROW()-1)</f>
        <v/>
      </c>
      <c r="B81" s="18" t="n"/>
      <c r="C81" s="10">
        <f>IF($AB81="","",IF(INDEX(기본자료!$C$2:$C$1001,$AB81)="","",INDEX(기본자료!$C$2:$C$1001,$AB81)))</f>
        <v/>
      </c>
      <c r="D81" s="10">
        <f>IF($AB81="","",IF(INDEX(기본자료!$J$2:$J$1001,$AB81)="","",INDEX(기본자료!$J$2:$J$1001,$AB81)))</f>
        <v/>
      </c>
      <c r="E81" s="11">
        <f>IF($AB81="","",IF(INDEX(기본자료!$K$2:$K$1001,$AB81)="","",IF(NOT(ISNUMBER(INDEX(기본자료!$K$2:$K$1001,$AB81))),INDEX(기본자료!$K$2:$K$1001,$AB81),IF(INDEX(기본자료!$K$2:$K$1001,$AB81)&lt;1000000,INDEX(기본자료!$K$2:$K$1001,$AB81),IF(AND(INDEX(기본자료!$K$2:$K$1001,$AB81)&gt;=10000101,INT(MOD(INDEX(기본자료!$K$2:$K$1001,$AB81),10000)/100)&gt;=1,INT(MOD(INDEX(기본자료!$K$2:$K$1001,$AB81),10000)/100)&lt;=12,MOD(INDEX(기본자료!$K$2:$K$1001,$AB81),100)&gt;=1,MOD(INDEX(기본자료!$K$2:$K$1001,$AB81),100)&lt;=31),DATE(INT(INDEX(기본자료!$K$2:$K$1001,$AB81)/10000),INT(MOD(INDEX(기본자료!$K$2:$K$1001,$AB81),10000)/100),MOD(INDEX(기본자료!$K$2:$K$1001,$AB81),100)),INDEX(기본자료!$K$2:$K$1001,$AB81)&amp;"")))))</f>
        <v/>
      </c>
      <c r="F81" s="10">
        <f>IF($AB81="","",IF(INDEX(기본자료!$D$2:$D$1001,$AB81)="","",INDEX(기본자료!$D$2:$D$1001,$AB81)))</f>
        <v/>
      </c>
      <c r="G81" s="10">
        <f>IF($AB81="","",IF(INDEX(기본자료!$E$2:$E$1001,$AB81)="","",INDEX(기본자료!$E$2:$E$1001,$AB81)))</f>
        <v/>
      </c>
      <c r="H81" s="10">
        <f>IF($AB81="","",IF(INDEX(기본자료!$F$2:$F$1001,$AB81)="","",INDEX(기본자료!$F$2:$F$1001,$AB81)))</f>
        <v/>
      </c>
      <c r="I81" s="11">
        <f>IF($AB81="","",IF(INDEX(기본자료!$G$2:$G$1001,$AB81)="","",IF(NOT(ISNUMBER(INDEX(기본자료!$G$2:$G$1001,$AB81))),INDEX(기본자료!$G$2:$G$1001,$AB81),IF(INDEX(기본자료!$G$2:$G$1001,$AB81)&lt;1000000,INDEX(기본자료!$G$2:$G$1001,$AB81),IF(AND(INDEX(기본자료!$G$2:$G$1001,$AB81)&gt;=10000101,INT(MOD(INDEX(기본자료!$G$2:$G$1001,$AB81),10000)/100)&gt;=1,INT(MOD(INDEX(기본자료!$G$2:$G$1001,$AB81),10000)/100)&lt;=12,MOD(INDEX(기본자료!$G$2:$G$1001,$AB81),100)&gt;=1,MOD(INDEX(기본자료!$G$2:$G$1001,$AB81),100)&lt;=31),DATE(INT(INDEX(기본자료!$G$2:$G$1001,$AB81)/10000),INT(MOD(INDEX(기본자료!$G$2:$G$1001,$AB81),10000)/100),MOD(INDEX(기본자료!$G$2:$G$1001,$AB81),100)),INDEX(기본자료!$G$2:$G$1001,$AB81)&amp;"")))))</f>
        <v/>
      </c>
      <c r="J81" s="10">
        <f>IF($AB81="","",IF(INDEX(기본자료!$H$2:$H$1001,$AB81)="","",INDEX(기본자료!$H$2:$H$1001,$AB81)))</f>
        <v/>
      </c>
      <c r="K81" s="10">
        <f>IF($AB81="","",IF(INDEX(기본자료!$I$2:$I$1001,$AB81)="","",INDEX(기본자료!$I$2:$I$1001,$AB81)))</f>
        <v/>
      </c>
      <c r="L81" s="10">
        <f>IF($AB81="","",IF(INDEX(기본자료!$A$2:$A$1001,$AB81)="","",INDEX(기본자료!$A$2:$A$1001,$AB81)))</f>
        <v/>
      </c>
      <c r="M81" s="15" t="n"/>
      <c r="N81" s="10">
        <f>IF($B81="","",IF(AND($U81="파견중",$Q81&lt;&gt;""),$Q81,IF(AND($AD81&lt;&gt;"",LEFT($AD81,1)&lt;&gt;"⚠"),LEFT($AD81,FIND(" ",$AD81)-1),IF($H81="","",IF(RIGHT($H81,2)="병원",$H81,$H81&amp;"병원")))))</f>
        <v/>
      </c>
      <c r="O81" s="10">
        <f>IF($B81="","",IF(AND($U81="파견중",$Q81&lt;&gt;""),IF($R81&lt;&gt;"",$R81,"파견과 미입력"),IF(AND($AD81&lt;&gt;"",LEFT($AD81,1)&lt;&gt;"⚠"),MID($AD81,FIND(" ",$AD81)+1,60),IF($F81="","",IF($F81="인턴","수련교육부(인턴)",$F81)))))</f>
        <v/>
      </c>
      <c r="P81" s="10">
        <f>IF($B81="","",IF($AK81&lt;&gt;"",IF(AND(TODAY()&gt;=INDEX(파견수련계획!$AB$4:$AB$83,$AK81),OR(NOT(ISNUMBER(INDEX(파견수련계획!$AC$4:$AC$83,$AK81))),TODAY()&lt;=INDEX(파견수련계획!$AC$4:$AC$83,$AK81))),"다기관",IF($AF81="","",INDEX(파견수련계획!$T$4:$T$83,$AF81))),IF($AF81="","",INDEX(파견수련계획!$T$4:$T$83,$AF81))))</f>
        <v/>
      </c>
      <c r="Q81" s="10">
        <f>IF($AF81="","",INDEX(파견수련계획!$S$4:$S$83,$AF81))</f>
        <v/>
      </c>
      <c r="R81" s="10">
        <f>IF($AF81="","",INDEX(파견수련계획!$U$4:$U$83,$AF81))</f>
        <v/>
      </c>
      <c r="S81" s="11">
        <f>IF($AF81="","",IF(INDEX(파견수련계획!$H$4:$H$83,$AF81)="","",INDEX(파견수련계획!$H$4:$H$83,$AF81)))</f>
        <v/>
      </c>
      <c r="T81" s="11">
        <f>IF($AF81="","",IF(INDEX(파견수련계획!$I$4:$I$83,$AF81)="","",INDEX(파견수련계획!$I$4:$I$83,$AF81)))</f>
        <v/>
      </c>
      <c r="U81" s="10">
        <f>IF($AF81="","",INDEX(파견수련계획!$X$4:$X$83,$AF81))</f>
        <v/>
      </c>
      <c r="V81" s="17">
        <f>IF($AF81="","",INDEX(파견수련계획!$V$4:$V$83,$AF81))</f>
        <v/>
      </c>
      <c r="W81" s="17">
        <f>IF(AND($U81="파견중",$T81&lt;&gt;""),$T81-TODAY(),"")</f>
        <v/>
      </c>
      <c r="X81" s="17">
        <f>IF(OR($B81="",TRIM($J81&amp;"")=""),"",SUMPRODUCT((파견수련계획!$Q$4:$Q$83=TRIM($J81&amp;""))*파견수련계획!$W$4:$W$83))</f>
        <v/>
      </c>
      <c r="Y81" s="10">
        <f>IF($B81="","",IF($AG81="","",IF(IF(TRIM($J81&amp;"")="",0,SUMPRODUCT((파견수련계획!$Q$4:$Q$83=TRIM($J81&amp;""))*파견수련계획!$AD$4:$AD$83))&gt;0,$AE81,IF(N($X81)&lt;=0,$AG81,IF($AH81+$AI81=DAY(EOMONTH(요약!$B$3,0)),IF(AND($AH81&gt;=요약!$E$3,$AI81&lt;요약!$E$3),"서울병원",IF(AND($AI81&gt;=요약!$E$3,$AH81&lt;요약!$E$3),"구리병원","⚠15일 판정불가(서울 "&amp;$AH81&amp;"일/구리 "&amp;$AI81&amp;"일)")),IF($AJ81="",$AE81,IF(INDEX(파견수련계획!$T$4:$T$83,$AJ81)="통합수련",INDEX(파견수련계획!$S$4:$S$83,$AJ81),$AE81)))))))</f>
        <v/>
      </c>
      <c r="Z81" s="19">
        <f>IF($B81="","",IF($AB81="","기본자료에 없는 사번",IF(COUNTIF($B$2:$B$401,$B81)&gt;1,"중복 사번",IF($AE81="","소속(입사장소) 입력",IF(IF(TRIM($J81&amp;"")="",0,SUMPRODUCT((파견수련계획!$Q$4:$Q$83=TRIM($J81&amp;""))*(파견수련계획!$AA$4:$AA$83&lt;&gt;"")))&gt;0,"파견수련계획 입력오류 확인",IF(LEFT($Y81,1)="⚠","서울·구리 15일 판정 불가(양쪽 모두 이상/미만)",IF(IF($AC81="",0,N(INDEX(인턴근무계획!$T$3:$T$62,$AC81)))&gt;0,"인턴계획 입력오류 확인",IF(AND($AC81&lt;&gt;"",$U81&lt;&gt;"파견중",$N81&lt;&gt;$AE81),"인턴 타지역 근무: 파견 여부 확인","정상"))))))))</f>
        <v/>
      </c>
      <c r="AA81" s="5" t="n"/>
      <c r="AB81" s="10">
        <f>IF($B81="","",IFERROR(MATCH($B81,기본자료!$B$2:$B$1001,0),IFERROR(MATCH($B81&amp;"",기본자료!$B$2:$B$1001,0),IFERROR(MATCH(VALUE($B81),기본자료!$B$2:$B$1001,0),""))))</f>
        <v/>
      </c>
      <c r="AC81" s="10">
        <f>IF($B81="","",IFERROR(MATCH($B81,인턴근무계획!$D$3:$D$62,0),IFERROR(MATCH($B81&amp;"",인턴근무계획!$D$3:$D$62,0),IFERROR(MATCH(VALUE($B81),인턴근무계획!$D$3:$D$62,0),""))))</f>
        <v/>
      </c>
      <c r="AD81" s="10">
        <f>IF(OR($AC81="",인턴현황!$G$3=""),"",INDEX(인턴근무계획!$M$3:$R$62,$AC81,인턴현황!$G$3)&amp;"")</f>
        <v/>
      </c>
      <c r="AE81" s="10">
        <f>IF($B81="","",IF($M81&lt;&gt;"",$M81,IF($AF81&lt;&gt;"",IF(LEFT(INDEX(파견수련계획!$R$4:$R$83,$AF81),1)&lt;&gt;"⚠",INDEX(파견수련계획!$R$4:$R$83,$AF81),IF($H81="","",IF(RIGHT($H81,2)="병원",$H81,$H81&amp;"병원"))),IF($H81="","",IF(RIGHT($H81,2)="병원",$H81,$H81&amp;"병원")))))</f>
        <v/>
      </c>
      <c r="AF81" s="10">
        <f>IF(OR($B81="",TRIM($J81&amp;"")=""),"",IFERROR(MATCH(TRIM($J81&amp;"")&amp;"|파견중",파견수련계획!$Y$4:$Y$83,0),IFERROR(MATCH(TRIM($J81&amp;"")&amp;"|파견예정",파견수련계획!$Y$4:$Y$83,0),IFERROR(MATCH(TRIM($J81&amp;"")&amp;"|파견종료",파견수련계획!$Y$4:$Y$83,0),""))))</f>
        <v/>
      </c>
      <c r="AG81" s="10">
        <f>IF($B81="","",IF(AND(IF(OR($AC81="",인턴현황!$K$2=""),"",INDEX(인턴근무계획!$M$3:$R$62,$AC81,인턴현황!$K$2)&amp;"")&lt;&gt;"",LEFT(IF(OR($AC81="",인턴현황!$K$2=""),"",INDEX(인턴근무계획!$M$3:$R$62,$AC81,인턴현황!$K$2)&amp;""),1)&lt;&gt;"⚠"),LEFT(IF(OR($AC81="",인턴현황!$K$2=""),"",INDEX(인턴근무계획!$M$3:$R$62,$AC81,인턴현황!$K$2)&amp;""),FIND(" ",IF(OR($AC81="",인턴현황!$K$2=""),"",INDEX(인턴근무계획!$M$3:$R$62,$AC81,인턴현황!$K$2)&amp;""))-1),$AE81))</f>
        <v/>
      </c>
      <c r="AH81" s="17">
        <f>IF($B81="","",IF(TRIM($J81&amp;"")="",0,SUMPRODUCT((파견수련계획!$Q$4:$Q$83=TRIM($J81&amp;""))*(파견수련계획!$S$4:$S$83="서울병원")*파견수련계획!$W$4:$W$83))+IF($AG81="서울병원",MAX(0,DAY(EOMONTH(요약!$B$3,0))-N($X81)),0))</f>
        <v/>
      </c>
      <c r="AI81" s="17">
        <f>IF($B81="","",IF(TRIM($J81&amp;"")="",0,SUMPRODUCT((파견수련계획!$Q$4:$Q$83=TRIM($J81&amp;""))*(파견수련계획!$S$4:$S$83="구리병원")*파견수련계획!$W$4:$W$83))+IF($AG81="구리병원",MAX(0,DAY(EOMONTH(요약!$B$3,0))-N($X81)),0))</f>
        <v/>
      </c>
      <c r="AJ81" s="10">
        <f>IF(OR($B81="",TRIM($J81&amp;"")=""),"",IFERROR(MATCH(TRIM($J81&amp;"")&amp;"|월",파견수련계획!$Z$4:$Z$83,0),""))</f>
        <v/>
      </c>
      <c r="AK81" s="10">
        <f>IF(OR($B81="",TRIM($J81&amp;"")=""),"",IFERROR(MATCH(TRIM($J81&amp;"")&amp;"|다기관",파견수련계획!$AE$4:$AE$83,0),""))</f>
        <v/>
      </c>
      <c r="AL81" s="10">
        <f>IF($AK81="","","다기관 "&amp;TEXT(INDEX(파견수련계획!$AB$4:$AB$83,$AK81),"yyyy-mm-dd")&amp;"~"&amp;IF(ISNUMBER(INDEX(파견수련계획!$AC$4:$AC$83,$AK81)),TEXT(INDEX(파견수련계획!$AC$4:$AC$83,$AK81),"yyyy-mm-dd"),""))</f>
        <v/>
      </c>
    </row>
    <row r="82">
      <c r="A82" s="10">
        <f>IF(B82="","",ROW()-1)</f>
        <v/>
      </c>
      <c r="B82" s="18" t="n"/>
      <c r="C82" s="10">
        <f>IF($AB82="","",IF(INDEX(기본자료!$C$2:$C$1001,$AB82)="","",INDEX(기본자료!$C$2:$C$1001,$AB82)))</f>
        <v/>
      </c>
      <c r="D82" s="10">
        <f>IF($AB82="","",IF(INDEX(기본자료!$J$2:$J$1001,$AB82)="","",INDEX(기본자료!$J$2:$J$1001,$AB82)))</f>
        <v/>
      </c>
      <c r="E82" s="11">
        <f>IF($AB82="","",IF(INDEX(기본자료!$K$2:$K$1001,$AB82)="","",IF(NOT(ISNUMBER(INDEX(기본자료!$K$2:$K$1001,$AB82))),INDEX(기본자료!$K$2:$K$1001,$AB82),IF(INDEX(기본자료!$K$2:$K$1001,$AB82)&lt;1000000,INDEX(기본자료!$K$2:$K$1001,$AB82),IF(AND(INDEX(기본자료!$K$2:$K$1001,$AB82)&gt;=10000101,INT(MOD(INDEX(기본자료!$K$2:$K$1001,$AB82),10000)/100)&gt;=1,INT(MOD(INDEX(기본자료!$K$2:$K$1001,$AB82),10000)/100)&lt;=12,MOD(INDEX(기본자료!$K$2:$K$1001,$AB82),100)&gt;=1,MOD(INDEX(기본자료!$K$2:$K$1001,$AB82),100)&lt;=31),DATE(INT(INDEX(기본자료!$K$2:$K$1001,$AB82)/10000),INT(MOD(INDEX(기본자료!$K$2:$K$1001,$AB82),10000)/100),MOD(INDEX(기본자료!$K$2:$K$1001,$AB82),100)),INDEX(기본자료!$K$2:$K$1001,$AB82)&amp;"")))))</f>
        <v/>
      </c>
      <c r="F82" s="10">
        <f>IF($AB82="","",IF(INDEX(기본자료!$D$2:$D$1001,$AB82)="","",INDEX(기본자료!$D$2:$D$1001,$AB82)))</f>
        <v/>
      </c>
      <c r="G82" s="10">
        <f>IF($AB82="","",IF(INDEX(기본자료!$E$2:$E$1001,$AB82)="","",INDEX(기본자료!$E$2:$E$1001,$AB82)))</f>
        <v/>
      </c>
      <c r="H82" s="10">
        <f>IF($AB82="","",IF(INDEX(기본자료!$F$2:$F$1001,$AB82)="","",INDEX(기본자료!$F$2:$F$1001,$AB82)))</f>
        <v/>
      </c>
      <c r="I82" s="11">
        <f>IF($AB82="","",IF(INDEX(기본자료!$G$2:$G$1001,$AB82)="","",IF(NOT(ISNUMBER(INDEX(기본자료!$G$2:$G$1001,$AB82))),INDEX(기본자료!$G$2:$G$1001,$AB82),IF(INDEX(기본자료!$G$2:$G$1001,$AB82)&lt;1000000,INDEX(기본자료!$G$2:$G$1001,$AB82),IF(AND(INDEX(기본자료!$G$2:$G$1001,$AB82)&gt;=10000101,INT(MOD(INDEX(기본자료!$G$2:$G$1001,$AB82),10000)/100)&gt;=1,INT(MOD(INDEX(기본자료!$G$2:$G$1001,$AB82),10000)/100)&lt;=12,MOD(INDEX(기본자료!$G$2:$G$1001,$AB82),100)&gt;=1,MOD(INDEX(기본자료!$G$2:$G$1001,$AB82),100)&lt;=31),DATE(INT(INDEX(기본자료!$G$2:$G$1001,$AB82)/10000),INT(MOD(INDEX(기본자료!$G$2:$G$1001,$AB82),10000)/100),MOD(INDEX(기본자료!$G$2:$G$1001,$AB82),100)),INDEX(기본자료!$G$2:$G$1001,$AB82)&amp;"")))))</f>
        <v/>
      </c>
      <c r="J82" s="10">
        <f>IF($AB82="","",IF(INDEX(기본자료!$H$2:$H$1001,$AB82)="","",INDEX(기본자료!$H$2:$H$1001,$AB82)))</f>
        <v/>
      </c>
      <c r="K82" s="10">
        <f>IF($AB82="","",IF(INDEX(기본자료!$I$2:$I$1001,$AB82)="","",INDEX(기본자료!$I$2:$I$1001,$AB82)))</f>
        <v/>
      </c>
      <c r="L82" s="10">
        <f>IF($AB82="","",IF(INDEX(기본자료!$A$2:$A$1001,$AB82)="","",INDEX(기본자료!$A$2:$A$1001,$AB82)))</f>
        <v/>
      </c>
      <c r="M82" s="15" t="n"/>
      <c r="N82" s="10">
        <f>IF($B82="","",IF(AND($U82="파견중",$Q82&lt;&gt;""),$Q82,IF(AND($AD82&lt;&gt;"",LEFT($AD82,1)&lt;&gt;"⚠"),LEFT($AD82,FIND(" ",$AD82)-1),IF($H82="","",IF(RIGHT($H82,2)="병원",$H82,$H82&amp;"병원")))))</f>
        <v/>
      </c>
      <c r="O82" s="10">
        <f>IF($B82="","",IF(AND($U82="파견중",$Q82&lt;&gt;""),IF($R82&lt;&gt;"",$R82,"파견과 미입력"),IF(AND($AD82&lt;&gt;"",LEFT($AD82,1)&lt;&gt;"⚠"),MID($AD82,FIND(" ",$AD82)+1,60),IF($F82="","",IF($F82="인턴","수련교육부(인턴)",$F82)))))</f>
        <v/>
      </c>
      <c r="P82" s="10">
        <f>IF($B82="","",IF($AK82&lt;&gt;"",IF(AND(TODAY()&gt;=INDEX(파견수련계획!$AB$4:$AB$83,$AK82),OR(NOT(ISNUMBER(INDEX(파견수련계획!$AC$4:$AC$83,$AK82))),TODAY()&lt;=INDEX(파견수련계획!$AC$4:$AC$83,$AK82))),"다기관",IF($AF82="","",INDEX(파견수련계획!$T$4:$T$83,$AF82))),IF($AF82="","",INDEX(파견수련계획!$T$4:$T$83,$AF82))))</f>
        <v/>
      </c>
      <c r="Q82" s="10">
        <f>IF($AF82="","",INDEX(파견수련계획!$S$4:$S$83,$AF82))</f>
        <v/>
      </c>
      <c r="R82" s="10">
        <f>IF($AF82="","",INDEX(파견수련계획!$U$4:$U$83,$AF82))</f>
        <v/>
      </c>
      <c r="S82" s="11">
        <f>IF($AF82="","",IF(INDEX(파견수련계획!$H$4:$H$83,$AF82)="","",INDEX(파견수련계획!$H$4:$H$83,$AF82)))</f>
        <v/>
      </c>
      <c r="T82" s="11">
        <f>IF($AF82="","",IF(INDEX(파견수련계획!$I$4:$I$83,$AF82)="","",INDEX(파견수련계획!$I$4:$I$83,$AF82)))</f>
        <v/>
      </c>
      <c r="U82" s="10">
        <f>IF($AF82="","",INDEX(파견수련계획!$X$4:$X$83,$AF82))</f>
        <v/>
      </c>
      <c r="V82" s="17">
        <f>IF($AF82="","",INDEX(파견수련계획!$V$4:$V$83,$AF82))</f>
        <v/>
      </c>
      <c r="W82" s="17">
        <f>IF(AND($U82="파견중",$T82&lt;&gt;""),$T82-TODAY(),"")</f>
        <v/>
      </c>
      <c r="X82" s="17">
        <f>IF(OR($B82="",TRIM($J82&amp;"")=""),"",SUMPRODUCT((파견수련계획!$Q$4:$Q$83=TRIM($J82&amp;""))*파견수련계획!$W$4:$W$83))</f>
        <v/>
      </c>
      <c r="Y82" s="10">
        <f>IF($B82="","",IF($AG82="","",IF(IF(TRIM($J82&amp;"")="",0,SUMPRODUCT((파견수련계획!$Q$4:$Q$83=TRIM($J82&amp;""))*파견수련계획!$AD$4:$AD$83))&gt;0,$AE82,IF(N($X82)&lt;=0,$AG82,IF($AH82+$AI82=DAY(EOMONTH(요약!$B$3,0)),IF(AND($AH82&gt;=요약!$E$3,$AI82&lt;요약!$E$3),"서울병원",IF(AND($AI82&gt;=요약!$E$3,$AH82&lt;요약!$E$3),"구리병원","⚠15일 판정불가(서울 "&amp;$AH82&amp;"일/구리 "&amp;$AI82&amp;"일)")),IF($AJ82="",$AE82,IF(INDEX(파견수련계획!$T$4:$T$83,$AJ82)="통합수련",INDEX(파견수련계획!$S$4:$S$83,$AJ82),$AE82)))))))</f>
        <v/>
      </c>
      <c r="Z82" s="19">
        <f>IF($B82="","",IF($AB82="","기본자료에 없는 사번",IF(COUNTIF($B$2:$B$401,$B82)&gt;1,"중복 사번",IF($AE82="","소속(입사장소) 입력",IF(IF(TRIM($J82&amp;"")="",0,SUMPRODUCT((파견수련계획!$Q$4:$Q$83=TRIM($J82&amp;""))*(파견수련계획!$AA$4:$AA$83&lt;&gt;"")))&gt;0,"파견수련계획 입력오류 확인",IF(LEFT($Y82,1)="⚠","서울·구리 15일 판정 불가(양쪽 모두 이상/미만)",IF(IF($AC82="",0,N(INDEX(인턴근무계획!$T$3:$T$62,$AC82)))&gt;0,"인턴계획 입력오류 확인",IF(AND($AC82&lt;&gt;"",$U82&lt;&gt;"파견중",$N82&lt;&gt;$AE82),"인턴 타지역 근무: 파견 여부 확인","정상"))))))))</f>
        <v/>
      </c>
      <c r="AA82" s="5" t="n"/>
      <c r="AB82" s="10">
        <f>IF($B82="","",IFERROR(MATCH($B82,기본자료!$B$2:$B$1001,0),IFERROR(MATCH($B82&amp;"",기본자료!$B$2:$B$1001,0),IFERROR(MATCH(VALUE($B82),기본자료!$B$2:$B$1001,0),""))))</f>
        <v/>
      </c>
      <c r="AC82" s="10">
        <f>IF($B82="","",IFERROR(MATCH($B82,인턴근무계획!$D$3:$D$62,0),IFERROR(MATCH($B82&amp;"",인턴근무계획!$D$3:$D$62,0),IFERROR(MATCH(VALUE($B82),인턴근무계획!$D$3:$D$62,0),""))))</f>
        <v/>
      </c>
      <c r="AD82" s="10">
        <f>IF(OR($AC82="",인턴현황!$G$3=""),"",INDEX(인턴근무계획!$M$3:$R$62,$AC82,인턴현황!$G$3)&amp;"")</f>
        <v/>
      </c>
      <c r="AE82" s="10">
        <f>IF($B82="","",IF($M82&lt;&gt;"",$M82,IF($AF82&lt;&gt;"",IF(LEFT(INDEX(파견수련계획!$R$4:$R$83,$AF82),1)&lt;&gt;"⚠",INDEX(파견수련계획!$R$4:$R$83,$AF82),IF($H82="","",IF(RIGHT($H82,2)="병원",$H82,$H82&amp;"병원"))),IF($H82="","",IF(RIGHT($H82,2)="병원",$H82,$H82&amp;"병원")))))</f>
        <v/>
      </c>
      <c r="AF82" s="10">
        <f>IF(OR($B82="",TRIM($J82&amp;"")=""),"",IFERROR(MATCH(TRIM($J82&amp;"")&amp;"|파견중",파견수련계획!$Y$4:$Y$83,0),IFERROR(MATCH(TRIM($J82&amp;"")&amp;"|파견예정",파견수련계획!$Y$4:$Y$83,0),IFERROR(MATCH(TRIM($J82&amp;"")&amp;"|파견종료",파견수련계획!$Y$4:$Y$83,0),""))))</f>
        <v/>
      </c>
      <c r="AG82" s="10">
        <f>IF($B82="","",IF(AND(IF(OR($AC82="",인턴현황!$K$2=""),"",INDEX(인턴근무계획!$M$3:$R$62,$AC82,인턴현황!$K$2)&amp;"")&lt;&gt;"",LEFT(IF(OR($AC82="",인턴현황!$K$2=""),"",INDEX(인턴근무계획!$M$3:$R$62,$AC82,인턴현황!$K$2)&amp;""),1)&lt;&gt;"⚠"),LEFT(IF(OR($AC82="",인턴현황!$K$2=""),"",INDEX(인턴근무계획!$M$3:$R$62,$AC82,인턴현황!$K$2)&amp;""),FIND(" ",IF(OR($AC82="",인턴현황!$K$2=""),"",INDEX(인턴근무계획!$M$3:$R$62,$AC82,인턴현황!$K$2)&amp;""))-1),$AE82))</f>
        <v/>
      </c>
      <c r="AH82" s="17">
        <f>IF($B82="","",IF(TRIM($J82&amp;"")="",0,SUMPRODUCT((파견수련계획!$Q$4:$Q$83=TRIM($J82&amp;""))*(파견수련계획!$S$4:$S$83="서울병원")*파견수련계획!$W$4:$W$83))+IF($AG82="서울병원",MAX(0,DAY(EOMONTH(요약!$B$3,0))-N($X82)),0))</f>
        <v/>
      </c>
      <c r="AI82" s="17">
        <f>IF($B82="","",IF(TRIM($J82&amp;"")="",0,SUMPRODUCT((파견수련계획!$Q$4:$Q$83=TRIM($J82&amp;""))*(파견수련계획!$S$4:$S$83="구리병원")*파견수련계획!$W$4:$W$83))+IF($AG82="구리병원",MAX(0,DAY(EOMONTH(요약!$B$3,0))-N($X82)),0))</f>
        <v/>
      </c>
      <c r="AJ82" s="10">
        <f>IF(OR($B82="",TRIM($J82&amp;"")=""),"",IFERROR(MATCH(TRIM($J82&amp;"")&amp;"|월",파견수련계획!$Z$4:$Z$83,0),""))</f>
        <v/>
      </c>
      <c r="AK82" s="10">
        <f>IF(OR($B82="",TRIM($J82&amp;"")=""),"",IFERROR(MATCH(TRIM($J82&amp;"")&amp;"|다기관",파견수련계획!$AE$4:$AE$83,0),""))</f>
        <v/>
      </c>
      <c r="AL82" s="10">
        <f>IF($AK82="","","다기관 "&amp;TEXT(INDEX(파견수련계획!$AB$4:$AB$83,$AK82),"yyyy-mm-dd")&amp;"~"&amp;IF(ISNUMBER(INDEX(파견수련계획!$AC$4:$AC$83,$AK82)),TEXT(INDEX(파견수련계획!$AC$4:$AC$83,$AK82),"yyyy-mm-dd"),""))</f>
        <v/>
      </c>
    </row>
    <row r="83">
      <c r="A83" s="10">
        <f>IF(B83="","",ROW()-1)</f>
        <v/>
      </c>
      <c r="B83" s="18" t="n"/>
      <c r="C83" s="10">
        <f>IF($AB83="","",IF(INDEX(기본자료!$C$2:$C$1001,$AB83)="","",INDEX(기본자료!$C$2:$C$1001,$AB83)))</f>
        <v/>
      </c>
      <c r="D83" s="10">
        <f>IF($AB83="","",IF(INDEX(기본자료!$J$2:$J$1001,$AB83)="","",INDEX(기본자료!$J$2:$J$1001,$AB83)))</f>
        <v/>
      </c>
      <c r="E83" s="11">
        <f>IF($AB83="","",IF(INDEX(기본자료!$K$2:$K$1001,$AB83)="","",IF(NOT(ISNUMBER(INDEX(기본자료!$K$2:$K$1001,$AB83))),INDEX(기본자료!$K$2:$K$1001,$AB83),IF(INDEX(기본자료!$K$2:$K$1001,$AB83)&lt;1000000,INDEX(기본자료!$K$2:$K$1001,$AB83),IF(AND(INDEX(기본자료!$K$2:$K$1001,$AB83)&gt;=10000101,INT(MOD(INDEX(기본자료!$K$2:$K$1001,$AB83),10000)/100)&gt;=1,INT(MOD(INDEX(기본자료!$K$2:$K$1001,$AB83),10000)/100)&lt;=12,MOD(INDEX(기본자료!$K$2:$K$1001,$AB83),100)&gt;=1,MOD(INDEX(기본자료!$K$2:$K$1001,$AB83),100)&lt;=31),DATE(INT(INDEX(기본자료!$K$2:$K$1001,$AB83)/10000),INT(MOD(INDEX(기본자료!$K$2:$K$1001,$AB83),10000)/100),MOD(INDEX(기본자료!$K$2:$K$1001,$AB83),100)),INDEX(기본자료!$K$2:$K$1001,$AB83)&amp;"")))))</f>
        <v/>
      </c>
      <c r="F83" s="10">
        <f>IF($AB83="","",IF(INDEX(기본자료!$D$2:$D$1001,$AB83)="","",INDEX(기본자료!$D$2:$D$1001,$AB83)))</f>
        <v/>
      </c>
      <c r="G83" s="10">
        <f>IF($AB83="","",IF(INDEX(기본자료!$E$2:$E$1001,$AB83)="","",INDEX(기본자료!$E$2:$E$1001,$AB83)))</f>
        <v/>
      </c>
      <c r="H83" s="10">
        <f>IF($AB83="","",IF(INDEX(기본자료!$F$2:$F$1001,$AB83)="","",INDEX(기본자료!$F$2:$F$1001,$AB83)))</f>
        <v/>
      </c>
      <c r="I83" s="11">
        <f>IF($AB83="","",IF(INDEX(기본자료!$G$2:$G$1001,$AB83)="","",IF(NOT(ISNUMBER(INDEX(기본자료!$G$2:$G$1001,$AB83))),INDEX(기본자료!$G$2:$G$1001,$AB83),IF(INDEX(기본자료!$G$2:$G$1001,$AB83)&lt;1000000,INDEX(기본자료!$G$2:$G$1001,$AB83),IF(AND(INDEX(기본자료!$G$2:$G$1001,$AB83)&gt;=10000101,INT(MOD(INDEX(기본자료!$G$2:$G$1001,$AB83),10000)/100)&gt;=1,INT(MOD(INDEX(기본자료!$G$2:$G$1001,$AB83),10000)/100)&lt;=12,MOD(INDEX(기본자료!$G$2:$G$1001,$AB83),100)&gt;=1,MOD(INDEX(기본자료!$G$2:$G$1001,$AB83),100)&lt;=31),DATE(INT(INDEX(기본자료!$G$2:$G$1001,$AB83)/10000),INT(MOD(INDEX(기본자료!$G$2:$G$1001,$AB83),10000)/100),MOD(INDEX(기본자료!$G$2:$G$1001,$AB83),100)),INDEX(기본자료!$G$2:$G$1001,$AB83)&amp;"")))))</f>
        <v/>
      </c>
      <c r="J83" s="10">
        <f>IF($AB83="","",IF(INDEX(기본자료!$H$2:$H$1001,$AB83)="","",INDEX(기본자료!$H$2:$H$1001,$AB83)))</f>
        <v/>
      </c>
      <c r="K83" s="10">
        <f>IF($AB83="","",IF(INDEX(기본자료!$I$2:$I$1001,$AB83)="","",INDEX(기본자료!$I$2:$I$1001,$AB83)))</f>
        <v/>
      </c>
      <c r="L83" s="10">
        <f>IF($AB83="","",IF(INDEX(기본자료!$A$2:$A$1001,$AB83)="","",INDEX(기본자료!$A$2:$A$1001,$AB83)))</f>
        <v/>
      </c>
      <c r="M83" s="15" t="n"/>
      <c r="N83" s="10">
        <f>IF($B83="","",IF(AND($U83="파견중",$Q83&lt;&gt;""),$Q83,IF(AND($AD83&lt;&gt;"",LEFT($AD83,1)&lt;&gt;"⚠"),LEFT($AD83,FIND(" ",$AD83)-1),IF($H83="","",IF(RIGHT($H83,2)="병원",$H83,$H83&amp;"병원")))))</f>
        <v/>
      </c>
      <c r="O83" s="10">
        <f>IF($B83="","",IF(AND($U83="파견중",$Q83&lt;&gt;""),IF($R83&lt;&gt;"",$R83,"파견과 미입력"),IF(AND($AD83&lt;&gt;"",LEFT($AD83,1)&lt;&gt;"⚠"),MID($AD83,FIND(" ",$AD83)+1,60),IF($F83="","",IF($F83="인턴","수련교육부(인턴)",$F83)))))</f>
        <v/>
      </c>
      <c r="P83" s="10">
        <f>IF($B83="","",IF($AK83&lt;&gt;"",IF(AND(TODAY()&gt;=INDEX(파견수련계획!$AB$4:$AB$83,$AK83),OR(NOT(ISNUMBER(INDEX(파견수련계획!$AC$4:$AC$83,$AK83))),TODAY()&lt;=INDEX(파견수련계획!$AC$4:$AC$83,$AK83))),"다기관",IF($AF83="","",INDEX(파견수련계획!$T$4:$T$83,$AF83))),IF($AF83="","",INDEX(파견수련계획!$T$4:$T$83,$AF83))))</f>
        <v/>
      </c>
      <c r="Q83" s="10">
        <f>IF($AF83="","",INDEX(파견수련계획!$S$4:$S$83,$AF83))</f>
        <v/>
      </c>
      <c r="R83" s="10">
        <f>IF($AF83="","",INDEX(파견수련계획!$U$4:$U$83,$AF83))</f>
        <v/>
      </c>
      <c r="S83" s="11">
        <f>IF($AF83="","",IF(INDEX(파견수련계획!$H$4:$H$83,$AF83)="","",INDEX(파견수련계획!$H$4:$H$83,$AF83)))</f>
        <v/>
      </c>
      <c r="T83" s="11">
        <f>IF($AF83="","",IF(INDEX(파견수련계획!$I$4:$I$83,$AF83)="","",INDEX(파견수련계획!$I$4:$I$83,$AF83)))</f>
        <v/>
      </c>
      <c r="U83" s="10">
        <f>IF($AF83="","",INDEX(파견수련계획!$X$4:$X$83,$AF83))</f>
        <v/>
      </c>
      <c r="V83" s="17">
        <f>IF($AF83="","",INDEX(파견수련계획!$V$4:$V$83,$AF83))</f>
        <v/>
      </c>
      <c r="W83" s="17">
        <f>IF(AND($U83="파견중",$T83&lt;&gt;""),$T83-TODAY(),"")</f>
        <v/>
      </c>
      <c r="X83" s="17">
        <f>IF(OR($B83="",TRIM($J83&amp;"")=""),"",SUMPRODUCT((파견수련계획!$Q$4:$Q$83=TRIM($J83&amp;""))*파견수련계획!$W$4:$W$83))</f>
        <v/>
      </c>
      <c r="Y83" s="10">
        <f>IF($B83="","",IF($AG83="","",IF(IF(TRIM($J83&amp;"")="",0,SUMPRODUCT((파견수련계획!$Q$4:$Q$83=TRIM($J83&amp;""))*파견수련계획!$AD$4:$AD$83))&gt;0,$AE83,IF(N($X83)&lt;=0,$AG83,IF($AH83+$AI83=DAY(EOMONTH(요약!$B$3,0)),IF(AND($AH83&gt;=요약!$E$3,$AI83&lt;요약!$E$3),"서울병원",IF(AND($AI83&gt;=요약!$E$3,$AH83&lt;요약!$E$3),"구리병원","⚠15일 판정불가(서울 "&amp;$AH83&amp;"일/구리 "&amp;$AI83&amp;"일)")),IF($AJ83="",$AE83,IF(INDEX(파견수련계획!$T$4:$T$83,$AJ83)="통합수련",INDEX(파견수련계획!$S$4:$S$83,$AJ83),$AE83)))))))</f>
        <v/>
      </c>
      <c r="Z83" s="19">
        <f>IF($B83="","",IF($AB83="","기본자료에 없는 사번",IF(COUNTIF($B$2:$B$401,$B83)&gt;1,"중복 사번",IF($AE83="","소속(입사장소) 입력",IF(IF(TRIM($J83&amp;"")="",0,SUMPRODUCT((파견수련계획!$Q$4:$Q$83=TRIM($J83&amp;""))*(파견수련계획!$AA$4:$AA$83&lt;&gt;"")))&gt;0,"파견수련계획 입력오류 확인",IF(LEFT($Y83,1)="⚠","서울·구리 15일 판정 불가(양쪽 모두 이상/미만)",IF(IF($AC83="",0,N(INDEX(인턴근무계획!$T$3:$T$62,$AC83)))&gt;0,"인턴계획 입력오류 확인",IF(AND($AC83&lt;&gt;"",$U83&lt;&gt;"파견중",$N83&lt;&gt;$AE83),"인턴 타지역 근무: 파견 여부 확인","정상"))))))))</f>
        <v/>
      </c>
      <c r="AA83" s="5" t="n"/>
      <c r="AB83" s="10">
        <f>IF($B83="","",IFERROR(MATCH($B83,기본자료!$B$2:$B$1001,0),IFERROR(MATCH($B83&amp;"",기본자료!$B$2:$B$1001,0),IFERROR(MATCH(VALUE($B83),기본자료!$B$2:$B$1001,0),""))))</f>
        <v/>
      </c>
      <c r="AC83" s="10">
        <f>IF($B83="","",IFERROR(MATCH($B83,인턴근무계획!$D$3:$D$62,0),IFERROR(MATCH($B83&amp;"",인턴근무계획!$D$3:$D$62,0),IFERROR(MATCH(VALUE($B83),인턴근무계획!$D$3:$D$62,0),""))))</f>
        <v/>
      </c>
      <c r="AD83" s="10">
        <f>IF(OR($AC83="",인턴현황!$G$3=""),"",INDEX(인턴근무계획!$M$3:$R$62,$AC83,인턴현황!$G$3)&amp;"")</f>
        <v/>
      </c>
      <c r="AE83" s="10">
        <f>IF($B83="","",IF($M83&lt;&gt;"",$M83,IF($AF83&lt;&gt;"",IF(LEFT(INDEX(파견수련계획!$R$4:$R$83,$AF83),1)&lt;&gt;"⚠",INDEX(파견수련계획!$R$4:$R$83,$AF83),IF($H83="","",IF(RIGHT($H83,2)="병원",$H83,$H83&amp;"병원"))),IF($H83="","",IF(RIGHT($H83,2)="병원",$H83,$H83&amp;"병원")))))</f>
        <v/>
      </c>
      <c r="AF83" s="10">
        <f>IF(OR($B83="",TRIM($J83&amp;"")=""),"",IFERROR(MATCH(TRIM($J83&amp;"")&amp;"|파견중",파견수련계획!$Y$4:$Y$83,0),IFERROR(MATCH(TRIM($J83&amp;"")&amp;"|파견예정",파견수련계획!$Y$4:$Y$83,0),IFERROR(MATCH(TRIM($J83&amp;"")&amp;"|파견종료",파견수련계획!$Y$4:$Y$83,0),""))))</f>
        <v/>
      </c>
      <c r="AG83" s="10">
        <f>IF($B83="","",IF(AND(IF(OR($AC83="",인턴현황!$K$2=""),"",INDEX(인턴근무계획!$M$3:$R$62,$AC83,인턴현황!$K$2)&amp;"")&lt;&gt;"",LEFT(IF(OR($AC83="",인턴현황!$K$2=""),"",INDEX(인턴근무계획!$M$3:$R$62,$AC83,인턴현황!$K$2)&amp;""),1)&lt;&gt;"⚠"),LEFT(IF(OR($AC83="",인턴현황!$K$2=""),"",INDEX(인턴근무계획!$M$3:$R$62,$AC83,인턴현황!$K$2)&amp;""),FIND(" ",IF(OR($AC83="",인턴현황!$K$2=""),"",INDEX(인턴근무계획!$M$3:$R$62,$AC83,인턴현황!$K$2)&amp;""))-1),$AE83))</f>
        <v/>
      </c>
      <c r="AH83" s="17">
        <f>IF($B83="","",IF(TRIM($J83&amp;"")="",0,SUMPRODUCT((파견수련계획!$Q$4:$Q$83=TRIM($J83&amp;""))*(파견수련계획!$S$4:$S$83="서울병원")*파견수련계획!$W$4:$W$83))+IF($AG83="서울병원",MAX(0,DAY(EOMONTH(요약!$B$3,0))-N($X83)),0))</f>
        <v/>
      </c>
      <c r="AI83" s="17">
        <f>IF($B83="","",IF(TRIM($J83&amp;"")="",0,SUMPRODUCT((파견수련계획!$Q$4:$Q$83=TRIM($J83&amp;""))*(파견수련계획!$S$4:$S$83="구리병원")*파견수련계획!$W$4:$W$83))+IF($AG83="구리병원",MAX(0,DAY(EOMONTH(요약!$B$3,0))-N($X83)),0))</f>
        <v/>
      </c>
      <c r="AJ83" s="10">
        <f>IF(OR($B83="",TRIM($J83&amp;"")=""),"",IFERROR(MATCH(TRIM($J83&amp;"")&amp;"|월",파견수련계획!$Z$4:$Z$83,0),""))</f>
        <v/>
      </c>
      <c r="AK83" s="10">
        <f>IF(OR($B83="",TRIM($J83&amp;"")=""),"",IFERROR(MATCH(TRIM($J83&amp;"")&amp;"|다기관",파견수련계획!$AE$4:$AE$83,0),""))</f>
        <v/>
      </c>
      <c r="AL83" s="10">
        <f>IF($AK83="","","다기관 "&amp;TEXT(INDEX(파견수련계획!$AB$4:$AB$83,$AK83),"yyyy-mm-dd")&amp;"~"&amp;IF(ISNUMBER(INDEX(파견수련계획!$AC$4:$AC$83,$AK83)),TEXT(INDEX(파견수련계획!$AC$4:$AC$83,$AK83),"yyyy-mm-dd"),""))</f>
        <v/>
      </c>
    </row>
    <row r="84">
      <c r="A84" s="10">
        <f>IF(B84="","",ROW()-1)</f>
        <v/>
      </c>
      <c r="B84" s="18" t="n"/>
      <c r="C84" s="10">
        <f>IF($AB84="","",IF(INDEX(기본자료!$C$2:$C$1001,$AB84)="","",INDEX(기본자료!$C$2:$C$1001,$AB84)))</f>
        <v/>
      </c>
      <c r="D84" s="10">
        <f>IF($AB84="","",IF(INDEX(기본자료!$J$2:$J$1001,$AB84)="","",INDEX(기본자료!$J$2:$J$1001,$AB84)))</f>
        <v/>
      </c>
      <c r="E84" s="11">
        <f>IF($AB84="","",IF(INDEX(기본자료!$K$2:$K$1001,$AB84)="","",IF(NOT(ISNUMBER(INDEX(기본자료!$K$2:$K$1001,$AB84))),INDEX(기본자료!$K$2:$K$1001,$AB84),IF(INDEX(기본자료!$K$2:$K$1001,$AB84)&lt;1000000,INDEX(기본자료!$K$2:$K$1001,$AB84),IF(AND(INDEX(기본자료!$K$2:$K$1001,$AB84)&gt;=10000101,INT(MOD(INDEX(기본자료!$K$2:$K$1001,$AB84),10000)/100)&gt;=1,INT(MOD(INDEX(기본자료!$K$2:$K$1001,$AB84),10000)/100)&lt;=12,MOD(INDEX(기본자료!$K$2:$K$1001,$AB84),100)&gt;=1,MOD(INDEX(기본자료!$K$2:$K$1001,$AB84),100)&lt;=31),DATE(INT(INDEX(기본자료!$K$2:$K$1001,$AB84)/10000),INT(MOD(INDEX(기본자료!$K$2:$K$1001,$AB84),10000)/100),MOD(INDEX(기본자료!$K$2:$K$1001,$AB84),100)),INDEX(기본자료!$K$2:$K$1001,$AB84)&amp;"")))))</f>
        <v/>
      </c>
      <c r="F84" s="10">
        <f>IF($AB84="","",IF(INDEX(기본자료!$D$2:$D$1001,$AB84)="","",INDEX(기본자료!$D$2:$D$1001,$AB84)))</f>
        <v/>
      </c>
      <c r="G84" s="10">
        <f>IF($AB84="","",IF(INDEX(기본자료!$E$2:$E$1001,$AB84)="","",INDEX(기본자료!$E$2:$E$1001,$AB84)))</f>
        <v/>
      </c>
      <c r="H84" s="10">
        <f>IF($AB84="","",IF(INDEX(기본자료!$F$2:$F$1001,$AB84)="","",INDEX(기본자료!$F$2:$F$1001,$AB84)))</f>
        <v/>
      </c>
      <c r="I84" s="11">
        <f>IF($AB84="","",IF(INDEX(기본자료!$G$2:$G$1001,$AB84)="","",IF(NOT(ISNUMBER(INDEX(기본자료!$G$2:$G$1001,$AB84))),INDEX(기본자료!$G$2:$G$1001,$AB84),IF(INDEX(기본자료!$G$2:$G$1001,$AB84)&lt;1000000,INDEX(기본자료!$G$2:$G$1001,$AB84),IF(AND(INDEX(기본자료!$G$2:$G$1001,$AB84)&gt;=10000101,INT(MOD(INDEX(기본자료!$G$2:$G$1001,$AB84),10000)/100)&gt;=1,INT(MOD(INDEX(기본자료!$G$2:$G$1001,$AB84),10000)/100)&lt;=12,MOD(INDEX(기본자료!$G$2:$G$1001,$AB84),100)&gt;=1,MOD(INDEX(기본자료!$G$2:$G$1001,$AB84),100)&lt;=31),DATE(INT(INDEX(기본자료!$G$2:$G$1001,$AB84)/10000),INT(MOD(INDEX(기본자료!$G$2:$G$1001,$AB84),10000)/100),MOD(INDEX(기본자료!$G$2:$G$1001,$AB84),100)),INDEX(기본자료!$G$2:$G$1001,$AB84)&amp;"")))))</f>
        <v/>
      </c>
      <c r="J84" s="10">
        <f>IF($AB84="","",IF(INDEX(기본자료!$H$2:$H$1001,$AB84)="","",INDEX(기본자료!$H$2:$H$1001,$AB84)))</f>
        <v/>
      </c>
      <c r="K84" s="10">
        <f>IF($AB84="","",IF(INDEX(기본자료!$I$2:$I$1001,$AB84)="","",INDEX(기본자료!$I$2:$I$1001,$AB84)))</f>
        <v/>
      </c>
      <c r="L84" s="10">
        <f>IF($AB84="","",IF(INDEX(기본자료!$A$2:$A$1001,$AB84)="","",INDEX(기본자료!$A$2:$A$1001,$AB84)))</f>
        <v/>
      </c>
      <c r="M84" s="15" t="n"/>
      <c r="N84" s="10">
        <f>IF($B84="","",IF(AND($U84="파견중",$Q84&lt;&gt;""),$Q84,IF(AND($AD84&lt;&gt;"",LEFT($AD84,1)&lt;&gt;"⚠"),LEFT($AD84,FIND(" ",$AD84)-1),IF($H84="","",IF(RIGHT($H84,2)="병원",$H84,$H84&amp;"병원")))))</f>
        <v/>
      </c>
      <c r="O84" s="10">
        <f>IF($B84="","",IF(AND($U84="파견중",$Q84&lt;&gt;""),IF($R84&lt;&gt;"",$R84,"파견과 미입력"),IF(AND($AD84&lt;&gt;"",LEFT($AD84,1)&lt;&gt;"⚠"),MID($AD84,FIND(" ",$AD84)+1,60),IF($F84="","",IF($F84="인턴","수련교육부(인턴)",$F84)))))</f>
        <v/>
      </c>
      <c r="P84" s="10">
        <f>IF($B84="","",IF($AK84&lt;&gt;"",IF(AND(TODAY()&gt;=INDEX(파견수련계획!$AB$4:$AB$83,$AK84),OR(NOT(ISNUMBER(INDEX(파견수련계획!$AC$4:$AC$83,$AK84))),TODAY()&lt;=INDEX(파견수련계획!$AC$4:$AC$83,$AK84))),"다기관",IF($AF84="","",INDEX(파견수련계획!$T$4:$T$83,$AF84))),IF($AF84="","",INDEX(파견수련계획!$T$4:$T$83,$AF84))))</f>
        <v/>
      </c>
      <c r="Q84" s="10">
        <f>IF($AF84="","",INDEX(파견수련계획!$S$4:$S$83,$AF84))</f>
        <v/>
      </c>
      <c r="R84" s="10">
        <f>IF($AF84="","",INDEX(파견수련계획!$U$4:$U$83,$AF84))</f>
        <v/>
      </c>
      <c r="S84" s="11">
        <f>IF($AF84="","",IF(INDEX(파견수련계획!$H$4:$H$83,$AF84)="","",INDEX(파견수련계획!$H$4:$H$83,$AF84)))</f>
        <v/>
      </c>
      <c r="T84" s="11">
        <f>IF($AF84="","",IF(INDEX(파견수련계획!$I$4:$I$83,$AF84)="","",INDEX(파견수련계획!$I$4:$I$83,$AF84)))</f>
        <v/>
      </c>
      <c r="U84" s="10">
        <f>IF($AF84="","",INDEX(파견수련계획!$X$4:$X$83,$AF84))</f>
        <v/>
      </c>
      <c r="V84" s="17">
        <f>IF($AF84="","",INDEX(파견수련계획!$V$4:$V$83,$AF84))</f>
        <v/>
      </c>
      <c r="W84" s="17">
        <f>IF(AND($U84="파견중",$T84&lt;&gt;""),$T84-TODAY(),"")</f>
        <v/>
      </c>
      <c r="X84" s="17">
        <f>IF(OR($B84="",TRIM($J84&amp;"")=""),"",SUMPRODUCT((파견수련계획!$Q$4:$Q$83=TRIM($J84&amp;""))*파견수련계획!$W$4:$W$83))</f>
        <v/>
      </c>
      <c r="Y84" s="10">
        <f>IF($B84="","",IF($AG84="","",IF(IF(TRIM($J84&amp;"")="",0,SUMPRODUCT((파견수련계획!$Q$4:$Q$83=TRIM($J84&amp;""))*파견수련계획!$AD$4:$AD$83))&gt;0,$AE84,IF(N($X84)&lt;=0,$AG84,IF($AH84+$AI84=DAY(EOMONTH(요약!$B$3,0)),IF(AND($AH84&gt;=요약!$E$3,$AI84&lt;요약!$E$3),"서울병원",IF(AND($AI84&gt;=요약!$E$3,$AH84&lt;요약!$E$3),"구리병원","⚠15일 판정불가(서울 "&amp;$AH84&amp;"일/구리 "&amp;$AI84&amp;"일)")),IF($AJ84="",$AE84,IF(INDEX(파견수련계획!$T$4:$T$83,$AJ84)="통합수련",INDEX(파견수련계획!$S$4:$S$83,$AJ84),$AE84)))))))</f>
        <v/>
      </c>
      <c r="Z84" s="19">
        <f>IF($B84="","",IF($AB84="","기본자료에 없는 사번",IF(COUNTIF($B$2:$B$401,$B84)&gt;1,"중복 사번",IF($AE84="","소속(입사장소) 입력",IF(IF(TRIM($J84&amp;"")="",0,SUMPRODUCT((파견수련계획!$Q$4:$Q$83=TRIM($J84&amp;""))*(파견수련계획!$AA$4:$AA$83&lt;&gt;"")))&gt;0,"파견수련계획 입력오류 확인",IF(LEFT($Y84,1)="⚠","서울·구리 15일 판정 불가(양쪽 모두 이상/미만)",IF(IF($AC84="",0,N(INDEX(인턴근무계획!$T$3:$T$62,$AC84)))&gt;0,"인턴계획 입력오류 확인",IF(AND($AC84&lt;&gt;"",$U84&lt;&gt;"파견중",$N84&lt;&gt;$AE84),"인턴 타지역 근무: 파견 여부 확인","정상"))))))))</f>
        <v/>
      </c>
      <c r="AA84" s="5" t="n"/>
      <c r="AB84" s="10">
        <f>IF($B84="","",IFERROR(MATCH($B84,기본자료!$B$2:$B$1001,0),IFERROR(MATCH($B84&amp;"",기본자료!$B$2:$B$1001,0),IFERROR(MATCH(VALUE($B84),기본자료!$B$2:$B$1001,0),""))))</f>
        <v/>
      </c>
      <c r="AC84" s="10">
        <f>IF($B84="","",IFERROR(MATCH($B84,인턴근무계획!$D$3:$D$62,0),IFERROR(MATCH($B84&amp;"",인턴근무계획!$D$3:$D$62,0),IFERROR(MATCH(VALUE($B84),인턴근무계획!$D$3:$D$62,0),""))))</f>
        <v/>
      </c>
      <c r="AD84" s="10">
        <f>IF(OR($AC84="",인턴현황!$G$3=""),"",INDEX(인턴근무계획!$M$3:$R$62,$AC84,인턴현황!$G$3)&amp;"")</f>
        <v/>
      </c>
      <c r="AE84" s="10">
        <f>IF($B84="","",IF($M84&lt;&gt;"",$M84,IF($AF84&lt;&gt;"",IF(LEFT(INDEX(파견수련계획!$R$4:$R$83,$AF84),1)&lt;&gt;"⚠",INDEX(파견수련계획!$R$4:$R$83,$AF84),IF($H84="","",IF(RIGHT($H84,2)="병원",$H84,$H84&amp;"병원"))),IF($H84="","",IF(RIGHT($H84,2)="병원",$H84,$H84&amp;"병원")))))</f>
        <v/>
      </c>
      <c r="AF84" s="10">
        <f>IF(OR($B84="",TRIM($J84&amp;"")=""),"",IFERROR(MATCH(TRIM($J84&amp;"")&amp;"|파견중",파견수련계획!$Y$4:$Y$83,0),IFERROR(MATCH(TRIM($J84&amp;"")&amp;"|파견예정",파견수련계획!$Y$4:$Y$83,0),IFERROR(MATCH(TRIM($J84&amp;"")&amp;"|파견종료",파견수련계획!$Y$4:$Y$83,0),""))))</f>
        <v/>
      </c>
      <c r="AG84" s="10">
        <f>IF($B84="","",IF(AND(IF(OR($AC84="",인턴현황!$K$2=""),"",INDEX(인턴근무계획!$M$3:$R$62,$AC84,인턴현황!$K$2)&amp;"")&lt;&gt;"",LEFT(IF(OR($AC84="",인턴현황!$K$2=""),"",INDEX(인턴근무계획!$M$3:$R$62,$AC84,인턴현황!$K$2)&amp;""),1)&lt;&gt;"⚠"),LEFT(IF(OR($AC84="",인턴현황!$K$2=""),"",INDEX(인턴근무계획!$M$3:$R$62,$AC84,인턴현황!$K$2)&amp;""),FIND(" ",IF(OR($AC84="",인턴현황!$K$2=""),"",INDEX(인턴근무계획!$M$3:$R$62,$AC84,인턴현황!$K$2)&amp;""))-1),$AE84))</f>
        <v/>
      </c>
      <c r="AH84" s="17">
        <f>IF($B84="","",IF(TRIM($J84&amp;"")="",0,SUMPRODUCT((파견수련계획!$Q$4:$Q$83=TRIM($J84&amp;""))*(파견수련계획!$S$4:$S$83="서울병원")*파견수련계획!$W$4:$W$83))+IF($AG84="서울병원",MAX(0,DAY(EOMONTH(요약!$B$3,0))-N($X84)),0))</f>
        <v/>
      </c>
      <c r="AI84" s="17">
        <f>IF($B84="","",IF(TRIM($J84&amp;"")="",0,SUMPRODUCT((파견수련계획!$Q$4:$Q$83=TRIM($J84&amp;""))*(파견수련계획!$S$4:$S$83="구리병원")*파견수련계획!$W$4:$W$83))+IF($AG84="구리병원",MAX(0,DAY(EOMONTH(요약!$B$3,0))-N($X84)),0))</f>
        <v/>
      </c>
      <c r="AJ84" s="10">
        <f>IF(OR($B84="",TRIM($J84&amp;"")=""),"",IFERROR(MATCH(TRIM($J84&amp;"")&amp;"|월",파견수련계획!$Z$4:$Z$83,0),""))</f>
        <v/>
      </c>
      <c r="AK84" s="10">
        <f>IF(OR($B84="",TRIM($J84&amp;"")=""),"",IFERROR(MATCH(TRIM($J84&amp;"")&amp;"|다기관",파견수련계획!$AE$4:$AE$83,0),""))</f>
        <v/>
      </c>
      <c r="AL84" s="10">
        <f>IF($AK84="","","다기관 "&amp;TEXT(INDEX(파견수련계획!$AB$4:$AB$83,$AK84),"yyyy-mm-dd")&amp;"~"&amp;IF(ISNUMBER(INDEX(파견수련계획!$AC$4:$AC$83,$AK84)),TEXT(INDEX(파견수련계획!$AC$4:$AC$83,$AK84),"yyyy-mm-dd"),""))</f>
        <v/>
      </c>
    </row>
    <row r="85">
      <c r="A85" s="10">
        <f>IF(B85="","",ROW()-1)</f>
        <v/>
      </c>
      <c r="B85" s="18" t="n"/>
      <c r="C85" s="10">
        <f>IF($AB85="","",IF(INDEX(기본자료!$C$2:$C$1001,$AB85)="","",INDEX(기본자료!$C$2:$C$1001,$AB85)))</f>
        <v/>
      </c>
      <c r="D85" s="10">
        <f>IF($AB85="","",IF(INDEX(기본자료!$J$2:$J$1001,$AB85)="","",INDEX(기본자료!$J$2:$J$1001,$AB85)))</f>
        <v/>
      </c>
      <c r="E85" s="11">
        <f>IF($AB85="","",IF(INDEX(기본자료!$K$2:$K$1001,$AB85)="","",IF(NOT(ISNUMBER(INDEX(기본자료!$K$2:$K$1001,$AB85))),INDEX(기본자료!$K$2:$K$1001,$AB85),IF(INDEX(기본자료!$K$2:$K$1001,$AB85)&lt;1000000,INDEX(기본자료!$K$2:$K$1001,$AB85),IF(AND(INDEX(기본자료!$K$2:$K$1001,$AB85)&gt;=10000101,INT(MOD(INDEX(기본자료!$K$2:$K$1001,$AB85),10000)/100)&gt;=1,INT(MOD(INDEX(기본자료!$K$2:$K$1001,$AB85),10000)/100)&lt;=12,MOD(INDEX(기본자료!$K$2:$K$1001,$AB85),100)&gt;=1,MOD(INDEX(기본자료!$K$2:$K$1001,$AB85),100)&lt;=31),DATE(INT(INDEX(기본자료!$K$2:$K$1001,$AB85)/10000),INT(MOD(INDEX(기본자료!$K$2:$K$1001,$AB85),10000)/100),MOD(INDEX(기본자료!$K$2:$K$1001,$AB85),100)),INDEX(기본자료!$K$2:$K$1001,$AB85)&amp;"")))))</f>
        <v/>
      </c>
      <c r="F85" s="10">
        <f>IF($AB85="","",IF(INDEX(기본자료!$D$2:$D$1001,$AB85)="","",INDEX(기본자료!$D$2:$D$1001,$AB85)))</f>
        <v/>
      </c>
      <c r="G85" s="10">
        <f>IF($AB85="","",IF(INDEX(기본자료!$E$2:$E$1001,$AB85)="","",INDEX(기본자료!$E$2:$E$1001,$AB85)))</f>
        <v/>
      </c>
      <c r="H85" s="10">
        <f>IF($AB85="","",IF(INDEX(기본자료!$F$2:$F$1001,$AB85)="","",INDEX(기본자료!$F$2:$F$1001,$AB85)))</f>
        <v/>
      </c>
      <c r="I85" s="11">
        <f>IF($AB85="","",IF(INDEX(기본자료!$G$2:$G$1001,$AB85)="","",IF(NOT(ISNUMBER(INDEX(기본자료!$G$2:$G$1001,$AB85))),INDEX(기본자료!$G$2:$G$1001,$AB85),IF(INDEX(기본자료!$G$2:$G$1001,$AB85)&lt;1000000,INDEX(기본자료!$G$2:$G$1001,$AB85),IF(AND(INDEX(기본자료!$G$2:$G$1001,$AB85)&gt;=10000101,INT(MOD(INDEX(기본자료!$G$2:$G$1001,$AB85),10000)/100)&gt;=1,INT(MOD(INDEX(기본자료!$G$2:$G$1001,$AB85),10000)/100)&lt;=12,MOD(INDEX(기본자료!$G$2:$G$1001,$AB85),100)&gt;=1,MOD(INDEX(기본자료!$G$2:$G$1001,$AB85),100)&lt;=31),DATE(INT(INDEX(기본자료!$G$2:$G$1001,$AB85)/10000),INT(MOD(INDEX(기본자료!$G$2:$G$1001,$AB85),10000)/100),MOD(INDEX(기본자료!$G$2:$G$1001,$AB85),100)),INDEX(기본자료!$G$2:$G$1001,$AB85)&amp;"")))))</f>
        <v/>
      </c>
      <c r="J85" s="10">
        <f>IF($AB85="","",IF(INDEX(기본자료!$H$2:$H$1001,$AB85)="","",INDEX(기본자료!$H$2:$H$1001,$AB85)))</f>
        <v/>
      </c>
      <c r="K85" s="10">
        <f>IF($AB85="","",IF(INDEX(기본자료!$I$2:$I$1001,$AB85)="","",INDEX(기본자료!$I$2:$I$1001,$AB85)))</f>
        <v/>
      </c>
      <c r="L85" s="10">
        <f>IF($AB85="","",IF(INDEX(기본자료!$A$2:$A$1001,$AB85)="","",INDEX(기본자료!$A$2:$A$1001,$AB85)))</f>
        <v/>
      </c>
      <c r="M85" s="15" t="n"/>
      <c r="N85" s="10">
        <f>IF($B85="","",IF(AND($U85="파견중",$Q85&lt;&gt;""),$Q85,IF(AND($AD85&lt;&gt;"",LEFT($AD85,1)&lt;&gt;"⚠"),LEFT($AD85,FIND(" ",$AD85)-1),IF($H85="","",IF(RIGHT($H85,2)="병원",$H85,$H85&amp;"병원")))))</f>
        <v/>
      </c>
      <c r="O85" s="10">
        <f>IF($B85="","",IF(AND($U85="파견중",$Q85&lt;&gt;""),IF($R85&lt;&gt;"",$R85,"파견과 미입력"),IF(AND($AD85&lt;&gt;"",LEFT($AD85,1)&lt;&gt;"⚠"),MID($AD85,FIND(" ",$AD85)+1,60),IF($F85="","",IF($F85="인턴","수련교육부(인턴)",$F85)))))</f>
        <v/>
      </c>
      <c r="P85" s="10">
        <f>IF($B85="","",IF($AK85&lt;&gt;"",IF(AND(TODAY()&gt;=INDEX(파견수련계획!$AB$4:$AB$83,$AK85),OR(NOT(ISNUMBER(INDEX(파견수련계획!$AC$4:$AC$83,$AK85))),TODAY()&lt;=INDEX(파견수련계획!$AC$4:$AC$83,$AK85))),"다기관",IF($AF85="","",INDEX(파견수련계획!$T$4:$T$83,$AF85))),IF($AF85="","",INDEX(파견수련계획!$T$4:$T$83,$AF85))))</f>
        <v/>
      </c>
      <c r="Q85" s="10">
        <f>IF($AF85="","",INDEX(파견수련계획!$S$4:$S$83,$AF85))</f>
        <v/>
      </c>
      <c r="R85" s="10">
        <f>IF($AF85="","",INDEX(파견수련계획!$U$4:$U$83,$AF85))</f>
        <v/>
      </c>
      <c r="S85" s="11">
        <f>IF($AF85="","",IF(INDEX(파견수련계획!$H$4:$H$83,$AF85)="","",INDEX(파견수련계획!$H$4:$H$83,$AF85)))</f>
        <v/>
      </c>
      <c r="T85" s="11">
        <f>IF($AF85="","",IF(INDEX(파견수련계획!$I$4:$I$83,$AF85)="","",INDEX(파견수련계획!$I$4:$I$83,$AF85)))</f>
        <v/>
      </c>
      <c r="U85" s="10">
        <f>IF($AF85="","",INDEX(파견수련계획!$X$4:$X$83,$AF85))</f>
        <v/>
      </c>
      <c r="V85" s="17">
        <f>IF($AF85="","",INDEX(파견수련계획!$V$4:$V$83,$AF85))</f>
        <v/>
      </c>
      <c r="W85" s="17">
        <f>IF(AND($U85="파견중",$T85&lt;&gt;""),$T85-TODAY(),"")</f>
        <v/>
      </c>
      <c r="X85" s="17">
        <f>IF(OR($B85="",TRIM($J85&amp;"")=""),"",SUMPRODUCT((파견수련계획!$Q$4:$Q$83=TRIM($J85&amp;""))*파견수련계획!$W$4:$W$83))</f>
        <v/>
      </c>
      <c r="Y85" s="10">
        <f>IF($B85="","",IF($AG85="","",IF(IF(TRIM($J85&amp;"")="",0,SUMPRODUCT((파견수련계획!$Q$4:$Q$83=TRIM($J85&amp;""))*파견수련계획!$AD$4:$AD$83))&gt;0,$AE85,IF(N($X85)&lt;=0,$AG85,IF($AH85+$AI85=DAY(EOMONTH(요약!$B$3,0)),IF(AND($AH85&gt;=요약!$E$3,$AI85&lt;요약!$E$3),"서울병원",IF(AND($AI85&gt;=요약!$E$3,$AH85&lt;요약!$E$3),"구리병원","⚠15일 판정불가(서울 "&amp;$AH85&amp;"일/구리 "&amp;$AI85&amp;"일)")),IF($AJ85="",$AE85,IF(INDEX(파견수련계획!$T$4:$T$83,$AJ85)="통합수련",INDEX(파견수련계획!$S$4:$S$83,$AJ85),$AE85)))))))</f>
        <v/>
      </c>
      <c r="Z85" s="19">
        <f>IF($B85="","",IF($AB85="","기본자료에 없는 사번",IF(COUNTIF($B$2:$B$401,$B85)&gt;1,"중복 사번",IF($AE85="","소속(입사장소) 입력",IF(IF(TRIM($J85&amp;"")="",0,SUMPRODUCT((파견수련계획!$Q$4:$Q$83=TRIM($J85&amp;""))*(파견수련계획!$AA$4:$AA$83&lt;&gt;"")))&gt;0,"파견수련계획 입력오류 확인",IF(LEFT($Y85,1)="⚠","서울·구리 15일 판정 불가(양쪽 모두 이상/미만)",IF(IF($AC85="",0,N(INDEX(인턴근무계획!$T$3:$T$62,$AC85)))&gt;0,"인턴계획 입력오류 확인",IF(AND($AC85&lt;&gt;"",$U85&lt;&gt;"파견중",$N85&lt;&gt;$AE85),"인턴 타지역 근무: 파견 여부 확인","정상"))))))))</f>
        <v/>
      </c>
      <c r="AA85" s="5" t="n"/>
      <c r="AB85" s="10">
        <f>IF($B85="","",IFERROR(MATCH($B85,기본자료!$B$2:$B$1001,0),IFERROR(MATCH($B85&amp;"",기본자료!$B$2:$B$1001,0),IFERROR(MATCH(VALUE($B85),기본자료!$B$2:$B$1001,0),""))))</f>
        <v/>
      </c>
      <c r="AC85" s="10">
        <f>IF($B85="","",IFERROR(MATCH($B85,인턴근무계획!$D$3:$D$62,0),IFERROR(MATCH($B85&amp;"",인턴근무계획!$D$3:$D$62,0),IFERROR(MATCH(VALUE($B85),인턴근무계획!$D$3:$D$62,0),""))))</f>
        <v/>
      </c>
      <c r="AD85" s="10">
        <f>IF(OR($AC85="",인턴현황!$G$3=""),"",INDEX(인턴근무계획!$M$3:$R$62,$AC85,인턴현황!$G$3)&amp;"")</f>
        <v/>
      </c>
      <c r="AE85" s="10">
        <f>IF($B85="","",IF($M85&lt;&gt;"",$M85,IF($AF85&lt;&gt;"",IF(LEFT(INDEX(파견수련계획!$R$4:$R$83,$AF85),1)&lt;&gt;"⚠",INDEX(파견수련계획!$R$4:$R$83,$AF85),IF($H85="","",IF(RIGHT($H85,2)="병원",$H85,$H85&amp;"병원"))),IF($H85="","",IF(RIGHT($H85,2)="병원",$H85,$H85&amp;"병원")))))</f>
        <v/>
      </c>
      <c r="AF85" s="10">
        <f>IF(OR($B85="",TRIM($J85&amp;"")=""),"",IFERROR(MATCH(TRIM($J85&amp;"")&amp;"|파견중",파견수련계획!$Y$4:$Y$83,0),IFERROR(MATCH(TRIM($J85&amp;"")&amp;"|파견예정",파견수련계획!$Y$4:$Y$83,0),IFERROR(MATCH(TRIM($J85&amp;"")&amp;"|파견종료",파견수련계획!$Y$4:$Y$83,0),""))))</f>
        <v/>
      </c>
      <c r="AG85" s="10">
        <f>IF($B85="","",IF(AND(IF(OR($AC85="",인턴현황!$K$2=""),"",INDEX(인턴근무계획!$M$3:$R$62,$AC85,인턴현황!$K$2)&amp;"")&lt;&gt;"",LEFT(IF(OR($AC85="",인턴현황!$K$2=""),"",INDEX(인턴근무계획!$M$3:$R$62,$AC85,인턴현황!$K$2)&amp;""),1)&lt;&gt;"⚠"),LEFT(IF(OR($AC85="",인턴현황!$K$2=""),"",INDEX(인턴근무계획!$M$3:$R$62,$AC85,인턴현황!$K$2)&amp;""),FIND(" ",IF(OR($AC85="",인턴현황!$K$2=""),"",INDEX(인턴근무계획!$M$3:$R$62,$AC85,인턴현황!$K$2)&amp;""))-1),$AE85))</f>
        <v/>
      </c>
      <c r="AH85" s="17">
        <f>IF($B85="","",IF(TRIM($J85&amp;"")="",0,SUMPRODUCT((파견수련계획!$Q$4:$Q$83=TRIM($J85&amp;""))*(파견수련계획!$S$4:$S$83="서울병원")*파견수련계획!$W$4:$W$83))+IF($AG85="서울병원",MAX(0,DAY(EOMONTH(요약!$B$3,0))-N($X85)),0))</f>
        <v/>
      </c>
      <c r="AI85" s="17">
        <f>IF($B85="","",IF(TRIM($J85&amp;"")="",0,SUMPRODUCT((파견수련계획!$Q$4:$Q$83=TRIM($J85&amp;""))*(파견수련계획!$S$4:$S$83="구리병원")*파견수련계획!$W$4:$W$83))+IF($AG85="구리병원",MAX(0,DAY(EOMONTH(요약!$B$3,0))-N($X85)),0))</f>
        <v/>
      </c>
      <c r="AJ85" s="10">
        <f>IF(OR($B85="",TRIM($J85&amp;"")=""),"",IFERROR(MATCH(TRIM($J85&amp;"")&amp;"|월",파견수련계획!$Z$4:$Z$83,0),""))</f>
        <v/>
      </c>
      <c r="AK85" s="10">
        <f>IF(OR($B85="",TRIM($J85&amp;"")=""),"",IFERROR(MATCH(TRIM($J85&amp;"")&amp;"|다기관",파견수련계획!$AE$4:$AE$83,0),""))</f>
        <v/>
      </c>
      <c r="AL85" s="10">
        <f>IF($AK85="","","다기관 "&amp;TEXT(INDEX(파견수련계획!$AB$4:$AB$83,$AK85),"yyyy-mm-dd")&amp;"~"&amp;IF(ISNUMBER(INDEX(파견수련계획!$AC$4:$AC$83,$AK85)),TEXT(INDEX(파견수련계획!$AC$4:$AC$83,$AK85),"yyyy-mm-dd"),""))</f>
        <v/>
      </c>
    </row>
    <row r="86">
      <c r="A86" s="10">
        <f>IF(B86="","",ROW()-1)</f>
        <v/>
      </c>
      <c r="B86" s="18" t="n"/>
      <c r="C86" s="10">
        <f>IF($AB86="","",IF(INDEX(기본자료!$C$2:$C$1001,$AB86)="","",INDEX(기본자료!$C$2:$C$1001,$AB86)))</f>
        <v/>
      </c>
      <c r="D86" s="10">
        <f>IF($AB86="","",IF(INDEX(기본자료!$J$2:$J$1001,$AB86)="","",INDEX(기본자료!$J$2:$J$1001,$AB86)))</f>
        <v/>
      </c>
      <c r="E86" s="11">
        <f>IF($AB86="","",IF(INDEX(기본자료!$K$2:$K$1001,$AB86)="","",IF(NOT(ISNUMBER(INDEX(기본자료!$K$2:$K$1001,$AB86))),INDEX(기본자료!$K$2:$K$1001,$AB86),IF(INDEX(기본자료!$K$2:$K$1001,$AB86)&lt;1000000,INDEX(기본자료!$K$2:$K$1001,$AB86),IF(AND(INDEX(기본자료!$K$2:$K$1001,$AB86)&gt;=10000101,INT(MOD(INDEX(기본자료!$K$2:$K$1001,$AB86),10000)/100)&gt;=1,INT(MOD(INDEX(기본자료!$K$2:$K$1001,$AB86),10000)/100)&lt;=12,MOD(INDEX(기본자료!$K$2:$K$1001,$AB86),100)&gt;=1,MOD(INDEX(기본자료!$K$2:$K$1001,$AB86),100)&lt;=31),DATE(INT(INDEX(기본자료!$K$2:$K$1001,$AB86)/10000),INT(MOD(INDEX(기본자료!$K$2:$K$1001,$AB86),10000)/100),MOD(INDEX(기본자료!$K$2:$K$1001,$AB86),100)),INDEX(기본자료!$K$2:$K$1001,$AB86)&amp;"")))))</f>
        <v/>
      </c>
      <c r="F86" s="10">
        <f>IF($AB86="","",IF(INDEX(기본자료!$D$2:$D$1001,$AB86)="","",INDEX(기본자료!$D$2:$D$1001,$AB86)))</f>
        <v/>
      </c>
      <c r="G86" s="10">
        <f>IF($AB86="","",IF(INDEX(기본자료!$E$2:$E$1001,$AB86)="","",INDEX(기본자료!$E$2:$E$1001,$AB86)))</f>
        <v/>
      </c>
      <c r="H86" s="10">
        <f>IF($AB86="","",IF(INDEX(기본자료!$F$2:$F$1001,$AB86)="","",INDEX(기본자료!$F$2:$F$1001,$AB86)))</f>
        <v/>
      </c>
      <c r="I86" s="11">
        <f>IF($AB86="","",IF(INDEX(기본자료!$G$2:$G$1001,$AB86)="","",IF(NOT(ISNUMBER(INDEX(기본자료!$G$2:$G$1001,$AB86))),INDEX(기본자료!$G$2:$G$1001,$AB86),IF(INDEX(기본자료!$G$2:$G$1001,$AB86)&lt;1000000,INDEX(기본자료!$G$2:$G$1001,$AB86),IF(AND(INDEX(기본자료!$G$2:$G$1001,$AB86)&gt;=10000101,INT(MOD(INDEX(기본자료!$G$2:$G$1001,$AB86),10000)/100)&gt;=1,INT(MOD(INDEX(기본자료!$G$2:$G$1001,$AB86),10000)/100)&lt;=12,MOD(INDEX(기본자료!$G$2:$G$1001,$AB86),100)&gt;=1,MOD(INDEX(기본자료!$G$2:$G$1001,$AB86),100)&lt;=31),DATE(INT(INDEX(기본자료!$G$2:$G$1001,$AB86)/10000),INT(MOD(INDEX(기본자료!$G$2:$G$1001,$AB86),10000)/100),MOD(INDEX(기본자료!$G$2:$G$1001,$AB86),100)),INDEX(기본자료!$G$2:$G$1001,$AB86)&amp;"")))))</f>
        <v/>
      </c>
      <c r="J86" s="10">
        <f>IF($AB86="","",IF(INDEX(기본자료!$H$2:$H$1001,$AB86)="","",INDEX(기본자료!$H$2:$H$1001,$AB86)))</f>
        <v/>
      </c>
      <c r="K86" s="10">
        <f>IF($AB86="","",IF(INDEX(기본자료!$I$2:$I$1001,$AB86)="","",INDEX(기본자료!$I$2:$I$1001,$AB86)))</f>
        <v/>
      </c>
      <c r="L86" s="10">
        <f>IF($AB86="","",IF(INDEX(기본자료!$A$2:$A$1001,$AB86)="","",INDEX(기본자료!$A$2:$A$1001,$AB86)))</f>
        <v/>
      </c>
      <c r="M86" s="15" t="n"/>
      <c r="N86" s="10">
        <f>IF($B86="","",IF(AND($U86="파견중",$Q86&lt;&gt;""),$Q86,IF(AND($AD86&lt;&gt;"",LEFT($AD86,1)&lt;&gt;"⚠"),LEFT($AD86,FIND(" ",$AD86)-1),IF($H86="","",IF(RIGHT($H86,2)="병원",$H86,$H86&amp;"병원")))))</f>
        <v/>
      </c>
      <c r="O86" s="10">
        <f>IF($B86="","",IF(AND($U86="파견중",$Q86&lt;&gt;""),IF($R86&lt;&gt;"",$R86,"파견과 미입력"),IF(AND($AD86&lt;&gt;"",LEFT($AD86,1)&lt;&gt;"⚠"),MID($AD86,FIND(" ",$AD86)+1,60),IF($F86="","",IF($F86="인턴","수련교육부(인턴)",$F86)))))</f>
        <v/>
      </c>
      <c r="P86" s="10">
        <f>IF($B86="","",IF($AK86&lt;&gt;"",IF(AND(TODAY()&gt;=INDEX(파견수련계획!$AB$4:$AB$83,$AK86),OR(NOT(ISNUMBER(INDEX(파견수련계획!$AC$4:$AC$83,$AK86))),TODAY()&lt;=INDEX(파견수련계획!$AC$4:$AC$83,$AK86))),"다기관",IF($AF86="","",INDEX(파견수련계획!$T$4:$T$83,$AF86))),IF($AF86="","",INDEX(파견수련계획!$T$4:$T$83,$AF86))))</f>
        <v/>
      </c>
      <c r="Q86" s="10">
        <f>IF($AF86="","",INDEX(파견수련계획!$S$4:$S$83,$AF86))</f>
        <v/>
      </c>
      <c r="R86" s="10">
        <f>IF($AF86="","",INDEX(파견수련계획!$U$4:$U$83,$AF86))</f>
        <v/>
      </c>
      <c r="S86" s="11">
        <f>IF($AF86="","",IF(INDEX(파견수련계획!$H$4:$H$83,$AF86)="","",INDEX(파견수련계획!$H$4:$H$83,$AF86)))</f>
        <v/>
      </c>
      <c r="T86" s="11">
        <f>IF($AF86="","",IF(INDEX(파견수련계획!$I$4:$I$83,$AF86)="","",INDEX(파견수련계획!$I$4:$I$83,$AF86)))</f>
        <v/>
      </c>
      <c r="U86" s="10">
        <f>IF($AF86="","",INDEX(파견수련계획!$X$4:$X$83,$AF86))</f>
        <v/>
      </c>
      <c r="V86" s="17">
        <f>IF($AF86="","",INDEX(파견수련계획!$V$4:$V$83,$AF86))</f>
        <v/>
      </c>
      <c r="W86" s="17">
        <f>IF(AND($U86="파견중",$T86&lt;&gt;""),$T86-TODAY(),"")</f>
        <v/>
      </c>
      <c r="X86" s="17">
        <f>IF(OR($B86="",TRIM($J86&amp;"")=""),"",SUMPRODUCT((파견수련계획!$Q$4:$Q$83=TRIM($J86&amp;""))*파견수련계획!$W$4:$W$83))</f>
        <v/>
      </c>
      <c r="Y86" s="10">
        <f>IF($B86="","",IF($AG86="","",IF(IF(TRIM($J86&amp;"")="",0,SUMPRODUCT((파견수련계획!$Q$4:$Q$83=TRIM($J86&amp;""))*파견수련계획!$AD$4:$AD$83))&gt;0,$AE86,IF(N($X86)&lt;=0,$AG86,IF($AH86+$AI86=DAY(EOMONTH(요약!$B$3,0)),IF(AND($AH86&gt;=요약!$E$3,$AI86&lt;요약!$E$3),"서울병원",IF(AND($AI86&gt;=요약!$E$3,$AH86&lt;요약!$E$3),"구리병원","⚠15일 판정불가(서울 "&amp;$AH86&amp;"일/구리 "&amp;$AI86&amp;"일)")),IF($AJ86="",$AE86,IF(INDEX(파견수련계획!$T$4:$T$83,$AJ86)="통합수련",INDEX(파견수련계획!$S$4:$S$83,$AJ86),$AE86)))))))</f>
        <v/>
      </c>
      <c r="Z86" s="19">
        <f>IF($B86="","",IF($AB86="","기본자료에 없는 사번",IF(COUNTIF($B$2:$B$401,$B86)&gt;1,"중복 사번",IF($AE86="","소속(입사장소) 입력",IF(IF(TRIM($J86&amp;"")="",0,SUMPRODUCT((파견수련계획!$Q$4:$Q$83=TRIM($J86&amp;""))*(파견수련계획!$AA$4:$AA$83&lt;&gt;"")))&gt;0,"파견수련계획 입력오류 확인",IF(LEFT($Y86,1)="⚠","서울·구리 15일 판정 불가(양쪽 모두 이상/미만)",IF(IF($AC86="",0,N(INDEX(인턴근무계획!$T$3:$T$62,$AC86)))&gt;0,"인턴계획 입력오류 확인",IF(AND($AC86&lt;&gt;"",$U86&lt;&gt;"파견중",$N86&lt;&gt;$AE86),"인턴 타지역 근무: 파견 여부 확인","정상"))))))))</f>
        <v/>
      </c>
      <c r="AA86" s="5" t="n"/>
      <c r="AB86" s="10">
        <f>IF($B86="","",IFERROR(MATCH($B86,기본자료!$B$2:$B$1001,0),IFERROR(MATCH($B86&amp;"",기본자료!$B$2:$B$1001,0),IFERROR(MATCH(VALUE($B86),기본자료!$B$2:$B$1001,0),""))))</f>
        <v/>
      </c>
      <c r="AC86" s="10">
        <f>IF($B86="","",IFERROR(MATCH($B86,인턴근무계획!$D$3:$D$62,0),IFERROR(MATCH($B86&amp;"",인턴근무계획!$D$3:$D$62,0),IFERROR(MATCH(VALUE($B86),인턴근무계획!$D$3:$D$62,0),""))))</f>
        <v/>
      </c>
      <c r="AD86" s="10">
        <f>IF(OR($AC86="",인턴현황!$G$3=""),"",INDEX(인턴근무계획!$M$3:$R$62,$AC86,인턴현황!$G$3)&amp;"")</f>
        <v/>
      </c>
      <c r="AE86" s="10">
        <f>IF($B86="","",IF($M86&lt;&gt;"",$M86,IF($AF86&lt;&gt;"",IF(LEFT(INDEX(파견수련계획!$R$4:$R$83,$AF86),1)&lt;&gt;"⚠",INDEX(파견수련계획!$R$4:$R$83,$AF86),IF($H86="","",IF(RIGHT($H86,2)="병원",$H86,$H86&amp;"병원"))),IF($H86="","",IF(RIGHT($H86,2)="병원",$H86,$H86&amp;"병원")))))</f>
        <v/>
      </c>
      <c r="AF86" s="10">
        <f>IF(OR($B86="",TRIM($J86&amp;"")=""),"",IFERROR(MATCH(TRIM($J86&amp;"")&amp;"|파견중",파견수련계획!$Y$4:$Y$83,0),IFERROR(MATCH(TRIM($J86&amp;"")&amp;"|파견예정",파견수련계획!$Y$4:$Y$83,0),IFERROR(MATCH(TRIM($J86&amp;"")&amp;"|파견종료",파견수련계획!$Y$4:$Y$83,0),""))))</f>
        <v/>
      </c>
      <c r="AG86" s="10">
        <f>IF($B86="","",IF(AND(IF(OR($AC86="",인턴현황!$K$2=""),"",INDEX(인턴근무계획!$M$3:$R$62,$AC86,인턴현황!$K$2)&amp;"")&lt;&gt;"",LEFT(IF(OR($AC86="",인턴현황!$K$2=""),"",INDEX(인턴근무계획!$M$3:$R$62,$AC86,인턴현황!$K$2)&amp;""),1)&lt;&gt;"⚠"),LEFT(IF(OR($AC86="",인턴현황!$K$2=""),"",INDEX(인턴근무계획!$M$3:$R$62,$AC86,인턴현황!$K$2)&amp;""),FIND(" ",IF(OR($AC86="",인턴현황!$K$2=""),"",INDEX(인턴근무계획!$M$3:$R$62,$AC86,인턴현황!$K$2)&amp;""))-1),$AE86))</f>
        <v/>
      </c>
      <c r="AH86" s="17">
        <f>IF($B86="","",IF(TRIM($J86&amp;"")="",0,SUMPRODUCT((파견수련계획!$Q$4:$Q$83=TRIM($J86&amp;""))*(파견수련계획!$S$4:$S$83="서울병원")*파견수련계획!$W$4:$W$83))+IF($AG86="서울병원",MAX(0,DAY(EOMONTH(요약!$B$3,0))-N($X86)),0))</f>
        <v/>
      </c>
      <c r="AI86" s="17">
        <f>IF($B86="","",IF(TRIM($J86&amp;"")="",0,SUMPRODUCT((파견수련계획!$Q$4:$Q$83=TRIM($J86&amp;""))*(파견수련계획!$S$4:$S$83="구리병원")*파견수련계획!$W$4:$W$83))+IF($AG86="구리병원",MAX(0,DAY(EOMONTH(요약!$B$3,0))-N($X86)),0))</f>
        <v/>
      </c>
      <c r="AJ86" s="10">
        <f>IF(OR($B86="",TRIM($J86&amp;"")=""),"",IFERROR(MATCH(TRIM($J86&amp;"")&amp;"|월",파견수련계획!$Z$4:$Z$83,0),""))</f>
        <v/>
      </c>
      <c r="AK86" s="10">
        <f>IF(OR($B86="",TRIM($J86&amp;"")=""),"",IFERROR(MATCH(TRIM($J86&amp;"")&amp;"|다기관",파견수련계획!$AE$4:$AE$83,0),""))</f>
        <v/>
      </c>
      <c r="AL86" s="10">
        <f>IF($AK86="","","다기관 "&amp;TEXT(INDEX(파견수련계획!$AB$4:$AB$83,$AK86),"yyyy-mm-dd")&amp;"~"&amp;IF(ISNUMBER(INDEX(파견수련계획!$AC$4:$AC$83,$AK86)),TEXT(INDEX(파견수련계획!$AC$4:$AC$83,$AK86),"yyyy-mm-dd"),""))</f>
        <v/>
      </c>
    </row>
    <row r="87">
      <c r="A87" s="10">
        <f>IF(B87="","",ROW()-1)</f>
        <v/>
      </c>
      <c r="B87" s="18" t="n"/>
      <c r="C87" s="10">
        <f>IF($AB87="","",IF(INDEX(기본자료!$C$2:$C$1001,$AB87)="","",INDEX(기본자료!$C$2:$C$1001,$AB87)))</f>
        <v/>
      </c>
      <c r="D87" s="10">
        <f>IF($AB87="","",IF(INDEX(기본자료!$J$2:$J$1001,$AB87)="","",INDEX(기본자료!$J$2:$J$1001,$AB87)))</f>
        <v/>
      </c>
      <c r="E87" s="11">
        <f>IF($AB87="","",IF(INDEX(기본자료!$K$2:$K$1001,$AB87)="","",IF(NOT(ISNUMBER(INDEX(기본자료!$K$2:$K$1001,$AB87))),INDEX(기본자료!$K$2:$K$1001,$AB87),IF(INDEX(기본자료!$K$2:$K$1001,$AB87)&lt;1000000,INDEX(기본자료!$K$2:$K$1001,$AB87),IF(AND(INDEX(기본자료!$K$2:$K$1001,$AB87)&gt;=10000101,INT(MOD(INDEX(기본자료!$K$2:$K$1001,$AB87),10000)/100)&gt;=1,INT(MOD(INDEX(기본자료!$K$2:$K$1001,$AB87),10000)/100)&lt;=12,MOD(INDEX(기본자료!$K$2:$K$1001,$AB87),100)&gt;=1,MOD(INDEX(기본자료!$K$2:$K$1001,$AB87),100)&lt;=31),DATE(INT(INDEX(기본자료!$K$2:$K$1001,$AB87)/10000),INT(MOD(INDEX(기본자료!$K$2:$K$1001,$AB87),10000)/100),MOD(INDEX(기본자료!$K$2:$K$1001,$AB87),100)),INDEX(기본자료!$K$2:$K$1001,$AB87)&amp;"")))))</f>
        <v/>
      </c>
      <c r="F87" s="10">
        <f>IF($AB87="","",IF(INDEX(기본자료!$D$2:$D$1001,$AB87)="","",INDEX(기본자료!$D$2:$D$1001,$AB87)))</f>
        <v/>
      </c>
      <c r="G87" s="10">
        <f>IF($AB87="","",IF(INDEX(기본자료!$E$2:$E$1001,$AB87)="","",INDEX(기본자료!$E$2:$E$1001,$AB87)))</f>
        <v/>
      </c>
      <c r="H87" s="10">
        <f>IF($AB87="","",IF(INDEX(기본자료!$F$2:$F$1001,$AB87)="","",INDEX(기본자료!$F$2:$F$1001,$AB87)))</f>
        <v/>
      </c>
      <c r="I87" s="11">
        <f>IF($AB87="","",IF(INDEX(기본자료!$G$2:$G$1001,$AB87)="","",IF(NOT(ISNUMBER(INDEX(기본자료!$G$2:$G$1001,$AB87))),INDEX(기본자료!$G$2:$G$1001,$AB87),IF(INDEX(기본자료!$G$2:$G$1001,$AB87)&lt;1000000,INDEX(기본자료!$G$2:$G$1001,$AB87),IF(AND(INDEX(기본자료!$G$2:$G$1001,$AB87)&gt;=10000101,INT(MOD(INDEX(기본자료!$G$2:$G$1001,$AB87),10000)/100)&gt;=1,INT(MOD(INDEX(기본자료!$G$2:$G$1001,$AB87),10000)/100)&lt;=12,MOD(INDEX(기본자료!$G$2:$G$1001,$AB87),100)&gt;=1,MOD(INDEX(기본자료!$G$2:$G$1001,$AB87),100)&lt;=31),DATE(INT(INDEX(기본자료!$G$2:$G$1001,$AB87)/10000),INT(MOD(INDEX(기본자료!$G$2:$G$1001,$AB87),10000)/100),MOD(INDEX(기본자료!$G$2:$G$1001,$AB87),100)),INDEX(기본자료!$G$2:$G$1001,$AB87)&amp;"")))))</f>
        <v/>
      </c>
      <c r="J87" s="10">
        <f>IF($AB87="","",IF(INDEX(기본자료!$H$2:$H$1001,$AB87)="","",INDEX(기본자료!$H$2:$H$1001,$AB87)))</f>
        <v/>
      </c>
      <c r="K87" s="10">
        <f>IF($AB87="","",IF(INDEX(기본자료!$I$2:$I$1001,$AB87)="","",INDEX(기본자료!$I$2:$I$1001,$AB87)))</f>
        <v/>
      </c>
      <c r="L87" s="10">
        <f>IF($AB87="","",IF(INDEX(기본자료!$A$2:$A$1001,$AB87)="","",INDEX(기본자료!$A$2:$A$1001,$AB87)))</f>
        <v/>
      </c>
      <c r="M87" s="15" t="n"/>
      <c r="N87" s="10">
        <f>IF($B87="","",IF(AND($U87="파견중",$Q87&lt;&gt;""),$Q87,IF(AND($AD87&lt;&gt;"",LEFT($AD87,1)&lt;&gt;"⚠"),LEFT($AD87,FIND(" ",$AD87)-1),IF($H87="","",IF(RIGHT($H87,2)="병원",$H87,$H87&amp;"병원")))))</f>
        <v/>
      </c>
      <c r="O87" s="10">
        <f>IF($B87="","",IF(AND($U87="파견중",$Q87&lt;&gt;""),IF($R87&lt;&gt;"",$R87,"파견과 미입력"),IF(AND($AD87&lt;&gt;"",LEFT($AD87,1)&lt;&gt;"⚠"),MID($AD87,FIND(" ",$AD87)+1,60),IF($F87="","",IF($F87="인턴","수련교육부(인턴)",$F87)))))</f>
        <v/>
      </c>
      <c r="P87" s="10">
        <f>IF($B87="","",IF($AK87&lt;&gt;"",IF(AND(TODAY()&gt;=INDEX(파견수련계획!$AB$4:$AB$83,$AK87),OR(NOT(ISNUMBER(INDEX(파견수련계획!$AC$4:$AC$83,$AK87))),TODAY()&lt;=INDEX(파견수련계획!$AC$4:$AC$83,$AK87))),"다기관",IF($AF87="","",INDEX(파견수련계획!$T$4:$T$83,$AF87))),IF($AF87="","",INDEX(파견수련계획!$T$4:$T$83,$AF87))))</f>
        <v/>
      </c>
      <c r="Q87" s="10">
        <f>IF($AF87="","",INDEX(파견수련계획!$S$4:$S$83,$AF87))</f>
        <v/>
      </c>
      <c r="R87" s="10">
        <f>IF($AF87="","",INDEX(파견수련계획!$U$4:$U$83,$AF87))</f>
        <v/>
      </c>
      <c r="S87" s="11">
        <f>IF($AF87="","",IF(INDEX(파견수련계획!$H$4:$H$83,$AF87)="","",INDEX(파견수련계획!$H$4:$H$83,$AF87)))</f>
        <v/>
      </c>
      <c r="T87" s="11">
        <f>IF($AF87="","",IF(INDEX(파견수련계획!$I$4:$I$83,$AF87)="","",INDEX(파견수련계획!$I$4:$I$83,$AF87)))</f>
        <v/>
      </c>
      <c r="U87" s="10">
        <f>IF($AF87="","",INDEX(파견수련계획!$X$4:$X$83,$AF87))</f>
        <v/>
      </c>
      <c r="V87" s="17">
        <f>IF($AF87="","",INDEX(파견수련계획!$V$4:$V$83,$AF87))</f>
        <v/>
      </c>
      <c r="W87" s="17">
        <f>IF(AND($U87="파견중",$T87&lt;&gt;""),$T87-TODAY(),"")</f>
        <v/>
      </c>
      <c r="X87" s="17">
        <f>IF(OR($B87="",TRIM($J87&amp;"")=""),"",SUMPRODUCT((파견수련계획!$Q$4:$Q$83=TRIM($J87&amp;""))*파견수련계획!$W$4:$W$83))</f>
        <v/>
      </c>
      <c r="Y87" s="10">
        <f>IF($B87="","",IF($AG87="","",IF(IF(TRIM($J87&amp;"")="",0,SUMPRODUCT((파견수련계획!$Q$4:$Q$83=TRIM($J87&amp;""))*파견수련계획!$AD$4:$AD$83))&gt;0,$AE87,IF(N($X87)&lt;=0,$AG87,IF($AH87+$AI87=DAY(EOMONTH(요약!$B$3,0)),IF(AND($AH87&gt;=요약!$E$3,$AI87&lt;요약!$E$3),"서울병원",IF(AND($AI87&gt;=요약!$E$3,$AH87&lt;요약!$E$3),"구리병원","⚠15일 판정불가(서울 "&amp;$AH87&amp;"일/구리 "&amp;$AI87&amp;"일)")),IF($AJ87="",$AE87,IF(INDEX(파견수련계획!$T$4:$T$83,$AJ87)="통합수련",INDEX(파견수련계획!$S$4:$S$83,$AJ87),$AE87)))))))</f>
        <v/>
      </c>
      <c r="Z87" s="19">
        <f>IF($B87="","",IF($AB87="","기본자료에 없는 사번",IF(COUNTIF($B$2:$B$401,$B87)&gt;1,"중복 사번",IF($AE87="","소속(입사장소) 입력",IF(IF(TRIM($J87&amp;"")="",0,SUMPRODUCT((파견수련계획!$Q$4:$Q$83=TRIM($J87&amp;""))*(파견수련계획!$AA$4:$AA$83&lt;&gt;"")))&gt;0,"파견수련계획 입력오류 확인",IF(LEFT($Y87,1)="⚠","서울·구리 15일 판정 불가(양쪽 모두 이상/미만)",IF(IF($AC87="",0,N(INDEX(인턴근무계획!$T$3:$T$62,$AC87)))&gt;0,"인턴계획 입력오류 확인",IF(AND($AC87&lt;&gt;"",$U87&lt;&gt;"파견중",$N87&lt;&gt;$AE87),"인턴 타지역 근무: 파견 여부 확인","정상"))))))))</f>
        <v/>
      </c>
      <c r="AA87" s="5" t="n"/>
      <c r="AB87" s="10">
        <f>IF($B87="","",IFERROR(MATCH($B87,기본자료!$B$2:$B$1001,0),IFERROR(MATCH($B87&amp;"",기본자료!$B$2:$B$1001,0),IFERROR(MATCH(VALUE($B87),기본자료!$B$2:$B$1001,0),""))))</f>
        <v/>
      </c>
      <c r="AC87" s="10">
        <f>IF($B87="","",IFERROR(MATCH($B87,인턴근무계획!$D$3:$D$62,0),IFERROR(MATCH($B87&amp;"",인턴근무계획!$D$3:$D$62,0),IFERROR(MATCH(VALUE($B87),인턴근무계획!$D$3:$D$62,0),""))))</f>
        <v/>
      </c>
      <c r="AD87" s="10">
        <f>IF(OR($AC87="",인턴현황!$G$3=""),"",INDEX(인턴근무계획!$M$3:$R$62,$AC87,인턴현황!$G$3)&amp;"")</f>
        <v/>
      </c>
      <c r="AE87" s="10">
        <f>IF($B87="","",IF($M87&lt;&gt;"",$M87,IF($AF87&lt;&gt;"",IF(LEFT(INDEX(파견수련계획!$R$4:$R$83,$AF87),1)&lt;&gt;"⚠",INDEX(파견수련계획!$R$4:$R$83,$AF87),IF($H87="","",IF(RIGHT($H87,2)="병원",$H87,$H87&amp;"병원"))),IF($H87="","",IF(RIGHT($H87,2)="병원",$H87,$H87&amp;"병원")))))</f>
        <v/>
      </c>
      <c r="AF87" s="10">
        <f>IF(OR($B87="",TRIM($J87&amp;"")=""),"",IFERROR(MATCH(TRIM($J87&amp;"")&amp;"|파견중",파견수련계획!$Y$4:$Y$83,0),IFERROR(MATCH(TRIM($J87&amp;"")&amp;"|파견예정",파견수련계획!$Y$4:$Y$83,0),IFERROR(MATCH(TRIM($J87&amp;"")&amp;"|파견종료",파견수련계획!$Y$4:$Y$83,0),""))))</f>
        <v/>
      </c>
      <c r="AG87" s="10">
        <f>IF($B87="","",IF(AND(IF(OR($AC87="",인턴현황!$K$2=""),"",INDEX(인턴근무계획!$M$3:$R$62,$AC87,인턴현황!$K$2)&amp;"")&lt;&gt;"",LEFT(IF(OR($AC87="",인턴현황!$K$2=""),"",INDEX(인턴근무계획!$M$3:$R$62,$AC87,인턴현황!$K$2)&amp;""),1)&lt;&gt;"⚠"),LEFT(IF(OR($AC87="",인턴현황!$K$2=""),"",INDEX(인턴근무계획!$M$3:$R$62,$AC87,인턴현황!$K$2)&amp;""),FIND(" ",IF(OR($AC87="",인턴현황!$K$2=""),"",INDEX(인턴근무계획!$M$3:$R$62,$AC87,인턴현황!$K$2)&amp;""))-1),$AE87))</f>
        <v/>
      </c>
      <c r="AH87" s="17">
        <f>IF($B87="","",IF(TRIM($J87&amp;"")="",0,SUMPRODUCT((파견수련계획!$Q$4:$Q$83=TRIM($J87&amp;""))*(파견수련계획!$S$4:$S$83="서울병원")*파견수련계획!$W$4:$W$83))+IF($AG87="서울병원",MAX(0,DAY(EOMONTH(요약!$B$3,0))-N($X87)),0))</f>
        <v/>
      </c>
      <c r="AI87" s="17">
        <f>IF($B87="","",IF(TRIM($J87&amp;"")="",0,SUMPRODUCT((파견수련계획!$Q$4:$Q$83=TRIM($J87&amp;""))*(파견수련계획!$S$4:$S$83="구리병원")*파견수련계획!$W$4:$W$83))+IF($AG87="구리병원",MAX(0,DAY(EOMONTH(요약!$B$3,0))-N($X87)),0))</f>
        <v/>
      </c>
      <c r="AJ87" s="10">
        <f>IF(OR($B87="",TRIM($J87&amp;"")=""),"",IFERROR(MATCH(TRIM($J87&amp;"")&amp;"|월",파견수련계획!$Z$4:$Z$83,0),""))</f>
        <v/>
      </c>
      <c r="AK87" s="10">
        <f>IF(OR($B87="",TRIM($J87&amp;"")=""),"",IFERROR(MATCH(TRIM($J87&amp;"")&amp;"|다기관",파견수련계획!$AE$4:$AE$83,0),""))</f>
        <v/>
      </c>
      <c r="AL87" s="10">
        <f>IF($AK87="","","다기관 "&amp;TEXT(INDEX(파견수련계획!$AB$4:$AB$83,$AK87),"yyyy-mm-dd")&amp;"~"&amp;IF(ISNUMBER(INDEX(파견수련계획!$AC$4:$AC$83,$AK87)),TEXT(INDEX(파견수련계획!$AC$4:$AC$83,$AK87),"yyyy-mm-dd"),""))</f>
        <v/>
      </c>
    </row>
    <row r="88">
      <c r="A88" s="10">
        <f>IF(B88="","",ROW()-1)</f>
        <v/>
      </c>
      <c r="B88" s="18" t="n"/>
      <c r="C88" s="10">
        <f>IF($AB88="","",IF(INDEX(기본자료!$C$2:$C$1001,$AB88)="","",INDEX(기본자료!$C$2:$C$1001,$AB88)))</f>
        <v/>
      </c>
      <c r="D88" s="10">
        <f>IF($AB88="","",IF(INDEX(기본자료!$J$2:$J$1001,$AB88)="","",INDEX(기본자료!$J$2:$J$1001,$AB88)))</f>
        <v/>
      </c>
      <c r="E88" s="11">
        <f>IF($AB88="","",IF(INDEX(기본자료!$K$2:$K$1001,$AB88)="","",IF(NOT(ISNUMBER(INDEX(기본자료!$K$2:$K$1001,$AB88))),INDEX(기본자료!$K$2:$K$1001,$AB88),IF(INDEX(기본자료!$K$2:$K$1001,$AB88)&lt;1000000,INDEX(기본자료!$K$2:$K$1001,$AB88),IF(AND(INDEX(기본자료!$K$2:$K$1001,$AB88)&gt;=10000101,INT(MOD(INDEX(기본자료!$K$2:$K$1001,$AB88),10000)/100)&gt;=1,INT(MOD(INDEX(기본자료!$K$2:$K$1001,$AB88),10000)/100)&lt;=12,MOD(INDEX(기본자료!$K$2:$K$1001,$AB88),100)&gt;=1,MOD(INDEX(기본자료!$K$2:$K$1001,$AB88),100)&lt;=31),DATE(INT(INDEX(기본자료!$K$2:$K$1001,$AB88)/10000),INT(MOD(INDEX(기본자료!$K$2:$K$1001,$AB88),10000)/100),MOD(INDEX(기본자료!$K$2:$K$1001,$AB88),100)),INDEX(기본자료!$K$2:$K$1001,$AB88)&amp;"")))))</f>
        <v/>
      </c>
      <c r="F88" s="10">
        <f>IF($AB88="","",IF(INDEX(기본자료!$D$2:$D$1001,$AB88)="","",INDEX(기본자료!$D$2:$D$1001,$AB88)))</f>
        <v/>
      </c>
      <c r="G88" s="10">
        <f>IF($AB88="","",IF(INDEX(기본자료!$E$2:$E$1001,$AB88)="","",INDEX(기본자료!$E$2:$E$1001,$AB88)))</f>
        <v/>
      </c>
      <c r="H88" s="10">
        <f>IF($AB88="","",IF(INDEX(기본자료!$F$2:$F$1001,$AB88)="","",INDEX(기본자료!$F$2:$F$1001,$AB88)))</f>
        <v/>
      </c>
      <c r="I88" s="11">
        <f>IF($AB88="","",IF(INDEX(기본자료!$G$2:$G$1001,$AB88)="","",IF(NOT(ISNUMBER(INDEX(기본자료!$G$2:$G$1001,$AB88))),INDEX(기본자료!$G$2:$G$1001,$AB88),IF(INDEX(기본자료!$G$2:$G$1001,$AB88)&lt;1000000,INDEX(기본자료!$G$2:$G$1001,$AB88),IF(AND(INDEX(기본자료!$G$2:$G$1001,$AB88)&gt;=10000101,INT(MOD(INDEX(기본자료!$G$2:$G$1001,$AB88),10000)/100)&gt;=1,INT(MOD(INDEX(기본자료!$G$2:$G$1001,$AB88),10000)/100)&lt;=12,MOD(INDEX(기본자료!$G$2:$G$1001,$AB88),100)&gt;=1,MOD(INDEX(기본자료!$G$2:$G$1001,$AB88),100)&lt;=31),DATE(INT(INDEX(기본자료!$G$2:$G$1001,$AB88)/10000),INT(MOD(INDEX(기본자료!$G$2:$G$1001,$AB88),10000)/100),MOD(INDEX(기본자료!$G$2:$G$1001,$AB88),100)),INDEX(기본자료!$G$2:$G$1001,$AB88)&amp;"")))))</f>
        <v/>
      </c>
      <c r="J88" s="10">
        <f>IF($AB88="","",IF(INDEX(기본자료!$H$2:$H$1001,$AB88)="","",INDEX(기본자료!$H$2:$H$1001,$AB88)))</f>
        <v/>
      </c>
      <c r="K88" s="10">
        <f>IF($AB88="","",IF(INDEX(기본자료!$I$2:$I$1001,$AB88)="","",INDEX(기본자료!$I$2:$I$1001,$AB88)))</f>
        <v/>
      </c>
      <c r="L88" s="10">
        <f>IF($AB88="","",IF(INDEX(기본자료!$A$2:$A$1001,$AB88)="","",INDEX(기본자료!$A$2:$A$1001,$AB88)))</f>
        <v/>
      </c>
      <c r="M88" s="15" t="n"/>
      <c r="N88" s="10">
        <f>IF($B88="","",IF(AND($U88="파견중",$Q88&lt;&gt;""),$Q88,IF(AND($AD88&lt;&gt;"",LEFT($AD88,1)&lt;&gt;"⚠"),LEFT($AD88,FIND(" ",$AD88)-1),IF($H88="","",IF(RIGHT($H88,2)="병원",$H88,$H88&amp;"병원")))))</f>
        <v/>
      </c>
      <c r="O88" s="10">
        <f>IF($B88="","",IF(AND($U88="파견중",$Q88&lt;&gt;""),IF($R88&lt;&gt;"",$R88,"파견과 미입력"),IF(AND($AD88&lt;&gt;"",LEFT($AD88,1)&lt;&gt;"⚠"),MID($AD88,FIND(" ",$AD88)+1,60),IF($F88="","",IF($F88="인턴","수련교육부(인턴)",$F88)))))</f>
        <v/>
      </c>
      <c r="P88" s="10">
        <f>IF($B88="","",IF($AK88&lt;&gt;"",IF(AND(TODAY()&gt;=INDEX(파견수련계획!$AB$4:$AB$83,$AK88),OR(NOT(ISNUMBER(INDEX(파견수련계획!$AC$4:$AC$83,$AK88))),TODAY()&lt;=INDEX(파견수련계획!$AC$4:$AC$83,$AK88))),"다기관",IF($AF88="","",INDEX(파견수련계획!$T$4:$T$83,$AF88))),IF($AF88="","",INDEX(파견수련계획!$T$4:$T$83,$AF88))))</f>
        <v/>
      </c>
      <c r="Q88" s="10">
        <f>IF($AF88="","",INDEX(파견수련계획!$S$4:$S$83,$AF88))</f>
        <v/>
      </c>
      <c r="R88" s="10">
        <f>IF($AF88="","",INDEX(파견수련계획!$U$4:$U$83,$AF88))</f>
        <v/>
      </c>
      <c r="S88" s="11">
        <f>IF($AF88="","",IF(INDEX(파견수련계획!$H$4:$H$83,$AF88)="","",INDEX(파견수련계획!$H$4:$H$83,$AF88)))</f>
        <v/>
      </c>
      <c r="T88" s="11">
        <f>IF($AF88="","",IF(INDEX(파견수련계획!$I$4:$I$83,$AF88)="","",INDEX(파견수련계획!$I$4:$I$83,$AF88)))</f>
        <v/>
      </c>
      <c r="U88" s="10">
        <f>IF($AF88="","",INDEX(파견수련계획!$X$4:$X$83,$AF88))</f>
        <v/>
      </c>
      <c r="V88" s="17">
        <f>IF($AF88="","",INDEX(파견수련계획!$V$4:$V$83,$AF88))</f>
        <v/>
      </c>
      <c r="W88" s="17">
        <f>IF(AND($U88="파견중",$T88&lt;&gt;""),$T88-TODAY(),"")</f>
        <v/>
      </c>
      <c r="X88" s="17">
        <f>IF(OR($B88="",TRIM($J88&amp;"")=""),"",SUMPRODUCT((파견수련계획!$Q$4:$Q$83=TRIM($J88&amp;""))*파견수련계획!$W$4:$W$83))</f>
        <v/>
      </c>
      <c r="Y88" s="10">
        <f>IF($B88="","",IF($AG88="","",IF(IF(TRIM($J88&amp;"")="",0,SUMPRODUCT((파견수련계획!$Q$4:$Q$83=TRIM($J88&amp;""))*파견수련계획!$AD$4:$AD$83))&gt;0,$AE88,IF(N($X88)&lt;=0,$AG88,IF($AH88+$AI88=DAY(EOMONTH(요약!$B$3,0)),IF(AND($AH88&gt;=요약!$E$3,$AI88&lt;요약!$E$3),"서울병원",IF(AND($AI88&gt;=요약!$E$3,$AH88&lt;요약!$E$3),"구리병원","⚠15일 판정불가(서울 "&amp;$AH88&amp;"일/구리 "&amp;$AI88&amp;"일)")),IF($AJ88="",$AE88,IF(INDEX(파견수련계획!$T$4:$T$83,$AJ88)="통합수련",INDEX(파견수련계획!$S$4:$S$83,$AJ88),$AE88)))))))</f>
        <v/>
      </c>
      <c r="Z88" s="19">
        <f>IF($B88="","",IF($AB88="","기본자료에 없는 사번",IF(COUNTIF($B$2:$B$401,$B88)&gt;1,"중복 사번",IF($AE88="","소속(입사장소) 입력",IF(IF(TRIM($J88&amp;"")="",0,SUMPRODUCT((파견수련계획!$Q$4:$Q$83=TRIM($J88&amp;""))*(파견수련계획!$AA$4:$AA$83&lt;&gt;"")))&gt;0,"파견수련계획 입력오류 확인",IF(LEFT($Y88,1)="⚠","서울·구리 15일 판정 불가(양쪽 모두 이상/미만)",IF(IF($AC88="",0,N(INDEX(인턴근무계획!$T$3:$T$62,$AC88)))&gt;0,"인턴계획 입력오류 확인",IF(AND($AC88&lt;&gt;"",$U88&lt;&gt;"파견중",$N88&lt;&gt;$AE88),"인턴 타지역 근무: 파견 여부 확인","정상"))))))))</f>
        <v/>
      </c>
      <c r="AA88" s="5" t="n"/>
      <c r="AB88" s="10">
        <f>IF($B88="","",IFERROR(MATCH($B88,기본자료!$B$2:$B$1001,0),IFERROR(MATCH($B88&amp;"",기본자료!$B$2:$B$1001,0),IFERROR(MATCH(VALUE($B88),기본자료!$B$2:$B$1001,0),""))))</f>
        <v/>
      </c>
      <c r="AC88" s="10">
        <f>IF($B88="","",IFERROR(MATCH($B88,인턴근무계획!$D$3:$D$62,0),IFERROR(MATCH($B88&amp;"",인턴근무계획!$D$3:$D$62,0),IFERROR(MATCH(VALUE($B88),인턴근무계획!$D$3:$D$62,0),""))))</f>
        <v/>
      </c>
      <c r="AD88" s="10">
        <f>IF(OR($AC88="",인턴현황!$G$3=""),"",INDEX(인턴근무계획!$M$3:$R$62,$AC88,인턴현황!$G$3)&amp;"")</f>
        <v/>
      </c>
      <c r="AE88" s="10">
        <f>IF($B88="","",IF($M88&lt;&gt;"",$M88,IF($AF88&lt;&gt;"",IF(LEFT(INDEX(파견수련계획!$R$4:$R$83,$AF88),1)&lt;&gt;"⚠",INDEX(파견수련계획!$R$4:$R$83,$AF88),IF($H88="","",IF(RIGHT($H88,2)="병원",$H88,$H88&amp;"병원"))),IF($H88="","",IF(RIGHT($H88,2)="병원",$H88,$H88&amp;"병원")))))</f>
        <v/>
      </c>
      <c r="AF88" s="10">
        <f>IF(OR($B88="",TRIM($J88&amp;"")=""),"",IFERROR(MATCH(TRIM($J88&amp;"")&amp;"|파견중",파견수련계획!$Y$4:$Y$83,0),IFERROR(MATCH(TRIM($J88&amp;"")&amp;"|파견예정",파견수련계획!$Y$4:$Y$83,0),IFERROR(MATCH(TRIM($J88&amp;"")&amp;"|파견종료",파견수련계획!$Y$4:$Y$83,0),""))))</f>
        <v/>
      </c>
      <c r="AG88" s="10">
        <f>IF($B88="","",IF(AND(IF(OR($AC88="",인턴현황!$K$2=""),"",INDEX(인턴근무계획!$M$3:$R$62,$AC88,인턴현황!$K$2)&amp;"")&lt;&gt;"",LEFT(IF(OR($AC88="",인턴현황!$K$2=""),"",INDEX(인턴근무계획!$M$3:$R$62,$AC88,인턴현황!$K$2)&amp;""),1)&lt;&gt;"⚠"),LEFT(IF(OR($AC88="",인턴현황!$K$2=""),"",INDEX(인턴근무계획!$M$3:$R$62,$AC88,인턴현황!$K$2)&amp;""),FIND(" ",IF(OR($AC88="",인턴현황!$K$2=""),"",INDEX(인턴근무계획!$M$3:$R$62,$AC88,인턴현황!$K$2)&amp;""))-1),$AE88))</f>
        <v/>
      </c>
      <c r="AH88" s="17">
        <f>IF($B88="","",IF(TRIM($J88&amp;"")="",0,SUMPRODUCT((파견수련계획!$Q$4:$Q$83=TRIM($J88&amp;""))*(파견수련계획!$S$4:$S$83="서울병원")*파견수련계획!$W$4:$W$83))+IF($AG88="서울병원",MAX(0,DAY(EOMONTH(요약!$B$3,0))-N($X88)),0))</f>
        <v/>
      </c>
      <c r="AI88" s="17">
        <f>IF($B88="","",IF(TRIM($J88&amp;"")="",0,SUMPRODUCT((파견수련계획!$Q$4:$Q$83=TRIM($J88&amp;""))*(파견수련계획!$S$4:$S$83="구리병원")*파견수련계획!$W$4:$W$83))+IF($AG88="구리병원",MAX(0,DAY(EOMONTH(요약!$B$3,0))-N($X88)),0))</f>
        <v/>
      </c>
      <c r="AJ88" s="10">
        <f>IF(OR($B88="",TRIM($J88&amp;"")=""),"",IFERROR(MATCH(TRIM($J88&amp;"")&amp;"|월",파견수련계획!$Z$4:$Z$83,0),""))</f>
        <v/>
      </c>
      <c r="AK88" s="10">
        <f>IF(OR($B88="",TRIM($J88&amp;"")=""),"",IFERROR(MATCH(TRIM($J88&amp;"")&amp;"|다기관",파견수련계획!$AE$4:$AE$83,0),""))</f>
        <v/>
      </c>
      <c r="AL88" s="10">
        <f>IF($AK88="","","다기관 "&amp;TEXT(INDEX(파견수련계획!$AB$4:$AB$83,$AK88),"yyyy-mm-dd")&amp;"~"&amp;IF(ISNUMBER(INDEX(파견수련계획!$AC$4:$AC$83,$AK88)),TEXT(INDEX(파견수련계획!$AC$4:$AC$83,$AK88),"yyyy-mm-dd"),""))</f>
        <v/>
      </c>
    </row>
    <row r="89">
      <c r="A89" s="10">
        <f>IF(B89="","",ROW()-1)</f>
        <v/>
      </c>
      <c r="B89" s="18" t="n"/>
      <c r="C89" s="10">
        <f>IF($AB89="","",IF(INDEX(기본자료!$C$2:$C$1001,$AB89)="","",INDEX(기본자료!$C$2:$C$1001,$AB89)))</f>
        <v/>
      </c>
      <c r="D89" s="10">
        <f>IF($AB89="","",IF(INDEX(기본자료!$J$2:$J$1001,$AB89)="","",INDEX(기본자료!$J$2:$J$1001,$AB89)))</f>
        <v/>
      </c>
      <c r="E89" s="11">
        <f>IF($AB89="","",IF(INDEX(기본자료!$K$2:$K$1001,$AB89)="","",IF(NOT(ISNUMBER(INDEX(기본자료!$K$2:$K$1001,$AB89))),INDEX(기본자료!$K$2:$K$1001,$AB89),IF(INDEX(기본자료!$K$2:$K$1001,$AB89)&lt;1000000,INDEX(기본자료!$K$2:$K$1001,$AB89),IF(AND(INDEX(기본자료!$K$2:$K$1001,$AB89)&gt;=10000101,INT(MOD(INDEX(기본자료!$K$2:$K$1001,$AB89),10000)/100)&gt;=1,INT(MOD(INDEX(기본자료!$K$2:$K$1001,$AB89),10000)/100)&lt;=12,MOD(INDEX(기본자료!$K$2:$K$1001,$AB89),100)&gt;=1,MOD(INDEX(기본자료!$K$2:$K$1001,$AB89),100)&lt;=31),DATE(INT(INDEX(기본자료!$K$2:$K$1001,$AB89)/10000),INT(MOD(INDEX(기본자료!$K$2:$K$1001,$AB89),10000)/100),MOD(INDEX(기본자료!$K$2:$K$1001,$AB89),100)),INDEX(기본자료!$K$2:$K$1001,$AB89)&amp;"")))))</f>
        <v/>
      </c>
      <c r="F89" s="10">
        <f>IF($AB89="","",IF(INDEX(기본자료!$D$2:$D$1001,$AB89)="","",INDEX(기본자료!$D$2:$D$1001,$AB89)))</f>
        <v/>
      </c>
      <c r="G89" s="10">
        <f>IF($AB89="","",IF(INDEX(기본자료!$E$2:$E$1001,$AB89)="","",INDEX(기본자료!$E$2:$E$1001,$AB89)))</f>
        <v/>
      </c>
      <c r="H89" s="10">
        <f>IF($AB89="","",IF(INDEX(기본자료!$F$2:$F$1001,$AB89)="","",INDEX(기본자료!$F$2:$F$1001,$AB89)))</f>
        <v/>
      </c>
      <c r="I89" s="11">
        <f>IF($AB89="","",IF(INDEX(기본자료!$G$2:$G$1001,$AB89)="","",IF(NOT(ISNUMBER(INDEX(기본자료!$G$2:$G$1001,$AB89))),INDEX(기본자료!$G$2:$G$1001,$AB89),IF(INDEX(기본자료!$G$2:$G$1001,$AB89)&lt;1000000,INDEX(기본자료!$G$2:$G$1001,$AB89),IF(AND(INDEX(기본자료!$G$2:$G$1001,$AB89)&gt;=10000101,INT(MOD(INDEX(기본자료!$G$2:$G$1001,$AB89),10000)/100)&gt;=1,INT(MOD(INDEX(기본자료!$G$2:$G$1001,$AB89),10000)/100)&lt;=12,MOD(INDEX(기본자료!$G$2:$G$1001,$AB89),100)&gt;=1,MOD(INDEX(기본자료!$G$2:$G$1001,$AB89),100)&lt;=31),DATE(INT(INDEX(기본자료!$G$2:$G$1001,$AB89)/10000),INT(MOD(INDEX(기본자료!$G$2:$G$1001,$AB89),10000)/100),MOD(INDEX(기본자료!$G$2:$G$1001,$AB89),100)),INDEX(기본자료!$G$2:$G$1001,$AB89)&amp;"")))))</f>
        <v/>
      </c>
      <c r="J89" s="10">
        <f>IF($AB89="","",IF(INDEX(기본자료!$H$2:$H$1001,$AB89)="","",INDEX(기본자료!$H$2:$H$1001,$AB89)))</f>
        <v/>
      </c>
      <c r="K89" s="10">
        <f>IF($AB89="","",IF(INDEX(기본자료!$I$2:$I$1001,$AB89)="","",INDEX(기본자료!$I$2:$I$1001,$AB89)))</f>
        <v/>
      </c>
      <c r="L89" s="10">
        <f>IF($AB89="","",IF(INDEX(기본자료!$A$2:$A$1001,$AB89)="","",INDEX(기본자료!$A$2:$A$1001,$AB89)))</f>
        <v/>
      </c>
      <c r="M89" s="15" t="n"/>
      <c r="N89" s="10">
        <f>IF($B89="","",IF(AND($U89="파견중",$Q89&lt;&gt;""),$Q89,IF(AND($AD89&lt;&gt;"",LEFT($AD89,1)&lt;&gt;"⚠"),LEFT($AD89,FIND(" ",$AD89)-1),IF($H89="","",IF(RIGHT($H89,2)="병원",$H89,$H89&amp;"병원")))))</f>
        <v/>
      </c>
      <c r="O89" s="10">
        <f>IF($B89="","",IF(AND($U89="파견중",$Q89&lt;&gt;""),IF($R89&lt;&gt;"",$R89,"파견과 미입력"),IF(AND($AD89&lt;&gt;"",LEFT($AD89,1)&lt;&gt;"⚠"),MID($AD89,FIND(" ",$AD89)+1,60),IF($F89="","",IF($F89="인턴","수련교육부(인턴)",$F89)))))</f>
        <v/>
      </c>
      <c r="P89" s="10">
        <f>IF($B89="","",IF($AK89&lt;&gt;"",IF(AND(TODAY()&gt;=INDEX(파견수련계획!$AB$4:$AB$83,$AK89),OR(NOT(ISNUMBER(INDEX(파견수련계획!$AC$4:$AC$83,$AK89))),TODAY()&lt;=INDEX(파견수련계획!$AC$4:$AC$83,$AK89))),"다기관",IF($AF89="","",INDEX(파견수련계획!$T$4:$T$83,$AF89))),IF($AF89="","",INDEX(파견수련계획!$T$4:$T$83,$AF89))))</f>
        <v/>
      </c>
      <c r="Q89" s="10">
        <f>IF($AF89="","",INDEX(파견수련계획!$S$4:$S$83,$AF89))</f>
        <v/>
      </c>
      <c r="R89" s="10">
        <f>IF($AF89="","",INDEX(파견수련계획!$U$4:$U$83,$AF89))</f>
        <v/>
      </c>
      <c r="S89" s="11">
        <f>IF($AF89="","",IF(INDEX(파견수련계획!$H$4:$H$83,$AF89)="","",INDEX(파견수련계획!$H$4:$H$83,$AF89)))</f>
        <v/>
      </c>
      <c r="T89" s="11">
        <f>IF($AF89="","",IF(INDEX(파견수련계획!$I$4:$I$83,$AF89)="","",INDEX(파견수련계획!$I$4:$I$83,$AF89)))</f>
        <v/>
      </c>
      <c r="U89" s="10">
        <f>IF($AF89="","",INDEX(파견수련계획!$X$4:$X$83,$AF89))</f>
        <v/>
      </c>
      <c r="V89" s="17">
        <f>IF($AF89="","",INDEX(파견수련계획!$V$4:$V$83,$AF89))</f>
        <v/>
      </c>
      <c r="W89" s="17">
        <f>IF(AND($U89="파견중",$T89&lt;&gt;""),$T89-TODAY(),"")</f>
        <v/>
      </c>
      <c r="X89" s="17">
        <f>IF(OR($B89="",TRIM($J89&amp;"")=""),"",SUMPRODUCT((파견수련계획!$Q$4:$Q$83=TRIM($J89&amp;""))*파견수련계획!$W$4:$W$83))</f>
        <v/>
      </c>
      <c r="Y89" s="10">
        <f>IF($B89="","",IF($AG89="","",IF(IF(TRIM($J89&amp;"")="",0,SUMPRODUCT((파견수련계획!$Q$4:$Q$83=TRIM($J89&amp;""))*파견수련계획!$AD$4:$AD$83))&gt;0,$AE89,IF(N($X89)&lt;=0,$AG89,IF($AH89+$AI89=DAY(EOMONTH(요약!$B$3,0)),IF(AND($AH89&gt;=요약!$E$3,$AI89&lt;요약!$E$3),"서울병원",IF(AND($AI89&gt;=요약!$E$3,$AH89&lt;요약!$E$3),"구리병원","⚠15일 판정불가(서울 "&amp;$AH89&amp;"일/구리 "&amp;$AI89&amp;"일)")),IF($AJ89="",$AE89,IF(INDEX(파견수련계획!$T$4:$T$83,$AJ89)="통합수련",INDEX(파견수련계획!$S$4:$S$83,$AJ89),$AE89)))))))</f>
        <v/>
      </c>
      <c r="Z89" s="19">
        <f>IF($B89="","",IF($AB89="","기본자료에 없는 사번",IF(COUNTIF($B$2:$B$401,$B89)&gt;1,"중복 사번",IF($AE89="","소속(입사장소) 입력",IF(IF(TRIM($J89&amp;"")="",0,SUMPRODUCT((파견수련계획!$Q$4:$Q$83=TRIM($J89&amp;""))*(파견수련계획!$AA$4:$AA$83&lt;&gt;"")))&gt;0,"파견수련계획 입력오류 확인",IF(LEFT($Y89,1)="⚠","서울·구리 15일 판정 불가(양쪽 모두 이상/미만)",IF(IF($AC89="",0,N(INDEX(인턴근무계획!$T$3:$T$62,$AC89)))&gt;0,"인턴계획 입력오류 확인",IF(AND($AC89&lt;&gt;"",$U89&lt;&gt;"파견중",$N89&lt;&gt;$AE89),"인턴 타지역 근무: 파견 여부 확인","정상"))))))))</f>
        <v/>
      </c>
      <c r="AA89" s="5" t="n"/>
      <c r="AB89" s="10">
        <f>IF($B89="","",IFERROR(MATCH($B89,기본자료!$B$2:$B$1001,0),IFERROR(MATCH($B89&amp;"",기본자료!$B$2:$B$1001,0),IFERROR(MATCH(VALUE($B89),기본자료!$B$2:$B$1001,0),""))))</f>
        <v/>
      </c>
      <c r="AC89" s="10">
        <f>IF($B89="","",IFERROR(MATCH($B89,인턴근무계획!$D$3:$D$62,0),IFERROR(MATCH($B89&amp;"",인턴근무계획!$D$3:$D$62,0),IFERROR(MATCH(VALUE($B89),인턴근무계획!$D$3:$D$62,0),""))))</f>
        <v/>
      </c>
      <c r="AD89" s="10">
        <f>IF(OR($AC89="",인턴현황!$G$3=""),"",INDEX(인턴근무계획!$M$3:$R$62,$AC89,인턴현황!$G$3)&amp;"")</f>
        <v/>
      </c>
      <c r="AE89" s="10">
        <f>IF($B89="","",IF($M89&lt;&gt;"",$M89,IF($AF89&lt;&gt;"",IF(LEFT(INDEX(파견수련계획!$R$4:$R$83,$AF89),1)&lt;&gt;"⚠",INDEX(파견수련계획!$R$4:$R$83,$AF89),IF($H89="","",IF(RIGHT($H89,2)="병원",$H89,$H89&amp;"병원"))),IF($H89="","",IF(RIGHT($H89,2)="병원",$H89,$H89&amp;"병원")))))</f>
        <v/>
      </c>
      <c r="AF89" s="10">
        <f>IF(OR($B89="",TRIM($J89&amp;"")=""),"",IFERROR(MATCH(TRIM($J89&amp;"")&amp;"|파견중",파견수련계획!$Y$4:$Y$83,0),IFERROR(MATCH(TRIM($J89&amp;"")&amp;"|파견예정",파견수련계획!$Y$4:$Y$83,0),IFERROR(MATCH(TRIM($J89&amp;"")&amp;"|파견종료",파견수련계획!$Y$4:$Y$83,0),""))))</f>
        <v/>
      </c>
      <c r="AG89" s="10">
        <f>IF($B89="","",IF(AND(IF(OR($AC89="",인턴현황!$K$2=""),"",INDEX(인턴근무계획!$M$3:$R$62,$AC89,인턴현황!$K$2)&amp;"")&lt;&gt;"",LEFT(IF(OR($AC89="",인턴현황!$K$2=""),"",INDEX(인턴근무계획!$M$3:$R$62,$AC89,인턴현황!$K$2)&amp;""),1)&lt;&gt;"⚠"),LEFT(IF(OR($AC89="",인턴현황!$K$2=""),"",INDEX(인턴근무계획!$M$3:$R$62,$AC89,인턴현황!$K$2)&amp;""),FIND(" ",IF(OR($AC89="",인턴현황!$K$2=""),"",INDEX(인턴근무계획!$M$3:$R$62,$AC89,인턴현황!$K$2)&amp;""))-1),$AE89))</f>
        <v/>
      </c>
      <c r="AH89" s="17">
        <f>IF($B89="","",IF(TRIM($J89&amp;"")="",0,SUMPRODUCT((파견수련계획!$Q$4:$Q$83=TRIM($J89&amp;""))*(파견수련계획!$S$4:$S$83="서울병원")*파견수련계획!$W$4:$W$83))+IF($AG89="서울병원",MAX(0,DAY(EOMONTH(요약!$B$3,0))-N($X89)),0))</f>
        <v/>
      </c>
      <c r="AI89" s="17">
        <f>IF($B89="","",IF(TRIM($J89&amp;"")="",0,SUMPRODUCT((파견수련계획!$Q$4:$Q$83=TRIM($J89&amp;""))*(파견수련계획!$S$4:$S$83="구리병원")*파견수련계획!$W$4:$W$83))+IF($AG89="구리병원",MAX(0,DAY(EOMONTH(요약!$B$3,0))-N($X89)),0))</f>
        <v/>
      </c>
      <c r="AJ89" s="10">
        <f>IF(OR($B89="",TRIM($J89&amp;"")=""),"",IFERROR(MATCH(TRIM($J89&amp;"")&amp;"|월",파견수련계획!$Z$4:$Z$83,0),""))</f>
        <v/>
      </c>
      <c r="AK89" s="10">
        <f>IF(OR($B89="",TRIM($J89&amp;"")=""),"",IFERROR(MATCH(TRIM($J89&amp;"")&amp;"|다기관",파견수련계획!$AE$4:$AE$83,0),""))</f>
        <v/>
      </c>
      <c r="AL89" s="10">
        <f>IF($AK89="","","다기관 "&amp;TEXT(INDEX(파견수련계획!$AB$4:$AB$83,$AK89),"yyyy-mm-dd")&amp;"~"&amp;IF(ISNUMBER(INDEX(파견수련계획!$AC$4:$AC$83,$AK89)),TEXT(INDEX(파견수련계획!$AC$4:$AC$83,$AK89),"yyyy-mm-dd"),""))</f>
        <v/>
      </c>
    </row>
    <row r="90">
      <c r="A90" s="10">
        <f>IF(B90="","",ROW()-1)</f>
        <v/>
      </c>
      <c r="B90" s="18" t="n"/>
      <c r="C90" s="10">
        <f>IF($AB90="","",IF(INDEX(기본자료!$C$2:$C$1001,$AB90)="","",INDEX(기본자료!$C$2:$C$1001,$AB90)))</f>
        <v/>
      </c>
      <c r="D90" s="10">
        <f>IF($AB90="","",IF(INDEX(기본자료!$J$2:$J$1001,$AB90)="","",INDEX(기본자료!$J$2:$J$1001,$AB90)))</f>
        <v/>
      </c>
      <c r="E90" s="11">
        <f>IF($AB90="","",IF(INDEX(기본자료!$K$2:$K$1001,$AB90)="","",IF(NOT(ISNUMBER(INDEX(기본자료!$K$2:$K$1001,$AB90))),INDEX(기본자료!$K$2:$K$1001,$AB90),IF(INDEX(기본자료!$K$2:$K$1001,$AB90)&lt;1000000,INDEX(기본자료!$K$2:$K$1001,$AB90),IF(AND(INDEX(기본자료!$K$2:$K$1001,$AB90)&gt;=10000101,INT(MOD(INDEX(기본자료!$K$2:$K$1001,$AB90),10000)/100)&gt;=1,INT(MOD(INDEX(기본자료!$K$2:$K$1001,$AB90),10000)/100)&lt;=12,MOD(INDEX(기본자료!$K$2:$K$1001,$AB90),100)&gt;=1,MOD(INDEX(기본자료!$K$2:$K$1001,$AB90),100)&lt;=31),DATE(INT(INDEX(기본자료!$K$2:$K$1001,$AB90)/10000),INT(MOD(INDEX(기본자료!$K$2:$K$1001,$AB90),10000)/100),MOD(INDEX(기본자료!$K$2:$K$1001,$AB90),100)),INDEX(기본자료!$K$2:$K$1001,$AB90)&amp;"")))))</f>
        <v/>
      </c>
      <c r="F90" s="10">
        <f>IF($AB90="","",IF(INDEX(기본자료!$D$2:$D$1001,$AB90)="","",INDEX(기본자료!$D$2:$D$1001,$AB90)))</f>
        <v/>
      </c>
      <c r="G90" s="10">
        <f>IF($AB90="","",IF(INDEX(기본자료!$E$2:$E$1001,$AB90)="","",INDEX(기본자료!$E$2:$E$1001,$AB90)))</f>
        <v/>
      </c>
      <c r="H90" s="10">
        <f>IF($AB90="","",IF(INDEX(기본자료!$F$2:$F$1001,$AB90)="","",INDEX(기본자료!$F$2:$F$1001,$AB90)))</f>
        <v/>
      </c>
      <c r="I90" s="11">
        <f>IF($AB90="","",IF(INDEX(기본자료!$G$2:$G$1001,$AB90)="","",IF(NOT(ISNUMBER(INDEX(기본자료!$G$2:$G$1001,$AB90))),INDEX(기본자료!$G$2:$G$1001,$AB90),IF(INDEX(기본자료!$G$2:$G$1001,$AB90)&lt;1000000,INDEX(기본자료!$G$2:$G$1001,$AB90),IF(AND(INDEX(기본자료!$G$2:$G$1001,$AB90)&gt;=10000101,INT(MOD(INDEX(기본자료!$G$2:$G$1001,$AB90),10000)/100)&gt;=1,INT(MOD(INDEX(기본자료!$G$2:$G$1001,$AB90),10000)/100)&lt;=12,MOD(INDEX(기본자료!$G$2:$G$1001,$AB90),100)&gt;=1,MOD(INDEX(기본자료!$G$2:$G$1001,$AB90),100)&lt;=31),DATE(INT(INDEX(기본자료!$G$2:$G$1001,$AB90)/10000),INT(MOD(INDEX(기본자료!$G$2:$G$1001,$AB90),10000)/100),MOD(INDEX(기본자료!$G$2:$G$1001,$AB90),100)),INDEX(기본자료!$G$2:$G$1001,$AB90)&amp;"")))))</f>
        <v/>
      </c>
      <c r="J90" s="10">
        <f>IF($AB90="","",IF(INDEX(기본자료!$H$2:$H$1001,$AB90)="","",INDEX(기본자료!$H$2:$H$1001,$AB90)))</f>
        <v/>
      </c>
      <c r="K90" s="10">
        <f>IF($AB90="","",IF(INDEX(기본자료!$I$2:$I$1001,$AB90)="","",INDEX(기본자료!$I$2:$I$1001,$AB90)))</f>
        <v/>
      </c>
      <c r="L90" s="10">
        <f>IF($AB90="","",IF(INDEX(기본자료!$A$2:$A$1001,$AB90)="","",INDEX(기본자료!$A$2:$A$1001,$AB90)))</f>
        <v/>
      </c>
      <c r="M90" s="15" t="n"/>
      <c r="N90" s="10">
        <f>IF($B90="","",IF(AND($U90="파견중",$Q90&lt;&gt;""),$Q90,IF(AND($AD90&lt;&gt;"",LEFT($AD90,1)&lt;&gt;"⚠"),LEFT($AD90,FIND(" ",$AD90)-1),IF($H90="","",IF(RIGHT($H90,2)="병원",$H90,$H90&amp;"병원")))))</f>
        <v/>
      </c>
      <c r="O90" s="10">
        <f>IF($B90="","",IF(AND($U90="파견중",$Q90&lt;&gt;""),IF($R90&lt;&gt;"",$R90,"파견과 미입력"),IF(AND($AD90&lt;&gt;"",LEFT($AD90,1)&lt;&gt;"⚠"),MID($AD90,FIND(" ",$AD90)+1,60),IF($F90="","",IF($F90="인턴","수련교육부(인턴)",$F90)))))</f>
        <v/>
      </c>
      <c r="P90" s="10">
        <f>IF($B90="","",IF($AK90&lt;&gt;"",IF(AND(TODAY()&gt;=INDEX(파견수련계획!$AB$4:$AB$83,$AK90),OR(NOT(ISNUMBER(INDEX(파견수련계획!$AC$4:$AC$83,$AK90))),TODAY()&lt;=INDEX(파견수련계획!$AC$4:$AC$83,$AK90))),"다기관",IF($AF90="","",INDEX(파견수련계획!$T$4:$T$83,$AF90))),IF($AF90="","",INDEX(파견수련계획!$T$4:$T$83,$AF90))))</f>
        <v/>
      </c>
      <c r="Q90" s="10">
        <f>IF($AF90="","",INDEX(파견수련계획!$S$4:$S$83,$AF90))</f>
        <v/>
      </c>
      <c r="R90" s="10">
        <f>IF($AF90="","",INDEX(파견수련계획!$U$4:$U$83,$AF90))</f>
        <v/>
      </c>
      <c r="S90" s="11">
        <f>IF($AF90="","",IF(INDEX(파견수련계획!$H$4:$H$83,$AF90)="","",INDEX(파견수련계획!$H$4:$H$83,$AF90)))</f>
        <v/>
      </c>
      <c r="T90" s="11">
        <f>IF($AF90="","",IF(INDEX(파견수련계획!$I$4:$I$83,$AF90)="","",INDEX(파견수련계획!$I$4:$I$83,$AF90)))</f>
        <v/>
      </c>
      <c r="U90" s="10">
        <f>IF($AF90="","",INDEX(파견수련계획!$X$4:$X$83,$AF90))</f>
        <v/>
      </c>
      <c r="V90" s="17">
        <f>IF($AF90="","",INDEX(파견수련계획!$V$4:$V$83,$AF90))</f>
        <v/>
      </c>
      <c r="W90" s="17">
        <f>IF(AND($U90="파견중",$T90&lt;&gt;""),$T90-TODAY(),"")</f>
        <v/>
      </c>
      <c r="X90" s="17">
        <f>IF(OR($B90="",TRIM($J90&amp;"")=""),"",SUMPRODUCT((파견수련계획!$Q$4:$Q$83=TRIM($J90&amp;""))*파견수련계획!$W$4:$W$83))</f>
        <v/>
      </c>
      <c r="Y90" s="10">
        <f>IF($B90="","",IF($AG90="","",IF(IF(TRIM($J90&amp;"")="",0,SUMPRODUCT((파견수련계획!$Q$4:$Q$83=TRIM($J90&amp;""))*파견수련계획!$AD$4:$AD$83))&gt;0,$AE90,IF(N($X90)&lt;=0,$AG90,IF($AH90+$AI90=DAY(EOMONTH(요약!$B$3,0)),IF(AND($AH90&gt;=요약!$E$3,$AI90&lt;요약!$E$3),"서울병원",IF(AND($AI90&gt;=요약!$E$3,$AH90&lt;요약!$E$3),"구리병원","⚠15일 판정불가(서울 "&amp;$AH90&amp;"일/구리 "&amp;$AI90&amp;"일)")),IF($AJ90="",$AE90,IF(INDEX(파견수련계획!$T$4:$T$83,$AJ90)="통합수련",INDEX(파견수련계획!$S$4:$S$83,$AJ90),$AE90)))))))</f>
        <v/>
      </c>
      <c r="Z90" s="19">
        <f>IF($B90="","",IF($AB90="","기본자료에 없는 사번",IF(COUNTIF($B$2:$B$401,$B90)&gt;1,"중복 사번",IF($AE90="","소속(입사장소) 입력",IF(IF(TRIM($J90&amp;"")="",0,SUMPRODUCT((파견수련계획!$Q$4:$Q$83=TRIM($J90&amp;""))*(파견수련계획!$AA$4:$AA$83&lt;&gt;"")))&gt;0,"파견수련계획 입력오류 확인",IF(LEFT($Y90,1)="⚠","서울·구리 15일 판정 불가(양쪽 모두 이상/미만)",IF(IF($AC90="",0,N(INDEX(인턴근무계획!$T$3:$T$62,$AC90)))&gt;0,"인턴계획 입력오류 확인",IF(AND($AC90&lt;&gt;"",$U90&lt;&gt;"파견중",$N90&lt;&gt;$AE90),"인턴 타지역 근무: 파견 여부 확인","정상"))))))))</f>
        <v/>
      </c>
      <c r="AA90" s="5" t="n"/>
      <c r="AB90" s="10">
        <f>IF($B90="","",IFERROR(MATCH($B90,기본자료!$B$2:$B$1001,0),IFERROR(MATCH($B90&amp;"",기본자료!$B$2:$B$1001,0),IFERROR(MATCH(VALUE($B90),기본자료!$B$2:$B$1001,0),""))))</f>
        <v/>
      </c>
      <c r="AC90" s="10">
        <f>IF($B90="","",IFERROR(MATCH($B90,인턴근무계획!$D$3:$D$62,0),IFERROR(MATCH($B90&amp;"",인턴근무계획!$D$3:$D$62,0),IFERROR(MATCH(VALUE($B90),인턴근무계획!$D$3:$D$62,0),""))))</f>
        <v/>
      </c>
      <c r="AD90" s="10">
        <f>IF(OR($AC90="",인턴현황!$G$3=""),"",INDEX(인턴근무계획!$M$3:$R$62,$AC90,인턴현황!$G$3)&amp;"")</f>
        <v/>
      </c>
      <c r="AE90" s="10">
        <f>IF($B90="","",IF($M90&lt;&gt;"",$M90,IF($AF90&lt;&gt;"",IF(LEFT(INDEX(파견수련계획!$R$4:$R$83,$AF90),1)&lt;&gt;"⚠",INDEX(파견수련계획!$R$4:$R$83,$AF90),IF($H90="","",IF(RIGHT($H90,2)="병원",$H90,$H90&amp;"병원"))),IF($H90="","",IF(RIGHT($H90,2)="병원",$H90,$H90&amp;"병원")))))</f>
        <v/>
      </c>
      <c r="AF90" s="10">
        <f>IF(OR($B90="",TRIM($J90&amp;"")=""),"",IFERROR(MATCH(TRIM($J90&amp;"")&amp;"|파견중",파견수련계획!$Y$4:$Y$83,0),IFERROR(MATCH(TRIM($J90&amp;"")&amp;"|파견예정",파견수련계획!$Y$4:$Y$83,0),IFERROR(MATCH(TRIM($J90&amp;"")&amp;"|파견종료",파견수련계획!$Y$4:$Y$83,0),""))))</f>
        <v/>
      </c>
      <c r="AG90" s="10">
        <f>IF($B90="","",IF(AND(IF(OR($AC90="",인턴현황!$K$2=""),"",INDEX(인턴근무계획!$M$3:$R$62,$AC90,인턴현황!$K$2)&amp;"")&lt;&gt;"",LEFT(IF(OR($AC90="",인턴현황!$K$2=""),"",INDEX(인턴근무계획!$M$3:$R$62,$AC90,인턴현황!$K$2)&amp;""),1)&lt;&gt;"⚠"),LEFT(IF(OR($AC90="",인턴현황!$K$2=""),"",INDEX(인턴근무계획!$M$3:$R$62,$AC90,인턴현황!$K$2)&amp;""),FIND(" ",IF(OR($AC90="",인턴현황!$K$2=""),"",INDEX(인턴근무계획!$M$3:$R$62,$AC90,인턴현황!$K$2)&amp;""))-1),$AE90))</f>
        <v/>
      </c>
      <c r="AH90" s="17">
        <f>IF($B90="","",IF(TRIM($J90&amp;"")="",0,SUMPRODUCT((파견수련계획!$Q$4:$Q$83=TRIM($J90&amp;""))*(파견수련계획!$S$4:$S$83="서울병원")*파견수련계획!$W$4:$W$83))+IF($AG90="서울병원",MAX(0,DAY(EOMONTH(요약!$B$3,0))-N($X90)),0))</f>
        <v/>
      </c>
      <c r="AI90" s="17">
        <f>IF($B90="","",IF(TRIM($J90&amp;"")="",0,SUMPRODUCT((파견수련계획!$Q$4:$Q$83=TRIM($J90&amp;""))*(파견수련계획!$S$4:$S$83="구리병원")*파견수련계획!$W$4:$W$83))+IF($AG90="구리병원",MAX(0,DAY(EOMONTH(요약!$B$3,0))-N($X90)),0))</f>
        <v/>
      </c>
      <c r="AJ90" s="10">
        <f>IF(OR($B90="",TRIM($J90&amp;"")=""),"",IFERROR(MATCH(TRIM($J90&amp;"")&amp;"|월",파견수련계획!$Z$4:$Z$83,0),""))</f>
        <v/>
      </c>
      <c r="AK90" s="10">
        <f>IF(OR($B90="",TRIM($J90&amp;"")=""),"",IFERROR(MATCH(TRIM($J90&amp;"")&amp;"|다기관",파견수련계획!$AE$4:$AE$83,0),""))</f>
        <v/>
      </c>
      <c r="AL90" s="10">
        <f>IF($AK90="","","다기관 "&amp;TEXT(INDEX(파견수련계획!$AB$4:$AB$83,$AK90),"yyyy-mm-dd")&amp;"~"&amp;IF(ISNUMBER(INDEX(파견수련계획!$AC$4:$AC$83,$AK90)),TEXT(INDEX(파견수련계획!$AC$4:$AC$83,$AK90),"yyyy-mm-dd"),""))</f>
        <v/>
      </c>
    </row>
    <row r="91">
      <c r="A91" s="10">
        <f>IF(B91="","",ROW()-1)</f>
        <v/>
      </c>
      <c r="B91" s="18" t="n"/>
      <c r="C91" s="10">
        <f>IF($AB91="","",IF(INDEX(기본자료!$C$2:$C$1001,$AB91)="","",INDEX(기본자료!$C$2:$C$1001,$AB91)))</f>
        <v/>
      </c>
      <c r="D91" s="10">
        <f>IF($AB91="","",IF(INDEX(기본자료!$J$2:$J$1001,$AB91)="","",INDEX(기본자료!$J$2:$J$1001,$AB91)))</f>
        <v/>
      </c>
      <c r="E91" s="11">
        <f>IF($AB91="","",IF(INDEX(기본자료!$K$2:$K$1001,$AB91)="","",IF(NOT(ISNUMBER(INDEX(기본자료!$K$2:$K$1001,$AB91))),INDEX(기본자료!$K$2:$K$1001,$AB91),IF(INDEX(기본자료!$K$2:$K$1001,$AB91)&lt;1000000,INDEX(기본자료!$K$2:$K$1001,$AB91),IF(AND(INDEX(기본자료!$K$2:$K$1001,$AB91)&gt;=10000101,INT(MOD(INDEX(기본자료!$K$2:$K$1001,$AB91),10000)/100)&gt;=1,INT(MOD(INDEX(기본자료!$K$2:$K$1001,$AB91),10000)/100)&lt;=12,MOD(INDEX(기본자료!$K$2:$K$1001,$AB91),100)&gt;=1,MOD(INDEX(기본자료!$K$2:$K$1001,$AB91),100)&lt;=31),DATE(INT(INDEX(기본자료!$K$2:$K$1001,$AB91)/10000),INT(MOD(INDEX(기본자료!$K$2:$K$1001,$AB91),10000)/100),MOD(INDEX(기본자료!$K$2:$K$1001,$AB91),100)),INDEX(기본자료!$K$2:$K$1001,$AB91)&amp;"")))))</f>
        <v/>
      </c>
      <c r="F91" s="10">
        <f>IF($AB91="","",IF(INDEX(기본자료!$D$2:$D$1001,$AB91)="","",INDEX(기본자료!$D$2:$D$1001,$AB91)))</f>
        <v/>
      </c>
      <c r="G91" s="10">
        <f>IF($AB91="","",IF(INDEX(기본자료!$E$2:$E$1001,$AB91)="","",INDEX(기본자료!$E$2:$E$1001,$AB91)))</f>
        <v/>
      </c>
      <c r="H91" s="10">
        <f>IF($AB91="","",IF(INDEX(기본자료!$F$2:$F$1001,$AB91)="","",INDEX(기본자료!$F$2:$F$1001,$AB91)))</f>
        <v/>
      </c>
      <c r="I91" s="11">
        <f>IF($AB91="","",IF(INDEX(기본자료!$G$2:$G$1001,$AB91)="","",IF(NOT(ISNUMBER(INDEX(기본자료!$G$2:$G$1001,$AB91))),INDEX(기본자료!$G$2:$G$1001,$AB91),IF(INDEX(기본자료!$G$2:$G$1001,$AB91)&lt;1000000,INDEX(기본자료!$G$2:$G$1001,$AB91),IF(AND(INDEX(기본자료!$G$2:$G$1001,$AB91)&gt;=10000101,INT(MOD(INDEX(기본자료!$G$2:$G$1001,$AB91),10000)/100)&gt;=1,INT(MOD(INDEX(기본자료!$G$2:$G$1001,$AB91),10000)/100)&lt;=12,MOD(INDEX(기본자료!$G$2:$G$1001,$AB91),100)&gt;=1,MOD(INDEX(기본자료!$G$2:$G$1001,$AB91),100)&lt;=31),DATE(INT(INDEX(기본자료!$G$2:$G$1001,$AB91)/10000),INT(MOD(INDEX(기본자료!$G$2:$G$1001,$AB91),10000)/100),MOD(INDEX(기본자료!$G$2:$G$1001,$AB91),100)),INDEX(기본자료!$G$2:$G$1001,$AB91)&amp;"")))))</f>
        <v/>
      </c>
      <c r="J91" s="10">
        <f>IF($AB91="","",IF(INDEX(기본자료!$H$2:$H$1001,$AB91)="","",INDEX(기본자료!$H$2:$H$1001,$AB91)))</f>
        <v/>
      </c>
      <c r="K91" s="10">
        <f>IF($AB91="","",IF(INDEX(기본자료!$I$2:$I$1001,$AB91)="","",INDEX(기본자료!$I$2:$I$1001,$AB91)))</f>
        <v/>
      </c>
      <c r="L91" s="10">
        <f>IF($AB91="","",IF(INDEX(기본자료!$A$2:$A$1001,$AB91)="","",INDEX(기본자료!$A$2:$A$1001,$AB91)))</f>
        <v/>
      </c>
      <c r="M91" s="15" t="n"/>
      <c r="N91" s="10">
        <f>IF($B91="","",IF(AND($U91="파견중",$Q91&lt;&gt;""),$Q91,IF(AND($AD91&lt;&gt;"",LEFT($AD91,1)&lt;&gt;"⚠"),LEFT($AD91,FIND(" ",$AD91)-1),IF($H91="","",IF(RIGHT($H91,2)="병원",$H91,$H91&amp;"병원")))))</f>
        <v/>
      </c>
      <c r="O91" s="10">
        <f>IF($B91="","",IF(AND($U91="파견중",$Q91&lt;&gt;""),IF($R91&lt;&gt;"",$R91,"파견과 미입력"),IF(AND($AD91&lt;&gt;"",LEFT($AD91,1)&lt;&gt;"⚠"),MID($AD91,FIND(" ",$AD91)+1,60),IF($F91="","",IF($F91="인턴","수련교육부(인턴)",$F91)))))</f>
        <v/>
      </c>
      <c r="P91" s="10">
        <f>IF($B91="","",IF($AK91&lt;&gt;"",IF(AND(TODAY()&gt;=INDEX(파견수련계획!$AB$4:$AB$83,$AK91),OR(NOT(ISNUMBER(INDEX(파견수련계획!$AC$4:$AC$83,$AK91))),TODAY()&lt;=INDEX(파견수련계획!$AC$4:$AC$83,$AK91))),"다기관",IF($AF91="","",INDEX(파견수련계획!$T$4:$T$83,$AF91))),IF($AF91="","",INDEX(파견수련계획!$T$4:$T$83,$AF91))))</f>
        <v/>
      </c>
      <c r="Q91" s="10">
        <f>IF($AF91="","",INDEX(파견수련계획!$S$4:$S$83,$AF91))</f>
        <v/>
      </c>
      <c r="R91" s="10">
        <f>IF($AF91="","",INDEX(파견수련계획!$U$4:$U$83,$AF91))</f>
        <v/>
      </c>
      <c r="S91" s="11">
        <f>IF($AF91="","",IF(INDEX(파견수련계획!$H$4:$H$83,$AF91)="","",INDEX(파견수련계획!$H$4:$H$83,$AF91)))</f>
        <v/>
      </c>
      <c r="T91" s="11">
        <f>IF($AF91="","",IF(INDEX(파견수련계획!$I$4:$I$83,$AF91)="","",INDEX(파견수련계획!$I$4:$I$83,$AF91)))</f>
        <v/>
      </c>
      <c r="U91" s="10">
        <f>IF($AF91="","",INDEX(파견수련계획!$X$4:$X$83,$AF91))</f>
        <v/>
      </c>
      <c r="V91" s="17">
        <f>IF($AF91="","",INDEX(파견수련계획!$V$4:$V$83,$AF91))</f>
        <v/>
      </c>
      <c r="W91" s="17">
        <f>IF(AND($U91="파견중",$T91&lt;&gt;""),$T91-TODAY(),"")</f>
        <v/>
      </c>
      <c r="X91" s="17">
        <f>IF(OR($B91="",TRIM($J91&amp;"")=""),"",SUMPRODUCT((파견수련계획!$Q$4:$Q$83=TRIM($J91&amp;""))*파견수련계획!$W$4:$W$83))</f>
        <v/>
      </c>
      <c r="Y91" s="10">
        <f>IF($B91="","",IF($AG91="","",IF(IF(TRIM($J91&amp;"")="",0,SUMPRODUCT((파견수련계획!$Q$4:$Q$83=TRIM($J91&amp;""))*파견수련계획!$AD$4:$AD$83))&gt;0,$AE91,IF(N($X91)&lt;=0,$AG91,IF($AH91+$AI91=DAY(EOMONTH(요약!$B$3,0)),IF(AND($AH91&gt;=요약!$E$3,$AI91&lt;요약!$E$3),"서울병원",IF(AND($AI91&gt;=요약!$E$3,$AH91&lt;요약!$E$3),"구리병원","⚠15일 판정불가(서울 "&amp;$AH91&amp;"일/구리 "&amp;$AI91&amp;"일)")),IF($AJ91="",$AE91,IF(INDEX(파견수련계획!$T$4:$T$83,$AJ91)="통합수련",INDEX(파견수련계획!$S$4:$S$83,$AJ91),$AE91)))))))</f>
        <v/>
      </c>
      <c r="Z91" s="19">
        <f>IF($B91="","",IF($AB91="","기본자료에 없는 사번",IF(COUNTIF($B$2:$B$401,$B91)&gt;1,"중복 사번",IF($AE91="","소속(입사장소) 입력",IF(IF(TRIM($J91&amp;"")="",0,SUMPRODUCT((파견수련계획!$Q$4:$Q$83=TRIM($J91&amp;""))*(파견수련계획!$AA$4:$AA$83&lt;&gt;"")))&gt;0,"파견수련계획 입력오류 확인",IF(LEFT($Y91,1)="⚠","서울·구리 15일 판정 불가(양쪽 모두 이상/미만)",IF(IF($AC91="",0,N(INDEX(인턴근무계획!$T$3:$T$62,$AC91)))&gt;0,"인턴계획 입력오류 확인",IF(AND($AC91&lt;&gt;"",$U91&lt;&gt;"파견중",$N91&lt;&gt;$AE91),"인턴 타지역 근무: 파견 여부 확인","정상"))))))))</f>
        <v/>
      </c>
      <c r="AA91" s="5" t="n"/>
      <c r="AB91" s="10">
        <f>IF($B91="","",IFERROR(MATCH($B91,기본자료!$B$2:$B$1001,0),IFERROR(MATCH($B91&amp;"",기본자료!$B$2:$B$1001,0),IFERROR(MATCH(VALUE($B91),기본자료!$B$2:$B$1001,0),""))))</f>
        <v/>
      </c>
      <c r="AC91" s="10">
        <f>IF($B91="","",IFERROR(MATCH($B91,인턴근무계획!$D$3:$D$62,0),IFERROR(MATCH($B91&amp;"",인턴근무계획!$D$3:$D$62,0),IFERROR(MATCH(VALUE($B91),인턴근무계획!$D$3:$D$62,0),""))))</f>
        <v/>
      </c>
      <c r="AD91" s="10">
        <f>IF(OR($AC91="",인턴현황!$G$3=""),"",INDEX(인턴근무계획!$M$3:$R$62,$AC91,인턴현황!$G$3)&amp;"")</f>
        <v/>
      </c>
      <c r="AE91" s="10">
        <f>IF($B91="","",IF($M91&lt;&gt;"",$M91,IF($AF91&lt;&gt;"",IF(LEFT(INDEX(파견수련계획!$R$4:$R$83,$AF91),1)&lt;&gt;"⚠",INDEX(파견수련계획!$R$4:$R$83,$AF91),IF($H91="","",IF(RIGHT($H91,2)="병원",$H91,$H91&amp;"병원"))),IF($H91="","",IF(RIGHT($H91,2)="병원",$H91,$H91&amp;"병원")))))</f>
        <v/>
      </c>
      <c r="AF91" s="10">
        <f>IF(OR($B91="",TRIM($J91&amp;"")=""),"",IFERROR(MATCH(TRIM($J91&amp;"")&amp;"|파견중",파견수련계획!$Y$4:$Y$83,0),IFERROR(MATCH(TRIM($J91&amp;"")&amp;"|파견예정",파견수련계획!$Y$4:$Y$83,0),IFERROR(MATCH(TRIM($J91&amp;"")&amp;"|파견종료",파견수련계획!$Y$4:$Y$83,0),""))))</f>
        <v/>
      </c>
      <c r="AG91" s="10">
        <f>IF($B91="","",IF(AND(IF(OR($AC91="",인턴현황!$K$2=""),"",INDEX(인턴근무계획!$M$3:$R$62,$AC91,인턴현황!$K$2)&amp;"")&lt;&gt;"",LEFT(IF(OR($AC91="",인턴현황!$K$2=""),"",INDEX(인턴근무계획!$M$3:$R$62,$AC91,인턴현황!$K$2)&amp;""),1)&lt;&gt;"⚠"),LEFT(IF(OR($AC91="",인턴현황!$K$2=""),"",INDEX(인턴근무계획!$M$3:$R$62,$AC91,인턴현황!$K$2)&amp;""),FIND(" ",IF(OR($AC91="",인턴현황!$K$2=""),"",INDEX(인턴근무계획!$M$3:$R$62,$AC91,인턴현황!$K$2)&amp;""))-1),$AE91))</f>
        <v/>
      </c>
      <c r="AH91" s="17">
        <f>IF($B91="","",IF(TRIM($J91&amp;"")="",0,SUMPRODUCT((파견수련계획!$Q$4:$Q$83=TRIM($J91&amp;""))*(파견수련계획!$S$4:$S$83="서울병원")*파견수련계획!$W$4:$W$83))+IF($AG91="서울병원",MAX(0,DAY(EOMONTH(요약!$B$3,0))-N($X91)),0))</f>
        <v/>
      </c>
      <c r="AI91" s="17">
        <f>IF($B91="","",IF(TRIM($J91&amp;"")="",0,SUMPRODUCT((파견수련계획!$Q$4:$Q$83=TRIM($J91&amp;""))*(파견수련계획!$S$4:$S$83="구리병원")*파견수련계획!$W$4:$W$83))+IF($AG91="구리병원",MAX(0,DAY(EOMONTH(요약!$B$3,0))-N($X91)),0))</f>
        <v/>
      </c>
      <c r="AJ91" s="10">
        <f>IF(OR($B91="",TRIM($J91&amp;"")=""),"",IFERROR(MATCH(TRIM($J91&amp;"")&amp;"|월",파견수련계획!$Z$4:$Z$83,0),""))</f>
        <v/>
      </c>
      <c r="AK91" s="10">
        <f>IF(OR($B91="",TRIM($J91&amp;"")=""),"",IFERROR(MATCH(TRIM($J91&amp;"")&amp;"|다기관",파견수련계획!$AE$4:$AE$83,0),""))</f>
        <v/>
      </c>
      <c r="AL91" s="10">
        <f>IF($AK91="","","다기관 "&amp;TEXT(INDEX(파견수련계획!$AB$4:$AB$83,$AK91),"yyyy-mm-dd")&amp;"~"&amp;IF(ISNUMBER(INDEX(파견수련계획!$AC$4:$AC$83,$AK91)),TEXT(INDEX(파견수련계획!$AC$4:$AC$83,$AK91),"yyyy-mm-dd"),""))</f>
        <v/>
      </c>
    </row>
    <row r="92">
      <c r="A92" s="10">
        <f>IF(B92="","",ROW()-1)</f>
        <v/>
      </c>
      <c r="B92" s="18" t="n"/>
      <c r="C92" s="10">
        <f>IF($AB92="","",IF(INDEX(기본자료!$C$2:$C$1001,$AB92)="","",INDEX(기본자료!$C$2:$C$1001,$AB92)))</f>
        <v/>
      </c>
      <c r="D92" s="10">
        <f>IF($AB92="","",IF(INDEX(기본자료!$J$2:$J$1001,$AB92)="","",INDEX(기본자료!$J$2:$J$1001,$AB92)))</f>
        <v/>
      </c>
      <c r="E92" s="11">
        <f>IF($AB92="","",IF(INDEX(기본자료!$K$2:$K$1001,$AB92)="","",IF(NOT(ISNUMBER(INDEX(기본자료!$K$2:$K$1001,$AB92))),INDEX(기본자료!$K$2:$K$1001,$AB92),IF(INDEX(기본자료!$K$2:$K$1001,$AB92)&lt;1000000,INDEX(기본자료!$K$2:$K$1001,$AB92),IF(AND(INDEX(기본자료!$K$2:$K$1001,$AB92)&gt;=10000101,INT(MOD(INDEX(기본자료!$K$2:$K$1001,$AB92),10000)/100)&gt;=1,INT(MOD(INDEX(기본자료!$K$2:$K$1001,$AB92),10000)/100)&lt;=12,MOD(INDEX(기본자료!$K$2:$K$1001,$AB92),100)&gt;=1,MOD(INDEX(기본자료!$K$2:$K$1001,$AB92),100)&lt;=31),DATE(INT(INDEX(기본자료!$K$2:$K$1001,$AB92)/10000),INT(MOD(INDEX(기본자료!$K$2:$K$1001,$AB92),10000)/100),MOD(INDEX(기본자료!$K$2:$K$1001,$AB92),100)),INDEX(기본자료!$K$2:$K$1001,$AB92)&amp;"")))))</f>
        <v/>
      </c>
      <c r="F92" s="10">
        <f>IF($AB92="","",IF(INDEX(기본자료!$D$2:$D$1001,$AB92)="","",INDEX(기본자료!$D$2:$D$1001,$AB92)))</f>
        <v/>
      </c>
      <c r="G92" s="10">
        <f>IF($AB92="","",IF(INDEX(기본자료!$E$2:$E$1001,$AB92)="","",INDEX(기본자료!$E$2:$E$1001,$AB92)))</f>
        <v/>
      </c>
      <c r="H92" s="10">
        <f>IF($AB92="","",IF(INDEX(기본자료!$F$2:$F$1001,$AB92)="","",INDEX(기본자료!$F$2:$F$1001,$AB92)))</f>
        <v/>
      </c>
      <c r="I92" s="11">
        <f>IF($AB92="","",IF(INDEX(기본자료!$G$2:$G$1001,$AB92)="","",IF(NOT(ISNUMBER(INDEX(기본자료!$G$2:$G$1001,$AB92))),INDEX(기본자료!$G$2:$G$1001,$AB92),IF(INDEX(기본자료!$G$2:$G$1001,$AB92)&lt;1000000,INDEX(기본자료!$G$2:$G$1001,$AB92),IF(AND(INDEX(기본자료!$G$2:$G$1001,$AB92)&gt;=10000101,INT(MOD(INDEX(기본자료!$G$2:$G$1001,$AB92),10000)/100)&gt;=1,INT(MOD(INDEX(기본자료!$G$2:$G$1001,$AB92),10000)/100)&lt;=12,MOD(INDEX(기본자료!$G$2:$G$1001,$AB92),100)&gt;=1,MOD(INDEX(기본자료!$G$2:$G$1001,$AB92),100)&lt;=31),DATE(INT(INDEX(기본자료!$G$2:$G$1001,$AB92)/10000),INT(MOD(INDEX(기본자료!$G$2:$G$1001,$AB92),10000)/100),MOD(INDEX(기본자료!$G$2:$G$1001,$AB92),100)),INDEX(기본자료!$G$2:$G$1001,$AB92)&amp;"")))))</f>
        <v/>
      </c>
      <c r="J92" s="10">
        <f>IF($AB92="","",IF(INDEX(기본자료!$H$2:$H$1001,$AB92)="","",INDEX(기본자료!$H$2:$H$1001,$AB92)))</f>
        <v/>
      </c>
      <c r="K92" s="10">
        <f>IF($AB92="","",IF(INDEX(기본자료!$I$2:$I$1001,$AB92)="","",INDEX(기본자료!$I$2:$I$1001,$AB92)))</f>
        <v/>
      </c>
      <c r="L92" s="10">
        <f>IF($AB92="","",IF(INDEX(기본자료!$A$2:$A$1001,$AB92)="","",INDEX(기본자료!$A$2:$A$1001,$AB92)))</f>
        <v/>
      </c>
      <c r="M92" s="15" t="n"/>
      <c r="N92" s="10">
        <f>IF($B92="","",IF(AND($U92="파견중",$Q92&lt;&gt;""),$Q92,IF(AND($AD92&lt;&gt;"",LEFT($AD92,1)&lt;&gt;"⚠"),LEFT($AD92,FIND(" ",$AD92)-1),IF($H92="","",IF(RIGHT($H92,2)="병원",$H92,$H92&amp;"병원")))))</f>
        <v/>
      </c>
      <c r="O92" s="10">
        <f>IF($B92="","",IF(AND($U92="파견중",$Q92&lt;&gt;""),IF($R92&lt;&gt;"",$R92,"파견과 미입력"),IF(AND($AD92&lt;&gt;"",LEFT($AD92,1)&lt;&gt;"⚠"),MID($AD92,FIND(" ",$AD92)+1,60),IF($F92="","",IF($F92="인턴","수련교육부(인턴)",$F92)))))</f>
        <v/>
      </c>
      <c r="P92" s="10">
        <f>IF($B92="","",IF($AK92&lt;&gt;"",IF(AND(TODAY()&gt;=INDEX(파견수련계획!$AB$4:$AB$83,$AK92),OR(NOT(ISNUMBER(INDEX(파견수련계획!$AC$4:$AC$83,$AK92))),TODAY()&lt;=INDEX(파견수련계획!$AC$4:$AC$83,$AK92))),"다기관",IF($AF92="","",INDEX(파견수련계획!$T$4:$T$83,$AF92))),IF($AF92="","",INDEX(파견수련계획!$T$4:$T$83,$AF92))))</f>
        <v/>
      </c>
      <c r="Q92" s="10">
        <f>IF($AF92="","",INDEX(파견수련계획!$S$4:$S$83,$AF92))</f>
        <v/>
      </c>
      <c r="R92" s="10">
        <f>IF($AF92="","",INDEX(파견수련계획!$U$4:$U$83,$AF92))</f>
        <v/>
      </c>
      <c r="S92" s="11">
        <f>IF($AF92="","",IF(INDEX(파견수련계획!$H$4:$H$83,$AF92)="","",INDEX(파견수련계획!$H$4:$H$83,$AF92)))</f>
        <v/>
      </c>
      <c r="T92" s="11">
        <f>IF($AF92="","",IF(INDEX(파견수련계획!$I$4:$I$83,$AF92)="","",INDEX(파견수련계획!$I$4:$I$83,$AF92)))</f>
        <v/>
      </c>
      <c r="U92" s="10">
        <f>IF($AF92="","",INDEX(파견수련계획!$X$4:$X$83,$AF92))</f>
        <v/>
      </c>
      <c r="V92" s="17">
        <f>IF($AF92="","",INDEX(파견수련계획!$V$4:$V$83,$AF92))</f>
        <v/>
      </c>
      <c r="W92" s="17">
        <f>IF(AND($U92="파견중",$T92&lt;&gt;""),$T92-TODAY(),"")</f>
        <v/>
      </c>
      <c r="X92" s="17">
        <f>IF(OR($B92="",TRIM($J92&amp;"")=""),"",SUMPRODUCT((파견수련계획!$Q$4:$Q$83=TRIM($J92&amp;""))*파견수련계획!$W$4:$W$83))</f>
        <v/>
      </c>
      <c r="Y92" s="10">
        <f>IF($B92="","",IF($AG92="","",IF(IF(TRIM($J92&amp;"")="",0,SUMPRODUCT((파견수련계획!$Q$4:$Q$83=TRIM($J92&amp;""))*파견수련계획!$AD$4:$AD$83))&gt;0,$AE92,IF(N($X92)&lt;=0,$AG92,IF($AH92+$AI92=DAY(EOMONTH(요약!$B$3,0)),IF(AND($AH92&gt;=요약!$E$3,$AI92&lt;요약!$E$3),"서울병원",IF(AND($AI92&gt;=요약!$E$3,$AH92&lt;요약!$E$3),"구리병원","⚠15일 판정불가(서울 "&amp;$AH92&amp;"일/구리 "&amp;$AI92&amp;"일)")),IF($AJ92="",$AE92,IF(INDEX(파견수련계획!$T$4:$T$83,$AJ92)="통합수련",INDEX(파견수련계획!$S$4:$S$83,$AJ92),$AE92)))))))</f>
        <v/>
      </c>
      <c r="Z92" s="19">
        <f>IF($B92="","",IF($AB92="","기본자료에 없는 사번",IF(COUNTIF($B$2:$B$401,$B92)&gt;1,"중복 사번",IF($AE92="","소속(입사장소) 입력",IF(IF(TRIM($J92&amp;"")="",0,SUMPRODUCT((파견수련계획!$Q$4:$Q$83=TRIM($J92&amp;""))*(파견수련계획!$AA$4:$AA$83&lt;&gt;"")))&gt;0,"파견수련계획 입력오류 확인",IF(LEFT($Y92,1)="⚠","서울·구리 15일 판정 불가(양쪽 모두 이상/미만)",IF(IF($AC92="",0,N(INDEX(인턴근무계획!$T$3:$T$62,$AC92)))&gt;0,"인턴계획 입력오류 확인",IF(AND($AC92&lt;&gt;"",$U92&lt;&gt;"파견중",$N92&lt;&gt;$AE92),"인턴 타지역 근무: 파견 여부 확인","정상"))))))))</f>
        <v/>
      </c>
      <c r="AA92" s="5" t="n"/>
      <c r="AB92" s="10">
        <f>IF($B92="","",IFERROR(MATCH($B92,기본자료!$B$2:$B$1001,0),IFERROR(MATCH($B92&amp;"",기본자료!$B$2:$B$1001,0),IFERROR(MATCH(VALUE($B92),기본자료!$B$2:$B$1001,0),""))))</f>
        <v/>
      </c>
      <c r="AC92" s="10">
        <f>IF($B92="","",IFERROR(MATCH($B92,인턴근무계획!$D$3:$D$62,0),IFERROR(MATCH($B92&amp;"",인턴근무계획!$D$3:$D$62,0),IFERROR(MATCH(VALUE($B92),인턴근무계획!$D$3:$D$62,0),""))))</f>
        <v/>
      </c>
      <c r="AD92" s="10">
        <f>IF(OR($AC92="",인턴현황!$G$3=""),"",INDEX(인턴근무계획!$M$3:$R$62,$AC92,인턴현황!$G$3)&amp;"")</f>
        <v/>
      </c>
      <c r="AE92" s="10">
        <f>IF($B92="","",IF($M92&lt;&gt;"",$M92,IF($AF92&lt;&gt;"",IF(LEFT(INDEX(파견수련계획!$R$4:$R$83,$AF92),1)&lt;&gt;"⚠",INDEX(파견수련계획!$R$4:$R$83,$AF92),IF($H92="","",IF(RIGHT($H92,2)="병원",$H92,$H92&amp;"병원"))),IF($H92="","",IF(RIGHT($H92,2)="병원",$H92,$H92&amp;"병원")))))</f>
        <v/>
      </c>
      <c r="AF92" s="10">
        <f>IF(OR($B92="",TRIM($J92&amp;"")=""),"",IFERROR(MATCH(TRIM($J92&amp;"")&amp;"|파견중",파견수련계획!$Y$4:$Y$83,0),IFERROR(MATCH(TRIM($J92&amp;"")&amp;"|파견예정",파견수련계획!$Y$4:$Y$83,0),IFERROR(MATCH(TRIM($J92&amp;"")&amp;"|파견종료",파견수련계획!$Y$4:$Y$83,0),""))))</f>
        <v/>
      </c>
      <c r="AG92" s="10">
        <f>IF($B92="","",IF(AND(IF(OR($AC92="",인턴현황!$K$2=""),"",INDEX(인턴근무계획!$M$3:$R$62,$AC92,인턴현황!$K$2)&amp;"")&lt;&gt;"",LEFT(IF(OR($AC92="",인턴현황!$K$2=""),"",INDEX(인턴근무계획!$M$3:$R$62,$AC92,인턴현황!$K$2)&amp;""),1)&lt;&gt;"⚠"),LEFT(IF(OR($AC92="",인턴현황!$K$2=""),"",INDEX(인턴근무계획!$M$3:$R$62,$AC92,인턴현황!$K$2)&amp;""),FIND(" ",IF(OR($AC92="",인턴현황!$K$2=""),"",INDEX(인턴근무계획!$M$3:$R$62,$AC92,인턴현황!$K$2)&amp;""))-1),$AE92))</f>
        <v/>
      </c>
      <c r="AH92" s="17">
        <f>IF($B92="","",IF(TRIM($J92&amp;"")="",0,SUMPRODUCT((파견수련계획!$Q$4:$Q$83=TRIM($J92&amp;""))*(파견수련계획!$S$4:$S$83="서울병원")*파견수련계획!$W$4:$W$83))+IF($AG92="서울병원",MAX(0,DAY(EOMONTH(요약!$B$3,0))-N($X92)),0))</f>
        <v/>
      </c>
      <c r="AI92" s="17">
        <f>IF($B92="","",IF(TRIM($J92&amp;"")="",0,SUMPRODUCT((파견수련계획!$Q$4:$Q$83=TRIM($J92&amp;""))*(파견수련계획!$S$4:$S$83="구리병원")*파견수련계획!$W$4:$W$83))+IF($AG92="구리병원",MAX(0,DAY(EOMONTH(요약!$B$3,0))-N($X92)),0))</f>
        <v/>
      </c>
      <c r="AJ92" s="10">
        <f>IF(OR($B92="",TRIM($J92&amp;"")=""),"",IFERROR(MATCH(TRIM($J92&amp;"")&amp;"|월",파견수련계획!$Z$4:$Z$83,0),""))</f>
        <v/>
      </c>
      <c r="AK92" s="10">
        <f>IF(OR($B92="",TRIM($J92&amp;"")=""),"",IFERROR(MATCH(TRIM($J92&amp;"")&amp;"|다기관",파견수련계획!$AE$4:$AE$83,0),""))</f>
        <v/>
      </c>
      <c r="AL92" s="10">
        <f>IF($AK92="","","다기관 "&amp;TEXT(INDEX(파견수련계획!$AB$4:$AB$83,$AK92),"yyyy-mm-dd")&amp;"~"&amp;IF(ISNUMBER(INDEX(파견수련계획!$AC$4:$AC$83,$AK92)),TEXT(INDEX(파견수련계획!$AC$4:$AC$83,$AK92),"yyyy-mm-dd"),""))</f>
        <v/>
      </c>
    </row>
    <row r="93">
      <c r="A93" s="10">
        <f>IF(B93="","",ROW()-1)</f>
        <v/>
      </c>
      <c r="B93" s="18" t="n"/>
      <c r="C93" s="10">
        <f>IF($AB93="","",IF(INDEX(기본자료!$C$2:$C$1001,$AB93)="","",INDEX(기본자료!$C$2:$C$1001,$AB93)))</f>
        <v/>
      </c>
      <c r="D93" s="10">
        <f>IF($AB93="","",IF(INDEX(기본자료!$J$2:$J$1001,$AB93)="","",INDEX(기본자료!$J$2:$J$1001,$AB93)))</f>
        <v/>
      </c>
      <c r="E93" s="11">
        <f>IF($AB93="","",IF(INDEX(기본자료!$K$2:$K$1001,$AB93)="","",IF(NOT(ISNUMBER(INDEX(기본자료!$K$2:$K$1001,$AB93))),INDEX(기본자료!$K$2:$K$1001,$AB93),IF(INDEX(기본자료!$K$2:$K$1001,$AB93)&lt;1000000,INDEX(기본자료!$K$2:$K$1001,$AB93),IF(AND(INDEX(기본자료!$K$2:$K$1001,$AB93)&gt;=10000101,INT(MOD(INDEX(기본자료!$K$2:$K$1001,$AB93),10000)/100)&gt;=1,INT(MOD(INDEX(기본자료!$K$2:$K$1001,$AB93),10000)/100)&lt;=12,MOD(INDEX(기본자료!$K$2:$K$1001,$AB93),100)&gt;=1,MOD(INDEX(기본자료!$K$2:$K$1001,$AB93),100)&lt;=31),DATE(INT(INDEX(기본자료!$K$2:$K$1001,$AB93)/10000),INT(MOD(INDEX(기본자료!$K$2:$K$1001,$AB93),10000)/100),MOD(INDEX(기본자료!$K$2:$K$1001,$AB93),100)),INDEX(기본자료!$K$2:$K$1001,$AB93)&amp;"")))))</f>
        <v/>
      </c>
      <c r="F93" s="10">
        <f>IF($AB93="","",IF(INDEX(기본자료!$D$2:$D$1001,$AB93)="","",INDEX(기본자료!$D$2:$D$1001,$AB93)))</f>
        <v/>
      </c>
      <c r="G93" s="10">
        <f>IF($AB93="","",IF(INDEX(기본자료!$E$2:$E$1001,$AB93)="","",INDEX(기본자료!$E$2:$E$1001,$AB93)))</f>
        <v/>
      </c>
      <c r="H93" s="10">
        <f>IF($AB93="","",IF(INDEX(기본자료!$F$2:$F$1001,$AB93)="","",INDEX(기본자료!$F$2:$F$1001,$AB93)))</f>
        <v/>
      </c>
      <c r="I93" s="11">
        <f>IF($AB93="","",IF(INDEX(기본자료!$G$2:$G$1001,$AB93)="","",IF(NOT(ISNUMBER(INDEX(기본자료!$G$2:$G$1001,$AB93))),INDEX(기본자료!$G$2:$G$1001,$AB93),IF(INDEX(기본자료!$G$2:$G$1001,$AB93)&lt;1000000,INDEX(기본자료!$G$2:$G$1001,$AB93),IF(AND(INDEX(기본자료!$G$2:$G$1001,$AB93)&gt;=10000101,INT(MOD(INDEX(기본자료!$G$2:$G$1001,$AB93),10000)/100)&gt;=1,INT(MOD(INDEX(기본자료!$G$2:$G$1001,$AB93),10000)/100)&lt;=12,MOD(INDEX(기본자료!$G$2:$G$1001,$AB93),100)&gt;=1,MOD(INDEX(기본자료!$G$2:$G$1001,$AB93),100)&lt;=31),DATE(INT(INDEX(기본자료!$G$2:$G$1001,$AB93)/10000),INT(MOD(INDEX(기본자료!$G$2:$G$1001,$AB93),10000)/100),MOD(INDEX(기본자료!$G$2:$G$1001,$AB93),100)),INDEX(기본자료!$G$2:$G$1001,$AB93)&amp;"")))))</f>
        <v/>
      </c>
      <c r="J93" s="10">
        <f>IF($AB93="","",IF(INDEX(기본자료!$H$2:$H$1001,$AB93)="","",INDEX(기본자료!$H$2:$H$1001,$AB93)))</f>
        <v/>
      </c>
      <c r="K93" s="10">
        <f>IF($AB93="","",IF(INDEX(기본자료!$I$2:$I$1001,$AB93)="","",INDEX(기본자료!$I$2:$I$1001,$AB93)))</f>
        <v/>
      </c>
      <c r="L93" s="10">
        <f>IF($AB93="","",IF(INDEX(기본자료!$A$2:$A$1001,$AB93)="","",INDEX(기본자료!$A$2:$A$1001,$AB93)))</f>
        <v/>
      </c>
      <c r="M93" s="15" t="n"/>
      <c r="N93" s="10">
        <f>IF($B93="","",IF(AND($U93="파견중",$Q93&lt;&gt;""),$Q93,IF(AND($AD93&lt;&gt;"",LEFT($AD93,1)&lt;&gt;"⚠"),LEFT($AD93,FIND(" ",$AD93)-1),IF($H93="","",IF(RIGHT($H93,2)="병원",$H93,$H93&amp;"병원")))))</f>
        <v/>
      </c>
      <c r="O93" s="10">
        <f>IF($B93="","",IF(AND($U93="파견중",$Q93&lt;&gt;""),IF($R93&lt;&gt;"",$R93,"파견과 미입력"),IF(AND($AD93&lt;&gt;"",LEFT($AD93,1)&lt;&gt;"⚠"),MID($AD93,FIND(" ",$AD93)+1,60),IF($F93="","",IF($F93="인턴","수련교육부(인턴)",$F93)))))</f>
        <v/>
      </c>
      <c r="P93" s="10">
        <f>IF($B93="","",IF($AK93&lt;&gt;"",IF(AND(TODAY()&gt;=INDEX(파견수련계획!$AB$4:$AB$83,$AK93),OR(NOT(ISNUMBER(INDEX(파견수련계획!$AC$4:$AC$83,$AK93))),TODAY()&lt;=INDEX(파견수련계획!$AC$4:$AC$83,$AK93))),"다기관",IF($AF93="","",INDEX(파견수련계획!$T$4:$T$83,$AF93))),IF($AF93="","",INDEX(파견수련계획!$T$4:$T$83,$AF93))))</f>
        <v/>
      </c>
      <c r="Q93" s="10">
        <f>IF($AF93="","",INDEX(파견수련계획!$S$4:$S$83,$AF93))</f>
        <v/>
      </c>
      <c r="R93" s="10">
        <f>IF($AF93="","",INDEX(파견수련계획!$U$4:$U$83,$AF93))</f>
        <v/>
      </c>
      <c r="S93" s="11">
        <f>IF($AF93="","",IF(INDEX(파견수련계획!$H$4:$H$83,$AF93)="","",INDEX(파견수련계획!$H$4:$H$83,$AF93)))</f>
        <v/>
      </c>
      <c r="T93" s="11">
        <f>IF($AF93="","",IF(INDEX(파견수련계획!$I$4:$I$83,$AF93)="","",INDEX(파견수련계획!$I$4:$I$83,$AF93)))</f>
        <v/>
      </c>
      <c r="U93" s="10">
        <f>IF($AF93="","",INDEX(파견수련계획!$X$4:$X$83,$AF93))</f>
        <v/>
      </c>
      <c r="V93" s="17">
        <f>IF($AF93="","",INDEX(파견수련계획!$V$4:$V$83,$AF93))</f>
        <v/>
      </c>
      <c r="W93" s="17">
        <f>IF(AND($U93="파견중",$T93&lt;&gt;""),$T93-TODAY(),"")</f>
        <v/>
      </c>
      <c r="X93" s="17">
        <f>IF(OR($B93="",TRIM($J93&amp;"")=""),"",SUMPRODUCT((파견수련계획!$Q$4:$Q$83=TRIM($J93&amp;""))*파견수련계획!$W$4:$W$83))</f>
        <v/>
      </c>
      <c r="Y93" s="10">
        <f>IF($B93="","",IF($AG93="","",IF(IF(TRIM($J93&amp;"")="",0,SUMPRODUCT((파견수련계획!$Q$4:$Q$83=TRIM($J93&amp;""))*파견수련계획!$AD$4:$AD$83))&gt;0,$AE93,IF(N($X93)&lt;=0,$AG93,IF($AH93+$AI93=DAY(EOMONTH(요약!$B$3,0)),IF(AND($AH93&gt;=요약!$E$3,$AI93&lt;요약!$E$3),"서울병원",IF(AND($AI93&gt;=요약!$E$3,$AH93&lt;요약!$E$3),"구리병원","⚠15일 판정불가(서울 "&amp;$AH93&amp;"일/구리 "&amp;$AI93&amp;"일)")),IF($AJ93="",$AE93,IF(INDEX(파견수련계획!$T$4:$T$83,$AJ93)="통합수련",INDEX(파견수련계획!$S$4:$S$83,$AJ93),$AE93)))))))</f>
        <v/>
      </c>
      <c r="Z93" s="19">
        <f>IF($B93="","",IF($AB93="","기본자료에 없는 사번",IF(COUNTIF($B$2:$B$401,$B93)&gt;1,"중복 사번",IF($AE93="","소속(입사장소) 입력",IF(IF(TRIM($J93&amp;"")="",0,SUMPRODUCT((파견수련계획!$Q$4:$Q$83=TRIM($J93&amp;""))*(파견수련계획!$AA$4:$AA$83&lt;&gt;"")))&gt;0,"파견수련계획 입력오류 확인",IF(LEFT($Y93,1)="⚠","서울·구리 15일 판정 불가(양쪽 모두 이상/미만)",IF(IF($AC93="",0,N(INDEX(인턴근무계획!$T$3:$T$62,$AC93)))&gt;0,"인턴계획 입력오류 확인",IF(AND($AC93&lt;&gt;"",$U93&lt;&gt;"파견중",$N93&lt;&gt;$AE93),"인턴 타지역 근무: 파견 여부 확인","정상"))))))))</f>
        <v/>
      </c>
      <c r="AA93" s="5" t="n"/>
      <c r="AB93" s="10">
        <f>IF($B93="","",IFERROR(MATCH($B93,기본자료!$B$2:$B$1001,0),IFERROR(MATCH($B93&amp;"",기본자료!$B$2:$B$1001,0),IFERROR(MATCH(VALUE($B93),기본자료!$B$2:$B$1001,0),""))))</f>
        <v/>
      </c>
      <c r="AC93" s="10">
        <f>IF($B93="","",IFERROR(MATCH($B93,인턴근무계획!$D$3:$D$62,0),IFERROR(MATCH($B93&amp;"",인턴근무계획!$D$3:$D$62,0),IFERROR(MATCH(VALUE($B93),인턴근무계획!$D$3:$D$62,0),""))))</f>
        <v/>
      </c>
      <c r="AD93" s="10">
        <f>IF(OR($AC93="",인턴현황!$G$3=""),"",INDEX(인턴근무계획!$M$3:$R$62,$AC93,인턴현황!$G$3)&amp;"")</f>
        <v/>
      </c>
      <c r="AE93" s="10">
        <f>IF($B93="","",IF($M93&lt;&gt;"",$M93,IF($AF93&lt;&gt;"",IF(LEFT(INDEX(파견수련계획!$R$4:$R$83,$AF93),1)&lt;&gt;"⚠",INDEX(파견수련계획!$R$4:$R$83,$AF93),IF($H93="","",IF(RIGHT($H93,2)="병원",$H93,$H93&amp;"병원"))),IF($H93="","",IF(RIGHT($H93,2)="병원",$H93,$H93&amp;"병원")))))</f>
        <v/>
      </c>
      <c r="AF93" s="10">
        <f>IF(OR($B93="",TRIM($J93&amp;"")=""),"",IFERROR(MATCH(TRIM($J93&amp;"")&amp;"|파견중",파견수련계획!$Y$4:$Y$83,0),IFERROR(MATCH(TRIM($J93&amp;"")&amp;"|파견예정",파견수련계획!$Y$4:$Y$83,0),IFERROR(MATCH(TRIM($J93&amp;"")&amp;"|파견종료",파견수련계획!$Y$4:$Y$83,0),""))))</f>
        <v/>
      </c>
      <c r="AG93" s="10">
        <f>IF($B93="","",IF(AND(IF(OR($AC93="",인턴현황!$K$2=""),"",INDEX(인턴근무계획!$M$3:$R$62,$AC93,인턴현황!$K$2)&amp;"")&lt;&gt;"",LEFT(IF(OR($AC93="",인턴현황!$K$2=""),"",INDEX(인턴근무계획!$M$3:$R$62,$AC93,인턴현황!$K$2)&amp;""),1)&lt;&gt;"⚠"),LEFT(IF(OR($AC93="",인턴현황!$K$2=""),"",INDEX(인턴근무계획!$M$3:$R$62,$AC93,인턴현황!$K$2)&amp;""),FIND(" ",IF(OR($AC93="",인턴현황!$K$2=""),"",INDEX(인턴근무계획!$M$3:$R$62,$AC93,인턴현황!$K$2)&amp;""))-1),$AE93))</f>
        <v/>
      </c>
      <c r="AH93" s="17">
        <f>IF($B93="","",IF(TRIM($J93&amp;"")="",0,SUMPRODUCT((파견수련계획!$Q$4:$Q$83=TRIM($J93&amp;""))*(파견수련계획!$S$4:$S$83="서울병원")*파견수련계획!$W$4:$W$83))+IF($AG93="서울병원",MAX(0,DAY(EOMONTH(요약!$B$3,0))-N($X93)),0))</f>
        <v/>
      </c>
      <c r="AI93" s="17">
        <f>IF($B93="","",IF(TRIM($J93&amp;"")="",0,SUMPRODUCT((파견수련계획!$Q$4:$Q$83=TRIM($J93&amp;""))*(파견수련계획!$S$4:$S$83="구리병원")*파견수련계획!$W$4:$W$83))+IF($AG93="구리병원",MAX(0,DAY(EOMONTH(요약!$B$3,0))-N($X93)),0))</f>
        <v/>
      </c>
      <c r="AJ93" s="10">
        <f>IF(OR($B93="",TRIM($J93&amp;"")=""),"",IFERROR(MATCH(TRIM($J93&amp;"")&amp;"|월",파견수련계획!$Z$4:$Z$83,0),""))</f>
        <v/>
      </c>
      <c r="AK93" s="10">
        <f>IF(OR($B93="",TRIM($J93&amp;"")=""),"",IFERROR(MATCH(TRIM($J93&amp;"")&amp;"|다기관",파견수련계획!$AE$4:$AE$83,0),""))</f>
        <v/>
      </c>
      <c r="AL93" s="10">
        <f>IF($AK93="","","다기관 "&amp;TEXT(INDEX(파견수련계획!$AB$4:$AB$83,$AK93),"yyyy-mm-dd")&amp;"~"&amp;IF(ISNUMBER(INDEX(파견수련계획!$AC$4:$AC$83,$AK93)),TEXT(INDEX(파견수련계획!$AC$4:$AC$83,$AK93),"yyyy-mm-dd"),""))</f>
        <v/>
      </c>
    </row>
    <row r="94">
      <c r="A94" s="10">
        <f>IF(B94="","",ROW()-1)</f>
        <v/>
      </c>
      <c r="B94" s="18" t="n"/>
      <c r="C94" s="10">
        <f>IF($AB94="","",IF(INDEX(기본자료!$C$2:$C$1001,$AB94)="","",INDEX(기본자료!$C$2:$C$1001,$AB94)))</f>
        <v/>
      </c>
      <c r="D94" s="10">
        <f>IF($AB94="","",IF(INDEX(기본자료!$J$2:$J$1001,$AB94)="","",INDEX(기본자료!$J$2:$J$1001,$AB94)))</f>
        <v/>
      </c>
      <c r="E94" s="11">
        <f>IF($AB94="","",IF(INDEX(기본자료!$K$2:$K$1001,$AB94)="","",IF(NOT(ISNUMBER(INDEX(기본자료!$K$2:$K$1001,$AB94))),INDEX(기본자료!$K$2:$K$1001,$AB94),IF(INDEX(기본자료!$K$2:$K$1001,$AB94)&lt;1000000,INDEX(기본자료!$K$2:$K$1001,$AB94),IF(AND(INDEX(기본자료!$K$2:$K$1001,$AB94)&gt;=10000101,INT(MOD(INDEX(기본자료!$K$2:$K$1001,$AB94),10000)/100)&gt;=1,INT(MOD(INDEX(기본자료!$K$2:$K$1001,$AB94),10000)/100)&lt;=12,MOD(INDEX(기본자료!$K$2:$K$1001,$AB94),100)&gt;=1,MOD(INDEX(기본자료!$K$2:$K$1001,$AB94),100)&lt;=31),DATE(INT(INDEX(기본자료!$K$2:$K$1001,$AB94)/10000),INT(MOD(INDEX(기본자료!$K$2:$K$1001,$AB94),10000)/100),MOD(INDEX(기본자료!$K$2:$K$1001,$AB94),100)),INDEX(기본자료!$K$2:$K$1001,$AB94)&amp;"")))))</f>
        <v/>
      </c>
      <c r="F94" s="10">
        <f>IF($AB94="","",IF(INDEX(기본자료!$D$2:$D$1001,$AB94)="","",INDEX(기본자료!$D$2:$D$1001,$AB94)))</f>
        <v/>
      </c>
      <c r="G94" s="10">
        <f>IF($AB94="","",IF(INDEX(기본자료!$E$2:$E$1001,$AB94)="","",INDEX(기본자료!$E$2:$E$1001,$AB94)))</f>
        <v/>
      </c>
      <c r="H94" s="10">
        <f>IF($AB94="","",IF(INDEX(기본자료!$F$2:$F$1001,$AB94)="","",INDEX(기본자료!$F$2:$F$1001,$AB94)))</f>
        <v/>
      </c>
      <c r="I94" s="11">
        <f>IF($AB94="","",IF(INDEX(기본자료!$G$2:$G$1001,$AB94)="","",IF(NOT(ISNUMBER(INDEX(기본자료!$G$2:$G$1001,$AB94))),INDEX(기본자료!$G$2:$G$1001,$AB94),IF(INDEX(기본자료!$G$2:$G$1001,$AB94)&lt;1000000,INDEX(기본자료!$G$2:$G$1001,$AB94),IF(AND(INDEX(기본자료!$G$2:$G$1001,$AB94)&gt;=10000101,INT(MOD(INDEX(기본자료!$G$2:$G$1001,$AB94),10000)/100)&gt;=1,INT(MOD(INDEX(기본자료!$G$2:$G$1001,$AB94),10000)/100)&lt;=12,MOD(INDEX(기본자료!$G$2:$G$1001,$AB94),100)&gt;=1,MOD(INDEX(기본자료!$G$2:$G$1001,$AB94),100)&lt;=31),DATE(INT(INDEX(기본자료!$G$2:$G$1001,$AB94)/10000),INT(MOD(INDEX(기본자료!$G$2:$G$1001,$AB94),10000)/100),MOD(INDEX(기본자료!$G$2:$G$1001,$AB94),100)),INDEX(기본자료!$G$2:$G$1001,$AB94)&amp;"")))))</f>
        <v/>
      </c>
      <c r="J94" s="10">
        <f>IF($AB94="","",IF(INDEX(기본자료!$H$2:$H$1001,$AB94)="","",INDEX(기본자료!$H$2:$H$1001,$AB94)))</f>
        <v/>
      </c>
      <c r="K94" s="10">
        <f>IF($AB94="","",IF(INDEX(기본자료!$I$2:$I$1001,$AB94)="","",INDEX(기본자료!$I$2:$I$1001,$AB94)))</f>
        <v/>
      </c>
      <c r="L94" s="10">
        <f>IF($AB94="","",IF(INDEX(기본자료!$A$2:$A$1001,$AB94)="","",INDEX(기본자료!$A$2:$A$1001,$AB94)))</f>
        <v/>
      </c>
      <c r="M94" s="15" t="n"/>
      <c r="N94" s="10">
        <f>IF($B94="","",IF(AND($U94="파견중",$Q94&lt;&gt;""),$Q94,IF(AND($AD94&lt;&gt;"",LEFT($AD94,1)&lt;&gt;"⚠"),LEFT($AD94,FIND(" ",$AD94)-1),IF($H94="","",IF(RIGHT($H94,2)="병원",$H94,$H94&amp;"병원")))))</f>
        <v/>
      </c>
      <c r="O94" s="10">
        <f>IF($B94="","",IF(AND($U94="파견중",$Q94&lt;&gt;""),IF($R94&lt;&gt;"",$R94,"파견과 미입력"),IF(AND($AD94&lt;&gt;"",LEFT($AD94,1)&lt;&gt;"⚠"),MID($AD94,FIND(" ",$AD94)+1,60),IF($F94="","",IF($F94="인턴","수련교육부(인턴)",$F94)))))</f>
        <v/>
      </c>
      <c r="P94" s="10">
        <f>IF($B94="","",IF($AK94&lt;&gt;"",IF(AND(TODAY()&gt;=INDEX(파견수련계획!$AB$4:$AB$83,$AK94),OR(NOT(ISNUMBER(INDEX(파견수련계획!$AC$4:$AC$83,$AK94))),TODAY()&lt;=INDEX(파견수련계획!$AC$4:$AC$83,$AK94))),"다기관",IF($AF94="","",INDEX(파견수련계획!$T$4:$T$83,$AF94))),IF($AF94="","",INDEX(파견수련계획!$T$4:$T$83,$AF94))))</f>
        <v/>
      </c>
      <c r="Q94" s="10">
        <f>IF($AF94="","",INDEX(파견수련계획!$S$4:$S$83,$AF94))</f>
        <v/>
      </c>
      <c r="R94" s="10">
        <f>IF($AF94="","",INDEX(파견수련계획!$U$4:$U$83,$AF94))</f>
        <v/>
      </c>
      <c r="S94" s="11">
        <f>IF($AF94="","",IF(INDEX(파견수련계획!$H$4:$H$83,$AF94)="","",INDEX(파견수련계획!$H$4:$H$83,$AF94)))</f>
        <v/>
      </c>
      <c r="T94" s="11">
        <f>IF($AF94="","",IF(INDEX(파견수련계획!$I$4:$I$83,$AF94)="","",INDEX(파견수련계획!$I$4:$I$83,$AF94)))</f>
        <v/>
      </c>
      <c r="U94" s="10">
        <f>IF($AF94="","",INDEX(파견수련계획!$X$4:$X$83,$AF94))</f>
        <v/>
      </c>
      <c r="V94" s="17">
        <f>IF($AF94="","",INDEX(파견수련계획!$V$4:$V$83,$AF94))</f>
        <v/>
      </c>
      <c r="W94" s="17">
        <f>IF(AND($U94="파견중",$T94&lt;&gt;""),$T94-TODAY(),"")</f>
        <v/>
      </c>
      <c r="X94" s="17">
        <f>IF(OR($B94="",TRIM($J94&amp;"")=""),"",SUMPRODUCT((파견수련계획!$Q$4:$Q$83=TRIM($J94&amp;""))*파견수련계획!$W$4:$W$83))</f>
        <v/>
      </c>
      <c r="Y94" s="10">
        <f>IF($B94="","",IF($AG94="","",IF(IF(TRIM($J94&amp;"")="",0,SUMPRODUCT((파견수련계획!$Q$4:$Q$83=TRIM($J94&amp;""))*파견수련계획!$AD$4:$AD$83))&gt;0,$AE94,IF(N($X94)&lt;=0,$AG94,IF($AH94+$AI94=DAY(EOMONTH(요약!$B$3,0)),IF(AND($AH94&gt;=요약!$E$3,$AI94&lt;요약!$E$3),"서울병원",IF(AND($AI94&gt;=요약!$E$3,$AH94&lt;요약!$E$3),"구리병원","⚠15일 판정불가(서울 "&amp;$AH94&amp;"일/구리 "&amp;$AI94&amp;"일)")),IF($AJ94="",$AE94,IF(INDEX(파견수련계획!$T$4:$T$83,$AJ94)="통합수련",INDEX(파견수련계획!$S$4:$S$83,$AJ94),$AE94)))))))</f>
        <v/>
      </c>
      <c r="Z94" s="19">
        <f>IF($B94="","",IF($AB94="","기본자료에 없는 사번",IF(COUNTIF($B$2:$B$401,$B94)&gt;1,"중복 사번",IF($AE94="","소속(입사장소) 입력",IF(IF(TRIM($J94&amp;"")="",0,SUMPRODUCT((파견수련계획!$Q$4:$Q$83=TRIM($J94&amp;""))*(파견수련계획!$AA$4:$AA$83&lt;&gt;"")))&gt;0,"파견수련계획 입력오류 확인",IF(LEFT($Y94,1)="⚠","서울·구리 15일 판정 불가(양쪽 모두 이상/미만)",IF(IF($AC94="",0,N(INDEX(인턴근무계획!$T$3:$T$62,$AC94)))&gt;0,"인턴계획 입력오류 확인",IF(AND($AC94&lt;&gt;"",$U94&lt;&gt;"파견중",$N94&lt;&gt;$AE94),"인턴 타지역 근무: 파견 여부 확인","정상"))))))))</f>
        <v/>
      </c>
      <c r="AA94" s="5" t="n"/>
      <c r="AB94" s="10">
        <f>IF($B94="","",IFERROR(MATCH($B94,기본자료!$B$2:$B$1001,0),IFERROR(MATCH($B94&amp;"",기본자료!$B$2:$B$1001,0),IFERROR(MATCH(VALUE($B94),기본자료!$B$2:$B$1001,0),""))))</f>
        <v/>
      </c>
      <c r="AC94" s="10">
        <f>IF($B94="","",IFERROR(MATCH($B94,인턴근무계획!$D$3:$D$62,0),IFERROR(MATCH($B94&amp;"",인턴근무계획!$D$3:$D$62,0),IFERROR(MATCH(VALUE($B94),인턴근무계획!$D$3:$D$62,0),""))))</f>
        <v/>
      </c>
      <c r="AD94" s="10">
        <f>IF(OR($AC94="",인턴현황!$G$3=""),"",INDEX(인턴근무계획!$M$3:$R$62,$AC94,인턴현황!$G$3)&amp;"")</f>
        <v/>
      </c>
      <c r="AE94" s="10">
        <f>IF($B94="","",IF($M94&lt;&gt;"",$M94,IF($AF94&lt;&gt;"",IF(LEFT(INDEX(파견수련계획!$R$4:$R$83,$AF94),1)&lt;&gt;"⚠",INDEX(파견수련계획!$R$4:$R$83,$AF94),IF($H94="","",IF(RIGHT($H94,2)="병원",$H94,$H94&amp;"병원"))),IF($H94="","",IF(RIGHT($H94,2)="병원",$H94,$H94&amp;"병원")))))</f>
        <v/>
      </c>
      <c r="AF94" s="10">
        <f>IF(OR($B94="",TRIM($J94&amp;"")=""),"",IFERROR(MATCH(TRIM($J94&amp;"")&amp;"|파견중",파견수련계획!$Y$4:$Y$83,0),IFERROR(MATCH(TRIM($J94&amp;"")&amp;"|파견예정",파견수련계획!$Y$4:$Y$83,0),IFERROR(MATCH(TRIM($J94&amp;"")&amp;"|파견종료",파견수련계획!$Y$4:$Y$83,0),""))))</f>
        <v/>
      </c>
      <c r="AG94" s="10">
        <f>IF($B94="","",IF(AND(IF(OR($AC94="",인턴현황!$K$2=""),"",INDEX(인턴근무계획!$M$3:$R$62,$AC94,인턴현황!$K$2)&amp;"")&lt;&gt;"",LEFT(IF(OR($AC94="",인턴현황!$K$2=""),"",INDEX(인턴근무계획!$M$3:$R$62,$AC94,인턴현황!$K$2)&amp;""),1)&lt;&gt;"⚠"),LEFT(IF(OR($AC94="",인턴현황!$K$2=""),"",INDEX(인턴근무계획!$M$3:$R$62,$AC94,인턴현황!$K$2)&amp;""),FIND(" ",IF(OR($AC94="",인턴현황!$K$2=""),"",INDEX(인턴근무계획!$M$3:$R$62,$AC94,인턴현황!$K$2)&amp;""))-1),$AE94))</f>
        <v/>
      </c>
      <c r="AH94" s="17">
        <f>IF($B94="","",IF(TRIM($J94&amp;"")="",0,SUMPRODUCT((파견수련계획!$Q$4:$Q$83=TRIM($J94&amp;""))*(파견수련계획!$S$4:$S$83="서울병원")*파견수련계획!$W$4:$W$83))+IF($AG94="서울병원",MAX(0,DAY(EOMONTH(요약!$B$3,0))-N($X94)),0))</f>
        <v/>
      </c>
      <c r="AI94" s="17">
        <f>IF($B94="","",IF(TRIM($J94&amp;"")="",0,SUMPRODUCT((파견수련계획!$Q$4:$Q$83=TRIM($J94&amp;""))*(파견수련계획!$S$4:$S$83="구리병원")*파견수련계획!$W$4:$W$83))+IF($AG94="구리병원",MAX(0,DAY(EOMONTH(요약!$B$3,0))-N($X94)),0))</f>
        <v/>
      </c>
      <c r="AJ94" s="10">
        <f>IF(OR($B94="",TRIM($J94&amp;"")=""),"",IFERROR(MATCH(TRIM($J94&amp;"")&amp;"|월",파견수련계획!$Z$4:$Z$83,0),""))</f>
        <v/>
      </c>
      <c r="AK94" s="10">
        <f>IF(OR($B94="",TRIM($J94&amp;"")=""),"",IFERROR(MATCH(TRIM($J94&amp;"")&amp;"|다기관",파견수련계획!$AE$4:$AE$83,0),""))</f>
        <v/>
      </c>
      <c r="AL94" s="10">
        <f>IF($AK94="","","다기관 "&amp;TEXT(INDEX(파견수련계획!$AB$4:$AB$83,$AK94),"yyyy-mm-dd")&amp;"~"&amp;IF(ISNUMBER(INDEX(파견수련계획!$AC$4:$AC$83,$AK94)),TEXT(INDEX(파견수련계획!$AC$4:$AC$83,$AK94),"yyyy-mm-dd"),""))</f>
        <v/>
      </c>
    </row>
    <row r="95">
      <c r="A95" s="10">
        <f>IF(B95="","",ROW()-1)</f>
        <v/>
      </c>
      <c r="B95" s="18" t="n"/>
      <c r="C95" s="10">
        <f>IF($AB95="","",IF(INDEX(기본자료!$C$2:$C$1001,$AB95)="","",INDEX(기본자료!$C$2:$C$1001,$AB95)))</f>
        <v/>
      </c>
      <c r="D95" s="10">
        <f>IF($AB95="","",IF(INDEX(기본자료!$J$2:$J$1001,$AB95)="","",INDEX(기본자료!$J$2:$J$1001,$AB95)))</f>
        <v/>
      </c>
      <c r="E95" s="11">
        <f>IF($AB95="","",IF(INDEX(기본자료!$K$2:$K$1001,$AB95)="","",IF(NOT(ISNUMBER(INDEX(기본자료!$K$2:$K$1001,$AB95))),INDEX(기본자료!$K$2:$K$1001,$AB95),IF(INDEX(기본자료!$K$2:$K$1001,$AB95)&lt;1000000,INDEX(기본자료!$K$2:$K$1001,$AB95),IF(AND(INDEX(기본자료!$K$2:$K$1001,$AB95)&gt;=10000101,INT(MOD(INDEX(기본자료!$K$2:$K$1001,$AB95),10000)/100)&gt;=1,INT(MOD(INDEX(기본자료!$K$2:$K$1001,$AB95),10000)/100)&lt;=12,MOD(INDEX(기본자료!$K$2:$K$1001,$AB95),100)&gt;=1,MOD(INDEX(기본자료!$K$2:$K$1001,$AB95),100)&lt;=31),DATE(INT(INDEX(기본자료!$K$2:$K$1001,$AB95)/10000),INT(MOD(INDEX(기본자료!$K$2:$K$1001,$AB95),10000)/100),MOD(INDEX(기본자료!$K$2:$K$1001,$AB95),100)),INDEX(기본자료!$K$2:$K$1001,$AB95)&amp;"")))))</f>
        <v/>
      </c>
      <c r="F95" s="10">
        <f>IF($AB95="","",IF(INDEX(기본자료!$D$2:$D$1001,$AB95)="","",INDEX(기본자료!$D$2:$D$1001,$AB95)))</f>
        <v/>
      </c>
      <c r="G95" s="10">
        <f>IF($AB95="","",IF(INDEX(기본자료!$E$2:$E$1001,$AB95)="","",INDEX(기본자료!$E$2:$E$1001,$AB95)))</f>
        <v/>
      </c>
      <c r="H95" s="10">
        <f>IF($AB95="","",IF(INDEX(기본자료!$F$2:$F$1001,$AB95)="","",INDEX(기본자료!$F$2:$F$1001,$AB95)))</f>
        <v/>
      </c>
      <c r="I95" s="11">
        <f>IF($AB95="","",IF(INDEX(기본자료!$G$2:$G$1001,$AB95)="","",IF(NOT(ISNUMBER(INDEX(기본자료!$G$2:$G$1001,$AB95))),INDEX(기본자료!$G$2:$G$1001,$AB95),IF(INDEX(기본자료!$G$2:$G$1001,$AB95)&lt;1000000,INDEX(기본자료!$G$2:$G$1001,$AB95),IF(AND(INDEX(기본자료!$G$2:$G$1001,$AB95)&gt;=10000101,INT(MOD(INDEX(기본자료!$G$2:$G$1001,$AB95),10000)/100)&gt;=1,INT(MOD(INDEX(기본자료!$G$2:$G$1001,$AB95),10000)/100)&lt;=12,MOD(INDEX(기본자료!$G$2:$G$1001,$AB95),100)&gt;=1,MOD(INDEX(기본자료!$G$2:$G$1001,$AB95),100)&lt;=31),DATE(INT(INDEX(기본자료!$G$2:$G$1001,$AB95)/10000),INT(MOD(INDEX(기본자료!$G$2:$G$1001,$AB95),10000)/100),MOD(INDEX(기본자료!$G$2:$G$1001,$AB95),100)),INDEX(기본자료!$G$2:$G$1001,$AB95)&amp;"")))))</f>
        <v/>
      </c>
      <c r="J95" s="10">
        <f>IF($AB95="","",IF(INDEX(기본자료!$H$2:$H$1001,$AB95)="","",INDEX(기본자료!$H$2:$H$1001,$AB95)))</f>
        <v/>
      </c>
      <c r="K95" s="10">
        <f>IF($AB95="","",IF(INDEX(기본자료!$I$2:$I$1001,$AB95)="","",INDEX(기본자료!$I$2:$I$1001,$AB95)))</f>
        <v/>
      </c>
      <c r="L95" s="10">
        <f>IF($AB95="","",IF(INDEX(기본자료!$A$2:$A$1001,$AB95)="","",INDEX(기본자료!$A$2:$A$1001,$AB95)))</f>
        <v/>
      </c>
      <c r="M95" s="15" t="n"/>
      <c r="N95" s="10">
        <f>IF($B95="","",IF(AND($U95="파견중",$Q95&lt;&gt;""),$Q95,IF(AND($AD95&lt;&gt;"",LEFT($AD95,1)&lt;&gt;"⚠"),LEFT($AD95,FIND(" ",$AD95)-1),IF($H95="","",IF(RIGHT($H95,2)="병원",$H95,$H95&amp;"병원")))))</f>
        <v/>
      </c>
      <c r="O95" s="10">
        <f>IF($B95="","",IF(AND($U95="파견중",$Q95&lt;&gt;""),IF($R95&lt;&gt;"",$R95,"파견과 미입력"),IF(AND($AD95&lt;&gt;"",LEFT($AD95,1)&lt;&gt;"⚠"),MID($AD95,FIND(" ",$AD95)+1,60),IF($F95="","",IF($F95="인턴","수련교육부(인턴)",$F95)))))</f>
        <v/>
      </c>
      <c r="P95" s="10">
        <f>IF($B95="","",IF($AK95&lt;&gt;"",IF(AND(TODAY()&gt;=INDEX(파견수련계획!$AB$4:$AB$83,$AK95),OR(NOT(ISNUMBER(INDEX(파견수련계획!$AC$4:$AC$83,$AK95))),TODAY()&lt;=INDEX(파견수련계획!$AC$4:$AC$83,$AK95))),"다기관",IF($AF95="","",INDEX(파견수련계획!$T$4:$T$83,$AF95))),IF($AF95="","",INDEX(파견수련계획!$T$4:$T$83,$AF95))))</f>
        <v/>
      </c>
      <c r="Q95" s="10">
        <f>IF($AF95="","",INDEX(파견수련계획!$S$4:$S$83,$AF95))</f>
        <v/>
      </c>
      <c r="R95" s="10">
        <f>IF($AF95="","",INDEX(파견수련계획!$U$4:$U$83,$AF95))</f>
        <v/>
      </c>
      <c r="S95" s="11">
        <f>IF($AF95="","",IF(INDEX(파견수련계획!$H$4:$H$83,$AF95)="","",INDEX(파견수련계획!$H$4:$H$83,$AF95)))</f>
        <v/>
      </c>
      <c r="T95" s="11">
        <f>IF($AF95="","",IF(INDEX(파견수련계획!$I$4:$I$83,$AF95)="","",INDEX(파견수련계획!$I$4:$I$83,$AF95)))</f>
        <v/>
      </c>
      <c r="U95" s="10">
        <f>IF($AF95="","",INDEX(파견수련계획!$X$4:$X$83,$AF95))</f>
        <v/>
      </c>
      <c r="V95" s="17">
        <f>IF($AF95="","",INDEX(파견수련계획!$V$4:$V$83,$AF95))</f>
        <v/>
      </c>
      <c r="W95" s="17">
        <f>IF(AND($U95="파견중",$T95&lt;&gt;""),$T95-TODAY(),"")</f>
        <v/>
      </c>
      <c r="X95" s="17">
        <f>IF(OR($B95="",TRIM($J95&amp;"")=""),"",SUMPRODUCT((파견수련계획!$Q$4:$Q$83=TRIM($J95&amp;""))*파견수련계획!$W$4:$W$83))</f>
        <v/>
      </c>
      <c r="Y95" s="10">
        <f>IF($B95="","",IF($AG95="","",IF(IF(TRIM($J95&amp;"")="",0,SUMPRODUCT((파견수련계획!$Q$4:$Q$83=TRIM($J95&amp;""))*파견수련계획!$AD$4:$AD$83))&gt;0,$AE95,IF(N($X95)&lt;=0,$AG95,IF($AH95+$AI95=DAY(EOMONTH(요약!$B$3,0)),IF(AND($AH95&gt;=요약!$E$3,$AI95&lt;요약!$E$3),"서울병원",IF(AND($AI95&gt;=요약!$E$3,$AH95&lt;요약!$E$3),"구리병원","⚠15일 판정불가(서울 "&amp;$AH95&amp;"일/구리 "&amp;$AI95&amp;"일)")),IF($AJ95="",$AE95,IF(INDEX(파견수련계획!$T$4:$T$83,$AJ95)="통합수련",INDEX(파견수련계획!$S$4:$S$83,$AJ95),$AE95)))))))</f>
        <v/>
      </c>
      <c r="Z95" s="19">
        <f>IF($B95="","",IF($AB95="","기본자료에 없는 사번",IF(COUNTIF($B$2:$B$401,$B95)&gt;1,"중복 사번",IF($AE95="","소속(입사장소) 입력",IF(IF(TRIM($J95&amp;"")="",0,SUMPRODUCT((파견수련계획!$Q$4:$Q$83=TRIM($J95&amp;""))*(파견수련계획!$AA$4:$AA$83&lt;&gt;"")))&gt;0,"파견수련계획 입력오류 확인",IF(LEFT($Y95,1)="⚠","서울·구리 15일 판정 불가(양쪽 모두 이상/미만)",IF(IF($AC95="",0,N(INDEX(인턴근무계획!$T$3:$T$62,$AC95)))&gt;0,"인턴계획 입력오류 확인",IF(AND($AC95&lt;&gt;"",$U95&lt;&gt;"파견중",$N95&lt;&gt;$AE95),"인턴 타지역 근무: 파견 여부 확인","정상"))))))))</f>
        <v/>
      </c>
      <c r="AA95" s="5" t="n"/>
      <c r="AB95" s="10">
        <f>IF($B95="","",IFERROR(MATCH($B95,기본자료!$B$2:$B$1001,0),IFERROR(MATCH($B95&amp;"",기본자료!$B$2:$B$1001,0),IFERROR(MATCH(VALUE($B95),기본자료!$B$2:$B$1001,0),""))))</f>
        <v/>
      </c>
      <c r="AC95" s="10">
        <f>IF($B95="","",IFERROR(MATCH($B95,인턴근무계획!$D$3:$D$62,0),IFERROR(MATCH($B95&amp;"",인턴근무계획!$D$3:$D$62,0),IFERROR(MATCH(VALUE($B95),인턴근무계획!$D$3:$D$62,0),""))))</f>
        <v/>
      </c>
      <c r="AD95" s="10">
        <f>IF(OR($AC95="",인턴현황!$G$3=""),"",INDEX(인턴근무계획!$M$3:$R$62,$AC95,인턴현황!$G$3)&amp;"")</f>
        <v/>
      </c>
      <c r="AE95" s="10">
        <f>IF($B95="","",IF($M95&lt;&gt;"",$M95,IF($AF95&lt;&gt;"",IF(LEFT(INDEX(파견수련계획!$R$4:$R$83,$AF95),1)&lt;&gt;"⚠",INDEX(파견수련계획!$R$4:$R$83,$AF95),IF($H95="","",IF(RIGHT($H95,2)="병원",$H95,$H95&amp;"병원"))),IF($H95="","",IF(RIGHT($H95,2)="병원",$H95,$H95&amp;"병원")))))</f>
        <v/>
      </c>
      <c r="AF95" s="10">
        <f>IF(OR($B95="",TRIM($J95&amp;"")=""),"",IFERROR(MATCH(TRIM($J95&amp;"")&amp;"|파견중",파견수련계획!$Y$4:$Y$83,0),IFERROR(MATCH(TRIM($J95&amp;"")&amp;"|파견예정",파견수련계획!$Y$4:$Y$83,0),IFERROR(MATCH(TRIM($J95&amp;"")&amp;"|파견종료",파견수련계획!$Y$4:$Y$83,0),""))))</f>
        <v/>
      </c>
      <c r="AG95" s="10">
        <f>IF($B95="","",IF(AND(IF(OR($AC95="",인턴현황!$K$2=""),"",INDEX(인턴근무계획!$M$3:$R$62,$AC95,인턴현황!$K$2)&amp;"")&lt;&gt;"",LEFT(IF(OR($AC95="",인턴현황!$K$2=""),"",INDEX(인턴근무계획!$M$3:$R$62,$AC95,인턴현황!$K$2)&amp;""),1)&lt;&gt;"⚠"),LEFT(IF(OR($AC95="",인턴현황!$K$2=""),"",INDEX(인턴근무계획!$M$3:$R$62,$AC95,인턴현황!$K$2)&amp;""),FIND(" ",IF(OR($AC95="",인턴현황!$K$2=""),"",INDEX(인턴근무계획!$M$3:$R$62,$AC95,인턴현황!$K$2)&amp;""))-1),$AE95))</f>
        <v/>
      </c>
      <c r="AH95" s="17">
        <f>IF($B95="","",IF(TRIM($J95&amp;"")="",0,SUMPRODUCT((파견수련계획!$Q$4:$Q$83=TRIM($J95&amp;""))*(파견수련계획!$S$4:$S$83="서울병원")*파견수련계획!$W$4:$W$83))+IF($AG95="서울병원",MAX(0,DAY(EOMONTH(요약!$B$3,0))-N($X95)),0))</f>
        <v/>
      </c>
      <c r="AI95" s="17">
        <f>IF($B95="","",IF(TRIM($J95&amp;"")="",0,SUMPRODUCT((파견수련계획!$Q$4:$Q$83=TRIM($J95&amp;""))*(파견수련계획!$S$4:$S$83="구리병원")*파견수련계획!$W$4:$W$83))+IF($AG95="구리병원",MAX(0,DAY(EOMONTH(요약!$B$3,0))-N($X95)),0))</f>
        <v/>
      </c>
      <c r="AJ95" s="10">
        <f>IF(OR($B95="",TRIM($J95&amp;"")=""),"",IFERROR(MATCH(TRIM($J95&amp;"")&amp;"|월",파견수련계획!$Z$4:$Z$83,0),""))</f>
        <v/>
      </c>
      <c r="AK95" s="10">
        <f>IF(OR($B95="",TRIM($J95&amp;"")=""),"",IFERROR(MATCH(TRIM($J95&amp;"")&amp;"|다기관",파견수련계획!$AE$4:$AE$83,0),""))</f>
        <v/>
      </c>
      <c r="AL95" s="10">
        <f>IF($AK95="","","다기관 "&amp;TEXT(INDEX(파견수련계획!$AB$4:$AB$83,$AK95),"yyyy-mm-dd")&amp;"~"&amp;IF(ISNUMBER(INDEX(파견수련계획!$AC$4:$AC$83,$AK95)),TEXT(INDEX(파견수련계획!$AC$4:$AC$83,$AK95),"yyyy-mm-dd"),""))</f>
        <v/>
      </c>
    </row>
    <row r="96">
      <c r="A96" s="10">
        <f>IF(B96="","",ROW()-1)</f>
        <v/>
      </c>
      <c r="B96" s="18" t="n"/>
      <c r="C96" s="10">
        <f>IF($AB96="","",IF(INDEX(기본자료!$C$2:$C$1001,$AB96)="","",INDEX(기본자료!$C$2:$C$1001,$AB96)))</f>
        <v/>
      </c>
      <c r="D96" s="10">
        <f>IF($AB96="","",IF(INDEX(기본자료!$J$2:$J$1001,$AB96)="","",INDEX(기본자료!$J$2:$J$1001,$AB96)))</f>
        <v/>
      </c>
      <c r="E96" s="11">
        <f>IF($AB96="","",IF(INDEX(기본자료!$K$2:$K$1001,$AB96)="","",IF(NOT(ISNUMBER(INDEX(기본자료!$K$2:$K$1001,$AB96))),INDEX(기본자료!$K$2:$K$1001,$AB96),IF(INDEX(기본자료!$K$2:$K$1001,$AB96)&lt;1000000,INDEX(기본자료!$K$2:$K$1001,$AB96),IF(AND(INDEX(기본자료!$K$2:$K$1001,$AB96)&gt;=10000101,INT(MOD(INDEX(기본자료!$K$2:$K$1001,$AB96),10000)/100)&gt;=1,INT(MOD(INDEX(기본자료!$K$2:$K$1001,$AB96),10000)/100)&lt;=12,MOD(INDEX(기본자료!$K$2:$K$1001,$AB96),100)&gt;=1,MOD(INDEX(기본자료!$K$2:$K$1001,$AB96),100)&lt;=31),DATE(INT(INDEX(기본자료!$K$2:$K$1001,$AB96)/10000),INT(MOD(INDEX(기본자료!$K$2:$K$1001,$AB96),10000)/100),MOD(INDEX(기본자료!$K$2:$K$1001,$AB96),100)),INDEX(기본자료!$K$2:$K$1001,$AB96)&amp;"")))))</f>
        <v/>
      </c>
      <c r="F96" s="10">
        <f>IF($AB96="","",IF(INDEX(기본자료!$D$2:$D$1001,$AB96)="","",INDEX(기본자료!$D$2:$D$1001,$AB96)))</f>
        <v/>
      </c>
      <c r="G96" s="10">
        <f>IF($AB96="","",IF(INDEX(기본자료!$E$2:$E$1001,$AB96)="","",INDEX(기본자료!$E$2:$E$1001,$AB96)))</f>
        <v/>
      </c>
      <c r="H96" s="10">
        <f>IF($AB96="","",IF(INDEX(기본자료!$F$2:$F$1001,$AB96)="","",INDEX(기본자료!$F$2:$F$1001,$AB96)))</f>
        <v/>
      </c>
      <c r="I96" s="11">
        <f>IF($AB96="","",IF(INDEX(기본자료!$G$2:$G$1001,$AB96)="","",IF(NOT(ISNUMBER(INDEX(기본자료!$G$2:$G$1001,$AB96))),INDEX(기본자료!$G$2:$G$1001,$AB96),IF(INDEX(기본자료!$G$2:$G$1001,$AB96)&lt;1000000,INDEX(기본자료!$G$2:$G$1001,$AB96),IF(AND(INDEX(기본자료!$G$2:$G$1001,$AB96)&gt;=10000101,INT(MOD(INDEX(기본자료!$G$2:$G$1001,$AB96),10000)/100)&gt;=1,INT(MOD(INDEX(기본자료!$G$2:$G$1001,$AB96),10000)/100)&lt;=12,MOD(INDEX(기본자료!$G$2:$G$1001,$AB96),100)&gt;=1,MOD(INDEX(기본자료!$G$2:$G$1001,$AB96),100)&lt;=31),DATE(INT(INDEX(기본자료!$G$2:$G$1001,$AB96)/10000),INT(MOD(INDEX(기본자료!$G$2:$G$1001,$AB96),10000)/100),MOD(INDEX(기본자료!$G$2:$G$1001,$AB96),100)),INDEX(기본자료!$G$2:$G$1001,$AB96)&amp;"")))))</f>
        <v/>
      </c>
      <c r="J96" s="10">
        <f>IF($AB96="","",IF(INDEX(기본자료!$H$2:$H$1001,$AB96)="","",INDEX(기본자료!$H$2:$H$1001,$AB96)))</f>
        <v/>
      </c>
      <c r="K96" s="10">
        <f>IF($AB96="","",IF(INDEX(기본자료!$I$2:$I$1001,$AB96)="","",INDEX(기본자료!$I$2:$I$1001,$AB96)))</f>
        <v/>
      </c>
      <c r="L96" s="10">
        <f>IF($AB96="","",IF(INDEX(기본자료!$A$2:$A$1001,$AB96)="","",INDEX(기본자료!$A$2:$A$1001,$AB96)))</f>
        <v/>
      </c>
      <c r="M96" s="15" t="n"/>
      <c r="N96" s="10">
        <f>IF($B96="","",IF(AND($U96="파견중",$Q96&lt;&gt;""),$Q96,IF(AND($AD96&lt;&gt;"",LEFT($AD96,1)&lt;&gt;"⚠"),LEFT($AD96,FIND(" ",$AD96)-1),IF($H96="","",IF(RIGHT($H96,2)="병원",$H96,$H96&amp;"병원")))))</f>
        <v/>
      </c>
      <c r="O96" s="10">
        <f>IF($B96="","",IF(AND($U96="파견중",$Q96&lt;&gt;""),IF($R96&lt;&gt;"",$R96,"파견과 미입력"),IF(AND($AD96&lt;&gt;"",LEFT($AD96,1)&lt;&gt;"⚠"),MID($AD96,FIND(" ",$AD96)+1,60),IF($F96="","",IF($F96="인턴","수련교육부(인턴)",$F96)))))</f>
        <v/>
      </c>
      <c r="P96" s="10">
        <f>IF($B96="","",IF($AK96&lt;&gt;"",IF(AND(TODAY()&gt;=INDEX(파견수련계획!$AB$4:$AB$83,$AK96),OR(NOT(ISNUMBER(INDEX(파견수련계획!$AC$4:$AC$83,$AK96))),TODAY()&lt;=INDEX(파견수련계획!$AC$4:$AC$83,$AK96))),"다기관",IF($AF96="","",INDEX(파견수련계획!$T$4:$T$83,$AF96))),IF($AF96="","",INDEX(파견수련계획!$T$4:$T$83,$AF96))))</f>
        <v/>
      </c>
      <c r="Q96" s="10">
        <f>IF($AF96="","",INDEX(파견수련계획!$S$4:$S$83,$AF96))</f>
        <v/>
      </c>
      <c r="R96" s="10">
        <f>IF($AF96="","",INDEX(파견수련계획!$U$4:$U$83,$AF96))</f>
        <v/>
      </c>
      <c r="S96" s="11">
        <f>IF($AF96="","",IF(INDEX(파견수련계획!$H$4:$H$83,$AF96)="","",INDEX(파견수련계획!$H$4:$H$83,$AF96)))</f>
        <v/>
      </c>
      <c r="T96" s="11">
        <f>IF($AF96="","",IF(INDEX(파견수련계획!$I$4:$I$83,$AF96)="","",INDEX(파견수련계획!$I$4:$I$83,$AF96)))</f>
        <v/>
      </c>
      <c r="U96" s="10">
        <f>IF($AF96="","",INDEX(파견수련계획!$X$4:$X$83,$AF96))</f>
        <v/>
      </c>
      <c r="V96" s="17">
        <f>IF($AF96="","",INDEX(파견수련계획!$V$4:$V$83,$AF96))</f>
        <v/>
      </c>
      <c r="W96" s="17">
        <f>IF(AND($U96="파견중",$T96&lt;&gt;""),$T96-TODAY(),"")</f>
        <v/>
      </c>
      <c r="X96" s="17">
        <f>IF(OR($B96="",TRIM($J96&amp;"")=""),"",SUMPRODUCT((파견수련계획!$Q$4:$Q$83=TRIM($J96&amp;""))*파견수련계획!$W$4:$W$83))</f>
        <v/>
      </c>
      <c r="Y96" s="10">
        <f>IF($B96="","",IF($AG96="","",IF(IF(TRIM($J96&amp;"")="",0,SUMPRODUCT((파견수련계획!$Q$4:$Q$83=TRIM($J96&amp;""))*파견수련계획!$AD$4:$AD$83))&gt;0,$AE96,IF(N($X96)&lt;=0,$AG96,IF($AH96+$AI96=DAY(EOMONTH(요약!$B$3,0)),IF(AND($AH96&gt;=요약!$E$3,$AI96&lt;요약!$E$3),"서울병원",IF(AND($AI96&gt;=요약!$E$3,$AH96&lt;요약!$E$3),"구리병원","⚠15일 판정불가(서울 "&amp;$AH96&amp;"일/구리 "&amp;$AI96&amp;"일)")),IF($AJ96="",$AE96,IF(INDEX(파견수련계획!$T$4:$T$83,$AJ96)="통합수련",INDEX(파견수련계획!$S$4:$S$83,$AJ96),$AE96)))))))</f>
        <v/>
      </c>
      <c r="Z96" s="19">
        <f>IF($B96="","",IF($AB96="","기본자료에 없는 사번",IF(COUNTIF($B$2:$B$401,$B96)&gt;1,"중복 사번",IF($AE96="","소속(입사장소) 입력",IF(IF(TRIM($J96&amp;"")="",0,SUMPRODUCT((파견수련계획!$Q$4:$Q$83=TRIM($J96&amp;""))*(파견수련계획!$AA$4:$AA$83&lt;&gt;"")))&gt;0,"파견수련계획 입력오류 확인",IF(LEFT($Y96,1)="⚠","서울·구리 15일 판정 불가(양쪽 모두 이상/미만)",IF(IF($AC96="",0,N(INDEX(인턴근무계획!$T$3:$T$62,$AC96)))&gt;0,"인턴계획 입력오류 확인",IF(AND($AC96&lt;&gt;"",$U96&lt;&gt;"파견중",$N96&lt;&gt;$AE96),"인턴 타지역 근무: 파견 여부 확인","정상"))))))))</f>
        <v/>
      </c>
      <c r="AA96" s="5" t="n"/>
      <c r="AB96" s="10">
        <f>IF($B96="","",IFERROR(MATCH($B96,기본자료!$B$2:$B$1001,0),IFERROR(MATCH($B96&amp;"",기본자료!$B$2:$B$1001,0),IFERROR(MATCH(VALUE($B96),기본자료!$B$2:$B$1001,0),""))))</f>
        <v/>
      </c>
      <c r="AC96" s="10">
        <f>IF($B96="","",IFERROR(MATCH($B96,인턴근무계획!$D$3:$D$62,0),IFERROR(MATCH($B96&amp;"",인턴근무계획!$D$3:$D$62,0),IFERROR(MATCH(VALUE($B96),인턴근무계획!$D$3:$D$62,0),""))))</f>
        <v/>
      </c>
      <c r="AD96" s="10">
        <f>IF(OR($AC96="",인턴현황!$G$3=""),"",INDEX(인턴근무계획!$M$3:$R$62,$AC96,인턴현황!$G$3)&amp;"")</f>
        <v/>
      </c>
      <c r="AE96" s="10">
        <f>IF($B96="","",IF($M96&lt;&gt;"",$M96,IF($AF96&lt;&gt;"",IF(LEFT(INDEX(파견수련계획!$R$4:$R$83,$AF96),1)&lt;&gt;"⚠",INDEX(파견수련계획!$R$4:$R$83,$AF96),IF($H96="","",IF(RIGHT($H96,2)="병원",$H96,$H96&amp;"병원"))),IF($H96="","",IF(RIGHT($H96,2)="병원",$H96,$H96&amp;"병원")))))</f>
        <v/>
      </c>
      <c r="AF96" s="10">
        <f>IF(OR($B96="",TRIM($J96&amp;"")=""),"",IFERROR(MATCH(TRIM($J96&amp;"")&amp;"|파견중",파견수련계획!$Y$4:$Y$83,0),IFERROR(MATCH(TRIM($J96&amp;"")&amp;"|파견예정",파견수련계획!$Y$4:$Y$83,0),IFERROR(MATCH(TRIM($J96&amp;"")&amp;"|파견종료",파견수련계획!$Y$4:$Y$83,0),""))))</f>
        <v/>
      </c>
      <c r="AG96" s="10">
        <f>IF($B96="","",IF(AND(IF(OR($AC96="",인턴현황!$K$2=""),"",INDEX(인턴근무계획!$M$3:$R$62,$AC96,인턴현황!$K$2)&amp;"")&lt;&gt;"",LEFT(IF(OR($AC96="",인턴현황!$K$2=""),"",INDEX(인턴근무계획!$M$3:$R$62,$AC96,인턴현황!$K$2)&amp;""),1)&lt;&gt;"⚠"),LEFT(IF(OR($AC96="",인턴현황!$K$2=""),"",INDEX(인턴근무계획!$M$3:$R$62,$AC96,인턴현황!$K$2)&amp;""),FIND(" ",IF(OR($AC96="",인턴현황!$K$2=""),"",INDEX(인턴근무계획!$M$3:$R$62,$AC96,인턴현황!$K$2)&amp;""))-1),$AE96))</f>
        <v/>
      </c>
      <c r="AH96" s="17">
        <f>IF($B96="","",IF(TRIM($J96&amp;"")="",0,SUMPRODUCT((파견수련계획!$Q$4:$Q$83=TRIM($J96&amp;""))*(파견수련계획!$S$4:$S$83="서울병원")*파견수련계획!$W$4:$W$83))+IF($AG96="서울병원",MAX(0,DAY(EOMONTH(요약!$B$3,0))-N($X96)),0))</f>
        <v/>
      </c>
      <c r="AI96" s="17">
        <f>IF($B96="","",IF(TRIM($J96&amp;"")="",0,SUMPRODUCT((파견수련계획!$Q$4:$Q$83=TRIM($J96&amp;""))*(파견수련계획!$S$4:$S$83="구리병원")*파견수련계획!$W$4:$W$83))+IF($AG96="구리병원",MAX(0,DAY(EOMONTH(요약!$B$3,0))-N($X96)),0))</f>
        <v/>
      </c>
      <c r="AJ96" s="10">
        <f>IF(OR($B96="",TRIM($J96&amp;"")=""),"",IFERROR(MATCH(TRIM($J96&amp;"")&amp;"|월",파견수련계획!$Z$4:$Z$83,0),""))</f>
        <v/>
      </c>
      <c r="AK96" s="10">
        <f>IF(OR($B96="",TRIM($J96&amp;"")=""),"",IFERROR(MATCH(TRIM($J96&amp;"")&amp;"|다기관",파견수련계획!$AE$4:$AE$83,0),""))</f>
        <v/>
      </c>
      <c r="AL96" s="10">
        <f>IF($AK96="","","다기관 "&amp;TEXT(INDEX(파견수련계획!$AB$4:$AB$83,$AK96),"yyyy-mm-dd")&amp;"~"&amp;IF(ISNUMBER(INDEX(파견수련계획!$AC$4:$AC$83,$AK96)),TEXT(INDEX(파견수련계획!$AC$4:$AC$83,$AK96),"yyyy-mm-dd"),""))</f>
        <v/>
      </c>
    </row>
    <row r="97">
      <c r="A97" s="10">
        <f>IF(B97="","",ROW()-1)</f>
        <v/>
      </c>
      <c r="B97" s="18" t="n"/>
      <c r="C97" s="10">
        <f>IF($AB97="","",IF(INDEX(기본자료!$C$2:$C$1001,$AB97)="","",INDEX(기본자료!$C$2:$C$1001,$AB97)))</f>
        <v/>
      </c>
      <c r="D97" s="10">
        <f>IF($AB97="","",IF(INDEX(기본자료!$J$2:$J$1001,$AB97)="","",INDEX(기본자료!$J$2:$J$1001,$AB97)))</f>
        <v/>
      </c>
      <c r="E97" s="11">
        <f>IF($AB97="","",IF(INDEX(기본자료!$K$2:$K$1001,$AB97)="","",IF(NOT(ISNUMBER(INDEX(기본자료!$K$2:$K$1001,$AB97))),INDEX(기본자료!$K$2:$K$1001,$AB97),IF(INDEX(기본자료!$K$2:$K$1001,$AB97)&lt;1000000,INDEX(기본자료!$K$2:$K$1001,$AB97),IF(AND(INDEX(기본자료!$K$2:$K$1001,$AB97)&gt;=10000101,INT(MOD(INDEX(기본자료!$K$2:$K$1001,$AB97),10000)/100)&gt;=1,INT(MOD(INDEX(기본자료!$K$2:$K$1001,$AB97),10000)/100)&lt;=12,MOD(INDEX(기본자료!$K$2:$K$1001,$AB97),100)&gt;=1,MOD(INDEX(기본자료!$K$2:$K$1001,$AB97),100)&lt;=31),DATE(INT(INDEX(기본자료!$K$2:$K$1001,$AB97)/10000),INT(MOD(INDEX(기본자료!$K$2:$K$1001,$AB97),10000)/100),MOD(INDEX(기본자료!$K$2:$K$1001,$AB97),100)),INDEX(기본자료!$K$2:$K$1001,$AB97)&amp;"")))))</f>
        <v/>
      </c>
      <c r="F97" s="10">
        <f>IF($AB97="","",IF(INDEX(기본자료!$D$2:$D$1001,$AB97)="","",INDEX(기본자료!$D$2:$D$1001,$AB97)))</f>
        <v/>
      </c>
      <c r="G97" s="10">
        <f>IF($AB97="","",IF(INDEX(기본자료!$E$2:$E$1001,$AB97)="","",INDEX(기본자료!$E$2:$E$1001,$AB97)))</f>
        <v/>
      </c>
      <c r="H97" s="10">
        <f>IF($AB97="","",IF(INDEX(기본자료!$F$2:$F$1001,$AB97)="","",INDEX(기본자료!$F$2:$F$1001,$AB97)))</f>
        <v/>
      </c>
      <c r="I97" s="11">
        <f>IF($AB97="","",IF(INDEX(기본자료!$G$2:$G$1001,$AB97)="","",IF(NOT(ISNUMBER(INDEX(기본자료!$G$2:$G$1001,$AB97))),INDEX(기본자료!$G$2:$G$1001,$AB97),IF(INDEX(기본자료!$G$2:$G$1001,$AB97)&lt;1000000,INDEX(기본자료!$G$2:$G$1001,$AB97),IF(AND(INDEX(기본자료!$G$2:$G$1001,$AB97)&gt;=10000101,INT(MOD(INDEX(기본자료!$G$2:$G$1001,$AB97),10000)/100)&gt;=1,INT(MOD(INDEX(기본자료!$G$2:$G$1001,$AB97),10000)/100)&lt;=12,MOD(INDEX(기본자료!$G$2:$G$1001,$AB97),100)&gt;=1,MOD(INDEX(기본자료!$G$2:$G$1001,$AB97),100)&lt;=31),DATE(INT(INDEX(기본자료!$G$2:$G$1001,$AB97)/10000),INT(MOD(INDEX(기본자료!$G$2:$G$1001,$AB97),10000)/100),MOD(INDEX(기본자료!$G$2:$G$1001,$AB97),100)),INDEX(기본자료!$G$2:$G$1001,$AB97)&amp;"")))))</f>
        <v/>
      </c>
      <c r="J97" s="10">
        <f>IF($AB97="","",IF(INDEX(기본자료!$H$2:$H$1001,$AB97)="","",INDEX(기본자료!$H$2:$H$1001,$AB97)))</f>
        <v/>
      </c>
      <c r="K97" s="10">
        <f>IF($AB97="","",IF(INDEX(기본자료!$I$2:$I$1001,$AB97)="","",INDEX(기본자료!$I$2:$I$1001,$AB97)))</f>
        <v/>
      </c>
      <c r="L97" s="10">
        <f>IF($AB97="","",IF(INDEX(기본자료!$A$2:$A$1001,$AB97)="","",INDEX(기본자료!$A$2:$A$1001,$AB97)))</f>
        <v/>
      </c>
      <c r="M97" s="15" t="n"/>
      <c r="N97" s="10">
        <f>IF($B97="","",IF(AND($U97="파견중",$Q97&lt;&gt;""),$Q97,IF(AND($AD97&lt;&gt;"",LEFT($AD97,1)&lt;&gt;"⚠"),LEFT($AD97,FIND(" ",$AD97)-1),IF($H97="","",IF(RIGHT($H97,2)="병원",$H97,$H97&amp;"병원")))))</f>
        <v/>
      </c>
      <c r="O97" s="10">
        <f>IF($B97="","",IF(AND($U97="파견중",$Q97&lt;&gt;""),IF($R97&lt;&gt;"",$R97,"파견과 미입력"),IF(AND($AD97&lt;&gt;"",LEFT($AD97,1)&lt;&gt;"⚠"),MID($AD97,FIND(" ",$AD97)+1,60),IF($F97="","",IF($F97="인턴","수련교육부(인턴)",$F97)))))</f>
        <v/>
      </c>
      <c r="P97" s="10">
        <f>IF($B97="","",IF($AK97&lt;&gt;"",IF(AND(TODAY()&gt;=INDEX(파견수련계획!$AB$4:$AB$83,$AK97),OR(NOT(ISNUMBER(INDEX(파견수련계획!$AC$4:$AC$83,$AK97))),TODAY()&lt;=INDEX(파견수련계획!$AC$4:$AC$83,$AK97))),"다기관",IF($AF97="","",INDEX(파견수련계획!$T$4:$T$83,$AF97))),IF($AF97="","",INDEX(파견수련계획!$T$4:$T$83,$AF97))))</f>
        <v/>
      </c>
      <c r="Q97" s="10">
        <f>IF($AF97="","",INDEX(파견수련계획!$S$4:$S$83,$AF97))</f>
        <v/>
      </c>
      <c r="R97" s="10">
        <f>IF($AF97="","",INDEX(파견수련계획!$U$4:$U$83,$AF97))</f>
        <v/>
      </c>
      <c r="S97" s="11">
        <f>IF($AF97="","",IF(INDEX(파견수련계획!$H$4:$H$83,$AF97)="","",INDEX(파견수련계획!$H$4:$H$83,$AF97)))</f>
        <v/>
      </c>
      <c r="T97" s="11">
        <f>IF($AF97="","",IF(INDEX(파견수련계획!$I$4:$I$83,$AF97)="","",INDEX(파견수련계획!$I$4:$I$83,$AF97)))</f>
        <v/>
      </c>
      <c r="U97" s="10">
        <f>IF($AF97="","",INDEX(파견수련계획!$X$4:$X$83,$AF97))</f>
        <v/>
      </c>
      <c r="V97" s="17">
        <f>IF($AF97="","",INDEX(파견수련계획!$V$4:$V$83,$AF97))</f>
        <v/>
      </c>
      <c r="W97" s="17">
        <f>IF(AND($U97="파견중",$T97&lt;&gt;""),$T97-TODAY(),"")</f>
        <v/>
      </c>
      <c r="X97" s="17">
        <f>IF(OR($B97="",TRIM($J97&amp;"")=""),"",SUMPRODUCT((파견수련계획!$Q$4:$Q$83=TRIM($J97&amp;""))*파견수련계획!$W$4:$W$83))</f>
        <v/>
      </c>
      <c r="Y97" s="10">
        <f>IF($B97="","",IF($AG97="","",IF(IF(TRIM($J97&amp;"")="",0,SUMPRODUCT((파견수련계획!$Q$4:$Q$83=TRIM($J97&amp;""))*파견수련계획!$AD$4:$AD$83))&gt;0,$AE97,IF(N($X97)&lt;=0,$AG97,IF($AH97+$AI97=DAY(EOMONTH(요약!$B$3,0)),IF(AND($AH97&gt;=요약!$E$3,$AI97&lt;요약!$E$3),"서울병원",IF(AND($AI97&gt;=요약!$E$3,$AH97&lt;요약!$E$3),"구리병원","⚠15일 판정불가(서울 "&amp;$AH97&amp;"일/구리 "&amp;$AI97&amp;"일)")),IF($AJ97="",$AE97,IF(INDEX(파견수련계획!$T$4:$T$83,$AJ97)="통합수련",INDEX(파견수련계획!$S$4:$S$83,$AJ97),$AE97)))))))</f>
        <v/>
      </c>
      <c r="Z97" s="19">
        <f>IF($B97="","",IF($AB97="","기본자료에 없는 사번",IF(COUNTIF($B$2:$B$401,$B97)&gt;1,"중복 사번",IF($AE97="","소속(입사장소) 입력",IF(IF(TRIM($J97&amp;"")="",0,SUMPRODUCT((파견수련계획!$Q$4:$Q$83=TRIM($J97&amp;""))*(파견수련계획!$AA$4:$AA$83&lt;&gt;"")))&gt;0,"파견수련계획 입력오류 확인",IF(LEFT($Y97,1)="⚠","서울·구리 15일 판정 불가(양쪽 모두 이상/미만)",IF(IF($AC97="",0,N(INDEX(인턴근무계획!$T$3:$T$62,$AC97)))&gt;0,"인턴계획 입력오류 확인",IF(AND($AC97&lt;&gt;"",$U97&lt;&gt;"파견중",$N97&lt;&gt;$AE97),"인턴 타지역 근무: 파견 여부 확인","정상"))))))))</f>
        <v/>
      </c>
      <c r="AA97" s="5" t="n"/>
      <c r="AB97" s="10">
        <f>IF($B97="","",IFERROR(MATCH($B97,기본자료!$B$2:$B$1001,0),IFERROR(MATCH($B97&amp;"",기본자료!$B$2:$B$1001,0),IFERROR(MATCH(VALUE($B97),기본자료!$B$2:$B$1001,0),""))))</f>
        <v/>
      </c>
      <c r="AC97" s="10">
        <f>IF($B97="","",IFERROR(MATCH($B97,인턴근무계획!$D$3:$D$62,0),IFERROR(MATCH($B97&amp;"",인턴근무계획!$D$3:$D$62,0),IFERROR(MATCH(VALUE($B97),인턴근무계획!$D$3:$D$62,0),""))))</f>
        <v/>
      </c>
      <c r="AD97" s="10">
        <f>IF(OR($AC97="",인턴현황!$G$3=""),"",INDEX(인턴근무계획!$M$3:$R$62,$AC97,인턴현황!$G$3)&amp;"")</f>
        <v/>
      </c>
      <c r="AE97" s="10">
        <f>IF($B97="","",IF($M97&lt;&gt;"",$M97,IF($AF97&lt;&gt;"",IF(LEFT(INDEX(파견수련계획!$R$4:$R$83,$AF97),1)&lt;&gt;"⚠",INDEX(파견수련계획!$R$4:$R$83,$AF97),IF($H97="","",IF(RIGHT($H97,2)="병원",$H97,$H97&amp;"병원"))),IF($H97="","",IF(RIGHT($H97,2)="병원",$H97,$H97&amp;"병원")))))</f>
        <v/>
      </c>
      <c r="AF97" s="10">
        <f>IF(OR($B97="",TRIM($J97&amp;"")=""),"",IFERROR(MATCH(TRIM($J97&amp;"")&amp;"|파견중",파견수련계획!$Y$4:$Y$83,0),IFERROR(MATCH(TRIM($J97&amp;"")&amp;"|파견예정",파견수련계획!$Y$4:$Y$83,0),IFERROR(MATCH(TRIM($J97&amp;"")&amp;"|파견종료",파견수련계획!$Y$4:$Y$83,0),""))))</f>
        <v/>
      </c>
      <c r="AG97" s="10">
        <f>IF($B97="","",IF(AND(IF(OR($AC97="",인턴현황!$K$2=""),"",INDEX(인턴근무계획!$M$3:$R$62,$AC97,인턴현황!$K$2)&amp;"")&lt;&gt;"",LEFT(IF(OR($AC97="",인턴현황!$K$2=""),"",INDEX(인턴근무계획!$M$3:$R$62,$AC97,인턴현황!$K$2)&amp;""),1)&lt;&gt;"⚠"),LEFT(IF(OR($AC97="",인턴현황!$K$2=""),"",INDEX(인턴근무계획!$M$3:$R$62,$AC97,인턴현황!$K$2)&amp;""),FIND(" ",IF(OR($AC97="",인턴현황!$K$2=""),"",INDEX(인턴근무계획!$M$3:$R$62,$AC97,인턴현황!$K$2)&amp;""))-1),$AE97))</f>
        <v/>
      </c>
      <c r="AH97" s="17">
        <f>IF($B97="","",IF(TRIM($J97&amp;"")="",0,SUMPRODUCT((파견수련계획!$Q$4:$Q$83=TRIM($J97&amp;""))*(파견수련계획!$S$4:$S$83="서울병원")*파견수련계획!$W$4:$W$83))+IF($AG97="서울병원",MAX(0,DAY(EOMONTH(요약!$B$3,0))-N($X97)),0))</f>
        <v/>
      </c>
      <c r="AI97" s="17">
        <f>IF($B97="","",IF(TRIM($J97&amp;"")="",0,SUMPRODUCT((파견수련계획!$Q$4:$Q$83=TRIM($J97&amp;""))*(파견수련계획!$S$4:$S$83="구리병원")*파견수련계획!$W$4:$W$83))+IF($AG97="구리병원",MAX(0,DAY(EOMONTH(요약!$B$3,0))-N($X97)),0))</f>
        <v/>
      </c>
      <c r="AJ97" s="10">
        <f>IF(OR($B97="",TRIM($J97&amp;"")=""),"",IFERROR(MATCH(TRIM($J97&amp;"")&amp;"|월",파견수련계획!$Z$4:$Z$83,0),""))</f>
        <v/>
      </c>
      <c r="AK97" s="10">
        <f>IF(OR($B97="",TRIM($J97&amp;"")=""),"",IFERROR(MATCH(TRIM($J97&amp;"")&amp;"|다기관",파견수련계획!$AE$4:$AE$83,0),""))</f>
        <v/>
      </c>
      <c r="AL97" s="10">
        <f>IF($AK97="","","다기관 "&amp;TEXT(INDEX(파견수련계획!$AB$4:$AB$83,$AK97),"yyyy-mm-dd")&amp;"~"&amp;IF(ISNUMBER(INDEX(파견수련계획!$AC$4:$AC$83,$AK97)),TEXT(INDEX(파견수련계획!$AC$4:$AC$83,$AK97),"yyyy-mm-dd"),""))</f>
        <v/>
      </c>
    </row>
    <row r="98">
      <c r="A98" s="10">
        <f>IF(B98="","",ROW()-1)</f>
        <v/>
      </c>
      <c r="B98" s="18" t="n"/>
      <c r="C98" s="10">
        <f>IF($AB98="","",IF(INDEX(기본자료!$C$2:$C$1001,$AB98)="","",INDEX(기본자료!$C$2:$C$1001,$AB98)))</f>
        <v/>
      </c>
      <c r="D98" s="10">
        <f>IF($AB98="","",IF(INDEX(기본자료!$J$2:$J$1001,$AB98)="","",INDEX(기본자료!$J$2:$J$1001,$AB98)))</f>
        <v/>
      </c>
      <c r="E98" s="11">
        <f>IF($AB98="","",IF(INDEX(기본자료!$K$2:$K$1001,$AB98)="","",IF(NOT(ISNUMBER(INDEX(기본자료!$K$2:$K$1001,$AB98))),INDEX(기본자료!$K$2:$K$1001,$AB98),IF(INDEX(기본자료!$K$2:$K$1001,$AB98)&lt;1000000,INDEX(기본자료!$K$2:$K$1001,$AB98),IF(AND(INDEX(기본자료!$K$2:$K$1001,$AB98)&gt;=10000101,INT(MOD(INDEX(기본자료!$K$2:$K$1001,$AB98),10000)/100)&gt;=1,INT(MOD(INDEX(기본자료!$K$2:$K$1001,$AB98),10000)/100)&lt;=12,MOD(INDEX(기본자료!$K$2:$K$1001,$AB98),100)&gt;=1,MOD(INDEX(기본자료!$K$2:$K$1001,$AB98),100)&lt;=31),DATE(INT(INDEX(기본자료!$K$2:$K$1001,$AB98)/10000),INT(MOD(INDEX(기본자료!$K$2:$K$1001,$AB98),10000)/100),MOD(INDEX(기본자료!$K$2:$K$1001,$AB98),100)),INDEX(기본자료!$K$2:$K$1001,$AB98)&amp;"")))))</f>
        <v/>
      </c>
      <c r="F98" s="10">
        <f>IF($AB98="","",IF(INDEX(기본자료!$D$2:$D$1001,$AB98)="","",INDEX(기본자료!$D$2:$D$1001,$AB98)))</f>
        <v/>
      </c>
      <c r="G98" s="10">
        <f>IF($AB98="","",IF(INDEX(기본자료!$E$2:$E$1001,$AB98)="","",INDEX(기본자료!$E$2:$E$1001,$AB98)))</f>
        <v/>
      </c>
      <c r="H98" s="10">
        <f>IF($AB98="","",IF(INDEX(기본자료!$F$2:$F$1001,$AB98)="","",INDEX(기본자료!$F$2:$F$1001,$AB98)))</f>
        <v/>
      </c>
      <c r="I98" s="11">
        <f>IF($AB98="","",IF(INDEX(기본자료!$G$2:$G$1001,$AB98)="","",IF(NOT(ISNUMBER(INDEX(기본자료!$G$2:$G$1001,$AB98))),INDEX(기본자료!$G$2:$G$1001,$AB98),IF(INDEX(기본자료!$G$2:$G$1001,$AB98)&lt;1000000,INDEX(기본자료!$G$2:$G$1001,$AB98),IF(AND(INDEX(기본자료!$G$2:$G$1001,$AB98)&gt;=10000101,INT(MOD(INDEX(기본자료!$G$2:$G$1001,$AB98),10000)/100)&gt;=1,INT(MOD(INDEX(기본자료!$G$2:$G$1001,$AB98),10000)/100)&lt;=12,MOD(INDEX(기본자료!$G$2:$G$1001,$AB98),100)&gt;=1,MOD(INDEX(기본자료!$G$2:$G$1001,$AB98),100)&lt;=31),DATE(INT(INDEX(기본자료!$G$2:$G$1001,$AB98)/10000),INT(MOD(INDEX(기본자료!$G$2:$G$1001,$AB98),10000)/100),MOD(INDEX(기본자료!$G$2:$G$1001,$AB98),100)),INDEX(기본자료!$G$2:$G$1001,$AB98)&amp;"")))))</f>
        <v/>
      </c>
      <c r="J98" s="10">
        <f>IF($AB98="","",IF(INDEX(기본자료!$H$2:$H$1001,$AB98)="","",INDEX(기본자료!$H$2:$H$1001,$AB98)))</f>
        <v/>
      </c>
      <c r="K98" s="10">
        <f>IF($AB98="","",IF(INDEX(기본자료!$I$2:$I$1001,$AB98)="","",INDEX(기본자료!$I$2:$I$1001,$AB98)))</f>
        <v/>
      </c>
      <c r="L98" s="10">
        <f>IF($AB98="","",IF(INDEX(기본자료!$A$2:$A$1001,$AB98)="","",INDEX(기본자료!$A$2:$A$1001,$AB98)))</f>
        <v/>
      </c>
      <c r="M98" s="15" t="n"/>
      <c r="N98" s="10">
        <f>IF($B98="","",IF(AND($U98="파견중",$Q98&lt;&gt;""),$Q98,IF(AND($AD98&lt;&gt;"",LEFT($AD98,1)&lt;&gt;"⚠"),LEFT($AD98,FIND(" ",$AD98)-1),IF($H98="","",IF(RIGHT($H98,2)="병원",$H98,$H98&amp;"병원")))))</f>
        <v/>
      </c>
      <c r="O98" s="10">
        <f>IF($B98="","",IF(AND($U98="파견중",$Q98&lt;&gt;""),IF($R98&lt;&gt;"",$R98,"파견과 미입력"),IF(AND($AD98&lt;&gt;"",LEFT($AD98,1)&lt;&gt;"⚠"),MID($AD98,FIND(" ",$AD98)+1,60),IF($F98="","",IF($F98="인턴","수련교육부(인턴)",$F98)))))</f>
        <v/>
      </c>
      <c r="P98" s="10">
        <f>IF($B98="","",IF($AK98&lt;&gt;"",IF(AND(TODAY()&gt;=INDEX(파견수련계획!$AB$4:$AB$83,$AK98),OR(NOT(ISNUMBER(INDEX(파견수련계획!$AC$4:$AC$83,$AK98))),TODAY()&lt;=INDEX(파견수련계획!$AC$4:$AC$83,$AK98))),"다기관",IF($AF98="","",INDEX(파견수련계획!$T$4:$T$83,$AF98))),IF($AF98="","",INDEX(파견수련계획!$T$4:$T$83,$AF98))))</f>
        <v/>
      </c>
      <c r="Q98" s="10">
        <f>IF($AF98="","",INDEX(파견수련계획!$S$4:$S$83,$AF98))</f>
        <v/>
      </c>
      <c r="R98" s="10">
        <f>IF($AF98="","",INDEX(파견수련계획!$U$4:$U$83,$AF98))</f>
        <v/>
      </c>
      <c r="S98" s="11">
        <f>IF($AF98="","",IF(INDEX(파견수련계획!$H$4:$H$83,$AF98)="","",INDEX(파견수련계획!$H$4:$H$83,$AF98)))</f>
        <v/>
      </c>
      <c r="T98" s="11">
        <f>IF($AF98="","",IF(INDEX(파견수련계획!$I$4:$I$83,$AF98)="","",INDEX(파견수련계획!$I$4:$I$83,$AF98)))</f>
        <v/>
      </c>
      <c r="U98" s="10">
        <f>IF($AF98="","",INDEX(파견수련계획!$X$4:$X$83,$AF98))</f>
        <v/>
      </c>
      <c r="V98" s="17">
        <f>IF($AF98="","",INDEX(파견수련계획!$V$4:$V$83,$AF98))</f>
        <v/>
      </c>
      <c r="W98" s="17">
        <f>IF(AND($U98="파견중",$T98&lt;&gt;""),$T98-TODAY(),"")</f>
        <v/>
      </c>
      <c r="X98" s="17">
        <f>IF(OR($B98="",TRIM($J98&amp;"")=""),"",SUMPRODUCT((파견수련계획!$Q$4:$Q$83=TRIM($J98&amp;""))*파견수련계획!$W$4:$W$83))</f>
        <v/>
      </c>
      <c r="Y98" s="10">
        <f>IF($B98="","",IF($AG98="","",IF(IF(TRIM($J98&amp;"")="",0,SUMPRODUCT((파견수련계획!$Q$4:$Q$83=TRIM($J98&amp;""))*파견수련계획!$AD$4:$AD$83))&gt;0,$AE98,IF(N($X98)&lt;=0,$AG98,IF($AH98+$AI98=DAY(EOMONTH(요약!$B$3,0)),IF(AND($AH98&gt;=요약!$E$3,$AI98&lt;요약!$E$3),"서울병원",IF(AND($AI98&gt;=요약!$E$3,$AH98&lt;요약!$E$3),"구리병원","⚠15일 판정불가(서울 "&amp;$AH98&amp;"일/구리 "&amp;$AI98&amp;"일)")),IF($AJ98="",$AE98,IF(INDEX(파견수련계획!$T$4:$T$83,$AJ98)="통합수련",INDEX(파견수련계획!$S$4:$S$83,$AJ98),$AE98)))))))</f>
        <v/>
      </c>
      <c r="Z98" s="19">
        <f>IF($B98="","",IF($AB98="","기본자료에 없는 사번",IF(COUNTIF($B$2:$B$401,$B98)&gt;1,"중복 사번",IF($AE98="","소속(입사장소) 입력",IF(IF(TRIM($J98&amp;"")="",0,SUMPRODUCT((파견수련계획!$Q$4:$Q$83=TRIM($J98&amp;""))*(파견수련계획!$AA$4:$AA$83&lt;&gt;"")))&gt;0,"파견수련계획 입력오류 확인",IF(LEFT($Y98,1)="⚠","서울·구리 15일 판정 불가(양쪽 모두 이상/미만)",IF(IF($AC98="",0,N(INDEX(인턴근무계획!$T$3:$T$62,$AC98)))&gt;0,"인턴계획 입력오류 확인",IF(AND($AC98&lt;&gt;"",$U98&lt;&gt;"파견중",$N98&lt;&gt;$AE98),"인턴 타지역 근무: 파견 여부 확인","정상"))))))))</f>
        <v/>
      </c>
      <c r="AA98" s="5" t="n"/>
      <c r="AB98" s="10">
        <f>IF($B98="","",IFERROR(MATCH($B98,기본자료!$B$2:$B$1001,0),IFERROR(MATCH($B98&amp;"",기본자료!$B$2:$B$1001,0),IFERROR(MATCH(VALUE($B98),기본자료!$B$2:$B$1001,0),""))))</f>
        <v/>
      </c>
      <c r="AC98" s="10">
        <f>IF($B98="","",IFERROR(MATCH($B98,인턴근무계획!$D$3:$D$62,0),IFERROR(MATCH($B98&amp;"",인턴근무계획!$D$3:$D$62,0),IFERROR(MATCH(VALUE($B98),인턴근무계획!$D$3:$D$62,0),""))))</f>
        <v/>
      </c>
      <c r="AD98" s="10">
        <f>IF(OR($AC98="",인턴현황!$G$3=""),"",INDEX(인턴근무계획!$M$3:$R$62,$AC98,인턴현황!$G$3)&amp;"")</f>
        <v/>
      </c>
      <c r="AE98" s="10">
        <f>IF($B98="","",IF($M98&lt;&gt;"",$M98,IF($AF98&lt;&gt;"",IF(LEFT(INDEX(파견수련계획!$R$4:$R$83,$AF98),1)&lt;&gt;"⚠",INDEX(파견수련계획!$R$4:$R$83,$AF98),IF($H98="","",IF(RIGHT($H98,2)="병원",$H98,$H98&amp;"병원"))),IF($H98="","",IF(RIGHT($H98,2)="병원",$H98,$H98&amp;"병원")))))</f>
        <v/>
      </c>
      <c r="AF98" s="10">
        <f>IF(OR($B98="",TRIM($J98&amp;"")=""),"",IFERROR(MATCH(TRIM($J98&amp;"")&amp;"|파견중",파견수련계획!$Y$4:$Y$83,0),IFERROR(MATCH(TRIM($J98&amp;"")&amp;"|파견예정",파견수련계획!$Y$4:$Y$83,0),IFERROR(MATCH(TRIM($J98&amp;"")&amp;"|파견종료",파견수련계획!$Y$4:$Y$83,0),""))))</f>
        <v/>
      </c>
      <c r="AG98" s="10">
        <f>IF($B98="","",IF(AND(IF(OR($AC98="",인턴현황!$K$2=""),"",INDEX(인턴근무계획!$M$3:$R$62,$AC98,인턴현황!$K$2)&amp;"")&lt;&gt;"",LEFT(IF(OR($AC98="",인턴현황!$K$2=""),"",INDEX(인턴근무계획!$M$3:$R$62,$AC98,인턴현황!$K$2)&amp;""),1)&lt;&gt;"⚠"),LEFT(IF(OR($AC98="",인턴현황!$K$2=""),"",INDEX(인턴근무계획!$M$3:$R$62,$AC98,인턴현황!$K$2)&amp;""),FIND(" ",IF(OR($AC98="",인턴현황!$K$2=""),"",INDEX(인턴근무계획!$M$3:$R$62,$AC98,인턴현황!$K$2)&amp;""))-1),$AE98))</f>
        <v/>
      </c>
      <c r="AH98" s="17">
        <f>IF($B98="","",IF(TRIM($J98&amp;"")="",0,SUMPRODUCT((파견수련계획!$Q$4:$Q$83=TRIM($J98&amp;""))*(파견수련계획!$S$4:$S$83="서울병원")*파견수련계획!$W$4:$W$83))+IF($AG98="서울병원",MAX(0,DAY(EOMONTH(요약!$B$3,0))-N($X98)),0))</f>
        <v/>
      </c>
      <c r="AI98" s="17">
        <f>IF($B98="","",IF(TRIM($J98&amp;"")="",0,SUMPRODUCT((파견수련계획!$Q$4:$Q$83=TRIM($J98&amp;""))*(파견수련계획!$S$4:$S$83="구리병원")*파견수련계획!$W$4:$W$83))+IF($AG98="구리병원",MAX(0,DAY(EOMONTH(요약!$B$3,0))-N($X98)),0))</f>
        <v/>
      </c>
      <c r="AJ98" s="10">
        <f>IF(OR($B98="",TRIM($J98&amp;"")=""),"",IFERROR(MATCH(TRIM($J98&amp;"")&amp;"|월",파견수련계획!$Z$4:$Z$83,0),""))</f>
        <v/>
      </c>
      <c r="AK98" s="10">
        <f>IF(OR($B98="",TRIM($J98&amp;"")=""),"",IFERROR(MATCH(TRIM($J98&amp;"")&amp;"|다기관",파견수련계획!$AE$4:$AE$83,0),""))</f>
        <v/>
      </c>
      <c r="AL98" s="10">
        <f>IF($AK98="","","다기관 "&amp;TEXT(INDEX(파견수련계획!$AB$4:$AB$83,$AK98),"yyyy-mm-dd")&amp;"~"&amp;IF(ISNUMBER(INDEX(파견수련계획!$AC$4:$AC$83,$AK98)),TEXT(INDEX(파견수련계획!$AC$4:$AC$83,$AK98),"yyyy-mm-dd"),""))</f>
        <v/>
      </c>
    </row>
    <row r="99">
      <c r="A99" s="10">
        <f>IF(B99="","",ROW()-1)</f>
        <v/>
      </c>
      <c r="B99" s="18" t="n"/>
      <c r="C99" s="10">
        <f>IF($AB99="","",IF(INDEX(기본자료!$C$2:$C$1001,$AB99)="","",INDEX(기본자료!$C$2:$C$1001,$AB99)))</f>
        <v/>
      </c>
      <c r="D99" s="10">
        <f>IF($AB99="","",IF(INDEX(기본자료!$J$2:$J$1001,$AB99)="","",INDEX(기본자료!$J$2:$J$1001,$AB99)))</f>
        <v/>
      </c>
      <c r="E99" s="11">
        <f>IF($AB99="","",IF(INDEX(기본자료!$K$2:$K$1001,$AB99)="","",IF(NOT(ISNUMBER(INDEX(기본자료!$K$2:$K$1001,$AB99))),INDEX(기본자료!$K$2:$K$1001,$AB99),IF(INDEX(기본자료!$K$2:$K$1001,$AB99)&lt;1000000,INDEX(기본자료!$K$2:$K$1001,$AB99),IF(AND(INDEX(기본자료!$K$2:$K$1001,$AB99)&gt;=10000101,INT(MOD(INDEX(기본자료!$K$2:$K$1001,$AB99),10000)/100)&gt;=1,INT(MOD(INDEX(기본자료!$K$2:$K$1001,$AB99),10000)/100)&lt;=12,MOD(INDEX(기본자료!$K$2:$K$1001,$AB99),100)&gt;=1,MOD(INDEX(기본자료!$K$2:$K$1001,$AB99),100)&lt;=31),DATE(INT(INDEX(기본자료!$K$2:$K$1001,$AB99)/10000),INT(MOD(INDEX(기본자료!$K$2:$K$1001,$AB99),10000)/100),MOD(INDEX(기본자료!$K$2:$K$1001,$AB99),100)),INDEX(기본자료!$K$2:$K$1001,$AB99)&amp;"")))))</f>
        <v/>
      </c>
      <c r="F99" s="10">
        <f>IF($AB99="","",IF(INDEX(기본자료!$D$2:$D$1001,$AB99)="","",INDEX(기본자료!$D$2:$D$1001,$AB99)))</f>
        <v/>
      </c>
      <c r="G99" s="10">
        <f>IF($AB99="","",IF(INDEX(기본자료!$E$2:$E$1001,$AB99)="","",INDEX(기본자료!$E$2:$E$1001,$AB99)))</f>
        <v/>
      </c>
      <c r="H99" s="10">
        <f>IF($AB99="","",IF(INDEX(기본자료!$F$2:$F$1001,$AB99)="","",INDEX(기본자료!$F$2:$F$1001,$AB99)))</f>
        <v/>
      </c>
      <c r="I99" s="11">
        <f>IF($AB99="","",IF(INDEX(기본자료!$G$2:$G$1001,$AB99)="","",IF(NOT(ISNUMBER(INDEX(기본자료!$G$2:$G$1001,$AB99))),INDEX(기본자료!$G$2:$G$1001,$AB99),IF(INDEX(기본자료!$G$2:$G$1001,$AB99)&lt;1000000,INDEX(기본자료!$G$2:$G$1001,$AB99),IF(AND(INDEX(기본자료!$G$2:$G$1001,$AB99)&gt;=10000101,INT(MOD(INDEX(기본자료!$G$2:$G$1001,$AB99),10000)/100)&gt;=1,INT(MOD(INDEX(기본자료!$G$2:$G$1001,$AB99),10000)/100)&lt;=12,MOD(INDEX(기본자료!$G$2:$G$1001,$AB99),100)&gt;=1,MOD(INDEX(기본자료!$G$2:$G$1001,$AB99),100)&lt;=31),DATE(INT(INDEX(기본자료!$G$2:$G$1001,$AB99)/10000),INT(MOD(INDEX(기본자료!$G$2:$G$1001,$AB99),10000)/100),MOD(INDEX(기본자료!$G$2:$G$1001,$AB99),100)),INDEX(기본자료!$G$2:$G$1001,$AB99)&amp;"")))))</f>
        <v/>
      </c>
      <c r="J99" s="10">
        <f>IF($AB99="","",IF(INDEX(기본자료!$H$2:$H$1001,$AB99)="","",INDEX(기본자료!$H$2:$H$1001,$AB99)))</f>
        <v/>
      </c>
      <c r="K99" s="10">
        <f>IF($AB99="","",IF(INDEX(기본자료!$I$2:$I$1001,$AB99)="","",INDEX(기본자료!$I$2:$I$1001,$AB99)))</f>
        <v/>
      </c>
      <c r="L99" s="10">
        <f>IF($AB99="","",IF(INDEX(기본자료!$A$2:$A$1001,$AB99)="","",INDEX(기본자료!$A$2:$A$1001,$AB99)))</f>
        <v/>
      </c>
      <c r="M99" s="15" t="n"/>
      <c r="N99" s="10">
        <f>IF($B99="","",IF(AND($U99="파견중",$Q99&lt;&gt;""),$Q99,IF(AND($AD99&lt;&gt;"",LEFT($AD99,1)&lt;&gt;"⚠"),LEFT($AD99,FIND(" ",$AD99)-1),IF($H99="","",IF(RIGHT($H99,2)="병원",$H99,$H99&amp;"병원")))))</f>
        <v/>
      </c>
      <c r="O99" s="10">
        <f>IF($B99="","",IF(AND($U99="파견중",$Q99&lt;&gt;""),IF($R99&lt;&gt;"",$R99,"파견과 미입력"),IF(AND($AD99&lt;&gt;"",LEFT($AD99,1)&lt;&gt;"⚠"),MID($AD99,FIND(" ",$AD99)+1,60),IF($F99="","",IF($F99="인턴","수련교육부(인턴)",$F99)))))</f>
        <v/>
      </c>
      <c r="P99" s="10">
        <f>IF($B99="","",IF($AK99&lt;&gt;"",IF(AND(TODAY()&gt;=INDEX(파견수련계획!$AB$4:$AB$83,$AK99),OR(NOT(ISNUMBER(INDEX(파견수련계획!$AC$4:$AC$83,$AK99))),TODAY()&lt;=INDEX(파견수련계획!$AC$4:$AC$83,$AK99))),"다기관",IF($AF99="","",INDEX(파견수련계획!$T$4:$T$83,$AF99))),IF($AF99="","",INDEX(파견수련계획!$T$4:$T$83,$AF99))))</f>
        <v/>
      </c>
      <c r="Q99" s="10">
        <f>IF($AF99="","",INDEX(파견수련계획!$S$4:$S$83,$AF99))</f>
        <v/>
      </c>
      <c r="R99" s="10">
        <f>IF($AF99="","",INDEX(파견수련계획!$U$4:$U$83,$AF99))</f>
        <v/>
      </c>
      <c r="S99" s="11">
        <f>IF($AF99="","",IF(INDEX(파견수련계획!$H$4:$H$83,$AF99)="","",INDEX(파견수련계획!$H$4:$H$83,$AF99)))</f>
        <v/>
      </c>
      <c r="T99" s="11">
        <f>IF($AF99="","",IF(INDEX(파견수련계획!$I$4:$I$83,$AF99)="","",INDEX(파견수련계획!$I$4:$I$83,$AF99)))</f>
        <v/>
      </c>
      <c r="U99" s="10">
        <f>IF($AF99="","",INDEX(파견수련계획!$X$4:$X$83,$AF99))</f>
        <v/>
      </c>
      <c r="V99" s="17">
        <f>IF($AF99="","",INDEX(파견수련계획!$V$4:$V$83,$AF99))</f>
        <v/>
      </c>
      <c r="W99" s="17">
        <f>IF(AND($U99="파견중",$T99&lt;&gt;""),$T99-TODAY(),"")</f>
        <v/>
      </c>
      <c r="X99" s="17">
        <f>IF(OR($B99="",TRIM($J99&amp;"")=""),"",SUMPRODUCT((파견수련계획!$Q$4:$Q$83=TRIM($J99&amp;""))*파견수련계획!$W$4:$W$83))</f>
        <v/>
      </c>
      <c r="Y99" s="10">
        <f>IF($B99="","",IF($AG99="","",IF(IF(TRIM($J99&amp;"")="",0,SUMPRODUCT((파견수련계획!$Q$4:$Q$83=TRIM($J99&amp;""))*파견수련계획!$AD$4:$AD$83))&gt;0,$AE99,IF(N($X99)&lt;=0,$AG99,IF($AH99+$AI99=DAY(EOMONTH(요약!$B$3,0)),IF(AND($AH99&gt;=요약!$E$3,$AI99&lt;요약!$E$3),"서울병원",IF(AND($AI99&gt;=요약!$E$3,$AH99&lt;요약!$E$3),"구리병원","⚠15일 판정불가(서울 "&amp;$AH99&amp;"일/구리 "&amp;$AI99&amp;"일)")),IF($AJ99="",$AE99,IF(INDEX(파견수련계획!$T$4:$T$83,$AJ99)="통합수련",INDEX(파견수련계획!$S$4:$S$83,$AJ99),$AE99)))))))</f>
        <v/>
      </c>
      <c r="Z99" s="19">
        <f>IF($B99="","",IF($AB99="","기본자료에 없는 사번",IF(COUNTIF($B$2:$B$401,$B99)&gt;1,"중복 사번",IF($AE99="","소속(입사장소) 입력",IF(IF(TRIM($J99&amp;"")="",0,SUMPRODUCT((파견수련계획!$Q$4:$Q$83=TRIM($J99&amp;""))*(파견수련계획!$AA$4:$AA$83&lt;&gt;"")))&gt;0,"파견수련계획 입력오류 확인",IF(LEFT($Y99,1)="⚠","서울·구리 15일 판정 불가(양쪽 모두 이상/미만)",IF(IF($AC99="",0,N(INDEX(인턴근무계획!$T$3:$T$62,$AC99)))&gt;0,"인턴계획 입력오류 확인",IF(AND($AC99&lt;&gt;"",$U99&lt;&gt;"파견중",$N99&lt;&gt;$AE99),"인턴 타지역 근무: 파견 여부 확인","정상"))))))))</f>
        <v/>
      </c>
      <c r="AA99" s="5" t="n"/>
      <c r="AB99" s="10">
        <f>IF($B99="","",IFERROR(MATCH($B99,기본자료!$B$2:$B$1001,0),IFERROR(MATCH($B99&amp;"",기본자료!$B$2:$B$1001,0),IFERROR(MATCH(VALUE($B99),기본자료!$B$2:$B$1001,0),""))))</f>
        <v/>
      </c>
      <c r="AC99" s="10">
        <f>IF($B99="","",IFERROR(MATCH($B99,인턴근무계획!$D$3:$D$62,0),IFERROR(MATCH($B99&amp;"",인턴근무계획!$D$3:$D$62,0),IFERROR(MATCH(VALUE($B99),인턴근무계획!$D$3:$D$62,0),""))))</f>
        <v/>
      </c>
      <c r="AD99" s="10">
        <f>IF(OR($AC99="",인턴현황!$G$3=""),"",INDEX(인턴근무계획!$M$3:$R$62,$AC99,인턴현황!$G$3)&amp;"")</f>
        <v/>
      </c>
      <c r="AE99" s="10">
        <f>IF($B99="","",IF($M99&lt;&gt;"",$M99,IF($AF99&lt;&gt;"",IF(LEFT(INDEX(파견수련계획!$R$4:$R$83,$AF99),1)&lt;&gt;"⚠",INDEX(파견수련계획!$R$4:$R$83,$AF99),IF($H99="","",IF(RIGHT($H99,2)="병원",$H99,$H99&amp;"병원"))),IF($H99="","",IF(RIGHT($H99,2)="병원",$H99,$H99&amp;"병원")))))</f>
        <v/>
      </c>
      <c r="AF99" s="10">
        <f>IF(OR($B99="",TRIM($J99&amp;"")=""),"",IFERROR(MATCH(TRIM($J99&amp;"")&amp;"|파견중",파견수련계획!$Y$4:$Y$83,0),IFERROR(MATCH(TRIM($J99&amp;"")&amp;"|파견예정",파견수련계획!$Y$4:$Y$83,0),IFERROR(MATCH(TRIM($J99&amp;"")&amp;"|파견종료",파견수련계획!$Y$4:$Y$83,0),""))))</f>
        <v/>
      </c>
      <c r="AG99" s="10">
        <f>IF($B99="","",IF(AND(IF(OR($AC99="",인턴현황!$K$2=""),"",INDEX(인턴근무계획!$M$3:$R$62,$AC99,인턴현황!$K$2)&amp;"")&lt;&gt;"",LEFT(IF(OR($AC99="",인턴현황!$K$2=""),"",INDEX(인턴근무계획!$M$3:$R$62,$AC99,인턴현황!$K$2)&amp;""),1)&lt;&gt;"⚠"),LEFT(IF(OR($AC99="",인턴현황!$K$2=""),"",INDEX(인턴근무계획!$M$3:$R$62,$AC99,인턴현황!$K$2)&amp;""),FIND(" ",IF(OR($AC99="",인턴현황!$K$2=""),"",INDEX(인턴근무계획!$M$3:$R$62,$AC99,인턴현황!$K$2)&amp;""))-1),$AE99))</f>
        <v/>
      </c>
      <c r="AH99" s="17">
        <f>IF($B99="","",IF(TRIM($J99&amp;"")="",0,SUMPRODUCT((파견수련계획!$Q$4:$Q$83=TRIM($J99&amp;""))*(파견수련계획!$S$4:$S$83="서울병원")*파견수련계획!$W$4:$W$83))+IF($AG99="서울병원",MAX(0,DAY(EOMONTH(요약!$B$3,0))-N($X99)),0))</f>
        <v/>
      </c>
      <c r="AI99" s="17">
        <f>IF($B99="","",IF(TRIM($J99&amp;"")="",0,SUMPRODUCT((파견수련계획!$Q$4:$Q$83=TRIM($J99&amp;""))*(파견수련계획!$S$4:$S$83="구리병원")*파견수련계획!$W$4:$W$83))+IF($AG99="구리병원",MAX(0,DAY(EOMONTH(요약!$B$3,0))-N($X99)),0))</f>
        <v/>
      </c>
      <c r="AJ99" s="10">
        <f>IF(OR($B99="",TRIM($J99&amp;"")=""),"",IFERROR(MATCH(TRIM($J99&amp;"")&amp;"|월",파견수련계획!$Z$4:$Z$83,0),""))</f>
        <v/>
      </c>
      <c r="AK99" s="10">
        <f>IF(OR($B99="",TRIM($J99&amp;"")=""),"",IFERROR(MATCH(TRIM($J99&amp;"")&amp;"|다기관",파견수련계획!$AE$4:$AE$83,0),""))</f>
        <v/>
      </c>
      <c r="AL99" s="10">
        <f>IF($AK99="","","다기관 "&amp;TEXT(INDEX(파견수련계획!$AB$4:$AB$83,$AK99),"yyyy-mm-dd")&amp;"~"&amp;IF(ISNUMBER(INDEX(파견수련계획!$AC$4:$AC$83,$AK99)),TEXT(INDEX(파견수련계획!$AC$4:$AC$83,$AK99),"yyyy-mm-dd"),""))</f>
        <v/>
      </c>
    </row>
    <row r="100">
      <c r="A100" s="10">
        <f>IF(B100="","",ROW()-1)</f>
        <v/>
      </c>
      <c r="B100" s="18" t="n"/>
      <c r="C100" s="10">
        <f>IF($AB100="","",IF(INDEX(기본자료!$C$2:$C$1001,$AB100)="","",INDEX(기본자료!$C$2:$C$1001,$AB100)))</f>
        <v/>
      </c>
      <c r="D100" s="10">
        <f>IF($AB100="","",IF(INDEX(기본자료!$J$2:$J$1001,$AB100)="","",INDEX(기본자료!$J$2:$J$1001,$AB100)))</f>
        <v/>
      </c>
      <c r="E100" s="11">
        <f>IF($AB100="","",IF(INDEX(기본자료!$K$2:$K$1001,$AB100)="","",IF(NOT(ISNUMBER(INDEX(기본자료!$K$2:$K$1001,$AB100))),INDEX(기본자료!$K$2:$K$1001,$AB100),IF(INDEX(기본자료!$K$2:$K$1001,$AB100)&lt;1000000,INDEX(기본자료!$K$2:$K$1001,$AB100),IF(AND(INDEX(기본자료!$K$2:$K$1001,$AB100)&gt;=10000101,INT(MOD(INDEX(기본자료!$K$2:$K$1001,$AB100),10000)/100)&gt;=1,INT(MOD(INDEX(기본자료!$K$2:$K$1001,$AB100),10000)/100)&lt;=12,MOD(INDEX(기본자료!$K$2:$K$1001,$AB100),100)&gt;=1,MOD(INDEX(기본자료!$K$2:$K$1001,$AB100),100)&lt;=31),DATE(INT(INDEX(기본자료!$K$2:$K$1001,$AB100)/10000),INT(MOD(INDEX(기본자료!$K$2:$K$1001,$AB100),10000)/100),MOD(INDEX(기본자료!$K$2:$K$1001,$AB100),100)),INDEX(기본자료!$K$2:$K$1001,$AB100)&amp;"")))))</f>
        <v/>
      </c>
      <c r="F100" s="10">
        <f>IF($AB100="","",IF(INDEX(기본자료!$D$2:$D$1001,$AB100)="","",INDEX(기본자료!$D$2:$D$1001,$AB100)))</f>
        <v/>
      </c>
      <c r="G100" s="10">
        <f>IF($AB100="","",IF(INDEX(기본자료!$E$2:$E$1001,$AB100)="","",INDEX(기본자료!$E$2:$E$1001,$AB100)))</f>
        <v/>
      </c>
      <c r="H100" s="10">
        <f>IF($AB100="","",IF(INDEX(기본자료!$F$2:$F$1001,$AB100)="","",INDEX(기본자료!$F$2:$F$1001,$AB100)))</f>
        <v/>
      </c>
      <c r="I100" s="11">
        <f>IF($AB100="","",IF(INDEX(기본자료!$G$2:$G$1001,$AB100)="","",IF(NOT(ISNUMBER(INDEX(기본자료!$G$2:$G$1001,$AB100))),INDEX(기본자료!$G$2:$G$1001,$AB100),IF(INDEX(기본자료!$G$2:$G$1001,$AB100)&lt;1000000,INDEX(기본자료!$G$2:$G$1001,$AB100),IF(AND(INDEX(기본자료!$G$2:$G$1001,$AB100)&gt;=10000101,INT(MOD(INDEX(기본자료!$G$2:$G$1001,$AB100),10000)/100)&gt;=1,INT(MOD(INDEX(기본자료!$G$2:$G$1001,$AB100),10000)/100)&lt;=12,MOD(INDEX(기본자료!$G$2:$G$1001,$AB100),100)&gt;=1,MOD(INDEX(기본자료!$G$2:$G$1001,$AB100),100)&lt;=31),DATE(INT(INDEX(기본자료!$G$2:$G$1001,$AB100)/10000),INT(MOD(INDEX(기본자료!$G$2:$G$1001,$AB100),10000)/100),MOD(INDEX(기본자료!$G$2:$G$1001,$AB100),100)),INDEX(기본자료!$G$2:$G$1001,$AB100)&amp;"")))))</f>
        <v/>
      </c>
      <c r="J100" s="10">
        <f>IF($AB100="","",IF(INDEX(기본자료!$H$2:$H$1001,$AB100)="","",INDEX(기본자료!$H$2:$H$1001,$AB100)))</f>
        <v/>
      </c>
      <c r="K100" s="10">
        <f>IF($AB100="","",IF(INDEX(기본자료!$I$2:$I$1001,$AB100)="","",INDEX(기본자료!$I$2:$I$1001,$AB100)))</f>
        <v/>
      </c>
      <c r="L100" s="10">
        <f>IF($AB100="","",IF(INDEX(기본자료!$A$2:$A$1001,$AB100)="","",INDEX(기본자료!$A$2:$A$1001,$AB100)))</f>
        <v/>
      </c>
      <c r="M100" s="15" t="n"/>
      <c r="N100" s="10">
        <f>IF($B100="","",IF(AND($U100="파견중",$Q100&lt;&gt;""),$Q100,IF(AND($AD100&lt;&gt;"",LEFT($AD100,1)&lt;&gt;"⚠"),LEFT($AD100,FIND(" ",$AD100)-1),IF($H100="","",IF(RIGHT($H100,2)="병원",$H100,$H100&amp;"병원")))))</f>
        <v/>
      </c>
      <c r="O100" s="10">
        <f>IF($B100="","",IF(AND($U100="파견중",$Q100&lt;&gt;""),IF($R100&lt;&gt;"",$R100,"파견과 미입력"),IF(AND($AD100&lt;&gt;"",LEFT($AD100,1)&lt;&gt;"⚠"),MID($AD100,FIND(" ",$AD100)+1,60),IF($F100="","",IF($F100="인턴","수련교육부(인턴)",$F100)))))</f>
        <v/>
      </c>
      <c r="P100" s="10">
        <f>IF($B100="","",IF($AK100&lt;&gt;"",IF(AND(TODAY()&gt;=INDEX(파견수련계획!$AB$4:$AB$83,$AK100),OR(NOT(ISNUMBER(INDEX(파견수련계획!$AC$4:$AC$83,$AK100))),TODAY()&lt;=INDEX(파견수련계획!$AC$4:$AC$83,$AK100))),"다기관",IF($AF100="","",INDEX(파견수련계획!$T$4:$T$83,$AF100))),IF($AF100="","",INDEX(파견수련계획!$T$4:$T$83,$AF100))))</f>
        <v/>
      </c>
      <c r="Q100" s="10">
        <f>IF($AF100="","",INDEX(파견수련계획!$S$4:$S$83,$AF100))</f>
        <v/>
      </c>
      <c r="R100" s="10">
        <f>IF($AF100="","",INDEX(파견수련계획!$U$4:$U$83,$AF100))</f>
        <v/>
      </c>
      <c r="S100" s="11">
        <f>IF($AF100="","",IF(INDEX(파견수련계획!$H$4:$H$83,$AF100)="","",INDEX(파견수련계획!$H$4:$H$83,$AF100)))</f>
        <v/>
      </c>
      <c r="T100" s="11">
        <f>IF($AF100="","",IF(INDEX(파견수련계획!$I$4:$I$83,$AF100)="","",INDEX(파견수련계획!$I$4:$I$83,$AF100)))</f>
        <v/>
      </c>
      <c r="U100" s="10">
        <f>IF($AF100="","",INDEX(파견수련계획!$X$4:$X$83,$AF100))</f>
        <v/>
      </c>
      <c r="V100" s="17">
        <f>IF($AF100="","",INDEX(파견수련계획!$V$4:$V$83,$AF100))</f>
        <v/>
      </c>
      <c r="W100" s="17">
        <f>IF(AND($U100="파견중",$T100&lt;&gt;""),$T100-TODAY(),"")</f>
        <v/>
      </c>
      <c r="X100" s="17">
        <f>IF(OR($B100="",TRIM($J100&amp;"")=""),"",SUMPRODUCT((파견수련계획!$Q$4:$Q$83=TRIM($J100&amp;""))*파견수련계획!$W$4:$W$83))</f>
        <v/>
      </c>
      <c r="Y100" s="10">
        <f>IF($B100="","",IF($AG100="","",IF(IF(TRIM($J100&amp;"")="",0,SUMPRODUCT((파견수련계획!$Q$4:$Q$83=TRIM($J100&amp;""))*파견수련계획!$AD$4:$AD$83))&gt;0,$AE100,IF(N($X100)&lt;=0,$AG100,IF($AH100+$AI100=DAY(EOMONTH(요약!$B$3,0)),IF(AND($AH100&gt;=요약!$E$3,$AI100&lt;요약!$E$3),"서울병원",IF(AND($AI100&gt;=요약!$E$3,$AH100&lt;요약!$E$3),"구리병원","⚠15일 판정불가(서울 "&amp;$AH100&amp;"일/구리 "&amp;$AI100&amp;"일)")),IF($AJ100="",$AE100,IF(INDEX(파견수련계획!$T$4:$T$83,$AJ100)="통합수련",INDEX(파견수련계획!$S$4:$S$83,$AJ100),$AE100)))))))</f>
        <v/>
      </c>
      <c r="Z100" s="19">
        <f>IF($B100="","",IF($AB100="","기본자료에 없는 사번",IF(COUNTIF($B$2:$B$401,$B100)&gt;1,"중복 사번",IF($AE100="","소속(입사장소) 입력",IF(IF(TRIM($J100&amp;"")="",0,SUMPRODUCT((파견수련계획!$Q$4:$Q$83=TRIM($J100&amp;""))*(파견수련계획!$AA$4:$AA$83&lt;&gt;"")))&gt;0,"파견수련계획 입력오류 확인",IF(LEFT($Y100,1)="⚠","서울·구리 15일 판정 불가(양쪽 모두 이상/미만)",IF(IF($AC100="",0,N(INDEX(인턴근무계획!$T$3:$T$62,$AC100)))&gt;0,"인턴계획 입력오류 확인",IF(AND($AC100&lt;&gt;"",$U100&lt;&gt;"파견중",$N100&lt;&gt;$AE100),"인턴 타지역 근무: 파견 여부 확인","정상"))))))))</f>
        <v/>
      </c>
      <c r="AA100" s="5" t="n"/>
      <c r="AB100" s="10">
        <f>IF($B100="","",IFERROR(MATCH($B100,기본자료!$B$2:$B$1001,0),IFERROR(MATCH($B100&amp;"",기본자료!$B$2:$B$1001,0),IFERROR(MATCH(VALUE($B100),기본자료!$B$2:$B$1001,0),""))))</f>
        <v/>
      </c>
      <c r="AC100" s="10">
        <f>IF($B100="","",IFERROR(MATCH($B100,인턴근무계획!$D$3:$D$62,0),IFERROR(MATCH($B100&amp;"",인턴근무계획!$D$3:$D$62,0),IFERROR(MATCH(VALUE($B100),인턴근무계획!$D$3:$D$62,0),""))))</f>
        <v/>
      </c>
      <c r="AD100" s="10">
        <f>IF(OR($AC100="",인턴현황!$G$3=""),"",INDEX(인턴근무계획!$M$3:$R$62,$AC100,인턴현황!$G$3)&amp;"")</f>
        <v/>
      </c>
      <c r="AE100" s="10">
        <f>IF($B100="","",IF($M100&lt;&gt;"",$M100,IF($AF100&lt;&gt;"",IF(LEFT(INDEX(파견수련계획!$R$4:$R$83,$AF100),1)&lt;&gt;"⚠",INDEX(파견수련계획!$R$4:$R$83,$AF100),IF($H100="","",IF(RIGHT($H100,2)="병원",$H100,$H100&amp;"병원"))),IF($H100="","",IF(RIGHT($H100,2)="병원",$H100,$H100&amp;"병원")))))</f>
        <v/>
      </c>
      <c r="AF100" s="10">
        <f>IF(OR($B100="",TRIM($J100&amp;"")=""),"",IFERROR(MATCH(TRIM($J100&amp;"")&amp;"|파견중",파견수련계획!$Y$4:$Y$83,0),IFERROR(MATCH(TRIM($J100&amp;"")&amp;"|파견예정",파견수련계획!$Y$4:$Y$83,0),IFERROR(MATCH(TRIM($J100&amp;"")&amp;"|파견종료",파견수련계획!$Y$4:$Y$83,0),""))))</f>
        <v/>
      </c>
      <c r="AG100" s="10">
        <f>IF($B100="","",IF(AND(IF(OR($AC100="",인턴현황!$K$2=""),"",INDEX(인턴근무계획!$M$3:$R$62,$AC100,인턴현황!$K$2)&amp;"")&lt;&gt;"",LEFT(IF(OR($AC100="",인턴현황!$K$2=""),"",INDEX(인턴근무계획!$M$3:$R$62,$AC100,인턴현황!$K$2)&amp;""),1)&lt;&gt;"⚠"),LEFT(IF(OR($AC100="",인턴현황!$K$2=""),"",INDEX(인턴근무계획!$M$3:$R$62,$AC100,인턴현황!$K$2)&amp;""),FIND(" ",IF(OR($AC100="",인턴현황!$K$2=""),"",INDEX(인턴근무계획!$M$3:$R$62,$AC100,인턴현황!$K$2)&amp;""))-1),$AE100))</f>
        <v/>
      </c>
      <c r="AH100" s="17">
        <f>IF($B100="","",IF(TRIM($J100&amp;"")="",0,SUMPRODUCT((파견수련계획!$Q$4:$Q$83=TRIM($J100&amp;""))*(파견수련계획!$S$4:$S$83="서울병원")*파견수련계획!$W$4:$W$83))+IF($AG100="서울병원",MAX(0,DAY(EOMONTH(요약!$B$3,0))-N($X100)),0))</f>
        <v/>
      </c>
      <c r="AI100" s="17">
        <f>IF($B100="","",IF(TRIM($J100&amp;"")="",0,SUMPRODUCT((파견수련계획!$Q$4:$Q$83=TRIM($J100&amp;""))*(파견수련계획!$S$4:$S$83="구리병원")*파견수련계획!$W$4:$W$83))+IF($AG100="구리병원",MAX(0,DAY(EOMONTH(요약!$B$3,0))-N($X100)),0))</f>
        <v/>
      </c>
      <c r="AJ100" s="10">
        <f>IF(OR($B100="",TRIM($J100&amp;"")=""),"",IFERROR(MATCH(TRIM($J100&amp;"")&amp;"|월",파견수련계획!$Z$4:$Z$83,0),""))</f>
        <v/>
      </c>
      <c r="AK100" s="10">
        <f>IF(OR($B100="",TRIM($J100&amp;"")=""),"",IFERROR(MATCH(TRIM($J100&amp;"")&amp;"|다기관",파견수련계획!$AE$4:$AE$83,0),""))</f>
        <v/>
      </c>
      <c r="AL100" s="10">
        <f>IF($AK100="","","다기관 "&amp;TEXT(INDEX(파견수련계획!$AB$4:$AB$83,$AK100),"yyyy-mm-dd")&amp;"~"&amp;IF(ISNUMBER(INDEX(파견수련계획!$AC$4:$AC$83,$AK100)),TEXT(INDEX(파견수련계획!$AC$4:$AC$83,$AK100),"yyyy-mm-dd"),""))</f>
        <v/>
      </c>
    </row>
    <row r="101">
      <c r="A101" s="10">
        <f>IF(B101="","",ROW()-1)</f>
        <v/>
      </c>
      <c r="B101" s="18" t="n"/>
      <c r="C101" s="10">
        <f>IF($AB101="","",IF(INDEX(기본자료!$C$2:$C$1001,$AB101)="","",INDEX(기본자료!$C$2:$C$1001,$AB101)))</f>
        <v/>
      </c>
      <c r="D101" s="10">
        <f>IF($AB101="","",IF(INDEX(기본자료!$J$2:$J$1001,$AB101)="","",INDEX(기본자료!$J$2:$J$1001,$AB101)))</f>
        <v/>
      </c>
      <c r="E101" s="11">
        <f>IF($AB101="","",IF(INDEX(기본자료!$K$2:$K$1001,$AB101)="","",IF(NOT(ISNUMBER(INDEX(기본자료!$K$2:$K$1001,$AB101))),INDEX(기본자료!$K$2:$K$1001,$AB101),IF(INDEX(기본자료!$K$2:$K$1001,$AB101)&lt;1000000,INDEX(기본자료!$K$2:$K$1001,$AB101),IF(AND(INDEX(기본자료!$K$2:$K$1001,$AB101)&gt;=10000101,INT(MOD(INDEX(기본자료!$K$2:$K$1001,$AB101),10000)/100)&gt;=1,INT(MOD(INDEX(기본자료!$K$2:$K$1001,$AB101),10000)/100)&lt;=12,MOD(INDEX(기본자료!$K$2:$K$1001,$AB101),100)&gt;=1,MOD(INDEX(기본자료!$K$2:$K$1001,$AB101),100)&lt;=31),DATE(INT(INDEX(기본자료!$K$2:$K$1001,$AB101)/10000),INT(MOD(INDEX(기본자료!$K$2:$K$1001,$AB101),10000)/100),MOD(INDEX(기본자료!$K$2:$K$1001,$AB101),100)),INDEX(기본자료!$K$2:$K$1001,$AB101)&amp;"")))))</f>
        <v/>
      </c>
      <c r="F101" s="10">
        <f>IF($AB101="","",IF(INDEX(기본자료!$D$2:$D$1001,$AB101)="","",INDEX(기본자료!$D$2:$D$1001,$AB101)))</f>
        <v/>
      </c>
      <c r="G101" s="10">
        <f>IF($AB101="","",IF(INDEX(기본자료!$E$2:$E$1001,$AB101)="","",INDEX(기본자료!$E$2:$E$1001,$AB101)))</f>
        <v/>
      </c>
      <c r="H101" s="10">
        <f>IF($AB101="","",IF(INDEX(기본자료!$F$2:$F$1001,$AB101)="","",INDEX(기본자료!$F$2:$F$1001,$AB101)))</f>
        <v/>
      </c>
      <c r="I101" s="11">
        <f>IF($AB101="","",IF(INDEX(기본자료!$G$2:$G$1001,$AB101)="","",IF(NOT(ISNUMBER(INDEX(기본자료!$G$2:$G$1001,$AB101))),INDEX(기본자료!$G$2:$G$1001,$AB101),IF(INDEX(기본자료!$G$2:$G$1001,$AB101)&lt;1000000,INDEX(기본자료!$G$2:$G$1001,$AB101),IF(AND(INDEX(기본자료!$G$2:$G$1001,$AB101)&gt;=10000101,INT(MOD(INDEX(기본자료!$G$2:$G$1001,$AB101),10000)/100)&gt;=1,INT(MOD(INDEX(기본자료!$G$2:$G$1001,$AB101),10000)/100)&lt;=12,MOD(INDEX(기본자료!$G$2:$G$1001,$AB101),100)&gt;=1,MOD(INDEX(기본자료!$G$2:$G$1001,$AB101),100)&lt;=31),DATE(INT(INDEX(기본자료!$G$2:$G$1001,$AB101)/10000),INT(MOD(INDEX(기본자료!$G$2:$G$1001,$AB101),10000)/100),MOD(INDEX(기본자료!$G$2:$G$1001,$AB101),100)),INDEX(기본자료!$G$2:$G$1001,$AB101)&amp;"")))))</f>
        <v/>
      </c>
      <c r="J101" s="10">
        <f>IF($AB101="","",IF(INDEX(기본자료!$H$2:$H$1001,$AB101)="","",INDEX(기본자료!$H$2:$H$1001,$AB101)))</f>
        <v/>
      </c>
      <c r="K101" s="10">
        <f>IF($AB101="","",IF(INDEX(기본자료!$I$2:$I$1001,$AB101)="","",INDEX(기본자료!$I$2:$I$1001,$AB101)))</f>
        <v/>
      </c>
      <c r="L101" s="10">
        <f>IF($AB101="","",IF(INDEX(기본자료!$A$2:$A$1001,$AB101)="","",INDEX(기본자료!$A$2:$A$1001,$AB101)))</f>
        <v/>
      </c>
      <c r="M101" s="15" t="n"/>
      <c r="N101" s="10">
        <f>IF($B101="","",IF(AND($U101="파견중",$Q101&lt;&gt;""),$Q101,IF(AND($AD101&lt;&gt;"",LEFT($AD101,1)&lt;&gt;"⚠"),LEFT($AD101,FIND(" ",$AD101)-1),IF($H101="","",IF(RIGHT($H101,2)="병원",$H101,$H101&amp;"병원")))))</f>
        <v/>
      </c>
      <c r="O101" s="10">
        <f>IF($B101="","",IF(AND($U101="파견중",$Q101&lt;&gt;""),IF($R101&lt;&gt;"",$R101,"파견과 미입력"),IF(AND($AD101&lt;&gt;"",LEFT($AD101,1)&lt;&gt;"⚠"),MID($AD101,FIND(" ",$AD101)+1,60),IF($F101="","",IF($F101="인턴","수련교육부(인턴)",$F101)))))</f>
        <v/>
      </c>
      <c r="P101" s="10">
        <f>IF($B101="","",IF($AK101&lt;&gt;"",IF(AND(TODAY()&gt;=INDEX(파견수련계획!$AB$4:$AB$83,$AK101),OR(NOT(ISNUMBER(INDEX(파견수련계획!$AC$4:$AC$83,$AK101))),TODAY()&lt;=INDEX(파견수련계획!$AC$4:$AC$83,$AK101))),"다기관",IF($AF101="","",INDEX(파견수련계획!$T$4:$T$83,$AF101))),IF($AF101="","",INDEX(파견수련계획!$T$4:$T$83,$AF101))))</f>
        <v/>
      </c>
      <c r="Q101" s="10">
        <f>IF($AF101="","",INDEX(파견수련계획!$S$4:$S$83,$AF101))</f>
        <v/>
      </c>
      <c r="R101" s="10">
        <f>IF($AF101="","",INDEX(파견수련계획!$U$4:$U$83,$AF101))</f>
        <v/>
      </c>
      <c r="S101" s="11">
        <f>IF($AF101="","",IF(INDEX(파견수련계획!$H$4:$H$83,$AF101)="","",INDEX(파견수련계획!$H$4:$H$83,$AF101)))</f>
        <v/>
      </c>
      <c r="T101" s="11">
        <f>IF($AF101="","",IF(INDEX(파견수련계획!$I$4:$I$83,$AF101)="","",INDEX(파견수련계획!$I$4:$I$83,$AF101)))</f>
        <v/>
      </c>
      <c r="U101" s="10">
        <f>IF($AF101="","",INDEX(파견수련계획!$X$4:$X$83,$AF101))</f>
        <v/>
      </c>
      <c r="V101" s="17">
        <f>IF($AF101="","",INDEX(파견수련계획!$V$4:$V$83,$AF101))</f>
        <v/>
      </c>
      <c r="W101" s="17">
        <f>IF(AND($U101="파견중",$T101&lt;&gt;""),$T101-TODAY(),"")</f>
        <v/>
      </c>
      <c r="X101" s="17">
        <f>IF(OR($B101="",TRIM($J101&amp;"")=""),"",SUMPRODUCT((파견수련계획!$Q$4:$Q$83=TRIM($J101&amp;""))*파견수련계획!$W$4:$W$83))</f>
        <v/>
      </c>
      <c r="Y101" s="10">
        <f>IF($B101="","",IF($AG101="","",IF(IF(TRIM($J101&amp;"")="",0,SUMPRODUCT((파견수련계획!$Q$4:$Q$83=TRIM($J101&amp;""))*파견수련계획!$AD$4:$AD$83))&gt;0,$AE101,IF(N($X101)&lt;=0,$AG101,IF($AH101+$AI101=DAY(EOMONTH(요약!$B$3,0)),IF(AND($AH101&gt;=요약!$E$3,$AI101&lt;요약!$E$3),"서울병원",IF(AND($AI101&gt;=요약!$E$3,$AH101&lt;요약!$E$3),"구리병원","⚠15일 판정불가(서울 "&amp;$AH101&amp;"일/구리 "&amp;$AI101&amp;"일)")),IF($AJ101="",$AE101,IF(INDEX(파견수련계획!$T$4:$T$83,$AJ101)="통합수련",INDEX(파견수련계획!$S$4:$S$83,$AJ101),$AE101)))))))</f>
        <v/>
      </c>
      <c r="Z101" s="19">
        <f>IF($B101="","",IF($AB101="","기본자료에 없는 사번",IF(COUNTIF($B$2:$B$401,$B101)&gt;1,"중복 사번",IF($AE101="","소속(입사장소) 입력",IF(IF(TRIM($J101&amp;"")="",0,SUMPRODUCT((파견수련계획!$Q$4:$Q$83=TRIM($J101&amp;""))*(파견수련계획!$AA$4:$AA$83&lt;&gt;"")))&gt;0,"파견수련계획 입력오류 확인",IF(LEFT($Y101,1)="⚠","서울·구리 15일 판정 불가(양쪽 모두 이상/미만)",IF(IF($AC101="",0,N(INDEX(인턴근무계획!$T$3:$T$62,$AC101)))&gt;0,"인턴계획 입력오류 확인",IF(AND($AC101&lt;&gt;"",$U101&lt;&gt;"파견중",$N101&lt;&gt;$AE101),"인턴 타지역 근무: 파견 여부 확인","정상"))))))))</f>
        <v/>
      </c>
      <c r="AA101" s="5" t="n"/>
      <c r="AB101" s="10">
        <f>IF($B101="","",IFERROR(MATCH($B101,기본자료!$B$2:$B$1001,0),IFERROR(MATCH($B101&amp;"",기본자료!$B$2:$B$1001,0),IFERROR(MATCH(VALUE($B101),기본자료!$B$2:$B$1001,0),""))))</f>
        <v/>
      </c>
      <c r="AC101" s="10">
        <f>IF($B101="","",IFERROR(MATCH($B101,인턴근무계획!$D$3:$D$62,0),IFERROR(MATCH($B101&amp;"",인턴근무계획!$D$3:$D$62,0),IFERROR(MATCH(VALUE($B101),인턴근무계획!$D$3:$D$62,0),""))))</f>
        <v/>
      </c>
      <c r="AD101" s="10">
        <f>IF(OR($AC101="",인턴현황!$G$3=""),"",INDEX(인턴근무계획!$M$3:$R$62,$AC101,인턴현황!$G$3)&amp;"")</f>
        <v/>
      </c>
      <c r="AE101" s="10">
        <f>IF($B101="","",IF($M101&lt;&gt;"",$M101,IF($AF101&lt;&gt;"",IF(LEFT(INDEX(파견수련계획!$R$4:$R$83,$AF101),1)&lt;&gt;"⚠",INDEX(파견수련계획!$R$4:$R$83,$AF101),IF($H101="","",IF(RIGHT($H101,2)="병원",$H101,$H101&amp;"병원"))),IF($H101="","",IF(RIGHT($H101,2)="병원",$H101,$H101&amp;"병원")))))</f>
        <v/>
      </c>
      <c r="AF101" s="10">
        <f>IF(OR($B101="",TRIM($J101&amp;"")=""),"",IFERROR(MATCH(TRIM($J101&amp;"")&amp;"|파견중",파견수련계획!$Y$4:$Y$83,0),IFERROR(MATCH(TRIM($J101&amp;"")&amp;"|파견예정",파견수련계획!$Y$4:$Y$83,0),IFERROR(MATCH(TRIM($J101&amp;"")&amp;"|파견종료",파견수련계획!$Y$4:$Y$83,0),""))))</f>
        <v/>
      </c>
      <c r="AG101" s="10">
        <f>IF($B101="","",IF(AND(IF(OR($AC101="",인턴현황!$K$2=""),"",INDEX(인턴근무계획!$M$3:$R$62,$AC101,인턴현황!$K$2)&amp;"")&lt;&gt;"",LEFT(IF(OR($AC101="",인턴현황!$K$2=""),"",INDEX(인턴근무계획!$M$3:$R$62,$AC101,인턴현황!$K$2)&amp;""),1)&lt;&gt;"⚠"),LEFT(IF(OR($AC101="",인턴현황!$K$2=""),"",INDEX(인턴근무계획!$M$3:$R$62,$AC101,인턴현황!$K$2)&amp;""),FIND(" ",IF(OR($AC101="",인턴현황!$K$2=""),"",INDEX(인턴근무계획!$M$3:$R$62,$AC101,인턴현황!$K$2)&amp;""))-1),$AE101))</f>
        <v/>
      </c>
      <c r="AH101" s="17">
        <f>IF($B101="","",IF(TRIM($J101&amp;"")="",0,SUMPRODUCT((파견수련계획!$Q$4:$Q$83=TRIM($J101&amp;""))*(파견수련계획!$S$4:$S$83="서울병원")*파견수련계획!$W$4:$W$83))+IF($AG101="서울병원",MAX(0,DAY(EOMONTH(요약!$B$3,0))-N($X101)),0))</f>
        <v/>
      </c>
      <c r="AI101" s="17">
        <f>IF($B101="","",IF(TRIM($J101&amp;"")="",0,SUMPRODUCT((파견수련계획!$Q$4:$Q$83=TRIM($J101&amp;""))*(파견수련계획!$S$4:$S$83="구리병원")*파견수련계획!$W$4:$W$83))+IF($AG101="구리병원",MAX(0,DAY(EOMONTH(요약!$B$3,0))-N($X101)),0))</f>
        <v/>
      </c>
      <c r="AJ101" s="10">
        <f>IF(OR($B101="",TRIM($J101&amp;"")=""),"",IFERROR(MATCH(TRIM($J101&amp;"")&amp;"|월",파견수련계획!$Z$4:$Z$83,0),""))</f>
        <v/>
      </c>
      <c r="AK101" s="10">
        <f>IF(OR($B101="",TRIM($J101&amp;"")=""),"",IFERROR(MATCH(TRIM($J101&amp;"")&amp;"|다기관",파견수련계획!$AE$4:$AE$83,0),""))</f>
        <v/>
      </c>
      <c r="AL101" s="10">
        <f>IF($AK101="","","다기관 "&amp;TEXT(INDEX(파견수련계획!$AB$4:$AB$83,$AK101),"yyyy-mm-dd")&amp;"~"&amp;IF(ISNUMBER(INDEX(파견수련계획!$AC$4:$AC$83,$AK101)),TEXT(INDEX(파견수련계획!$AC$4:$AC$83,$AK101),"yyyy-mm-dd"),""))</f>
        <v/>
      </c>
    </row>
    <row r="102">
      <c r="A102" s="10">
        <f>IF(B102="","",ROW()-1)</f>
        <v/>
      </c>
      <c r="B102" s="18" t="n"/>
      <c r="C102" s="10">
        <f>IF($AB102="","",IF(INDEX(기본자료!$C$2:$C$1001,$AB102)="","",INDEX(기본자료!$C$2:$C$1001,$AB102)))</f>
        <v/>
      </c>
      <c r="D102" s="10">
        <f>IF($AB102="","",IF(INDEX(기본자료!$J$2:$J$1001,$AB102)="","",INDEX(기본자료!$J$2:$J$1001,$AB102)))</f>
        <v/>
      </c>
      <c r="E102" s="11">
        <f>IF($AB102="","",IF(INDEX(기본자료!$K$2:$K$1001,$AB102)="","",IF(NOT(ISNUMBER(INDEX(기본자료!$K$2:$K$1001,$AB102))),INDEX(기본자료!$K$2:$K$1001,$AB102),IF(INDEX(기본자료!$K$2:$K$1001,$AB102)&lt;1000000,INDEX(기본자료!$K$2:$K$1001,$AB102),IF(AND(INDEX(기본자료!$K$2:$K$1001,$AB102)&gt;=10000101,INT(MOD(INDEX(기본자료!$K$2:$K$1001,$AB102),10000)/100)&gt;=1,INT(MOD(INDEX(기본자료!$K$2:$K$1001,$AB102),10000)/100)&lt;=12,MOD(INDEX(기본자료!$K$2:$K$1001,$AB102),100)&gt;=1,MOD(INDEX(기본자료!$K$2:$K$1001,$AB102),100)&lt;=31),DATE(INT(INDEX(기본자료!$K$2:$K$1001,$AB102)/10000),INT(MOD(INDEX(기본자료!$K$2:$K$1001,$AB102),10000)/100),MOD(INDEX(기본자료!$K$2:$K$1001,$AB102),100)),INDEX(기본자료!$K$2:$K$1001,$AB102)&amp;"")))))</f>
        <v/>
      </c>
      <c r="F102" s="10">
        <f>IF($AB102="","",IF(INDEX(기본자료!$D$2:$D$1001,$AB102)="","",INDEX(기본자료!$D$2:$D$1001,$AB102)))</f>
        <v/>
      </c>
      <c r="G102" s="10">
        <f>IF($AB102="","",IF(INDEX(기본자료!$E$2:$E$1001,$AB102)="","",INDEX(기본자료!$E$2:$E$1001,$AB102)))</f>
        <v/>
      </c>
      <c r="H102" s="10">
        <f>IF($AB102="","",IF(INDEX(기본자료!$F$2:$F$1001,$AB102)="","",INDEX(기본자료!$F$2:$F$1001,$AB102)))</f>
        <v/>
      </c>
      <c r="I102" s="11">
        <f>IF($AB102="","",IF(INDEX(기본자료!$G$2:$G$1001,$AB102)="","",IF(NOT(ISNUMBER(INDEX(기본자료!$G$2:$G$1001,$AB102))),INDEX(기본자료!$G$2:$G$1001,$AB102),IF(INDEX(기본자료!$G$2:$G$1001,$AB102)&lt;1000000,INDEX(기본자료!$G$2:$G$1001,$AB102),IF(AND(INDEX(기본자료!$G$2:$G$1001,$AB102)&gt;=10000101,INT(MOD(INDEX(기본자료!$G$2:$G$1001,$AB102),10000)/100)&gt;=1,INT(MOD(INDEX(기본자료!$G$2:$G$1001,$AB102),10000)/100)&lt;=12,MOD(INDEX(기본자료!$G$2:$G$1001,$AB102),100)&gt;=1,MOD(INDEX(기본자료!$G$2:$G$1001,$AB102),100)&lt;=31),DATE(INT(INDEX(기본자료!$G$2:$G$1001,$AB102)/10000),INT(MOD(INDEX(기본자료!$G$2:$G$1001,$AB102),10000)/100),MOD(INDEX(기본자료!$G$2:$G$1001,$AB102),100)),INDEX(기본자료!$G$2:$G$1001,$AB102)&amp;"")))))</f>
        <v/>
      </c>
      <c r="J102" s="10">
        <f>IF($AB102="","",IF(INDEX(기본자료!$H$2:$H$1001,$AB102)="","",INDEX(기본자료!$H$2:$H$1001,$AB102)))</f>
        <v/>
      </c>
      <c r="K102" s="10">
        <f>IF($AB102="","",IF(INDEX(기본자료!$I$2:$I$1001,$AB102)="","",INDEX(기본자료!$I$2:$I$1001,$AB102)))</f>
        <v/>
      </c>
      <c r="L102" s="10">
        <f>IF($AB102="","",IF(INDEX(기본자료!$A$2:$A$1001,$AB102)="","",INDEX(기본자료!$A$2:$A$1001,$AB102)))</f>
        <v/>
      </c>
      <c r="M102" s="15" t="n"/>
      <c r="N102" s="10">
        <f>IF($B102="","",IF(AND($U102="파견중",$Q102&lt;&gt;""),$Q102,IF(AND($AD102&lt;&gt;"",LEFT($AD102,1)&lt;&gt;"⚠"),LEFT($AD102,FIND(" ",$AD102)-1),IF($H102="","",IF(RIGHT($H102,2)="병원",$H102,$H102&amp;"병원")))))</f>
        <v/>
      </c>
      <c r="O102" s="10">
        <f>IF($B102="","",IF(AND($U102="파견중",$Q102&lt;&gt;""),IF($R102&lt;&gt;"",$R102,"파견과 미입력"),IF(AND($AD102&lt;&gt;"",LEFT($AD102,1)&lt;&gt;"⚠"),MID($AD102,FIND(" ",$AD102)+1,60),IF($F102="","",IF($F102="인턴","수련교육부(인턴)",$F102)))))</f>
        <v/>
      </c>
      <c r="P102" s="10">
        <f>IF($B102="","",IF($AK102&lt;&gt;"",IF(AND(TODAY()&gt;=INDEX(파견수련계획!$AB$4:$AB$83,$AK102),OR(NOT(ISNUMBER(INDEX(파견수련계획!$AC$4:$AC$83,$AK102))),TODAY()&lt;=INDEX(파견수련계획!$AC$4:$AC$83,$AK102))),"다기관",IF($AF102="","",INDEX(파견수련계획!$T$4:$T$83,$AF102))),IF($AF102="","",INDEX(파견수련계획!$T$4:$T$83,$AF102))))</f>
        <v/>
      </c>
      <c r="Q102" s="10">
        <f>IF($AF102="","",INDEX(파견수련계획!$S$4:$S$83,$AF102))</f>
        <v/>
      </c>
      <c r="R102" s="10">
        <f>IF($AF102="","",INDEX(파견수련계획!$U$4:$U$83,$AF102))</f>
        <v/>
      </c>
      <c r="S102" s="11">
        <f>IF($AF102="","",IF(INDEX(파견수련계획!$H$4:$H$83,$AF102)="","",INDEX(파견수련계획!$H$4:$H$83,$AF102)))</f>
        <v/>
      </c>
      <c r="T102" s="11">
        <f>IF($AF102="","",IF(INDEX(파견수련계획!$I$4:$I$83,$AF102)="","",INDEX(파견수련계획!$I$4:$I$83,$AF102)))</f>
        <v/>
      </c>
      <c r="U102" s="10">
        <f>IF($AF102="","",INDEX(파견수련계획!$X$4:$X$83,$AF102))</f>
        <v/>
      </c>
      <c r="V102" s="17">
        <f>IF($AF102="","",INDEX(파견수련계획!$V$4:$V$83,$AF102))</f>
        <v/>
      </c>
      <c r="W102" s="17">
        <f>IF(AND($U102="파견중",$T102&lt;&gt;""),$T102-TODAY(),"")</f>
        <v/>
      </c>
      <c r="X102" s="17">
        <f>IF(OR($B102="",TRIM($J102&amp;"")=""),"",SUMPRODUCT((파견수련계획!$Q$4:$Q$83=TRIM($J102&amp;""))*파견수련계획!$W$4:$W$83))</f>
        <v/>
      </c>
      <c r="Y102" s="10">
        <f>IF($B102="","",IF($AG102="","",IF(IF(TRIM($J102&amp;"")="",0,SUMPRODUCT((파견수련계획!$Q$4:$Q$83=TRIM($J102&amp;""))*파견수련계획!$AD$4:$AD$83))&gt;0,$AE102,IF(N($X102)&lt;=0,$AG102,IF($AH102+$AI102=DAY(EOMONTH(요약!$B$3,0)),IF(AND($AH102&gt;=요약!$E$3,$AI102&lt;요약!$E$3),"서울병원",IF(AND($AI102&gt;=요약!$E$3,$AH102&lt;요약!$E$3),"구리병원","⚠15일 판정불가(서울 "&amp;$AH102&amp;"일/구리 "&amp;$AI102&amp;"일)")),IF($AJ102="",$AE102,IF(INDEX(파견수련계획!$T$4:$T$83,$AJ102)="통합수련",INDEX(파견수련계획!$S$4:$S$83,$AJ102),$AE102)))))))</f>
        <v/>
      </c>
      <c r="Z102" s="19">
        <f>IF($B102="","",IF($AB102="","기본자료에 없는 사번",IF(COUNTIF($B$2:$B$401,$B102)&gt;1,"중복 사번",IF($AE102="","소속(입사장소) 입력",IF(IF(TRIM($J102&amp;"")="",0,SUMPRODUCT((파견수련계획!$Q$4:$Q$83=TRIM($J102&amp;""))*(파견수련계획!$AA$4:$AA$83&lt;&gt;"")))&gt;0,"파견수련계획 입력오류 확인",IF(LEFT($Y102,1)="⚠","서울·구리 15일 판정 불가(양쪽 모두 이상/미만)",IF(IF($AC102="",0,N(INDEX(인턴근무계획!$T$3:$T$62,$AC102)))&gt;0,"인턴계획 입력오류 확인",IF(AND($AC102&lt;&gt;"",$U102&lt;&gt;"파견중",$N102&lt;&gt;$AE102),"인턴 타지역 근무: 파견 여부 확인","정상"))))))))</f>
        <v/>
      </c>
      <c r="AA102" s="5" t="n"/>
      <c r="AB102" s="10">
        <f>IF($B102="","",IFERROR(MATCH($B102,기본자료!$B$2:$B$1001,0),IFERROR(MATCH($B102&amp;"",기본자료!$B$2:$B$1001,0),IFERROR(MATCH(VALUE($B102),기본자료!$B$2:$B$1001,0),""))))</f>
        <v/>
      </c>
      <c r="AC102" s="10">
        <f>IF($B102="","",IFERROR(MATCH($B102,인턴근무계획!$D$3:$D$62,0),IFERROR(MATCH($B102&amp;"",인턴근무계획!$D$3:$D$62,0),IFERROR(MATCH(VALUE($B102),인턴근무계획!$D$3:$D$62,0),""))))</f>
        <v/>
      </c>
      <c r="AD102" s="10">
        <f>IF(OR($AC102="",인턴현황!$G$3=""),"",INDEX(인턴근무계획!$M$3:$R$62,$AC102,인턴현황!$G$3)&amp;"")</f>
        <v/>
      </c>
      <c r="AE102" s="10">
        <f>IF($B102="","",IF($M102&lt;&gt;"",$M102,IF($AF102&lt;&gt;"",IF(LEFT(INDEX(파견수련계획!$R$4:$R$83,$AF102),1)&lt;&gt;"⚠",INDEX(파견수련계획!$R$4:$R$83,$AF102),IF($H102="","",IF(RIGHT($H102,2)="병원",$H102,$H102&amp;"병원"))),IF($H102="","",IF(RIGHT($H102,2)="병원",$H102,$H102&amp;"병원")))))</f>
        <v/>
      </c>
      <c r="AF102" s="10">
        <f>IF(OR($B102="",TRIM($J102&amp;"")=""),"",IFERROR(MATCH(TRIM($J102&amp;"")&amp;"|파견중",파견수련계획!$Y$4:$Y$83,0),IFERROR(MATCH(TRIM($J102&amp;"")&amp;"|파견예정",파견수련계획!$Y$4:$Y$83,0),IFERROR(MATCH(TRIM($J102&amp;"")&amp;"|파견종료",파견수련계획!$Y$4:$Y$83,0),""))))</f>
        <v/>
      </c>
      <c r="AG102" s="10">
        <f>IF($B102="","",IF(AND(IF(OR($AC102="",인턴현황!$K$2=""),"",INDEX(인턴근무계획!$M$3:$R$62,$AC102,인턴현황!$K$2)&amp;"")&lt;&gt;"",LEFT(IF(OR($AC102="",인턴현황!$K$2=""),"",INDEX(인턴근무계획!$M$3:$R$62,$AC102,인턴현황!$K$2)&amp;""),1)&lt;&gt;"⚠"),LEFT(IF(OR($AC102="",인턴현황!$K$2=""),"",INDEX(인턴근무계획!$M$3:$R$62,$AC102,인턴현황!$K$2)&amp;""),FIND(" ",IF(OR($AC102="",인턴현황!$K$2=""),"",INDEX(인턴근무계획!$M$3:$R$62,$AC102,인턴현황!$K$2)&amp;""))-1),$AE102))</f>
        <v/>
      </c>
      <c r="AH102" s="17">
        <f>IF($B102="","",IF(TRIM($J102&amp;"")="",0,SUMPRODUCT((파견수련계획!$Q$4:$Q$83=TRIM($J102&amp;""))*(파견수련계획!$S$4:$S$83="서울병원")*파견수련계획!$W$4:$W$83))+IF($AG102="서울병원",MAX(0,DAY(EOMONTH(요약!$B$3,0))-N($X102)),0))</f>
        <v/>
      </c>
      <c r="AI102" s="17">
        <f>IF($B102="","",IF(TRIM($J102&amp;"")="",0,SUMPRODUCT((파견수련계획!$Q$4:$Q$83=TRIM($J102&amp;""))*(파견수련계획!$S$4:$S$83="구리병원")*파견수련계획!$W$4:$W$83))+IF($AG102="구리병원",MAX(0,DAY(EOMONTH(요약!$B$3,0))-N($X102)),0))</f>
        <v/>
      </c>
      <c r="AJ102" s="10">
        <f>IF(OR($B102="",TRIM($J102&amp;"")=""),"",IFERROR(MATCH(TRIM($J102&amp;"")&amp;"|월",파견수련계획!$Z$4:$Z$83,0),""))</f>
        <v/>
      </c>
      <c r="AK102" s="10">
        <f>IF(OR($B102="",TRIM($J102&amp;"")=""),"",IFERROR(MATCH(TRIM($J102&amp;"")&amp;"|다기관",파견수련계획!$AE$4:$AE$83,0),""))</f>
        <v/>
      </c>
      <c r="AL102" s="10">
        <f>IF($AK102="","","다기관 "&amp;TEXT(INDEX(파견수련계획!$AB$4:$AB$83,$AK102),"yyyy-mm-dd")&amp;"~"&amp;IF(ISNUMBER(INDEX(파견수련계획!$AC$4:$AC$83,$AK102)),TEXT(INDEX(파견수련계획!$AC$4:$AC$83,$AK102),"yyyy-mm-dd"),""))</f>
        <v/>
      </c>
    </row>
    <row r="103">
      <c r="A103" s="10">
        <f>IF(B103="","",ROW()-1)</f>
        <v/>
      </c>
      <c r="B103" s="18" t="n"/>
      <c r="C103" s="10">
        <f>IF($AB103="","",IF(INDEX(기본자료!$C$2:$C$1001,$AB103)="","",INDEX(기본자료!$C$2:$C$1001,$AB103)))</f>
        <v/>
      </c>
      <c r="D103" s="10">
        <f>IF($AB103="","",IF(INDEX(기본자료!$J$2:$J$1001,$AB103)="","",INDEX(기본자료!$J$2:$J$1001,$AB103)))</f>
        <v/>
      </c>
      <c r="E103" s="11">
        <f>IF($AB103="","",IF(INDEX(기본자료!$K$2:$K$1001,$AB103)="","",IF(NOT(ISNUMBER(INDEX(기본자료!$K$2:$K$1001,$AB103))),INDEX(기본자료!$K$2:$K$1001,$AB103),IF(INDEX(기본자료!$K$2:$K$1001,$AB103)&lt;1000000,INDEX(기본자료!$K$2:$K$1001,$AB103),IF(AND(INDEX(기본자료!$K$2:$K$1001,$AB103)&gt;=10000101,INT(MOD(INDEX(기본자료!$K$2:$K$1001,$AB103),10000)/100)&gt;=1,INT(MOD(INDEX(기본자료!$K$2:$K$1001,$AB103),10000)/100)&lt;=12,MOD(INDEX(기본자료!$K$2:$K$1001,$AB103),100)&gt;=1,MOD(INDEX(기본자료!$K$2:$K$1001,$AB103),100)&lt;=31),DATE(INT(INDEX(기본자료!$K$2:$K$1001,$AB103)/10000),INT(MOD(INDEX(기본자료!$K$2:$K$1001,$AB103),10000)/100),MOD(INDEX(기본자료!$K$2:$K$1001,$AB103),100)),INDEX(기본자료!$K$2:$K$1001,$AB103)&amp;"")))))</f>
        <v/>
      </c>
      <c r="F103" s="10">
        <f>IF($AB103="","",IF(INDEX(기본자료!$D$2:$D$1001,$AB103)="","",INDEX(기본자료!$D$2:$D$1001,$AB103)))</f>
        <v/>
      </c>
      <c r="G103" s="10">
        <f>IF($AB103="","",IF(INDEX(기본자료!$E$2:$E$1001,$AB103)="","",INDEX(기본자료!$E$2:$E$1001,$AB103)))</f>
        <v/>
      </c>
      <c r="H103" s="10">
        <f>IF($AB103="","",IF(INDEX(기본자료!$F$2:$F$1001,$AB103)="","",INDEX(기본자료!$F$2:$F$1001,$AB103)))</f>
        <v/>
      </c>
      <c r="I103" s="11">
        <f>IF($AB103="","",IF(INDEX(기본자료!$G$2:$G$1001,$AB103)="","",IF(NOT(ISNUMBER(INDEX(기본자료!$G$2:$G$1001,$AB103))),INDEX(기본자료!$G$2:$G$1001,$AB103),IF(INDEX(기본자료!$G$2:$G$1001,$AB103)&lt;1000000,INDEX(기본자료!$G$2:$G$1001,$AB103),IF(AND(INDEX(기본자료!$G$2:$G$1001,$AB103)&gt;=10000101,INT(MOD(INDEX(기본자료!$G$2:$G$1001,$AB103),10000)/100)&gt;=1,INT(MOD(INDEX(기본자료!$G$2:$G$1001,$AB103),10000)/100)&lt;=12,MOD(INDEX(기본자료!$G$2:$G$1001,$AB103),100)&gt;=1,MOD(INDEX(기본자료!$G$2:$G$1001,$AB103),100)&lt;=31),DATE(INT(INDEX(기본자료!$G$2:$G$1001,$AB103)/10000),INT(MOD(INDEX(기본자료!$G$2:$G$1001,$AB103),10000)/100),MOD(INDEX(기본자료!$G$2:$G$1001,$AB103),100)),INDEX(기본자료!$G$2:$G$1001,$AB103)&amp;"")))))</f>
        <v/>
      </c>
      <c r="J103" s="10">
        <f>IF($AB103="","",IF(INDEX(기본자료!$H$2:$H$1001,$AB103)="","",INDEX(기본자료!$H$2:$H$1001,$AB103)))</f>
        <v/>
      </c>
      <c r="K103" s="10">
        <f>IF($AB103="","",IF(INDEX(기본자료!$I$2:$I$1001,$AB103)="","",INDEX(기본자료!$I$2:$I$1001,$AB103)))</f>
        <v/>
      </c>
      <c r="L103" s="10">
        <f>IF($AB103="","",IF(INDEX(기본자료!$A$2:$A$1001,$AB103)="","",INDEX(기본자료!$A$2:$A$1001,$AB103)))</f>
        <v/>
      </c>
      <c r="M103" s="15" t="n"/>
      <c r="N103" s="10">
        <f>IF($B103="","",IF(AND($U103="파견중",$Q103&lt;&gt;""),$Q103,IF(AND($AD103&lt;&gt;"",LEFT($AD103,1)&lt;&gt;"⚠"),LEFT($AD103,FIND(" ",$AD103)-1),IF($H103="","",IF(RIGHT($H103,2)="병원",$H103,$H103&amp;"병원")))))</f>
        <v/>
      </c>
      <c r="O103" s="10">
        <f>IF($B103="","",IF(AND($U103="파견중",$Q103&lt;&gt;""),IF($R103&lt;&gt;"",$R103,"파견과 미입력"),IF(AND($AD103&lt;&gt;"",LEFT($AD103,1)&lt;&gt;"⚠"),MID($AD103,FIND(" ",$AD103)+1,60),IF($F103="","",IF($F103="인턴","수련교육부(인턴)",$F103)))))</f>
        <v/>
      </c>
      <c r="P103" s="10">
        <f>IF($B103="","",IF($AK103&lt;&gt;"",IF(AND(TODAY()&gt;=INDEX(파견수련계획!$AB$4:$AB$83,$AK103),OR(NOT(ISNUMBER(INDEX(파견수련계획!$AC$4:$AC$83,$AK103))),TODAY()&lt;=INDEX(파견수련계획!$AC$4:$AC$83,$AK103))),"다기관",IF($AF103="","",INDEX(파견수련계획!$T$4:$T$83,$AF103))),IF($AF103="","",INDEX(파견수련계획!$T$4:$T$83,$AF103))))</f>
        <v/>
      </c>
      <c r="Q103" s="10">
        <f>IF($AF103="","",INDEX(파견수련계획!$S$4:$S$83,$AF103))</f>
        <v/>
      </c>
      <c r="R103" s="10">
        <f>IF($AF103="","",INDEX(파견수련계획!$U$4:$U$83,$AF103))</f>
        <v/>
      </c>
      <c r="S103" s="11">
        <f>IF($AF103="","",IF(INDEX(파견수련계획!$H$4:$H$83,$AF103)="","",INDEX(파견수련계획!$H$4:$H$83,$AF103)))</f>
        <v/>
      </c>
      <c r="T103" s="11">
        <f>IF($AF103="","",IF(INDEX(파견수련계획!$I$4:$I$83,$AF103)="","",INDEX(파견수련계획!$I$4:$I$83,$AF103)))</f>
        <v/>
      </c>
      <c r="U103" s="10">
        <f>IF($AF103="","",INDEX(파견수련계획!$X$4:$X$83,$AF103))</f>
        <v/>
      </c>
      <c r="V103" s="17">
        <f>IF($AF103="","",INDEX(파견수련계획!$V$4:$V$83,$AF103))</f>
        <v/>
      </c>
      <c r="W103" s="17">
        <f>IF(AND($U103="파견중",$T103&lt;&gt;""),$T103-TODAY(),"")</f>
        <v/>
      </c>
      <c r="X103" s="17">
        <f>IF(OR($B103="",TRIM($J103&amp;"")=""),"",SUMPRODUCT((파견수련계획!$Q$4:$Q$83=TRIM($J103&amp;""))*파견수련계획!$W$4:$W$83))</f>
        <v/>
      </c>
      <c r="Y103" s="10">
        <f>IF($B103="","",IF($AG103="","",IF(IF(TRIM($J103&amp;"")="",0,SUMPRODUCT((파견수련계획!$Q$4:$Q$83=TRIM($J103&amp;""))*파견수련계획!$AD$4:$AD$83))&gt;0,$AE103,IF(N($X103)&lt;=0,$AG103,IF($AH103+$AI103=DAY(EOMONTH(요약!$B$3,0)),IF(AND($AH103&gt;=요약!$E$3,$AI103&lt;요약!$E$3),"서울병원",IF(AND($AI103&gt;=요약!$E$3,$AH103&lt;요약!$E$3),"구리병원","⚠15일 판정불가(서울 "&amp;$AH103&amp;"일/구리 "&amp;$AI103&amp;"일)")),IF($AJ103="",$AE103,IF(INDEX(파견수련계획!$T$4:$T$83,$AJ103)="통합수련",INDEX(파견수련계획!$S$4:$S$83,$AJ103),$AE103)))))))</f>
        <v/>
      </c>
      <c r="Z103" s="19">
        <f>IF($B103="","",IF($AB103="","기본자료에 없는 사번",IF(COUNTIF($B$2:$B$401,$B103)&gt;1,"중복 사번",IF($AE103="","소속(입사장소) 입력",IF(IF(TRIM($J103&amp;"")="",0,SUMPRODUCT((파견수련계획!$Q$4:$Q$83=TRIM($J103&amp;""))*(파견수련계획!$AA$4:$AA$83&lt;&gt;"")))&gt;0,"파견수련계획 입력오류 확인",IF(LEFT($Y103,1)="⚠","서울·구리 15일 판정 불가(양쪽 모두 이상/미만)",IF(IF($AC103="",0,N(INDEX(인턴근무계획!$T$3:$T$62,$AC103)))&gt;0,"인턴계획 입력오류 확인",IF(AND($AC103&lt;&gt;"",$U103&lt;&gt;"파견중",$N103&lt;&gt;$AE103),"인턴 타지역 근무: 파견 여부 확인","정상"))))))))</f>
        <v/>
      </c>
      <c r="AA103" s="5" t="n"/>
      <c r="AB103" s="10">
        <f>IF($B103="","",IFERROR(MATCH($B103,기본자료!$B$2:$B$1001,0),IFERROR(MATCH($B103&amp;"",기본자료!$B$2:$B$1001,0),IFERROR(MATCH(VALUE($B103),기본자료!$B$2:$B$1001,0),""))))</f>
        <v/>
      </c>
      <c r="AC103" s="10">
        <f>IF($B103="","",IFERROR(MATCH($B103,인턴근무계획!$D$3:$D$62,0),IFERROR(MATCH($B103&amp;"",인턴근무계획!$D$3:$D$62,0),IFERROR(MATCH(VALUE($B103),인턴근무계획!$D$3:$D$62,0),""))))</f>
        <v/>
      </c>
      <c r="AD103" s="10">
        <f>IF(OR($AC103="",인턴현황!$G$3=""),"",INDEX(인턴근무계획!$M$3:$R$62,$AC103,인턴현황!$G$3)&amp;"")</f>
        <v/>
      </c>
      <c r="AE103" s="10">
        <f>IF($B103="","",IF($M103&lt;&gt;"",$M103,IF($AF103&lt;&gt;"",IF(LEFT(INDEX(파견수련계획!$R$4:$R$83,$AF103),1)&lt;&gt;"⚠",INDEX(파견수련계획!$R$4:$R$83,$AF103),IF($H103="","",IF(RIGHT($H103,2)="병원",$H103,$H103&amp;"병원"))),IF($H103="","",IF(RIGHT($H103,2)="병원",$H103,$H103&amp;"병원")))))</f>
        <v/>
      </c>
      <c r="AF103" s="10">
        <f>IF(OR($B103="",TRIM($J103&amp;"")=""),"",IFERROR(MATCH(TRIM($J103&amp;"")&amp;"|파견중",파견수련계획!$Y$4:$Y$83,0),IFERROR(MATCH(TRIM($J103&amp;"")&amp;"|파견예정",파견수련계획!$Y$4:$Y$83,0),IFERROR(MATCH(TRIM($J103&amp;"")&amp;"|파견종료",파견수련계획!$Y$4:$Y$83,0),""))))</f>
        <v/>
      </c>
      <c r="AG103" s="10">
        <f>IF($B103="","",IF(AND(IF(OR($AC103="",인턴현황!$K$2=""),"",INDEX(인턴근무계획!$M$3:$R$62,$AC103,인턴현황!$K$2)&amp;"")&lt;&gt;"",LEFT(IF(OR($AC103="",인턴현황!$K$2=""),"",INDEX(인턴근무계획!$M$3:$R$62,$AC103,인턴현황!$K$2)&amp;""),1)&lt;&gt;"⚠"),LEFT(IF(OR($AC103="",인턴현황!$K$2=""),"",INDEX(인턴근무계획!$M$3:$R$62,$AC103,인턴현황!$K$2)&amp;""),FIND(" ",IF(OR($AC103="",인턴현황!$K$2=""),"",INDEX(인턴근무계획!$M$3:$R$62,$AC103,인턴현황!$K$2)&amp;""))-1),$AE103))</f>
        <v/>
      </c>
      <c r="AH103" s="17">
        <f>IF($B103="","",IF(TRIM($J103&amp;"")="",0,SUMPRODUCT((파견수련계획!$Q$4:$Q$83=TRIM($J103&amp;""))*(파견수련계획!$S$4:$S$83="서울병원")*파견수련계획!$W$4:$W$83))+IF($AG103="서울병원",MAX(0,DAY(EOMONTH(요약!$B$3,0))-N($X103)),0))</f>
        <v/>
      </c>
      <c r="AI103" s="17">
        <f>IF($B103="","",IF(TRIM($J103&amp;"")="",0,SUMPRODUCT((파견수련계획!$Q$4:$Q$83=TRIM($J103&amp;""))*(파견수련계획!$S$4:$S$83="구리병원")*파견수련계획!$W$4:$W$83))+IF($AG103="구리병원",MAX(0,DAY(EOMONTH(요약!$B$3,0))-N($X103)),0))</f>
        <v/>
      </c>
      <c r="AJ103" s="10">
        <f>IF(OR($B103="",TRIM($J103&amp;"")=""),"",IFERROR(MATCH(TRIM($J103&amp;"")&amp;"|월",파견수련계획!$Z$4:$Z$83,0),""))</f>
        <v/>
      </c>
      <c r="AK103" s="10">
        <f>IF(OR($B103="",TRIM($J103&amp;"")=""),"",IFERROR(MATCH(TRIM($J103&amp;"")&amp;"|다기관",파견수련계획!$AE$4:$AE$83,0),""))</f>
        <v/>
      </c>
      <c r="AL103" s="10">
        <f>IF($AK103="","","다기관 "&amp;TEXT(INDEX(파견수련계획!$AB$4:$AB$83,$AK103),"yyyy-mm-dd")&amp;"~"&amp;IF(ISNUMBER(INDEX(파견수련계획!$AC$4:$AC$83,$AK103)),TEXT(INDEX(파견수련계획!$AC$4:$AC$83,$AK103),"yyyy-mm-dd"),""))</f>
        <v/>
      </c>
    </row>
    <row r="104">
      <c r="A104" s="10">
        <f>IF(B104="","",ROW()-1)</f>
        <v/>
      </c>
      <c r="B104" s="18" t="n"/>
      <c r="C104" s="10">
        <f>IF($AB104="","",IF(INDEX(기본자료!$C$2:$C$1001,$AB104)="","",INDEX(기본자료!$C$2:$C$1001,$AB104)))</f>
        <v/>
      </c>
      <c r="D104" s="10">
        <f>IF($AB104="","",IF(INDEX(기본자료!$J$2:$J$1001,$AB104)="","",INDEX(기본자료!$J$2:$J$1001,$AB104)))</f>
        <v/>
      </c>
      <c r="E104" s="11">
        <f>IF($AB104="","",IF(INDEX(기본자료!$K$2:$K$1001,$AB104)="","",IF(NOT(ISNUMBER(INDEX(기본자료!$K$2:$K$1001,$AB104))),INDEX(기본자료!$K$2:$K$1001,$AB104),IF(INDEX(기본자료!$K$2:$K$1001,$AB104)&lt;1000000,INDEX(기본자료!$K$2:$K$1001,$AB104),IF(AND(INDEX(기본자료!$K$2:$K$1001,$AB104)&gt;=10000101,INT(MOD(INDEX(기본자료!$K$2:$K$1001,$AB104),10000)/100)&gt;=1,INT(MOD(INDEX(기본자료!$K$2:$K$1001,$AB104),10000)/100)&lt;=12,MOD(INDEX(기본자료!$K$2:$K$1001,$AB104),100)&gt;=1,MOD(INDEX(기본자료!$K$2:$K$1001,$AB104),100)&lt;=31),DATE(INT(INDEX(기본자료!$K$2:$K$1001,$AB104)/10000),INT(MOD(INDEX(기본자료!$K$2:$K$1001,$AB104),10000)/100),MOD(INDEX(기본자료!$K$2:$K$1001,$AB104),100)),INDEX(기본자료!$K$2:$K$1001,$AB104)&amp;"")))))</f>
        <v/>
      </c>
      <c r="F104" s="10">
        <f>IF($AB104="","",IF(INDEX(기본자료!$D$2:$D$1001,$AB104)="","",INDEX(기본자료!$D$2:$D$1001,$AB104)))</f>
        <v/>
      </c>
      <c r="G104" s="10">
        <f>IF($AB104="","",IF(INDEX(기본자료!$E$2:$E$1001,$AB104)="","",INDEX(기본자료!$E$2:$E$1001,$AB104)))</f>
        <v/>
      </c>
      <c r="H104" s="10">
        <f>IF($AB104="","",IF(INDEX(기본자료!$F$2:$F$1001,$AB104)="","",INDEX(기본자료!$F$2:$F$1001,$AB104)))</f>
        <v/>
      </c>
      <c r="I104" s="11">
        <f>IF($AB104="","",IF(INDEX(기본자료!$G$2:$G$1001,$AB104)="","",IF(NOT(ISNUMBER(INDEX(기본자료!$G$2:$G$1001,$AB104))),INDEX(기본자료!$G$2:$G$1001,$AB104),IF(INDEX(기본자료!$G$2:$G$1001,$AB104)&lt;1000000,INDEX(기본자료!$G$2:$G$1001,$AB104),IF(AND(INDEX(기본자료!$G$2:$G$1001,$AB104)&gt;=10000101,INT(MOD(INDEX(기본자료!$G$2:$G$1001,$AB104),10000)/100)&gt;=1,INT(MOD(INDEX(기본자료!$G$2:$G$1001,$AB104),10000)/100)&lt;=12,MOD(INDEX(기본자료!$G$2:$G$1001,$AB104),100)&gt;=1,MOD(INDEX(기본자료!$G$2:$G$1001,$AB104),100)&lt;=31),DATE(INT(INDEX(기본자료!$G$2:$G$1001,$AB104)/10000),INT(MOD(INDEX(기본자료!$G$2:$G$1001,$AB104),10000)/100),MOD(INDEX(기본자료!$G$2:$G$1001,$AB104),100)),INDEX(기본자료!$G$2:$G$1001,$AB104)&amp;"")))))</f>
        <v/>
      </c>
      <c r="J104" s="10">
        <f>IF($AB104="","",IF(INDEX(기본자료!$H$2:$H$1001,$AB104)="","",INDEX(기본자료!$H$2:$H$1001,$AB104)))</f>
        <v/>
      </c>
      <c r="K104" s="10">
        <f>IF($AB104="","",IF(INDEX(기본자료!$I$2:$I$1001,$AB104)="","",INDEX(기본자료!$I$2:$I$1001,$AB104)))</f>
        <v/>
      </c>
      <c r="L104" s="10">
        <f>IF($AB104="","",IF(INDEX(기본자료!$A$2:$A$1001,$AB104)="","",INDEX(기본자료!$A$2:$A$1001,$AB104)))</f>
        <v/>
      </c>
      <c r="M104" s="15" t="n"/>
      <c r="N104" s="10">
        <f>IF($B104="","",IF(AND($U104="파견중",$Q104&lt;&gt;""),$Q104,IF(AND($AD104&lt;&gt;"",LEFT($AD104,1)&lt;&gt;"⚠"),LEFT($AD104,FIND(" ",$AD104)-1),IF($H104="","",IF(RIGHT($H104,2)="병원",$H104,$H104&amp;"병원")))))</f>
        <v/>
      </c>
      <c r="O104" s="10">
        <f>IF($B104="","",IF(AND($U104="파견중",$Q104&lt;&gt;""),IF($R104&lt;&gt;"",$R104,"파견과 미입력"),IF(AND($AD104&lt;&gt;"",LEFT($AD104,1)&lt;&gt;"⚠"),MID($AD104,FIND(" ",$AD104)+1,60),IF($F104="","",IF($F104="인턴","수련교육부(인턴)",$F104)))))</f>
        <v/>
      </c>
      <c r="P104" s="10">
        <f>IF($B104="","",IF($AK104&lt;&gt;"",IF(AND(TODAY()&gt;=INDEX(파견수련계획!$AB$4:$AB$83,$AK104),OR(NOT(ISNUMBER(INDEX(파견수련계획!$AC$4:$AC$83,$AK104))),TODAY()&lt;=INDEX(파견수련계획!$AC$4:$AC$83,$AK104))),"다기관",IF($AF104="","",INDEX(파견수련계획!$T$4:$T$83,$AF104))),IF($AF104="","",INDEX(파견수련계획!$T$4:$T$83,$AF104))))</f>
        <v/>
      </c>
      <c r="Q104" s="10">
        <f>IF($AF104="","",INDEX(파견수련계획!$S$4:$S$83,$AF104))</f>
        <v/>
      </c>
      <c r="R104" s="10">
        <f>IF($AF104="","",INDEX(파견수련계획!$U$4:$U$83,$AF104))</f>
        <v/>
      </c>
      <c r="S104" s="11">
        <f>IF($AF104="","",IF(INDEX(파견수련계획!$H$4:$H$83,$AF104)="","",INDEX(파견수련계획!$H$4:$H$83,$AF104)))</f>
        <v/>
      </c>
      <c r="T104" s="11">
        <f>IF($AF104="","",IF(INDEX(파견수련계획!$I$4:$I$83,$AF104)="","",INDEX(파견수련계획!$I$4:$I$83,$AF104)))</f>
        <v/>
      </c>
      <c r="U104" s="10">
        <f>IF($AF104="","",INDEX(파견수련계획!$X$4:$X$83,$AF104))</f>
        <v/>
      </c>
      <c r="V104" s="17">
        <f>IF($AF104="","",INDEX(파견수련계획!$V$4:$V$83,$AF104))</f>
        <v/>
      </c>
      <c r="W104" s="17">
        <f>IF(AND($U104="파견중",$T104&lt;&gt;""),$T104-TODAY(),"")</f>
        <v/>
      </c>
      <c r="X104" s="17">
        <f>IF(OR($B104="",TRIM($J104&amp;"")=""),"",SUMPRODUCT((파견수련계획!$Q$4:$Q$83=TRIM($J104&amp;""))*파견수련계획!$W$4:$W$83))</f>
        <v/>
      </c>
      <c r="Y104" s="10">
        <f>IF($B104="","",IF($AG104="","",IF(IF(TRIM($J104&amp;"")="",0,SUMPRODUCT((파견수련계획!$Q$4:$Q$83=TRIM($J104&amp;""))*파견수련계획!$AD$4:$AD$83))&gt;0,$AE104,IF(N($X104)&lt;=0,$AG104,IF($AH104+$AI104=DAY(EOMONTH(요약!$B$3,0)),IF(AND($AH104&gt;=요약!$E$3,$AI104&lt;요약!$E$3),"서울병원",IF(AND($AI104&gt;=요약!$E$3,$AH104&lt;요약!$E$3),"구리병원","⚠15일 판정불가(서울 "&amp;$AH104&amp;"일/구리 "&amp;$AI104&amp;"일)")),IF($AJ104="",$AE104,IF(INDEX(파견수련계획!$T$4:$T$83,$AJ104)="통합수련",INDEX(파견수련계획!$S$4:$S$83,$AJ104),$AE104)))))))</f>
        <v/>
      </c>
      <c r="Z104" s="19">
        <f>IF($B104="","",IF($AB104="","기본자료에 없는 사번",IF(COUNTIF($B$2:$B$401,$B104)&gt;1,"중복 사번",IF($AE104="","소속(입사장소) 입력",IF(IF(TRIM($J104&amp;"")="",0,SUMPRODUCT((파견수련계획!$Q$4:$Q$83=TRIM($J104&amp;""))*(파견수련계획!$AA$4:$AA$83&lt;&gt;"")))&gt;0,"파견수련계획 입력오류 확인",IF(LEFT($Y104,1)="⚠","서울·구리 15일 판정 불가(양쪽 모두 이상/미만)",IF(IF($AC104="",0,N(INDEX(인턴근무계획!$T$3:$T$62,$AC104)))&gt;0,"인턴계획 입력오류 확인",IF(AND($AC104&lt;&gt;"",$U104&lt;&gt;"파견중",$N104&lt;&gt;$AE104),"인턴 타지역 근무: 파견 여부 확인","정상"))))))))</f>
        <v/>
      </c>
      <c r="AA104" s="5" t="n"/>
      <c r="AB104" s="10">
        <f>IF($B104="","",IFERROR(MATCH($B104,기본자료!$B$2:$B$1001,0),IFERROR(MATCH($B104&amp;"",기본자료!$B$2:$B$1001,0),IFERROR(MATCH(VALUE($B104),기본자료!$B$2:$B$1001,0),""))))</f>
        <v/>
      </c>
      <c r="AC104" s="10">
        <f>IF($B104="","",IFERROR(MATCH($B104,인턴근무계획!$D$3:$D$62,0),IFERROR(MATCH($B104&amp;"",인턴근무계획!$D$3:$D$62,0),IFERROR(MATCH(VALUE($B104),인턴근무계획!$D$3:$D$62,0),""))))</f>
        <v/>
      </c>
      <c r="AD104" s="10">
        <f>IF(OR($AC104="",인턴현황!$G$3=""),"",INDEX(인턴근무계획!$M$3:$R$62,$AC104,인턴현황!$G$3)&amp;"")</f>
        <v/>
      </c>
      <c r="AE104" s="10">
        <f>IF($B104="","",IF($M104&lt;&gt;"",$M104,IF($AF104&lt;&gt;"",IF(LEFT(INDEX(파견수련계획!$R$4:$R$83,$AF104),1)&lt;&gt;"⚠",INDEX(파견수련계획!$R$4:$R$83,$AF104),IF($H104="","",IF(RIGHT($H104,2)="병원",$H104,$H104&amp;"병원"))),IF($H104="","",IF(RIGHT($H104,2)="병원",$H104,$H104&amp;"병원")))))</f>
        <v/>
      </c>
      <c r="AF104" s="10">
        <f>IF(OR($B104="",TRIM($J104&amp;"")=""),"",IFERROR(MATCH(TRIM($J104&amp;"")&amp;"|파견중",파견수련계획!$Y$4:$Y$83,0),IFERROR(MATCH(TRIM($J104&amp;"")&amp;"|파견예정",파견수련계획!$Y$4:$Y$83,0),IFERROR(MATCH(TRIM($J104&amp;"")&amp;"|파견종료",파견수련계획!$Y$4:$Y$83,0),""))))</f>
        <v/>
      </c>
      <c r="AG104" s="10">
        <f>IF($B104="","",IF(AND(IF(OR($AC104="",인턴현황!$K$2=""),"",INDEX(인턴근무계획!$M$3:$R$62,$AC104,인턴현황!$K$2)&amp;"")&lt;&gt;"",LEFT(IF(OR($AC104="",인턴현황!$K$2=""),"",INDEX(인턴근무계획!$M$3:$R$62,$AC104,인턴현황!$K$2)&amp;""),1)&lt;&gt;"⚠"),LEFT(IF(OR($AC104="",인턴현황!$K$2=""),"",INDEX(인턴근무계획!$M$3:$R$62,$AC104,인턴현황!$K$2)&amp;""),FIND(" ",IF(OR($AC104="",인턴현황!$K$2=""),"",INDEX(인턴근무계획!$M$3:$R$62,$AC104,인턴현황!$K$2)&amp;""))-1),$AE104))</f>
        <v/>
      </c>
      <c r="AH104" s="17">
        <f>IF($B104="","",IF(TRIM($J104&amp;"")="",0,SUMPRODUCT((파견수련계획!$Q$4:$Q$83=TRIM($J104&amp;""))*(파견수련계획!$S$4:$S$83="서울병원")*파견수련계획!$W$4:$W$83))+IF($AG104="서울병원",MAX(0,DAY(EOMONTH(요약!$B$3,0))-N($X104)),0))</f>
        <v/>
      </c>
      <c r="AI104" s="17">
        <f>IF($B104="","",IF(TRIM($J104&amp;"")="",0,SUMPRODUCT((파견수련계획!$Q$4:$Q$83=TRIM($J104&amp;""))*(파견수련계획!$S$4:$S$83="구리병원")*파견수련계획!$W$4:$W$83))+IF($AG104="구리병원",MAX(0,DAY(EOMONTH(요약!$B$3,0))-N($X104)),0))</f>
        <v/>
      </c>
      <c r="AJ104" s="10">
        <f>IF(OR($B104="",TRIM($J104&amp;"")=""),"",IFERROR(MATCH(TRIM($J104&amp;"")&amp;"|월",파견수련계획!$Z$4:$Z$83,0),""))</f>
        <v/>
      </c>
      <c r="AK104" s="10">
        <f>IF(OR($B104="",TRIM($J104&amp;"")=""),"",IFERROR(MATCH(TRIM($J104&amp;"")&amp;"|다기관",파견수련계획!$AE$4:$AE$83,0),""))</f>
        <v/>
      </c>
      <c r="AL104" s="10">
        <f>IF($AK104="","","다기관 "&amp;TEXT(INDEX(파견수련계획!$AB$4:$AB$83,$AK104),"yyyy-mm-dd")&amp;"~"&amp;IF(ISNUMBER(INDEX(파견수련계획!$AC$4:$AC$83,$AK104)),TEXT(INDEX(파견수련계획!$AC$4:$AC$83,$AK104),"yyyy-mm-dd"),""))</f>
        <v/>
      </c>
    </row>
    <row r="105">
      <c r="A105" s="10">
        <f>IF(B105="","",ROW()-1)</f>
        <v/>
      </c>
      <c r="B105" s="18" t="n"/>
      <c r="C105" s="10">
        <f>IF($AB105="","",IF(INDEX(기본자료!$C$2:$C$1001,$AB105)="","",INDEX(기본자료!$C$2:$C$1001,$AB105)))</f>
        <v/>
      </c>
      <c r="D105" s="10">
        <f>IF($AB105="","",IF(INDEX(기본자료!$J$2:$J$1001,$AB105)="","",INDEX(기본자료!$J$2:$J$1001,$AB105)))</f>
        <v/>
      </c>
      <c r="E105" s="11">
        <f>IF($AB105="","",IF(INDEX(기본자료!$K$2:$K$1001,$AB105)="","",IF(NOT(ISNUMBER(INDEX(기본자료!$K$2:$K$1001,$AB105))),INDEX(기본자료!$K$2:$K$1001,$AB105),IF(INDEX(기본자료!$K$2:$K$1001,$AB105)&lt;1000000,INDEX(기본자료!$K$2:$K$1001,$AB105),IF(AND(INDEX(기본자료!$K$2:$K$1001,$AB105)&gt;=10000101,INT(MOD(INDEX(기본자료!$K$2:$K$1001,$AB105),10000)/100)&gt;=1,INT(MOD(INDEX(기본자료!$K$2:$K$1001,$AB105),10000)/100)&lt;=12,MOD(INDEX(기본자료!$K$2:$K$1001,$AB105),100)&gt;=1,MOD(INDEX(기본자료!$K$2:$K$1001,$AB105),100)&lt;=31),DATE(INT(INDEX(기본자료!$K$2:$K$1001,$AB105)/10000),INT(MOD(INDEX(기본자료!$K$2:$K$1001,$AB105),10000)/100),MOD(INDEX(기본자료!$K$2:$K$1001,$AB105),100)),INDEX(기본자료!$K$2:$K$1001,$AB105)&amp;"")))))</f>
        <v/>
      </c>
      <c r="F105" s="10">
        <f>IF($AB105="","",IF(INDEX(기본자료!$D$2:$D$1001,$AB105)="","",INDEX(기본자료!$D$2:$D$1001,$AB105)))</f>
        <v/>
      </c>
      <c r="G105" s="10">
        <f>IF($AB105="","",IF(INDEX(기본자료!$E$2:$E$1001,$AB105)="","",INDEX(기본자료!$E$2:$E$1001,$AB105)))</f>
        <v/>
      </c>
      <c r="H105" s="10">
        <f>IF($AB105="","",IF(INDEX(기본자료!$F$2:$F$1001,$AB105)="","",INDEX(기본자료!$F$2:$F$1001,$AB105)))</f>
        <v/>
      </c>
      <c r="I105" s="11">
        <f>IF($AB105="","",IF(INDEX(기본자료!$G$2:$G$1001,$AB105)="","",IF(NOT(ISNUMBER(INDEX(기본자료!$G$2:$G$1001,$AB105))),INDEX(기본자료!$G$2:$G$1001,$AB105),IF(INDEX(기본자료!$G$2:$G$1001,$AB105)&lt;1000000,INDEX(기본자료!$G$2:$G$1001,$AB105),IF(AND(INDEX(기본자료!$G$2:$G$1001,$AB105)&gt;=10000101,INT(MOD(INDEX(기본자료!$G$2:$G$1001,$AB105),10000)/100)&gt;=1,INT(MOD(INDEX(기본자료!$G$2:$G$1001,$AB105),10000)/100)&lt;=12,MOD(INDEX(기본자료!$G$2:$G$1001,$AB105),100)&gt;=1,MOD(INDEX(기본자료!$G$2:$G$1001,$AB105),100)&lt;=31),DATE(INT(INDEX(기본자료!$G$2:$G$1001,$AB105)/10000),INT(MOD(INDEX(기본자료!$G$2:$G$1001,$AB105),10000)/100),MOD(INDEX(기본자료!$G$2:$G$1001,$AB105),100)),INDEX(기본자료!$G$2:$G$1001,$AB105)&amp;"")))))</f>
        <v/>
      </c>
      <c r="J105" s="10">
        <f>IF($AB105="","",IF(INDEX(기본자료!$H$2:$H$1001,$AB105)="","",INDEX(기본자료!$H$2:$H$1001,$AB105)))</f>
        <v/>
      </c>
      <c r="K105" s="10">
        <f>IF($AB105="","",IF(INDEX(기본자료!$I$2:$I$1001,$AB105)="","",INDEX(기본자료!$I$2:$I$1001,$AB105)))</f>
        <v/>
      </c>
      <c r="L105" s="10">
        <f>IF($AB105="","",IF(INDEX(기본자료!$A$2:$A$1001,$AB105)="","",INDEX(기본자료!$A$2:$A$1001,$AB105)))</f>
        <v/>
      </c>
      <c r="M105" s="15" t="n"/>
      <c r="N105" s="10">
        <f>IF($B105="","",IF(AND($U105="파견중",$Q105&lt;&gt;""),$Q105,IF(AND($AD105&lt;&gt;"",LEFT($AD105,1)&lt;&gt;"⚠"),LEFT($AD105,FIND(" ",$AD105)-1),IF($H105="","",IF(RIGHT($H105,2)="병원",$H105,$H105&amp;"병원")))))</f>
        <v/>
      </c>
      <c r="O105" s="10">
        <f>IF($B105="","",IF(AND($U105="파견중",$Q105&lt;&gt;""),IF($R105&lt;&gt;"",$R105,"파견과 미입력"),IF(AND($AD105&lt;&gt;"",LEFT($AD105,1)&lt;&gt;"⚠"),MID($AD105,FIND(" ",$AD105)+1,60),IF($F105="","",IF($F105="인턴","수련교육부(인턴)",$F105)))))</f>
        <v/>
      </c>
      <c r="P105" s="10">
        <f>IF($B105="","",IF($AK105&lt;&gt;"",IF(AND(TODAY()&gt;=INDEX(파견수련계획!$AB$4:$AB$83,$AK105),OR(NOT(ISNUMBER(INDEX(파견수련계획!$AC$4:$AC$83,$AK105))),TODAY()&lt;=INDEX(파견수련계획!$AC$4:$AC$83,$AK105))),"다기관",IF($AF105="","",INDEX(파견수련계획!$T$4:$T$83,$AF105))),IF($AF105="","",INDEX(파견수련계획!$T$4:$T$83,$AF105))))</f>
        <v/>
      </c>
      <c r="Q105" s="10">
        <f>IF($AF105="","",INDEX(파견수련계획!$S$4:$S$83,$AF105))</f>
        <v/>
      </c>
      <c r="R105" s="10">
        <f>IF($AF105="","",INDEX(파견수련계획!$U$4:$U$83,$AF105))</f>
        <v/>
      </c>
      <c r="S105" s="11">
        <f>IF($AF105="","",IF(INDEX(파견수련계획!$H$4:$H$83,$AF105)="","",INDEX(파견수련계획!$H$4:$H$83,$AF105)))</f>
        <v/>
      </c>
      <c r="T105" s="11">
        <f>IF($AF105="","",IF(INDEX(파견수련계획!$I$4:$I$83,$AF105)="","",INDEX(파견수련계획!$I$4:$I$83,$AF105)))</f>
        <v/>
      </c>
      <c r="U105" s="10">
        <f>IF($AF105="","",INDEX(파견수련계획!$X$4:$X$83,$AF105))</f>
        <v/>
      </c>
      <c r="V105" s="17">
        <f>IF($AF105="","",INDEX(파견수련계획!$V$4:$V$83,$AF105))</f>
        <v/>
      </c>
      <c r="W105" s="17">
        <f>IF(AND($U105="파견중",$T105&lt;&gt;""),$T105-TODAY(),"")</f>
        <v/>
      </c>
      <c r="X105" s="17">
        <f>IF(OR($B105="",TRIM($J105&amp;"")=""),"",SUMPRODUCT((파견수련계획!$Q$4:$Q$83=TRIM($J105&amp;""))*파견수련계획!$W$4:$W$83))</f>
        <v/>
      </c>
      <c r="Y105" s="10">
        <f>IF($B105="","",IF($AG105="","",IF(IF(TRIM($J105&amp;"")="",0,SUMPRODUCT((파견수련계획!$Q$4:$Q$83=TRIM($J105&amp;""))*파견수련계획!$AD$4:$AD$83))&gt;0,$AE105,IF(N($X105)&lt;=0,$AG105,IF($AH105+$AI105=DAY(EOMONTH(요약!$B$3,0)),IF(AND($AH105&gt;=요약!$E$3,$AI105&lt;요약!$E$3),"서울병원",IF(AND($AI105&gt;=요약!$E$3,$AH105&lt;요약!$E$3),"구리병원","⚠15일 판정불가(서울 "&amp;$AH105&amp;"일/구리 "&amp;$AI105&amp;"일)")),IF($AJ105="",$AE105,IF(INDEX(파견수련계획!$T$4:$T$83,$AJ105)="통합수련",INDEX(파견수련계획!$S$4:$S$83,$AJ105),$AE105)))))))</f>
        <v/>
      </c>
      <c r="Z105" s="19">
        <f>IF($B105="","",IF($AB105="","기본자료에 없는 사번",IF(COUNTIF($B$2:$B$401,$B105)&gt;1,"중복 사번",IF($AE105="","소속(입사장소) 입력",IF(IF(TRIM($J105&amp;"")="",0,SUMPRODUCT((파견수련계획!$Q$4:$Q$83=TRIM($J105&amp;""))*(파견수련계획!$AA$4:$AA$83&lt;&gt;"")))&gt;0,"파견수련계획 입력오류 확인",IF(LEFT($Y105,1)="⚠","서울·구리 15일 판정 불가(양쪽 모두 이상/미만)",IF(IF($AC105="",0,N(INDEX(인턴근무계획!$T$3:$T$62,$AC105)))&gt;0,"인턴계획 입력오류 확인",IF(AND($AC105&lt;&gt;"",$U105&lt;&gt;"파견중",$N105&lt;&gt;$AE105),"인턴 타지역 근무: 파견 여부 확인","정상"))))))))</f>
        <v/>
      </c>
      <c r="AA105" s="5" t="n"/>
      <c r="AB105" s="10">
        <f>IF($B105="","",IFERROR(MATCH($B105,기본자료!$B$2:$B$1001,0),IFERROR(MATCH($B105&amp;"",기본자료!$B$2:$B$1001,0),IFERROR(MATCH(VALUE($B105),기본자료!$B$2:$B$1001,0),""))))</f>
        <v/>
      </c>
      <c r="AC105" s="10">
        <f>IF($B105="","",IFERROR(MATCH($B105,인턴근무계획!$D$3:$D$62,0),IFERROR(MATCH($B105&amp;"",인턴근무계획!$D$3:$D$62,0),IFERROR(MATCH(VALUE($B105),인턴근무계획!$D$3:$D$62,0),""))))</f>
        <v/>
      </c>
      <c r="AD105" s="10">
        <f>IF(OR($AC105="",인턴현황!$G$3=""),"",INDEX(인턴근무계획!$M$3:$R$62,$AC105,인턴현황!$G$3)&amp;"")</f>
        <v/>
      </c>
      <c r="AE105" s="10">
        <f>IF($B105="","",IF($M105&lt;&gt;"",$M105,IF($AF105&lt;&gt;"",IF(LEFT(INDEX(파견수련계획!$R$4:$R$83,$AF105),1)&lt;&gt;"⚠",INDEX(파견수련계획!$R$4:$R$83,$AF105),IF($H105="","",IF(RIGHT($H105,2)="병원",$H105,$H105&amp;"병원"))),IF($H105="","",IF(RIGHT($H105,2)="병원",$H105,$H105&amp;"병원")))))</f>
        <v/>
      </c>
      <c r="AF105" s="10">
        <f>IF(OR($B105="",TRIM($J105&amp;"")=""),"",IFERROR(MATCH(TRIM($J105&amp;"")&amp;"|파견중",파견수련계획!$Y$4:$Y$83,0),IFERROR(MATCH(TRIM($J105&amp;"")&amp;"|파견예정",파견수련계획!$Y$4:$Y$83,0),IFERROR(MATCH(TRIM($J105&amp;"")&amp;"|파견종료",파견수련계획!$Y$4:$Y$83,0),""))))</f>
        <v/>
      </c>
      <c r="AG105" s="10">
        <f>IF($B105="","",IF(AND(IF(OR($AC105="",인턴현황!$K$2=""),"",INDEX(인턴근무계획!$M$3:$R$62,$AC105,인턴현황!$K$2)&amp;"")&lt;&gt;"",LEFT(IF(OR($AC105="",인턴현황!$K$2=""),"",INDEX(인턴근무계획!$M$3:$R$62,$AC105,인턴현황!$K$2)&amp;""),1)&lt;&gt;"⚠"),LEFT(IF(OR($AC105="",인턴현황!$K$2=""),"",INDEX(인턴근무계획!$M$3:$R$62,$AC105,인턴현황!$K$2)&amp;""),FIND(" ",IF(OR($AC105="",인턴현황!$K$2=""),"",INDEX(인턴근무계획!$M$3:$R$62,$AC105,인턴현황!$K$2)&amp;""))-1),$AE105))</f>
        <v/>
      </c>
      <c r="AH105" s="17">
        <f>IF($B105="","",IF(TRIM($J105&amp;"")="",0,SUMPRODUCT((파견수련계획!$Q$4:$Q$83=TRIM($J105&amp;""))*(파견수련계획!$S$4:$S$83="서울병원")*파견수련계획!$W$4:$W$83))+IF($AG105="서울병원",MAX(0,DAY(EOMONTH(요약!$B$3,0))-N($X105)),0))</f>
        <v/>
      </c>
      <c r="AI105" s="17">
        <f>IF($B105="","",IF(TRIM($J105&amp;"")="",0,SUMPRODUCT((파견수련계획!$Q$4:$Q$83=TRIM($J105&amp;""))*(파견수련계획!$S$4:$S$83="구리병원")*파견수련계획!$W$4:$W$83))+IF($AG105="구리병원",MAX(0,DAY(EOMONTH(요약!$B$3,0))-N($X105)),0))</f>
        <v/>
      </c>
      <c r="AJ105" s="10">
        <f>IF(OR($B105="",TRIM($J105&amp;"")=""),"",IFERROR(MATCH(TRIM($J105&amp;"")&amp;"|월",파견수련계획!$Z$4:$Z$83,0),""))</f>
        <v/>
      </c>
      <c r="AK105" s="10">
        <f>IF(OR($B105="",TRIM($J105&amp;"")=""),"",IFERROR(MATCH(TRIM($J105&amp;"")&amp;"|다기관",파견수련계획!$AE$4:$AE$83,0),""))</f>
        <v/>
      </c>
      <c r="AL105" s="10">
        <f>IF($AK105="","","다기관 "&amp;TEXT(INDEX(파견수련계획!$AB$4:$AB$83,$AK105),"yyyy-mm-dd")&amp;"~"&amp;IF(ISNUMBER(INDEX(파견수련계획!$AC$4:$AC$83,$AK105)),TEXT(INDEX(파견수련계획!$AC$4:$AC$83,$AK105),"yyyy-mm-dd"),""))</f>
        <v/>
      </c>
    </row>
    <row r="106">
      <c r="A106" s="10">
        <f>IF(B106="","",ROW()-1)</f>
        <v/>
      </c>
      <c r="B106" s="18" t="n"/>
      <c r="C106" s="10">
        <f>IF($AB106="","",IF(INDEX(기본자료!$C$2:$C$1001,$AB106)="","",INDEX(기본자료!$C$2:$C$1001,$AB106)))</f>
        <v/>
      </c>
      <c r="D106" s="10">
        <f>IF($AB106="","",IF(INDEX(기본자료!$J$2:$J$1001,$AB106)="","",INDEX(기본자료!$J$2:$J$1001,$AB106)))</f>
        <v/>
      </c>
      <c r="E106" s="11">
        <f>IF($AB106="","",IF(INDEX(기본자료!$K$2:$K$1001,$AB106)="","",IF(NOT(ISNUMBER(INDEX(기본자료!$K$2:$K$1001,$AB106))),INDEX(기본자료!$K$2:$K$1001,$AB106),IF(INDEX(기본자료!$K$2:$K$1001,$AB106)&lt;1000000,INDEX(기본자료!$K$2:$K$1001,$AB106),IF(AND(INDEX(기본자료!$K$2:$K$1001,$AB106)&gt;=10000101,INT(MOD(INDEX(기본자료!$K$2:$K$1001,$AB106),10000)/100)&gt;=1,INT(MOD(INDEX(기본자료!$K$2:$K$1001,$AB106),10000)/100)&lt;=12,MOD(INDEX(기본자료!$K$2:$K$1001,$AB106),100)&gt;=1,MOD(INDEX(기본자료!$K$2:$K$1001,$AB106),100)&lt;=31),DATE(INT(INDEX(기본자료!$K$2:$K$1001,$AB106)/10000),INT(MOD(INDEX(기본자료!$K$2:$K$1001,$AB106),10000)/100),MOD(INDEX(기본자료!$K$2:$K$1001,$AB106),100)),INDEX(기본자료!$K$2:$K$1001,$AB106)&amp;"")))))</f>
        <v/>
      </c>
      <c r="F106" s="10">
        <f>IF($AB106="","",IF(INDEX(기본자료!$D$2:$D$1001,$AB106)="","",INDEX(기본자료!$D$2:$D$1001,$AB106)))</f>
        <v/>
      </c>
      <c r="G106" s="10">
        <f>IF($AB106="","",IF(INDEX(기본자료!$E$2:$E$1001,$AB106)="","",INDEX(기본자료!$E$2:$E$1001,$AB106)))</f>
        <v/>
      </c>
      <c r="H106" s="10">
        <f>IF($AB106="","",IF(INDEX(기본자료!$F$2:$F$1001,$AB106)="","",INDEX(기본자료!$F$2:$F$1001,$AB106)))</f>
        <v/>
      </c>
      <c r="I106" s="11">
        <f>IF($AB106="","",IF(INDEX(기본자료!$G$2:$G$1001,$AB106)="","",IF(NOT(ISNUMBER(INDEX(기본자료!$G$2:$G$1001,$AB106))),INDEX(기본자료!$G$2:$G$1001,$AB106),IF(INDEX(기본자료!$G$2:$G$1001,$AB106)&lt;1000000,INDEX(기본자료!$G$2:$G$1001,$AB106),IF(AND(INDEX(기본자료!$G$2:$G$1001,$AB106)&gt;=10000101,INT(MOD(INDEX(기본자료!$G$2:$G$1001,$AB106),10000)/100)&gt;=1,INT(MOD(INDEX(기본자료!$G$2:$G$1001,$AB106),10000)/100)&lt;=12,MOD(INDEX(기본자료!$G$2:$G$1001,$AB106),100)&gt;=1,MOD(INDEX(기본자료!$G$2:$G$1001,$AB106),100)&lt;=31),DATE(INT(INDEX(기본자료!$G$2:$G$1001,$AB106)/10000),INT(MOD(INDEX(기본자료!$G$2:$G$1001,$AB106),10000)/100),MOD(INDEX(기본자료!$G$2:$G$1001,$AB106),100)),INDEX(기본자료!$G$2:$G$1001,$AB106)&amp;"")))))</f>
        <v/>
      </c>
      <c r="J106" s="10">
        <f>IF($AB106="","",IF(INDEX(기본자료!$H$2:$H$1001,$AB106)="","",INDEX(기본자료!$H$2:$H$1001,$AB106)))</f>
        <v/>
      </c>
      <c r="K106" s="10">
        <f>IF($AB106="","",IF(INDEX(기본자료!$I$2:$I$1001,$AB106)="","",INDEX(기본자료!$I$2:$I$1001,$AB106)))</f>
        <v/>
      </c>
      <c r="L106" s="10">
        <f>IF($AB106="","",IF(INDEX(기본자료!$A$2:$A$1001,$AB106)="","",INDEX(기본자료!$A$2:$A$1001,$AB106)))</f>
        <v/>
      </c>
      <c r="M106" s="15" t="n"/>
      <c r="N106" s="10">
        <f>IF($B106="","",IF(AND($U106="파견중",$Q106&lt;&gt;""),$Q106,IF(AND($AD106&lt;&gt;"",LEFT($AD106,1)&lt;&gt;"⚠"),LEFT($AD106,FIND(" ",$AD106)-1),IF($H106="","",IF(RIGHT($H106,2)="병원",$H106,$H106&amp;"병원")))))</f>
        <v/>
      </c>
      <c r="O106" s="10">
        <f>IF($B106="","",IF(AND($U106="파견중",$Q106&lt;&gt;""),IF($R106&lt;&gt;"",$R106,"파견과 미입력"),IF(AND($AD106&lt;&gt;"",LEFT($AD106,1)&lt;&gt;"⚠"),MID($AD106,FIND(" ",$AD106)+1,60),IF($F106="","",IF($F106="인턴","수련교육부(인턴)",$F106)))))</f>
        <v/>
      </c>
      <c r="P106" s="10">
        <f>IF($B106="","",IF($AK106&lt;&gt;"",IF(AND(TODAY()&gt;=INDEX(파견수련계획!$AB$4:$AB$83,$AK106),OR(NOT(ISNUMBER(INDEX(파견수련계획!$AC$4:$AC$83,$AK106))),TODAY()&lt;=INDEX(파견수련계획!$AC$4:$AC$83,$AK106))),"다기관",IF($AF106="","",INDEX(파견수련계획!$T$4:$T$83,$AF106))),IF($AF106="","",INDEX(파견수련계획!$T$4:$T$83,$AF106))))</f>
        <v/>
      </c>
      <c r="Q106" s="10">
        <f>IF($AF106="","",INDEX(파견수련계획!$S$4:$S$83,$AF106))</f>
        <v/>
      </c>
      <c r="R106" s="10">
        <f>IF($AF106="","",INDEX(파견수련계획!$U$4:$U$83,$AF106))</f>
        <v/>
      </c>
      <c r="S106" s="11">
        <f>IF($AF106="","",IF(INDEX(파견수련계획!$H$4:$H$83,$AF106)="","",INDEX(파견수련계획!$H$4:$H$83,$AF106)))</f>
        <v/>
      </c>
      <c r="T106" s="11">
        <f>IF($AF106="","",IF(INDEX(파견수련계획!$I$4:$I$83,$AF106)="","",INDEX(파견수련계획!$I$4:$I$83,$AF106)))</f>
        <v/>
      </c>
      <c r="U106" s="10">
        <f>IF($AF106="","",INDEX(파견수련계획!$X$4:$X$83,$AF106))</f>
        <v/>
      </c>
      <c r="V106" s="17">
        <f>IF($AF106="","",INDEX(파견수련계획!$V$4:$V$83,$AF106))</f>
        <v/>
      </c>
      <c r="W106" s="17">
        <f>IF(AND($U106="파견중",$T106&lt;&gt;""),$T106-TODAY(),"")</f>
        <v/>
      </c>
      <c r="X106" s="17">
        <f>IF(OR($B106="",TRIM($J106&amp;"")=""),"",SUMPRODUCT((파견수련계획!$Q$4:$Q$83=TRIM($J106&amp;""))*파견수련계획!$W$4:$W$83))</f>
        <v/>
      </c>
      <c r="Y106" s="10">
        <f>IF($B106="","",IF($AG106="","",IF(IF(TRIM($J106&amp;"")="",0,SUMPRODUCT((파견수련계획!$Q$4:$Q$83=TRIM($J106&amp;""))*파견수련계획!$AD$4:$AD$83))&gt;0,$AE106,IF(N($X106)&lt;=0,$AG106,IF($AH106+$AI106=DAY(EOMONTH(요약!$B$3,0)),IF(AND($AH106&gt;=요약!$E$3,$AI106&lt;요약!$E$3),"서울병원",IF(AND($AI106&gt;=요약!$E$3,$AH106&lt;요약!$E$3),"구리병원","⚠15일 판정불가(서울 "&amp;$AH106&amp;"일/구리 "&amp;$AI106&amp;"일)")),IF($AJ106="",$AE106,IF(INDEX(파견수련계획!$T$4:$T$83,$AJ106)="통합수련",INDEX(파견수련계획!$S$4:$S$83,$AJ106),$AE106)))))))</f>
        <v/>
      </c>
      <c r="Z106" s="19">
        <f>IF($B106="","",IF($AB106="","기본자료에 없는 사번",IF(COUNTIF($B$2:$B$401,$B106)&gt;1,"중복 사번",IF($AE106="","소속(입사장소) 입력",IF(IF(TRIM($J106&amp;"")="",0,SUMPRODUCT((파견수련계획!$Q$4:$Q$83=TRIM($J106&amp;""))*(파견수련계획!$AA$4:$AA$83&lt;&gt;"")))&gt;0,"파견수련계획 입력오류 확인",IF(LEFT($Y106,1)="⚠","서울·구리 15일 판정 불가(양쪽 모두 이상/미만)",IF(IF($AC106="",0,N(INDEX(인턴근무계획!$T$3:$T$62,$AC106)))&gt;0,"인턴계획 입력오류 확인",IF(AND($AC106&lt;&gt;"",$U106&lt;&gt;"파견중",$N106&lt;&gt;$AE106),"인턴 타지역 근무: 파견 여부 확인","정상"))))))))</f>
        <v/>
      </c>
      <c r="AA106" s="5" t="n"/>
      <c r="AB106" s="10">
        <f>IF($B106="","",IFERROR(MATCH($B106,기본자료!$B$2:$B$1001,0),IFERROR(MATCH($B106&amp;"",기본자료!$B$2:$B$1001,0),IFERROR(MATCH(VALUE($B106),기본자료!$B$2:$B$1001,0),""))))</f>
        <v/>
      </c>
      <c r="AC106" s="10">
        <f>IF($B106="","",IFERROR(MATCH($B106,인턴근무계획!$D$3:$D$62,0),IFERROR(MATCH($B106&amp;"",인턴근무계획!$D$3:$D$62,0),IFERROR(MATCH(VALUE($B106),인턴근무계획!$D$3:$D$62,0),""))))</f>
        <v/>
      </c>
      <c r="AD106" s="10">
        <f>IF(OR($AC106="",인턴현황!$G$3=""),"",INDEX(인턴근무계획!$M$3:$R$62,$AC106,인턴현황!$G$3)&amp;"")</f>
        <v/>
      </c>
      <c r="AE106" s="10">
        <f>IF($B106="","",IF($M106&lt;&gt;"",$M106,IF($AF106&lt;&gt;"",IF(LEFT(INDEX(파견수련계획!$R$4:$R$83,$AF106),1)&lt;&gt;"⚠",INDEX(파견수련계획!$R$4:$R$83,$AF106),IF($H106="","",IF(RIGHT($H106,2)="병원",$H106,$H106&amp;"병원"))),IF($H106="","",IF(RIGHT($H106,2)="병원",$H106,$H106&amp;"병원")))))</f>
        <v/>
      </c>
      <c r="AF106" s="10">
        <f>IF(OR($B106="",TRIM($J106&amp;"")=""),"",IFERROR(MATCH(TRIM($J106&amp;"")&amp;"|파견중",파견수련계획!$Y$4:$Y$83,0),IFERROR(MATCH(TRIM($J106&amp;"")&amp;"|파견예정",파견수련계획!$Y$4:$Y$83,0),IFERROR(MATCH(TRIM($J106&amp;"")&amp;"|파견종료",파견수련계획!$Y$4:$Y$83,0),""))))</f>
        <v/>
      </c>
      <c r="AG106" s="10">
        <f>IF($B106="","",IF(AND(IF(OR($AC106="",인턴현황!$K$2=""),"",INDEX(인턴근무계획!$M$3:$R$62,$AC106,인턴현황!$K$2)&amp;"")&lt;&gt;"",LEFT(IF(OR($AC106="",인턴현황!$K$2=""),"",INDEX(인턴근무계획!$M$3:$R$62,$AC106,인턴현황!$K$2)&amp;""),1)&lt;&gt;"⚠"),LEFT(IF(OR($AC106="",인턴현황!$K$2=""),"",INDEX(인턴근무계획!$M$3:$R$62,$AC106,인턴현황!$K$2)&amp;""),FIND(" ",IF(OR($AC106="",인턴현황!$K$2=""),"",INDEX(인턴근무계획!$M$3:$R$62,$AC106,인턴현황!$K$2)&amp;""))-1),$AE106))</f>
        <v/>
      </c>
      <c r="AH106" s="17">
        <f>IF($B106="","",IF(TRIM($J106&amp;"")="",0,SUMPRODUCT((파견수련계획!$Q$4:$Q$83=TRIM($J106&amp;""))*(파견수련계획!$S$4:$S$83="서울병원")*파견수련계획!$W$4:$W$83))+IF($AG106="서울병원",MAX(0,DAY(EOMONTH(요약!$B$3,0))-N($X106)),0))</f>
        <v/>
      </c>
      <c r="AI106" s="17">
        <f>IF($B106="","",IF(TRIM($J106&amp;"")="",0,SUMPRODUCT((파견수련계획!$Q$4:$Q$83=TRIM($J106&amp;""))*(파견수련계획!$S$4:$S$83="구리병원")*파견수련계획!$W$4:$W$83))+IF($AG106="구리병원",MAX(0,DAY(EOMONTH(요약!$B$3,0))-N($X106)),0))</f>
        <v/>
      </c>
      <c r="AJ106" s="10">
        <f>IF(OR($B106="",TRIM($J106&amp;"")=""),"",IFERROR(MATCH(TRIM($J106&amp;"")&amp;"|월",파견수련계획!$Z$4:$Z$83,0),""))</f>
        <v/>
      </c>
      <c r="AK106" s="10">
        <f>IF(OR($B106="",TRIM($J106&amp;"")=""),"",IFERROR(MATCH(TRIM($J106&amp;"")&amp;"|다기관",파견수련계획!$AE$4:$AE$83,0),""))</f>
        <v/>
      </c>
      <c r="AL106" s="10">
        <f>IF($AK106="","","다기관 "&amp;TEXT(INDEX(파견수련계획!$AB$4:$AB$83,$AK106),"yyyy-mm-dd")&amp;"~"&amp;IF(ISNUMBER(INDEX(파견수련계획!$AC$4:$AC$83,$AK106)),TEXT(INDEX(파견수련계획!$AC$4:$AC$83,$AK106),"yyyy-mm-dd"),""))</f>
        <v/>
      </c>
    </row>
    <row r="107">
      <c r="A107" s="10">
        <f>IF(B107="","",ROW()-1)</f>
        <v/>
      </c>
      <c r="B107" s="18" t="n"/>
      <c r="C107" s="10">
        <f>IF($AB107="","",IF(INDEX(기본자료!$C$2:$C$1001,$AB107)="","",INDEX(기본자료!$C$2:$C$1001,$AB107)))</f>
        <v/>
      </c>
      <c r="D107" s="10">
        <f>IF($AB107="","",IF(INDEX(기본자료!$J$2:$J$1001,$AB107)="","",INDEX(기본자료!$J$2:$J$1001,$AB107)))</f>
        <v/>
      </c>
      <c r="E107" s="11">
        <f>IF($AB107="","",IF(INDEX(기본자료!$K$2:$K$1001,$AB107)="","",IF(NOT(ISNUMBER(INDEX(기본자료!$K$2:$K$1001,$AB107))),INDEX(기본자료!$K$2:$K$1001,$AB107),IF(INDEX(기본자료!$K$2:$K$1001,$AB107)&lt;1000000,INDEX(기본자료!$K$2:$K$1001,$AB107),IF(AND(INDEX(기본자료!$K$2:$K$1001,$AB107)&gt;=10000101,INT(MOD(INDEX(기본자료!$K$2:$K$1001,$AB107),10000)/100)&gt;=1,INT(MOD(INDEX(기본자료!$K$2:$K$1001,$AB107),10000)/100)&lt;=12,MOD(INDEX(기본자료!$K$2:$K$1001,$AB107),100)&gt;=1,MOD(INDEX(기본자료!$K$2:$K$1001,$AB107),100)&lt;=31),DATE(INT(INDEX(기본자료!$K$2:$K$1001,$AB107)/10000),INT(MOD(INDEX(기본자료!$K$2:$K$1001,$AB107),10000)/100),MOD(INDEX(기본자료!$K$2:$K$1001,$AB107),100)),INDEX(기본자료!$K$2:$K$1001,$AB107)&amp;"")))))</f>
        <v/>
      </c>
      <c r="F107" s="10">
        <f>IF($AB107="","",IF(INDEX(기본자료!$D$2:$D$1001,$AB107)="","",INDEX(기본자료!$D$2:$D$1001,$AB107)))</f>
        <v/>
      </c>
      <c r="G107" s="10">
        <f>IF($AB107="","",IF(INDEX(기본자료!$E$2:$E$1001,$AB107)="","",INDEX(기본자료!$E$2:$E$1001,$AB107)))</f>
        <v/>
      </c>
      <c r="H107" s="10">
        <f>IF($AB107="","",IF(INDEX(기본자료!$F$2:$F$1001,$AB107)="","",INDEX(기본자료!$F$2:$F$1001,$AB107)))</f>
        <v/>
      </c>
      <c r="I107" s="11">
        <f>IF($AB107="","",IF(INDEX(기본자료!$G$2:$G$1001,$AB107)="","",IF(NOT(ISNUMBER(INDEX(기본자료!$G$2:$G$1001,$AB107))),INDEX(기본자료!$G$2:$G$1001,$AB107),IF(INDEX(기본자료!$G$2:$G$1001,$AB107)&lt;1000000,INDEX(기본자료!$G$2:$G$1001,$AB107),IF(AND(INDEX(기본자료!$G$2:$G$1001,$AB107)&gt;=10000101,INT(MOD(INDEX(기본자료!$G$2:$G$1001,$AB107),10000)/100)&gt;=1,INT(MOD(INDEX(기본자료!$G$2:$G$1001,$AB107),10000)/100)&lt;=12,MOD(INDEX(기본자료!$G$2:$G$1001,$AB107),100)&gt;=1,MOD(INDEX(기본자료!$G$2:$G$1001,$AB107),100)&lt;=31),DATE(INT(INDEX(기본자료!$G$2:$G$1001,$AB107)/10000),INT(MOD(INDEX(기본자료!$G$2:$G$1001,$AB107),10000)/100),MOD(INDEX(기본자료!$G$2:$G$1001,$AB107),100)),INDEX(기본자료!$G$2:$G$1001,$AB107)&amp;"")))))</f>
        <v/>
      </c>
      <c r="J107" s="10">
        <f>IF($AB107="","",IF(INDEX(기본자료!$H$2:$H$1001,$AB107)="","",INDEX(기본자료!$H$2:$H$1001,$AB107)))</f>
        <v/>
      </c>
      <c r="K107" s="10">
        <f>IF($AB107="","",IF(INDEX(기본자료!$I$2:$I$1001,$AB107)="","",INDEX(기본자료!$I$2:$I$1001,$AB107)))</f>
        <v/>
      </c>
      <c r="L107" s="10">
        <f>IF($AB107="","",IF(INDEX(기본자료!$A$2:$A$1001,$AB107)="","",INDEX(기본자료!$A$2:$A$1001,$AB107)))</f>
        <v/>
      </c>
      <c r="M107" s="15" t="n"/>
      <c r="N107" s="10">
        <f>IF($B107="","",IF(AND($U107="파견중",$Q107&lt;&gt;""),$Q107,IF(AND($AD107&lt;&gt;"",LEFT($AD107,1)&lt;&gt;"⚠"),LEFT($AD107,FIND(" ",$AD107)-1),IF($H107="","",IF(RIGHT($H107,2)="병원",$H107,$H107&amp;"병원")))))</f>
        <v/>
      </c>
      <c r="O107" s="10">
        <f>IF($B107="","",IF(AND($U107="파견중",$Q107&lt;&gt;""),IF($R107&lt;&gt;"",$R107,"파견과 미입력"),IF(AND($AD107&lt;&gt;"",LEFT($AD107,1)&lt;&gt;"⚠"),MID($AD107,FIND(" ",$AD107)+1,60),IF($F107="","",IF($F107="인턴","수련교육부(인턴)",$F107)))))</f>
        <v/>
      </c>
      <c r="P107" s="10">
        <f>IF($B107="","",IF($AK107&lt;&gt;"",IF(AND(TODAY()&gt;=INDEX(파견수련계획!$AB$4:$AB$83,$AK107),OR(NOT(ISNUMBER(INDEX(파견수련계획!$AC$4:$AC$83,$AK107))),TODAY()&lt;=INDEX(파견수련계획!$AC$4:$AC$83,$AK107))),"다기관",IF($AF107="","",INDEX(파견수련계획!$T$4:$T$83,$AF107))),IF($AF107="","",INDEX(파견수련계획!$T$4:$T$83,$AF107))))</f>
        <v/>
      </c>
      <c r="Q107" s="10">
        <f>IF($AF107="","",INDEX(파견수련계획!$S$4:$S$83,$AF107))</f>
        <v/>
      </c>
      <c r="R107" s="10">
        <f>IF($AF107="","",INDEX(파견수련계획!$U$4:$U$83,$AF107))</f>
        <v/>
      </c>
      <c r="S107" s="11">
        <f>IF($AF107="","",IF(INDEX(파견수련계획!$H$4:$H$83,$AF107)="","",INDEX(파견수련계획!$H$4:$H$83,$AF107)))</f>
        <v/>
      </c>
      <c r="T107" s="11">
        <f>IF($AF107="","",IF(INDEX(파견수련계획!$I$4:$I$83,$AF107)="","",INDEX(파견수련계획!$I$4:$I$83,$AF107)))</f>
        <v/>
      </c>
      <c r="U107" s="10">
        <f>IF($AF107="","",INDEX(파견수련계획!$X$4:$X$83,$AF107))</f>
        <v/>
      </c>
      <c r="V107" s="17">
        <f>IF($AF107="","",INDEX(파견수련계획!$V$4:$V$83,$AF107))</f>
        <v/>
      </c>
      <c r="W107" s="17">
        <f>IF(AND($U107="파견중",$T107&lt;&gt;""),$T107-TODAY(),"")</f>
        <v/>
      </c>
      <c r="X107" s="17">
        <f>IF(OR($B107="",TRIM($J107&amp;"")=""),"",SUMPRODUCT((파견수련계획!$Q$4:$Q$83=TRIM($J107&amp;""))*파견수련계획!$W$4:$W$83))</f>
        <v/>
      </c>
      <c r="Y107" s="10">
        <f>IF($B107="","",IF($AG107="","",IF(IF(TRIM($J107&amp;"")="",0,SUMPRODUCT((파견수련계획!$Q$4:$Q$83=TRIM($J107&amp;""))*파견수련계획!$AD$4:$AD$83))&gt;0,$AE107,IF(N($X107)&lt;=0,$AG107,IF($AH107+$AI107=DAY(EOMONTH(요약!$B$3,0)),IF(AND($AH107&gt;=요약!$E$3,$AI107&lt;요약!$E$3),"서울병원",IF(AND($AI107&gt;=요약!$E$3,$AH107&lt;요약!$E$3),"구리병원","⚠15일 판정불가(서울 "&amp;$AH107&amp;"일/구리 "&amp;$AI107&amp;"일)")),IF($AJ107="",$AE107,IF(INDEX(파견수련계획!$T$4:$T$83,$AJ107)="통합수련",INDEX(파견수련계획!$S$4:$S$83,$AJ107),$AE107)))))))</f>
        <v/>
      </c>
      <c r="Z107" s="19">
        <f>IF($B107="","",IF($AB107="","기본자료에 없는 사번",IF(COUNTIF($B$2:$B$401,$B107)&gt;1,"중복 사번",IF($AE107="","소속(입사장소) 입력",IF(IF(TRIM($J107&amp;"")="",0,SUMPRODUCT((파견수련계획!$Q$4:$Q$83=TRIM($J107&amp;""))*(파견수련계획!$AA$4:$AA$83&lt;&gt;"")))&gt;0,"파견수련계획 입력오류 확인",IF(LEFT($Y107,1)="⚠","서울·구리 15일 판정 불가(양쪽 모두 이상/미만)",IF(IF($AC107="",0,N(INDEX(인턴근무계획!$T$3:$T$62,$AC107)))&gt;0,"인턴계획 입력오류 확인",IF(AND($AC107&lt;&gt;"",$U107&lt;&gt;"파견중",$N107&lt;&gt;$AE107),"인턴 타지역 근무: 파견 여부 확인","정상"))))))))</f>
        <v/>
      </c>
      <c r="AA107" s="5" t="n"/>
      <c r="AB107" s="10">
        <f>IF($B107="","",IFERROR(MATCH($B107,기본자료!$B$2:$B$1001,0),IFERROR(MATCH($B107&amp;"",기본자료!$B$2:$B$1001,0),IFERROR(MATCH(VALUE($B107),기본자료!$B$2:$B$1001,0),""))))</f>
        <v/>
      </c>
      <c r="AC107" s="10">
        <f>IF($B107="","",IFERROR(MATCH($B107,인턴근무계획!$D$3:$D$62,0),IFERROR(MATCH($B107&amp;"",인턴근무계획!$D$3:$D$62,0),IFERROR(MATCH(VALUE($B107),인턴근무계획!$D$3:$D$62,0),""))))</f>
        <v/>
      </c>
      <c r="AD107" s="10">
        <f>IF(OR($AC107="",인턴현황!$G$3=""),"",INDEX(인턴근무계획!$M$3:$R$62,$AC107,인턴현황!$G$3)&amp;"")</f>
        <v/>
      </c>
      <c r="AE107" s="10">
        <f>IF($B107="","",IF($M107&lt;&gt;"",$M107,IF($AF107&lt;&gt;"",IF(LEFT(INDEX(파견수련계획!$R$4:$R$83,$AF107),1)&lt;&gt;"⚠",INDEX(파견수련계획!$R$4:$R$83,$AF107),IF($H107="","",IF(RIGHT($H107,2)="병원",$H107,$H107&amp;"병원"))),IF($H107="","",IF(RIGHT($H107,2)="병원",$H107,$H107&amp;"병원")))))</f>
        <v/>
      </c>
      <c r="AF107" s="10">
        <f>IF(OR($B107="",TRIM($J107&amp;"")=""),"",IFERROR(MATCH(TRIM($J107&amp;"")&amp;"|파견중",파견수련계획!$Y$4:$Y$83,0),IFERROR(MATCH(TRIM($J107&amp;"")&amp;"|파견예정",파견수련계획!$Y$4:$Y$83,0),IFERROR(MATCH(TRIM($J107&amp;"")&amp;"|파견종료",파견수련계획!$Y$4:$Y$83,0),""))))</f>
        <v/>
      </c>
      <c r="AG107" s="10">
        <f>IF($B107="","",IF(AND(IF(OR($AC107="",인턴현황!$K$2=""),"",INDEX(인턴근무계획!$M$3:$R$62,$AC107,인턴현황!$K$2)&amp;"")&lt;&gt;"",LEFT(IF(OR($AC107="",인턴현황!$K$2=""),"",INDEX(인턴근무계획!$M$3:$R$62,$AC107,인턴현황!$K$2)&amp;""),1)&lt;&gt;"⚠"),LEFT(IF(OR($AC107="",인턴현황!$K$2=""),"",INDEX(인턴근무계획!$M$3:$R$62,$AC107,인턴현황!$K$2)&amp;""),FIND(" ",IF(OR($AC107="",인턴현황!$K$2=""),"",INDEX(인턴근무계획!$M$3:$R$62,$AC107,인턴현황!$K$2)&amp;""))-1),$AE107))</f>
        <v/>
      </c>
      <c r="AH107" s="17">
        <f>IF($B107="","",IF(TRIM($J107&amp;"")="",0,SUMPRODUCT((파견수련계획!$Q$4:$Q$83=TRIM($J107&amp;""))*(파견수련계획!$S$4:$S$83="서울병원")*파견수련계획!$W$4:$W$83))+IF($AG107="서울병원",MAX(0,DAY(EOMONTH(요약!$B$3,0))-N($X107)),0))</f>
        <v/>
      </c>
      <c r="AI107" s="17">
        <f>IF($B107="","",IF(TRIM($J107&amp;"")="",0,SUMPRODUCT((파견수련계획!$Q$4:$Q$83=TRIM($J107&amp;""))*(파견수련계획!$S$4:$S$83="구리병원")*파견수련계획!$W$4:$W$83))+IF($AG107="구리병원",MAX(0,DAY(EOMONTH(요약!$B$3,0))-N($X107)),0))</f>
        <v/>
      </c>
      <c r="AJ107" s="10">
        <f>IF(OR($B107="",TRIM($J107&amp;"")=""),"",IFERROR(MATCH(TRIM($J107&amp;"")&amp;"|월",파견수련계획!$Z$4:$Z$83,0),""))</f>
        <v/>
      </c>
      <c r="AK107" s="10">
        <f>IF(OR($B107="",TRIM($J107&amp;"")=""),"",IFERROR(MATCH(TRIM($J107&amp;"")&amp;"|다기관",파견수련계획!$AE$4:$AE$83,0),""))</f>
        <v/>
      </c>
      <c r="AL107" s="10">
        <f>IF($AK107="","","다기관 "&amp;TEXT(INDEX(파견수련계획!$AB$4:$AB$83,$AK107),"yyyy-mm-dd")&amp;"~"&amp;IF(ISNUMBER(INDEX(파견수련계획!$AC$4:$AC$83,$AK107)),TEXT(INDEX(파견수련계획!$AC$4:$AC$83,$AK107),"yyyy-mm-dd"),""))</f>
        <v/>
      </c>
    </row>
    <row r="108">
      <c r="A108" s="10">
        <f>IF(B108="","",ROW()-1)</f>
        <v/>
      </c>
      <c r="B108" s="18" t="n"/>
      <c r="C108" s="10">
        <f>IF($AB108="","",IF(INDEX(기본자료!$C$2:$C$1001,$AB108)="","",INDEX(기본자료!$C$2:$C$1001,$AB108)))</f>
        <v/>
      </c>
      <c r="D108" s="10">
        <f>IF($AB108="","",IF(INDEX(기본자료!$J$2:$J$1001,$AB108)="","",INDEX(기본자료!$J$2:$J$1001,$AB108)))</f>
        <v/>
      </c>
      <c r="E108" s="11">
        <f>IF($AB108="","",IF(INDEX(기본자료!$K$2:$K$1001,$AB108)="","",IF(NOT(ISNUMBER(INDEX(기본자료!$K$2:$K$1001,$AB108))),INDEX(기본자료!$K$2:$K$1001,$AB108),IF(INDEX(기본자료!$K$2:$K$1001,$AB108)&lt;1000000,INDEX(기본자료!$K$2:$K$1001,$AB108),IF(AND(INDEX(기본자료!$K$2:$K$1001,$AB108)&gt;=10000101,INT(MOD(INDEX(기본자료!$K$2:$K$1001,$AB108),10000)/100)&gt;=1,INT(MOD(INDEX(기본자료!$K$2:$K$1001,$AB108),10000)/100)&lt;=12,MOD(INDEX(기본자료!$K$2:$K$1001,$AB108),100)&gt;=1,MOD(INDEX(기본자료!$K$2:$K$1001,$AB108),100)&lt;=31),DATE(INT(INDEX(기본자료!$K$2:$K$1001,$AB108)/10000),INT(MOD(INDEX(기본자료!$K$2:$K$1001,$AB108),10000)/100),MOD(INDEX(기본자료!$K$2:$K$1001,$AB108),100)),INDEX(기본자료!$K$2:$K$1001,$AB108)&amp;"")))))</f>
        <v/>
      </c>
      <c r="F108" s="10">
        <f>IF($AB108="","",IF(INDEX(기본자료!$D$2:$D$1001,$AB108)="","",INDEX(기본자료!$D$2:$D$1001,$AB108)))</f>
        <v/>
      </c>
      <c r="G108" s="10">
        <f>IF($AB108="","",IF(INDEX(기본자료!$E$2:$E$1001,$AB108)="","",INDEX(기본자료!$E$2:$E$1001,$AB108)))</f>
        <v/>
      </c>
      <c r="H108" s="10">
        <f>IF($AB108="","",IF(INDEX(기본자료!$F$2:$F$1001,$AB108)="","",INDEX(기본자료!$F$2:$F$1001,$AB108)))</f>
        <v/>
      </c>
      <c r="I108" s="11">
        <f>IF($AB108="","",IF(INDEX(기본자료!$G$2:$G$1001,$AB108)="","",IF(NOT(ISNUMBER(INDEX(기본자료!$G$2:$G$1001,$AB108))),INDEX(기본자료!$G$2:$G$1001,$AB108),IF(INDEX(기본자료!$G$2:$G$1001,$AB108)&lt;1000000,INDEX(기본자료!$G$2:$G$1001,$AB108),IF(AND(INDEX(기본자료!$G$2:$G$1001,$AB108)&gt;=10000101,INT(MOD(INDEX(기본자료!$G$2:$G$1001,$AB108),10000)/100)&gt;=1,INT(MOD(INDEX(기본자료!$G$2:$G$1001,$AB108),10000)/100)&lt;=12,MOD(INDEX(기본자료!$G$2:$G$1001,$AB108),100)&gt;=1,MOD(INDEX(기본자료!$G$2:$G$1001,$AB108),100)&lt;=31),DATE(INT(INDEX(기본자료!$G$2:$G$1001,$AB108)/10000),INT(MOD(INDEX(기본자료!$G$2:$G$1001,$AB108),10000)/100),MOD(INDEX(기본자료!$G$2:$G$1001,$AB108),100)),INDEX(기본자료!$G$2:$G$1001,$AB108)&amp;"")))))</f>
        <v/>
      </c>
      <c r="J108" s="10">
        <f>IF($AB108="","",IF(INDEX(기본자료!$H$2:$H$1001,$AB108)="","",INDEX(기본자료!$H$2:$H$1001,$AB108)))</f>
        <v/>
      </c>
      <c r="K108" s="10">
        <f>IF($AB108="","",IF(INDEX(기본자료!$I$2:$I$1001,$AB108)="","",INDEX(기본자료!$I$2:$I$1001,$AB108)))</f>
        <v/>
      </c>
      <c r="L108" s="10">
        <f>IF($AB108="","",IF(INDEX(기본자료!$A$2:$A$1001,$AB108)="","",INDEX(기본자료!$A$2:$A$1001,$AB108)))</f>
        <v/>
      </c>
      <c r="M108" s="15" t="n"/>
      <c r="N108" s="10">
        <f>IF($B108="","",IF(AND($U108="파견중",$Q108&lt;&gt;""),$Q108,IF(AND($AD108&lt;&gt;"",LEFT($AD108,1)&lt;&gt;"⚠"),LEFT($AD108,FIND(" ",$AD108)-1),IF($H108="","",IF(RIGHT($H108,2)="병원",$H108,$H108&amp;"병원")))))</f>
        <v/>
      </c>
      <c r="O108" s="10">
        <f>IF($B108="","",IF(AND($U108="파견중",$Q108&lt;&gt;""),IF($R108&lt;&gt;"",$R108,"파견과 미입력"),IF(AND($AD108&lt;&gt;"",LEFT($AD108,1)&lt;&gt;"⚠"),MID($AD108,FIND(" ",$AD108)+1,60),IF($F108="","",IF($F108="인턴","수련교육부(인턴)",$F108)))))</f>
        <v/>
      </c>
      <c r="P108" s="10">
        <f>IF($B108="","",IF($AK108&lt;&gt;"",IF(AND(TODAY()&gt;=INDEX(파견수련계획!$AB$4:$AB$83,$AK108),OR(NOT(ISNUMBER(INDEX(파견수련계획!$AC$4:$AC$83,$AK108))),TODAY()&lt;=INDEX(파견수련계획!$AC$4:$AC$83,$AK108))),"다기관",IF($AF108="","",INDEX(파견수련계획!$T$4:$T$83,$AF108))),IF($AF108="","",INDEX(파견수련계획!$T$4:$T$83,$AF108))))</f>
        <v/>
      </c>
      <c r="Q108" s="10">
        <f>IF($AF108="","",INDEX(파견수련계획!$S$4:$S$83,$AF108))</f>
        <v/>
      </c>
      <c r="R108" s="10">
        <f>IF($AF108="","",INDEX(파견수련계획!$U$4:$U$83,$AF108))</f>
        <v/>
      </c>
      <c r="S108" s="11">
        <f>IF($AF108="","",IF(INDEX(파견수련계획!$H$4:$H$83,$AF108)="","",INDEX(파견수련계획!$H$4:$H$83,$AF108)))</f>
        <v/>
      </c>
      <c r="T108" s="11">
        <f>IF($AF108="","",IF(INDEX(파견수련계획!$I$4:$I$83,$AF108)="","",INDEX(파견수련계획!$I$4:$I$83,$AF108)))</f>
        <v/>
      </c>
      <c r="U108" s="10">
        <f>IF($AF108="","",INDEX(파견수련계획!$X$4:$X$83,$AF108))</f>
        <v/>
      </c>
      <c r="V108" s="17">
        <f>IF($AF108="","",INDEX(파견수련계획!$V$4:$V$83,$AF108))</f>
        <v/>
      </c>
      <c r="W108" s="17">
        <f>IF(AND($U108="파견중",$T108&lt;&gt;""),$T108-TODAY(),"")</f>
        <v/>
      </c>
      <c r="X108" s="17">
        <f>IF(OR($B108="",TRIM($J108&amp;"")=""),"",SUMPRODUCT((파견수련계획!$Q$4:$Q$83=TRIM($J108&amp;""))*파견수련계획!$W$4:$W$83))</f>
        <v/>
      </c>
      <c r="Y108" s="10">
        <f>IF($B108="","",IF($AG108="","",IF(IF(TRIM($J108&amp;"")="",0,SUMPRODUCT((파견수련계획!$Q$4:$Q$83=TRIM($J108&amp;""))*파견수련계획!$AD$4:$AD$83))&gt;0,$AE108,IF(N($X108)&lt;=0,$AG108,IF($AH108+$AI108=DAY(EOMONTH(요약!$B$3,0)),IF(AND($AH108&gt;=요약!$E$3,$AI108&lt;요약!$E$3),"서울병원",IF(AND($AI108&gt;=요약!$E$3,$AH108&lt;요약!$E$3),"구리병원","⚠15일 판정불가(서울 "&amp;$AH108&amp;"일/구리 "&amp;$AI108&amp;"일)")),IF($AJ108="",$AE108,IF(INDEX(파견수련계획!$T$4:$T$83,$AJ108)="통합수련",INDEX(파견수련계획!$S$4:$S$83,$AJ108),$AE108)))))))</f>
        <v/>
      </c>
      <c r="Z108" s="19">
        <f>IF($B108="","",IF($AB108="","기본자료에 없는 사번",IF(COUNTIF($B$2:$B$401,$B108)&gt;1,"중복 사번",IF($AE108="","소속(입사장소) 입력",IF(IF(TRIM($J108&amp;"")="",0,SUMPRODUCT((파견수련계획!$Q$4:$Q$83=TRIM($J108&amp;""))*(파견수련계획!$AA$4:$AA$83&lt;&gt;"")))&gt;0,"파견수련계획 입력오류 확인",IF(LEFT($Y108,1)="⚠","서울·구리 15일 판정 불가(양쪽 모두 이상/미만)",IF(IF($AC108="",0,N(INDEX(인턴근무계획!$T$3:$T$62,$AC108)))&gt;0,"인턴계획 입력오류 확인",IF(AND($AC108&lt;&gt;"",$U108&lt;&gt;"파견중",$N108&lt;&gt;$AE108),"인턴 타지역 근무: 파견 여부 확인","정상"))))))))</f>
        <v/>
      </c>
      <c r="AA108" s="5" t="n"/>
      <c r="AB108" s="10">
        <f>IF($B108="","",IFERROR(MATCH($B108,기본자료!$B$2:$B$1001,0),IFERROR(MATCH($B108&amp;"",기본자료!$B$2:$B$1001,0),IFERROR(MATCH(VALUE($B108),기본자료!$B$2:$B$1001,0),""))))</f>
        <v/>
      </c>
      <c r="AC108" s="10">
        <f>IF($B108="","",IFERROR(MATCH($B108,인턴근무계획!$D$3:$D$62,0),IFERROR(MATCH($B108&amp;"",인턴근무계획!$D$3:$D$62,0),IFERROR(MATCH(VALUE($B108),인턴근무계획!$D$3:$D$62,0),""))))</f>
        <v/>
      </c>
      <c r="AD108" s="10">
        <f>IF(OR($AC108="",인턴현황!$G$3=""),"",INDEX(인턴근무계획!$M$3:$R$62,$AC108,인턴현황!$G$3)&amp;"")</f>
        <v/>
      </c>
      <c r="AE108" s="10">
        <f>IF($B108="","",IF($M108&lt;&gt;"",$M108,IF($AF108&lt;&gt;"",IF(LEFT(INDEX(파견수련계획!$R$4:$R$83,$AF108),1)&lt;&gt;"⚠",INDEX(파견수련계획!$R$4:$R$83,$AF108),IF($H108="","",IF(RIGHT($H108,2)="병원",$H108,$H108&amp;"병원"))),IF($H108="","",IF(RIGHT($H108,2)="병원",$H108,$H108&amp;"병원")))))</f>
        <v/>
      </c>
      <c r="AF108" s="10">
        <f>IF(OR($B108="",TRIM($J108&amp;"")=""),"",IFERROR(MATCH(TRIM($J108&amp;"")&amp;"|파견중",파견수련계획!$Y$4:$Y$83,0),IFERROR(MATCH(TRIM($J108&amp;"")&amp;"|파견예정",파견수련계획!$Y$4:$Y$83,0),IFERROR(MATCH(TRIM($J108&amp;"")&amp;"|파견종료",파견수련계획!$Y$4:$Y$83,0),""))))</f>
        <v/>
      </c>
      <c r="AG108" s="10">
        <f>IF($B108="","",IF(AND(IF(OR($AC108="",인턴현황!$K$2=""),"",INDEX(인턴근무계획!$M$3:$R$62,$AC108,인턴현황!$K$2)&amp;"")&lt;&gt;"",LEFT(IF(OR($AC108="",인턴현황!$K$2=""),"",INDEX(인턴근무계획!$M$3:$R$62,$AC108,인턴현황!$K$2)&amp;""),1)&lt;&gt;"⚠"),LEFT(IF(OR($AC108="",인턴현황!$K$2=""),"",INDEX(인턴근무계획!$M$3:$R$62,$AC108,인턴현황!$K$2)&amp;""),FIND(" ",IF(OR($AC108="",인턴현황!$K$2=""),"",INDEX(인턴근무계획!$M$3:$R$62,$AC108,인턴현황!$K$2)&amp;""))-1),$AE108))</f>
        <v/>
      </c>
      <c r="AH108" s="17">
        <f>IF($B108="","",IF(TRIM($J108&amp;"")="",0,SUMPRODUCT((파견수련계획!$Q$4:$Q$83=TRIM($J108&amp;""))*(파견수련계획!$S$4:$S$83="서울병원")*파견수련계획!$W$4:$W$83))+IF($AG108="서울병원",MAX(0,DAY(EOMONTH(요약!$B$3,0))-N($X108)),0))</f>
        <v/>
      </c>
      <c r="AI108" s="17">
        <f>IF($B108="","",IF(TRIM($J108&amp;"")="",0,SUMPRODUCT((파견수련계획!$Q$4:$Q$83=TRIM($J108&amp;""))*(파견수련계획!$S$4:$S$83="구리병원")*파견수련계획!$W$4:$W$83))+IF($AG108="구리병원",MAX(0,DAY(EOMONTH(요약!$B$3,0))-N($X108)),0))</f>
        <v/>
      </c>
      <c r="AJ108" s="10">
        <f>IF(OR($B108="",TRIM($J108&amp;"")=""),"",IFERROR(MATCH(TRIM($J108&amp;"")&amp;"|월",파견수련계획!$Z$4:$Z$83,0),""))</f>
        <v/>
      </c>
      <c r="AK108" s="10">
        <f>IF(OR($B108="",TRIM($J108&amp;"")=""),"",IFERROR(MATCH(TRIM($J108&amp;"")&amp;"|다기관",파견수련계획!$AE$4:$AE$83,0),""))</f>
        <v/>
      </c>
      <c r="AL108" s="10">
        <f>IF($AK108="","","다기관 "&amp;TEXT(INDEX(파견수련계획!$AB$4:$AB$83,$AK108),"yyyy-mm-dd")&amp;"~"&amp;IF(ISNUMBER(INDEX(파견수련계획!$AC$4:$AC$83,$AK108)),TEXT(INDEX(파견수련계획!$AC$4:$AC$83,$AK108),"yyyy-mm-dd"),""))</f>
        <v/>
      </c>
    </row>
    <row r="109">
      <c r="A109" s="10">
        <f>IF(B109="","",ROW()-1)</f>
        <v/>
      </c>
      <c r="B109" s="18" t="n"/>
      <c r="C109" s="10">
        <f>IF($AB109="","",IF(INDEX(기본자료!$C$2:$C$1001,$AB109)="","",INDEX(기본자료!$C$2:$C$1001,$AB109)))</f>
        <v/>
      </c>
      <c r="D109" s="10">
        <f>IF($AB109="","",IF(INDEX(기본자료!$J$2:$J$1001,$AB109)="","",INDEX(기본자료!$J$2:$J$1001,$AB109)))</f>
        <v/>
      </c>
      <c r="E109" s="11">
        <f>IF($AB109="","",IF(INDEX(기본자료!$K$2:$K$1001,$AB109)="","",IF(NOT(ISNUMBER(INDEX(기본자료!$K$2:$K$1001,$AB109))),INDEX(기본자료!$K$2:$K$1001,$AB109),IF(INDEX(기본자료!$K$2:$K$1001,$AB109)&lt;1000000,INDEX(기본자료!$K$2:$K$1001,$AB109),IF(AND(INDEX(기본자료!$K$2:$K$1001,$AB109)&gt;=10000101,INT(MOD(INDEX(기본자료!$K$2:$K$1001,$AB109),10000)/100)&gt;=1,INT(MOD(INDEX(기본자료!$K$2:$K$1001,$AB109),10000)/100)&lt;=12,MOD(INDEX(기본자료!$K$2:$K$1001,$AB109),100)&gt;=1,MOD(INDEX(기본자료!$K$2:$K$1001,$AB109),100)&lt;=31),DATE(INT(INDEX(기본자료!$K$2:$K$1001,$AB109)/10000),INT(MOD(INDEX(기본자료!$K$2:$K$1001,$AB109),10000)/100),MOD(INDEX(기본자료!$K$2:$K$1001,$AB109),100)),INDEX(기본자료!$K$2:$K$1001,$AB109)&amp;"")))))</f>
        <v/>
      </c>
      <c r="F109" s="10">
        <f>IF($AB109="","",IF(INDEX(기본자료!$D$2:$D$1001,$AB109)="","",INDEX(기본자료!$D$2:$D$1001,$AB109)))</f>
        <v/>
      </c>
      <c r="G109" s="10">
        <f>IF($AB109="","",IF(INDEX(기본자료!$E$2:$E$1001,$AB109)="","",INDEX(기본자료!$E$2:$E$1001,$AB109)))</f>
        <v/>
      </c>
      <c r="H109" s="10">
        <f>IF($AB109="","",IF(INDEX(기본자료!$F$2:$F$1001,$AB109)="","",INDEX(기본자료!$F$2:$F$1001,$AB109)))</f>
        <v/>
      </c>
      <c r="I109" s="11">
        <f>IF($AB109="","",IF(INDEX(기본자료!$G$2:$G$1001,$AB109)="","",IF(NOT(ISNUMBER(INDEX(기본자료!$G$2:$G$1001,$AB109))),INDEX(기본자료!$G$2:$G$1001,$AB109),IF(INDEX(기본자료!$G$2:$G$1001,$AB109)&lt;1000000,INDEX(기본자료!$G$2:$G$1001,$AB109),IF(AND(INDEX(기본자료!$G$2:$G$1001,$AB109)&gt;=10000101,INT(MOD(INDEX(기본자료!$G$2:$G$1001,$AB109),10000)/100)&gt;=1,INT(MOD(INDEX(기본자료!$G$2:$G$1001,$AB109),10000)/100)&lt;=12,MOD(INDEX(기본자료!$G$2:$G$1001,$AB109),100)&gt;=1,MOD(INDEX(기본자료!$G$2:$G$1001,$AB109),100)&lt;=31),DATE(INT(INDEX(기본자료!$G$2:$G$1001,$AB109)/10000),INT(MOD(INDEX(기본자료!$G$2:$G$1001,$AB109),10000)/100),MOD(INDEX(기본자료!$G$2:$G$1001,$AB109),100)),INDEX(기본자료!$G$2:$G$1001,$AB109)&amp;"")))))</f>
        <v/>
      </c>
      <c r="J109" s="10">
        <f>IF($AB109="","",IF(INDEX(기본자료!$H$2:$H$1001,$AB109)="","",INDEX(기본자료!$H$2:$H$1001,$AB109)))</f>
        <v/>
      </c>
      <c r="K109" s="10">
        <f>IF($AB109="","",IF(INDEX(기본자료!$I$2:$I$1001,$AB109)="","",INDEX(기본자료!$I$2:$I$1001,$AB109)))</f>
        <v/>
      </c>
      <c r="L109" s="10">
        <f>IF($AB109="","",IF(INDEX(기본자료!$A$2:$A$1001,$AB109)="","",INDEX(기본자료!$A$2:$A$1001,$AB109)))</f>
        <v/>
      </c>
      <c r="M109" s="15" t="n"/>
      <c r="N109" s="10">
        <f>IF($B109="","",IF(AND($U109="파견중",$Q109&lt;&gt;""),$Q109,IF(AND($AD109&lt;&gt;"",LEFT($AD109,1)&lt;&gt;"⚠"),LEFT($AD109,FIND(" ",$AD109)-1),IF($H109="","",IF(RIGHT($H109,2)="병원",$H109,$H109&amp;"병원")))))</f>
        <v/>
      </c>
      <c r="O109" s="10">
        <f>IF($B109="","",IF(AND($U109="파견중",$Q109&lt;&gt;""),IF($R109&lt;&gt;"",$R109,"파견과 미입력"),IF(AND($AD109&lt;&gt;"",LEFT($AD109,1)&lt;&gt;"⚠"),MID($AD109,FIND(" ",$AD109)+1,60),IF($F109="","",IF($F109="인턴","수련교육부(인턴)",$F109)))))</f>
        <v/>
      </c>
      <c r="P109" s="10">
        <f>IF($B109="","",IF($AK109&lt;&gt;"",IF(AND(TODAY()&gt;=INDEX(파견수련계획!$AB$4:$AB$83,$AK109),OR(NOT(ISNUMBER(INDEX(파견수련계획!$AC$4:$AC$83,$AK109))),TODAY()&lt;=INDEX(파견수련계획!$AC$4:$AC$83,$AK109))),"다기관",IF($AF109="","",INDEX(파견수련계획!$T$4:$T$83,$AF109))),IF($AF109="","",INDEX(파견수련계획!$T$4:$T$83,$AF109))))</f>
        <v/>
      </c>
      <c r="Q109" s="10">
        <f>IF($AF109="","",INDEX(파견수련계획!$S$4:$S$83,$AF109))</f>
        <v/>
      </c>
      <c r="R109" s="10">
        <f>IF($AF109="","",INDEX(파견수련계획!$U$4:$U$83,$AF109))</f>
        <v/>
      </c>
      <c r="S109" s="11">
        <f>IF($AF109="","",IF(INDEX(파견수련계획!$H$4:$H$83,$AF109)="","",INDEX(파견수련계획!$H$4:$H$83,$AF109)))</f>
        <v/>
      </c>
      <c r="T109" s="11">
        <f>IF($AF109="","",IF(INDEX(파견수련계획!$I$4:$I$83,$AF109)="","",INDEX(파견수련계획!$I$4:$I$83,$AF109)))</f>
        <v/>
      </c>
      <c r="U109" s="10">
        <f>IF($AF109="","",INDEX(파견수련계획!$X$4:$X$83,$AF109))</f>
        <v/>
      </c>
      <c r="V109" s="17">
        <f>IF($AF109="","",INDEX(파견수련계획!$V$4:$V$83,$AF109))</f>
        <v/>
      </c>
      <c r="W109" s="17">
        <f>IF(AND($U109="파견중",$T109&lt;&gt;""),$T109-TODAY(),"")</f>
        <v/>
      </c>
      <c r="X109" s="17">
        <f>IF(OR($B109="",TRIM($J109&amp;"")=""),"",SUMPRODUCT((파견수련계획!$Q$4:$Q$83=TRIM($J109&amp;""))*파견수련계획!$W$4:$W$83))</f>
        <v/>
      </c>
      <c r="Y109" s="10">
        <f>IF($B109="","",IF($AG109="","",IF(IF(TRIM($J109&amp;"")="",0,SUMPRODUCT((파견수련계획!$Q$4:$Q$83=TRIM($J109&amp;""))*파견수련계획!$AD$4:$AD$83))&gt;0,$AE109,IF(N($X109)&lt;=0,$AG109,IF($AH109+$AI109=DAY(EOMONTH(요약!$B$3,0)),IF(AND($AH109&gt;=요약!$E$3,$AI109&lt;요약!$E$3),"서울병원",IF(AND($AI109&gt;=요약!$E$3,$AH109&lt;요약!$E$3),"구리병원","⚠15일 판정불가(서울 "&amp;$AH109&amp;"일/구리 "&amp;$AI109&amp;"일)")),IF($AJ109="",$AE109,IF(INDEX(파견수련계획!$T$4:$T$83,$AJ109)="통합수련",INDEX(파견수련계획!$S$4:$S$83,$AJ109),$AE109)))))))</f>
        <v/>
      </c>
      <c r="Z109" s="19">
        <f>IF($B109="","",IF($AB109="","기본자료에 없는 사번",IF(COUNTIF($B$2:$B$401,$B109)&gt;1,"중복 사번",IF($AE109="","소속(입사장소) 입력",IF(IF(TRIM($J109&amp;"")="",0,SUMPRODUCT((파견수련계획!$Q$4:$Q$83=TRIM($J109&amp;""))*(파견수련계획!$AA$4:$AA$83&lt;&gt;"")))&gt;0,"파견수련계획 입력오류 확인",IF(LEFT($Y109,1)="⚠","서울·구리 15일 판정 불가(양쪽 모두 이상/미만)",IF(IF($AC109="",0,N(INDEX(인턴근무계획!$T$3:$T$62,$AC109)))&gt;0,"인턴계획 입력오류 확인",IF(AND($AC109&lt;&gt;"",$U109&lt;&gt;"파견중",$N109&lt;&gt;$AE109),"인턴 타지역 근무: 파견 여부 확인","정상"))))))))</f>
        <v/>
      </c>
      <c r="AA109" s="5" t="n"/>
      <c r="AB109" s="10">
        <f>IF($B109="","",IFERROR(MATCH($B109,기본자료!$B$2:$B$1001,0),IFERROR(MATCH($B109&amp;"",기본자료!$B$2:$B$1001,0),IFERROR(MATCH(VALUE($B109),기본자료!$B$2:$B$1001,0),""))))</f>
        <v/>
      </c>
      <c r="AC109" s="10">
        <f>IF($B109="","",IFERROR(MATCH($B109,인턴근무계획!$D$3:$D$62,0),IFERROR(MATCH($B109&amp;"",인턴근무계획!$D$3:$D$62,0),IFERROR(MATCH(VALUE($B109),인턴근무계획!$D$3:$D$62,0),""))))</f>
        <v/>
      </c>
      <c r="AD109" s="10">
        <f>IF(OR($AC109="",인턴현황!$G$3=""),"",INDEX(인턴근무계획!$M$3:$R$62,$AC109,인턴현황!$G$3)&amp;"")</f>
        <v/>
      </c>
      <c r="AE109" s="10">
        <f>IF($B109="","",IF($M109&lt;&gt;"",$M109,IF($AF109&lt;&gt;"",IF(LEFT(INDEX(파견수련계획!$R$4:$R$83,$AF109),1)&lt;&gt;"⚠",INDEX(파견수련계획!$R$4:$R$83,$AF109),IF($H109="","",IF(RIGHT($H109,2)="병원",$H109,$H109&amp;"병원"))),IF($H109="","",IF(RIGHT($H109,2)="병원",$H109,$H109&amp;"병원")))))</f>
        <v/>
      </c>
      <c r="AF109" s="10">
        <f>IF(OR($B109="",TRIM($J109&amp;"")=""),"",IFERROR(MATCH(TRIM($J109&amp;"")&amp;"|파견중",파견수련계획!$Y$4:$Y$83,0),IFERROR(MATCH(TRIM($J109&amp;"")&amp;"|파견예정",파견수련계획!$Y$4:$Y$83,0),IFERROR(MATCH(TRIM($J109&amp;"")&amp;"|파견종료",파견수련계획!$Y$4:$Y$83,0),""))))</f>
        <v/>
      </c>
      <c r="AG109" s="10">
        <f>IF($B109="","",IF(AND(IF(OR($AC109="",인턴현황!$K$2=""),"",INDEX(인턴근무계획!$M$3:$R$62,$AC109,인턴현황!$K$2)&amp;"")&lt;&gt;"",LEFT(IF(OR($AC109="",인턴현황!$K$2=""),"",INDEX(인턴근무계획!$M$3:$R$62,$AC109,인턴현황!$K$2)&amp;""),1)&lt;&gt;"⚠"),LEFT(IF(OR($AC109="",인턴현황!$K$2=""),"",INDEX(인턴근무계획!$M$3:$R$62,$AC109,인턴현황!$K$2)&amp;""),FIND(" ",IF(OR($AC109="",인턴현황!$K$2=""),"",INDEX(인턴근무계획!$M$3:$R$62,$AC109,인턴현황!$K$2)&amp;""))-1),$AE109))</f>
        <v/>
      </c>
      <c r="AH109" s="17">
        <f>IF($B109="","",IF(TRIM($J109&amp;"")="",0,SUMPRODUCT((파견수련계획!$Q$4:$Q$83=TRIM($J109&amp;""))*(파견수련계획!$S$4:$S$83="서울병원")*파견수련계획!$W$4:$W$83))+IF($AG109="서울병원",MAX(0,DAY(EOMONTH(요약!$B$3,0))-N($X109)),0))</f>
        <v/>
      </c>
      <c r="AI109" s="17">
        <f>IF($B109="","",IF(TRIM($J109&amp;"")="",0,SUMPRODUCT((파견수련계획!$Q$4:$Q$83=TRIM($J109&amp;""))*(파견수련계획!$S$4:$S$83="구리병원")*파견수련계획!$W$4:$W$83))+IF($AG109="구리병원",MAX(0,DAY(EOMONTH(요약!$B$3,0))-N($X109)),0))</f>
        <v/>
      </c>
      <c r="AJ109" s="10">
        <f>IF(OR($B109="",TRIM($J109&amp;"")=""),"",IFERROR(MATCH(TRIM($J109&amp;"")&amp;"|월",파견수련계획!$Z$4:$Z$83,0),""))</f>
        <v/>
      </c>
      <c r="AK109" s="10">
        <f>IF(OR($B109="",TRIM($J109&amp;"")=""),"",IFERROR(MATCH(TRIM($J109&amp;"")&amp;"|다기관",파견수련계획!$AE$4:$AE$83,0),""))</f>
        <v/>
      </c>
      <c r="AL109" s="10">
        <f>IF($AK109="","","다기관 "&amp;TEXT(INDEX(파견수련계획!$AB$4:$AB$83,$AK109),"yyyy-mm-dd")&amp;"~"&amp;IF(ISNUMBER(INDEX(파견수련계획!$AC$4:$AC$83,$AK109)),TEXT(INDEX(파견수련계획!$AC$4:$AC$83,$AK109),"yyyy-mm-dd"),""))</f>
        <v/>
      </c>
    </row>
    <row r="110">
      <c r="A110" s="10">
        <f>IF(B110="","",ROW()-1)</f>
        <v/>
      </c>
      <c r="B110" s="18" t="n"/>
      <c r="C110" s="10">
        <f>IF($AB110="","",IF(INDEX(기본자료!$C$2:$C$1001,$AB110)="","",INDEX(기본자료!$C$2:$C$1001,$AB110)))</f>
        <v/>
      </c>
      <c r="D110" s="10">
        <f>IF($AB110="","",IF(INDEX(기본자료!$J$2:$J$1001,$AB110)="","",INDEX(기본자료!$J$2:$J$1001,$AB110)))</f>
        <v/>
      </c>
      <c r="E110" s="11">
        <f>IF($AB110="","",IF(INDEX(기본자료!$K$2:$K$1001,$AB110)="","",IF(NOT(ISNUMBER(INDEX(기본자료!$K$2:$K$1001,$AB110))),INDEX(기본자료!$K$2:$K$1001,$AB110),IF(INDEX(기본자료!$K$2:$K$1001,$AB110)&lt;1000000,INDEX(기본자료!$K$2:$K$1001,$AB110),IF(AND(INDEX(기본자료!$K$2:$K$1001,$AB110)&gt;=10000101,INT(MOD(INDEX(기본자료!$K$2:$K$1001,$AB110),10000)/100)&gt;=1,INT(MOD(INDEX(기본자료!$K$2:$K$1001,$AB110),10000)/100)&lt;=12,MOD(INDEX(기본자료!$K$2:$K$1001,$AB110),100)&gt;=1,MOD(INDEX(기본자료!$K$2:$K$1001,$AB110),100)&lt;=31),DATE(INT(INDEX(기본자료!$K$2:$K$1001,$AB110)/10000),INT(MOD(INDEX(기본자료!$K$2:$K$1001,$AB110),10000)/100),MOD(INDEX(기본자료!$K$2:$K$1001,$AB110),100)),INDEX(기본자료!$K$2:$K$1001,$AB110)&amp;"")))))</f>
        <v/>
      </c>
      <c r="F110" s="10">
        <f>IF($AB110="","",IF(INDEX(기본자료!$D$2:$D$1001,$AB110)="","",INDEX(기본자료!$D$2:$D$1001,$AB110)))</f>
        <v/>
      </c>
      <c r="G110" s="10">
        <f>IF($AB110="","",IF(INDEX(기본자료!$E$2:$E$1001,$AB110)="","",INDEX(기본자료!$E$2:$E$1001,$AB110)))</f>
        <v/>
      </c>
      <c r="H110" s="10">
        <f>IF($AB110="","",IF(INDEX(기본자료!$F$2:$F$1001,$AB110)="","",INDEX(기본자료!$F$2:$F$1001,$AB110)))</f>
        <v/>
      </c>
      <c r="I110" s="11">
        <f>IF($AB110="","",IF(INDEX(기본자료!$G$2:$G$1001,$AB110)="","",IF(NOT(ISNUMBER(INDEX(기본자료!$G$2:$G$1001,$AB110))),INDEX(기본자료!$G$2:$G$1001,$AB110),IF(INDEX(기본자료!$G$2:$G$1001,$AB110)&lt;1000000,INDEX(기본자료!$G$2:$G$1001,$AB110),IF(AND(INDEX(기본자료!$G$2:$G$1001,$AB110)&gt;=10000101,INT(MOD(INDEX(기본자료!$G$2:$G$1001,$AB110),10000)/100)&gt;=1,INT(MOD(INDEX(기본자료!$G$2:$G$1001,$AB110),10000)/100)&lt;=12,MOD(INDEX(기본자료!$G$2:$G$1001,$AB110),100)&gt;=1,MOD(INDEX(기본자료!$G$2:$G$1001,$AB110),100)&lt;=31),DATE(INT(INDEX(기본자료!$G$2:$G$1001,$AB110)/10000),INT(MOD(INDEX(기본자료!$G$2:$G$1001,$AB110),10000)/100),MOD(INDEX(기본자료!$G$2:$G$1001,$AB110),100)),INDEX(기본자료!$G$2:$G$1001,$AB110)&amp;"")))))</f>
        <v/>
      </c>
      <c r="J110" s="10">
        <f>IF($AB110="","",IF(INDEX(기본자료!$H$2:$H$1001,$AB110)="","",INDEX(기본자료!$H$2:$H$1001,$AB110)))</f>
        <v/>
      </c>
      <c r="K110" s="10">
        <f>IF($AB110="","",IF(INDEX(기본자료!$I$2:$I$1001,$AB110)="","",INDEX(기본자료!$I$2:$I$1001,$AB110)))</f>
        <v/>
      </c>
      <c r="L110" s="10">
        <f>IF($AB110="","",IF(INDEX(기본자료!$A$2:$A$1001,$AB110)="","",INDEX(기본자료!$A$2:$A$1001,$AB110)))</f>
        <v/>
      </c>
      <c r="M110" s="15" t="n"/>
      <c r="N110" s="10">
        <f>IF($B110="","",IF(AND($U110="파견중",$Q110&lt;&gt;""),$Q110,IF(AND($AD110&lt;&gt;"",LEFT($AD110,1)&lt;&gt;"⚠"),LEFT($AD110,FIND(" ",$AD110)-1),IF($H110="","",IF(RIGHT($H110,2)="병원",$H110,$H110&amp;"병원")))))</f>
        <v/>
      </c>
      <c r="O110" s="10">
        <f>IF($B110="","",IF(AND($U110="파견중",$Q110&lt;&gt;""),IF($R110&lt;&gt;"",$R110,"파견과 미입력"),IF(AND($AD110&lt;&gt;"",LEFT($AD110,1)&lt;&gt;"⚠"),MID($AD110,FIND(" ",$AD110)+1,60),IF($F110="","",IF($F110="인턴","수련교육부(인턴)",$F110)))))</f>
        <v/>
      </c>
      <c r="P110" s="10">
        <f>IF($B110="","",IF($AK110&lt;&gt;"",IF(AND(TODAY()&gt;=INDEX(파견수련계획!$AB$4:$AB$83,$AK110),OR(NOT(ISNUMBER(INDEX(파견수련계획!$AC$4:$AC$83,$AK110))),TODAY()&lt;=INDEX(파견수련계획!$AC$4:$AC$83,$AK110))),"다기관",IF($AF110="","",INDEX(파견수련계획!$T$4:$T$83,$AF110))),IF($AF110="","",INDEX(파견수련계획!$T$4:$T$83,$AF110))))</f>
        <v/>
      </c>
      <c r="Q110" s="10">
        <f>IF($AF110="","",INDEX(파견수련계획!$S$4:$S$83,$AF110))</f>
        <v/>
      </c>
      <c r="R110" s="10">
        <f>IF($AF110="","",INDEX(파견수련계획!$U$4:$U$83,$AF110))</f>
        <v/>
      </c>
      <c r="S110" s="11">
        <f>IF($AF110="","",IF(INDEX(파견수련계획!$H$4:$H$83,$AF110)="","",INDEX(파견수련계획!$H$4:$H$83,$AF110)))</f>
        <v/>
      </c>
      <c r="T110" s="11">
        <f>IF($AF110="","",IF(INDEX(파견수련계획!$I$4:$I$83,$AF110)="","",INDEX(파견수련계획!$I$4:$I$83,$AF110)))</f>
        <v/>
      </c>
      <c r="U110" s="10">
        <f>IF($AF110="","",INDEX(파견수련계획!$X$4:$X$83,$AF110))</f>
        <v/>
      </c>
      <c r="V110" s="17">
        <f>IF($AF110="","",INDEX(파견수련계획!$V$4:$V$83,$AF110))</f>
        <v/>
      </c>
      <c r="W110" s="17">
        <f>IF(AND($U110="파견중",$T110&lt;&gt;""),$T110-TODAY(),"")</f>
        <v/>
      </c>
      <c r="X110" s="17">
        <f>IF(OR($B110="",TRIM($J110&amp;"")=""),"",SUMPRODUCT((파견수련계획!$Q$4:$Q$83=TRIM($J110&amp;""))*파견수련계획!$W$4:$W$83))</f>
        <v/>
      </c>
      <c r="Y110" s="10">
        <f>IF($B110="","",IF($AG110="","",IF(IF(TRIM($J110&amp;"")="",0,SUMPRODUCT((파견수련계획!$Q$4:$Q$83=TRIM($J110&amp;""))*파견수련계획!$AD$4:$AD$83))&gt;0,$AE110,IF(N($X110)&lt;=0,$AG110,IF($AH110+$AI110=DAY(EOMONTH(요약!$B$3,0)),IF(AND($AH110&gt;=요약!$E$3,$AI110&lt;요약!$E$3),"서울병원",IF(AND($AI110&gt;=요약!$E$3,$AH110&lt;요약!$E$3),"구리병원","⚠15일 판정불가(서울 "&amp;$AH110&amp;"일/구리 "&amp;$AI110&amp;"일)")),IF($AJ110="",$AE110,IF(INDEX(파견수련계획!$T$4:$T$83,$AJ110)="통합수련",INDEX(파견수련계획!$S$4:$S$83,$AJ110),$AE110)))))))</f>
        <v/>
      </c>
      <c r="Z110" s="19">
        <f>IF($B110="","",IF($AB110="","기본자료에 없는 사번",IF(COUNTIF($B$2:$B$401,$B110)&gt;1,"중복 사번",IF($AE110="","소속(입사장소) 입력",IF(IF(TRIM($J110&amp;"")="",0,SUMPRODUCT((파견수련계획!$Q$4:$Q$83=TRIM($J110&amp;""))*(파견수련계획!$AA$4:$AA$83&lt;&gt;"")))&gt;0,"파견수련계획 입력오류 확인",IF(LEFT($Y110,1)="⚠","서울·구리 15일 판정 불가(양쪽 모두 이상/미만)",IF(IF($AC110="",0,N(INDEX(인턴근무계획!$T$3:$T$62,$AC110)))&gt;0,"인턴계획 입력오류 확인",IF(AND($AC110&lt;&gt;"",$U110&lt;&gt;"파견중",$N110&lt;&gt;$AE110),"인턴 타지역 근무: 파견 여부 확인","정상"))))))))</f>
        <v/>
      </c>
      <c r="AA110" s="5" t="n"/>
      <c r="AB110" s="10">
        <f>IF($B110="","",IFERROR(MATCH($B110,기본자료!$B$2:$B$1001,0),IFERROR(MATCH($B110&amp;"",기본자료!$B$2:$B$1001,0),IFERROR(MATCH(VALUE($B110),기본자료!$B$2:$B$1001,0),""))))</f>
        <v/>
      </c>
      <c r="AC110" s="10">
        <f>IF($B110="","",IFERROR(MATCH($B110,인턴근무계획!$D$3:$D$62,0),IFERROR(MATCH($B110&amp;"",인턴근무계획!$D$3:$D$62,0),IFERROR(MATCH(VALUE($B110),인턴근무계획!$D$3:$D$62,0),""))))</f>
        <v/>
      </c>
      <c r="AD110" s="10">
        <f>IF(OR($AC110="",인턴현황!$G$3=""),"",INDEX(인턴근무계획!$M$3:$R$62,$AC110,인턴현황!$G$3)&amp;"")</f>
        <v/>
      </c>
      <c r="AE110" s="10">
        <f>IF($B110="","",IF($M110&lt;&gt;"",$M110,IF($AF110&lt;&gt;"",IF(LEFT(INDEX(파견수련계획!$R$4:$R$83,$AF110),1)&lt;&gt;"⚠",INDEX(파견수련계획!$R$4:$R$83,$AF110),IF($H110="","",IF(RIGHT($H110,2)="병원",$H110,$H110&amp;"병원"))),IF($H110="","",IF(RIGHT($H110,2)="병원",$H110,$H110&amp;"병원")))))</f>
        <v/>
      </c>
      <c r="AF110" s="10">
        <f>IF(OR($B110="",TRIM($J110&amp;"")=""),"",IFERROR(MATCH(TRIM($J110&amp;"")&amp;"|파견중",파견수련계획!$Y$4:$Y$83,0),IFERROR(MATCH(TRIM($J110&amp;"")&amp;"|파견예정",파견수련계획!$Y$4:$Y$83,0),IFERROR(MATCH(TRIM($J110&amp;"")&amp;"|파견종료",파견수련계획!$Y$4:$Y$83,0),""))))</f>
        <v/>
      </c>
      <c r="AG110" s="10">
        <f>IF($B110="","",IF(AND(IF(OR($AC110="",인턴현황!$K$2=""),"",INDEX(인턴근무계획!$M$3:$R$62,$AC110,인턴현황!$K$2)&amp;"")&lt;&gt;"",LEFT(IF(OR($AC110="",인턴현황!$K$2=""),"",INDEX(인턴근무계획!$M$3:$R$62,$AC110,인턴현황!$K$2)&amp;""),1)&lt;&gt;"⚠"),LEFT(IF(OR($AC110="",인턴현황!$K$2=""),"",INDEX(인턴근무계획!$M$3:$R$62,$AC110,인턴현황!$K$2)&amp;""),FIND(" ",IF(OR($AC110="",인턴현황!$K$2=""),"",INDEX(인턴근무계획!$M$3:$R$62,$AC110,인턴현황!$K$2)&amp;""))-1),$AE110))</f>
        <v/>
      </c>
      <c r="AH110" s="17">
        <f>IF($B110="","",IF(TRIM($J110&amp;"")="",0,SUMPRODUCT((파견수련계획!$Q$4:$Q$83=TRIM($J110&amp;""))*(파견수련계획!$S$4:$S$83="서울병원")*파견수련계획!$W$4:$W$83))+IF($AG110="서울병원",MAX(0,DAY(EOMONTH(요약!$B$3,0))-N($X110)),0))</f>
        <v/>
      </c>
      <c r="AI110" s="17">
        <f>IF($B110="","",IF(TRIM($J110&amp;"")="",0,SUMPRODUCT((파견수련계획!$Q$4:$Q$83=TRIM($J110&amp;""))*(파견수련계획!$S$4:$S$83="구리병원")*파견수련계획!$W$4:$W$83))+IF($AG110="구리병원",MAX(0,DAY(EOMONTH(요약!$B$3,0))-N($X110)),0))</f>
        <v/>
      </c>
      <c r="AJ110" s="10">
        <f>IF(OR($B110="",TRIM($J110&amp;"")=""),"",IFERROR(MATCH(TRIM($J110&amp;"")&amp;"|월",파견수련계획!$Z$4:$Z$83,0),""))</f>
        <v/>
      </c>
      <c r="AK110" s="10">
        <f>IF(OR($B110="",TRIM($J110&amp;"")=""),"",IFERROR(MATCH(TRIM($J110&amp;"")&amp;"|다기관",파견수련계획!$AE$4:$AE$83,0),""))</f>
        <v/>
      </c>
      <c r="AL110" s="10">
        <f>IF($AK110="","","다기관 "&amp;TEXT(INDEX(파견수련계획!$AB$4:$AB$83,$AK110),"yyyy-mm-dd")&amp;"~"&amp;IF(ISNUMBER(INDEX(파견수련계획!$AC$4:$AC$83,$AK110)),TEXT(INDEX(파견수련계획!$AC$4:$AC$83,$AK110),"yyyy-mm-dd"),""))</f>
        <v/>
      </c>
    </row>
    <row r="111">
      <c r="A111" s="10">
        <f>IF(B111="","",ROW()-1)</f>
        <v/>
      </c>
      <c r="B111" s="18" t="n"/>
      <c r="C111" s="10">
        <f>IF($AB111="","",IF(INDEX(기본자료!$C$2:$C$1001,$AB111)="","",INDEX(기본자료!$C$2:$C$1001,$AB111)))</f>
        <v/>
      </c>
      <c r="D111" s="10">
        <f>IF($AB111="","",IF(INDEX(기본자료!$J$2:$J$1001,$AB111)="","",INDEX(기본자료!$J$2:$J$1001,$AB111)))</f>
        <v/>
      </c>
      <c r="E111" s="11">
        <f>IF($AB111="","",IF(INDEX(기본자료!$K$2:$K$1001,$AB111)="","",IF(NOT(ISNUMBER(INDEX(기본자료!$K$2:$K$1001,$AB111))),INDEX(기본자료!$K$2:$K$1001,$AB111),IF(INDEX(기본자료!$K$2:$K$1001,$AB111)&lt;1000000,INDEX(기본자료!$K$2:$K$1001,$AB111),IF(AND(INDEX(기본자료!$K$2:$K$1001,$AB111)&gt;=10000101,INT(MOD(INDEX(기본자료!$K$2:$K$1001,$AB111),10000)/100)&gt;=1,INT(MOD(INDEX(기본자료!$K$2:$K$1001,$AB111),10000)/100)&lt;=12,MOD(INDEX(기본자료!$K$2:$K$1001,$AB111),100)&gt;=1,MOD(INDEX(기본자료!$K$2:$K$1001,$AB111),100)&lt;=31),DATE(INT(INDEX(기본자료!$K$2:$K$1001,$AB111)/10000),INT(MOD(INDEX(기본자료!$K$2:$K$1001,$AB111),10000)/100),MOD(INDEX(기본자료!$K$2:$K$1001,$AB111),100)),INDEX(기본자료!$K$2:$K$1001,$AB111)&amp;"")))))</f>
        <v/>
      </c>
      <c r="F111" s="10">
        <f>IF($AB111="","",IF(INDEX(기본자료!$D$2:$D$1001,$AB111)="","",INDEX(기본자료!$D$2:$D$1001,$AB111)))</f>
        <v/>
      </c>
      <c r="G111" s="10">
        <f>IF($AB111="","",IF(INDEX(기본자료!$E$2:$E$1001,$AB111)="","",INDEX(기본자료!$E$2:$E$1001,$AB111)))</f>
        <v/>
      </c>
      <c r="H111" s="10">
        <f>IF($AB111="","",IF(INDEX(기본자료!$F$2:$F$1001,$AB111)="","",INDEX(기본자료!$F$2:$F$1001,$AB111)))</f>
        <v/>
      </c>
      <c r="I111" s="11">
        <f>IF($AB111="","",IF(INDEX(기본자료!$G$2:$G$1001,$AB111)="","",IF(NOT(ISNUMBER(INDEX(기본자료!$G$2:$G$1001,$AB111))),INDEX(기본자료!$G$2:$G$1001,$AB111),IF(INDEX(기본자료!$G$2:$G$1001,$AB111)&lt;1000000,INDEX(기본자료!$G$2:$G$1001,$AB111),IF(AND(INDEX(기본자료!$G$2:$G$1001,$AB111)&gt;=10000101,INT(MOD(INDEX(기본자료!$G$2:$G$1001,$AB111),10000)/100)&gt;=1,INT(MOD(INDEX(기본자료!$G$2:$G$1001,$AB111),10000)/100)&lt;=12,MOD(INDEX(기본자료!$G$2:$G$1001,$AB111),100)&gt;=1,MOD(INDEX(기본자료!$G$2:$G$1001,$AB111),100)&lt;=31),DATE(INT(INDEX(기본자료!$G$2:$G$1001,$AB111)/10000),INT(MOD(INDEX(기본자료!$G$2:$G$1001,$AB111),10000)/100),MOD(INDEX(기본자료!$G$2:$G$1001,$AB111),100)),INDEX(기본자료!$G$2:$G$1001,$AB111)&amp;"")))))</f>
        <v/>
      </c>
      <c r="J111" s="10">
        <f>IF($AB111="","",IF(INDEX(기본자료!$H$2:$H$1001,$AB111)="","",INDEX(기본자료!$H$2:$H$1001,$AB111)))</f>
        <v/>
      </c>
      <c r="K111" s="10">
        <f>IF($AB111="","",IF(INDEX(기본자료!$I$2:$I$1001,$AB111)="","",INDEX(기본자료!$I$2:$I$1001,$AB111)))</f>
        <v/>
      </c>
      <c r="L111" s="10">
        <f>IF($AB111="","",IF(INDEX(기본자료!$A$2:$A$1001,$AB111)="","",INDEX(기본자료!$A$2:$A$1001,$AB111)))</f>
        <v/>
      </c>
      <c r="M111" s="15" t="n"/>
      <c r="N111" s="10">
        <f>IF($B111="","",IF(AND($U111="파견중",$Q111&lt;&gt;""),$Q111,IF(AND($AD111&lt;&gt;"",LEFT($AD111,1)&lt;&gt;"⚠"),LEFT($AD111,FIND(" ",$AD111)-1),IF($H111="","",IF(RIGHT($H111,2)="병원",$H111,$H111&amp;"병원")))))</f>
        <v/>
      </c>
      <c r="O111" s="10">
        <f>IF($B111="","",IF(AND($U111="파견중",$Q111&lt;&gt;""),IF($R111&lt;&gt;"",$R111,"파견과 미입력"),IF(AND($AD111&lt;&gt;"",LEFT($AD111,1)&lt;&gt;"⚠"),MID($AD111,FIND(" ",$AD111)+1,60),IF($F111="","",IF($F111="인턴","수련교육부(인턴)",$F111)))))</f>
        <v/>
      </c>
      <c r="P111" s="10">
        <f>IF($B111="","",IF($AK111&lt;&gt;"",IF(AND(TODAY()&gt;=INDEX(파견수련계획!$AB$4:$AB$83,$AK111),OR(NOT(ISNUMBER(INDEX(파견수련계획!$AC$4:$AC$83,$AK111))),TODAY()&lt;=INDEX(파견수련계획!$AC$4:$AC$83,$AK111))),"다기관",IF($AF111="","",INDEX(파견수련계획!$T$4:$T$83,$AF111))),IF($AF111="","",INDEX(파견수련계획!$T$4:$T$83,$AF111))))</f>
        <v/>
      </c>
      <c r="Q111" s="10">
        <f>IF($AF111="","",INDEX(파견수련계획!$S$4:$S$83,$AF111))</f>
        <v/>
      </c>
      <c r="R111" s="10">
        <f>IF($AF111="","",INDEX(파견수련계획!$U$4:$U$83,$AF111))</f>
        <v/>
      </c>
      <c r="S111" s="11">
        <f>IF($AF111="","",IF(INDEX(파견수련계획!$H$4:$H$83,$AF111)="","",INDEX(파견수련계획!$H$4:$H$83,$AF111)))</f>
        <v/>
      </c>
      <c r="T111" s="11">
        <f>IF($AF111="","",IF(INDEX(파견수련계획!$I$4:$I$83,$AF111)="","",INDEX(파견수련계획!$I$4:$I$83,$AF111)))</f>
        <v/>
      </c>
      <c r="U111" s="10">
        <f>IF($AF111="","",INDEX(파견수련계획!$X$4:$X$83,$AF111))</f>
        <v/>
      </c>
      <c r="V111" s="17">
        <f>IF($AF111="","",INDEX(파견수련계획!$V$4:$V$83,$AF111))</f>
        <v/>
      </c>
      <c r="W111" s="17">
        <f>IF(AND($U111="파견중",$T111&lt;&gt;""),$T111-TODAY(),"")</f>
        <v/>
      </c>
      <c r="X111" s="17">
        <f>IF(OR($B111="",TRIM($J111&amp;"")=""),"",SUMPRODUCT((파견수련계획!$Q$4:$Q$83=TRIM($J111&amp;""))*파견수련계획!$W$4:$W$83))</f>
        <v/>
      </c>
      <c r="Y111" s="10">
        <f>IF($B111="","",IF($AG111="","",IF(IF(TRIM($J111&amp;"")="",0,SUMPRODUCT((파견수련계획!$Q$4:$Q$83=TRIM($J111&amp;""))*파견수련계획!$AD$4:$AD$83))&gt;0,$AE111,IF(N($X111)&lt;=0,$AG111,IF($AH111+$AI111=DAY(EOMONTH(요약!$B$3,0)),IF(AND($AH111&gt;=요약!$E$3,$AI111&lt;요약!$E$3),"서울병원",IF(AND($AI111&gt;=요약!$E$3,$AH111&lt;요약!$E$3),"구리병원","⚠15일 판정불가(서울 "&amp;$AH111&amp;"일/구리 "&amp;$AI111&amp;"일)")),IF($AJ111="",$AE111,IF(INDEX(파견수련계획!$T$4:$T$83,$AJ111)="통합수련",INDEX(파견수련계획!$S$4:$S$83,$AJ111),$AE111)))))))</f>
        <v/>
      </c>
      <c r="Z111" s="19">
        <f>IF($B111="","",IF($AB111="","기본자료에 없는 사번",IF(COUNTIF($B$2:$B$401,$B111)&gt;1,"중복 사번",IF($AE111="","소속(입사장소) 입력",IF(IF(TRIM($J111&amp;"")="",0,SUMPRODUCT((파견수련계획!$Q$4:$Q$83=TRIM($J111&amp;""))*(파견수련계획!$AA$4:$AA$83&lt;&gt;"")))&gt;0,"파견수련계획 입력오류 확인",IF(LEFT($Y111,1)="⚠","서울·구리 15일 판정 불가(양쪽 모두 이상/미만)",IF(IF($AC111="",0,N(INDEX(인턴근무계획!$T$3:$T$62,$AC111)))&gt;0,"인턴계획 입력오류 확인",IF(AND($AC111&lt;&gt;"",$U111&lt;&gt;"파견중",$N111&lt;&gt;$AE111),"인턴 타지역 근무: 파견 여부 확인","정상"))))))))</f>
        <v/>
      </c>
      <c r="AA111" s="5" t="n"/>
      <c r="AB111" s="10">
        <f>IF($B111="","",IFERROR(MATCH($B111,기본자료!$B$2:$B$1001,0),IFERROR(MATCH($B111&amp;"",기본자료!$B$2:$B$1001,0),IFERROR(MATCH(VALUE($B111),기본자료!$B$2:$B$1001,0),""))))</f>
        <v/>
      </c>
      <c r="AC111" s="10">
        <f>IF($B111="","",IFERROR(MATCH($B111,인턴근무계획!$D$3:$D$62,0),IFERROR(MATCH($B111&amp;"",인턴근무계획!$D$3:$D$62,0),IFERROR(MATCH(VALUE($B111),인턴근무계획!$D$3:$D$62,0),""))))</f>
        <v/>
      </c>
      <c r="AD111" s="10">
        <f>IF(OR($AC111="",인턴현황!$G$3=""),"",INDEX(인턴근무계획!$M$3:$R$62,$AC111,인턴현황!$G$3)&amp;"")</f>
        <v/>
      </c>
      <c r="AE111" s="10">
        <f>IF($B111="","",IF($M111&lt;&gt;"",$M111,IF($AF111&lt;&gt;"",IF(LEFT(INDEX(파견수련계획!$R$4:$R$83,$AF111),1)&lt;&gt;"⚠",INDEX(파견수련계획!$R$4:$R$83,$AF111),IF($H111="","",IF(RIGHT($H111,2)="병원",$H111,$H111&amp;"병원"))),IF($H111="","",IF(RIGHT($H111,2)="병원",$H111,$H111&amp;"병원")))))</f>
        <v/>
      </c>
      <c r="AF111" s="10">
        <f>IF(OR($B111="",TRIM($J111&amp;"")=""),"",IFERROR(MATCH(TRIM($J111&amp;"")&amp;"|파견중",파견수련계획!$Y$4:$Y$83,0),IFERROR(MATCH(TRIM($J111&amp;"")&amp;"|파견예정",파견수련계획!$Y$4:$Y$83,0),IFERROR(MATCH(TRIM($J111&amp;"")&amp;"|파견종료",파견수련계획!$Y$4:$Y$83,0),""))))</f>
        <v/>
      </c>
      <c r="AG111" s="10">
        <f>IF($B111="","",IF(AND(IF(OR($AC111="",인턴현황!$K$2=""),"",INDEX(인턴근무계획!$M$3:$R$62,$AC111,인턴현황!$K$2)&amp;"")&lt;&gt;"",LEFT(IF(OR($AC111="",인턴현황!$K$2=""),"",INDEX(인턴근무계획!$M$3:$R$62,$AC111,인턴현황!$K$2)&amp;""),1)&lt;&gt;"⚠"),LEFT(IF(OR($AC111="",인턴현황!$K$2=""),"",INDEX(인턴근무계획!$M$3:$R$62,$AC111,인턴현황!$K$2)&amp;""),FIND(" ",IF(OR($AC111="",인턴현황!$K$2=""),"",INDEX(인턴근무계획!$M$3:$R$62,$AC111,인턴현황!$K$2)&amp;""))-1),$AE111))</f>
        <v/>
      </c>
      <c r="AH111" s="17">
        <f>IF($B111="","",IF(TRIM($J111&amp;"")="",0,SUMPRODUCT((파견수련계획!$Q$4:$Q$83=TRIM($J111&amp;""))*(파견수련계획!$S$4:$S$83="서울병원")*파견수련계획!$W$4:$W$83))+IF($AG111="서울병원",MAX(0,DAY(EOMONTH(요약!$B$3,0))-N($X111)),0))</f>
        <v/>
      </c>
      <c r="AI111" s="17">
        <f>IF($B111="","",IF(TRIM($J111&amp;"")="",0,SUMPRODUCT((파견수련계획!$Q$4:$Q$83=TRIM($J111&amp;""))*(파견수련계획!$S$4:$S$83="구리병원")*파견수련계획!$W$4:$W$83))+IF($AG111="구리병원",MAX(0,DAY(EOMONTH(요약!$B$3,0))-N($X111)),0))</f>
        <v/>
      </c>
      <c r="AJ111" s="10">
        <f>IF(OR($B111="",TRIM($J111&amp;"")=""),"",IFERROR(MATCH(TRIM($J111&amp;"")&amp;"|월",파견수련계획!$Z$4:$Z$83,0),""))</f>
        <v/>
      </c>
      <c r="AK111" s="10">
        <f>IF(OR($B111="",TRIM($J111&amp;"")=""),"",IFERROR(MATCH(TRIM($J111&amp;"")&amp;"|다기관",파견수련계획!$AE$4:$AE$83,0),""))</f>
        <v/>
      </c>
      <c r="AL111" s="10">
        <f>IF($AK111="","","다기관 "&amp;TEXT(INDEX(파견수련계획!$AB$4:$AB$83,$AK111),"yyyy-mm-dd")&amp;"~"&amp;IF(ISNUMBER(INDEX(파견수련계획!$AC$4:$AC$83,$AK111)),TEXT(INDEX(파견수련계획!$AC$4:$AC$83,$AK111),"yyyy-mm-dd"),""))</f>
        <v/>
      </c>
    </row>
    <row r="112">
      <c r="A112" s="10">
        <f>IF(B112="","",ROW()-1)</f>
        <v/>
      </c>
      <c r="B112" s="18" t="n"/>
      <c r="C112" s="10">
        <f>IF($AB112="","",IF(INDEX(기본자료!$C$2:$C$1001,$AB112)="","",INDEX(기본자료!$C$2:$C$1001,$AB112)))</f>
        <v/>
      </c>
      <c r="D112" s="10">
        <f>IF($AB112="","",IF(INDEX(기본자료!$J$2:$J$1001,$AB112)="","",INDEX(기본자료!$J$2:$J$1001,$AB112)))</f>
        <v/>
      </c>
      <c r="E112" s="11">
        <f>IF($AB112="","",IF(INDEX(기본자료!$K$2:$K$1001,$AB112)="","",IF(NOT(ISNUMBER(INDEX(기본자료!$K$2:$K$1001,$AB112))),INDEX(기본자료!$K$2:$K$1001,$AB112),IF(INDEX(기본자료!$K$2:$K$1001,$AB112)&lt;1000000,INDEX(기본자료!$K$2:$K$1001,$AB112),IF(AND(INDEX(기본자료!$K$2:$K$1001,$AB112)&gt;=10000101,INT(MOD(INDEX(기본자료!$K$2:$K$1001,$AB112),10000)/100)&gt;=1,INT(MOD(INDEX(기본자료!$K$2:$K$1001,$AB112),10000)/100)&lt;=12,MOD(INDEX(기본자료!$K$2:$K$1001,$AB112),100)&gt;=1,MOD(INDEX(기본자료!$K$2:$K$1001,$AB112),100)&lt;=31),DATE(INT(INDEX(기본자료!$K$2:$K$1001,$AB112)/10000),INT(MOD(INDEX(기본자료!$K$2:$K$1001,$AB112),10000)/100),MOD(INDEX(기본자료!$K$2:$K$1001,$AB112),100)),INDEX(기본자료!$K$2:$K$1001,$AB112)&amp;"")))))</f>
        <v/>
      </c>
      <c r="F112" s="10">
        <f>IF($AB112="","",IF(INDEX(기본자료!$D$2:$D$1001,$AB112)="","",INDEX(기본자료!$D$2:$D$1001,$AB112)))</f>
        <v/>
      </c>
      <c r="G112" s="10">
        <f>IF($AB112="","",IF(INDEX(기본자료!$E$2:$E$1001,$AB112)="","",INDEX(기본자료!$E$2:$E$1001,$AB112)))</f>
        <v/>
      </c>
      <c r="H112" s="10">
        <f>IF($AB112="","",IF(INDEX(기본자료!$F$2:$F$1001,$AB112)="","",INDEX(기본자료!$F$2:$F$1001,$AB112)))</f>
        <v/>
      </c>
      <c r="I112" s="11">
        <f>IF($AB112="","",IF(INDEX(기본자료!$G$2:$G$1001,$AB112)="","",IF(NOT(ISNUMBER(INDEX(기본자료!$G$2:$G$1001,$AB112))),INDEX(기본자료!$G$2:$G$1001,$AB112),IF(INDEX(기본자료!$G$2:$G$1001,$AB112)&lt;1000000,INDEX(기본자료!$G$2:$G$1001,$AB112),IF(AND(INDEX(기본자료!$G$2:$G$1001,$AB112)&gt;=10000101,INT(MOD(INDEX(기본자료!$G$2:$G$1001,$AB112),10000)/100)&gt;=1,INT(MOD(INDEX(기본자료!$G$2:$G$1001,$AB112),10000)/100)&lt;=12,MOD(INDEX(기본자료!$G$2:$G$1001,$AB112),100)&gt;=1,MOD(INDEX(기본자료!$G$2:$G$1001,$AB112),100)&lt;=31),DATE(INT(INDEX(기본자료!$G$2:$G$1001,$AB112)/10000),INT(MOD(INDEX(기본자료!$G$2:$G$1001,$AB112),10000)/100),MOD(INDEX(기본자료!$G$2:$G$1001,$AB112),100)),INDEX(기본자료!$G$2:$G$1001,$AB112)&amp;"")))))</f>
        <v/>
      </c>
      <c r="J112" s="10">
        <f>IF($AB112="","",IF(INDEX(기본자료!$H$2:$H$1001,$AB112)="","",INDEX(기본자료!$H$2:$H$1001,$AB112)))</f>
        <v/>
      </c>
      <c r="K112" s="10">
        <f>IF($AB112="","",IF(INDEX(기본자료!$I$2:$I$1001,$AB112)="","",INDEX(기본자료!$I$2:$I$1001,$AB112)))</f>
        <v/>
      </c>
      <c r="L112" s="10">
        <f>IF($AB112="","",IF(INDEX(기본자료!$A$2:$A$1001,$AB112)="","",INDEX(기본자료!$A$2:$A$1001,$AB112)))</f>
        <v/>
      </c>
      <c r="M112" s="15" t="n"/>
      <c r="N112" s="10">
        <f>IF($B112="","",IF(AND($U112="파견중",$Q112&lt;&gt;""),$Q112,IF(AND($AD112&lt;&gt;"",LEFT($AD112,1)&lt;&gt;"⚠"),LEFT($AD112,FIND(" ",$AD112)-1),IF($H112="","",IF(RIGHT($H112,2)="병원",$H112,$H112&amp;"병원")))))</f>
        <v/>
      </c>
      <c r="O112" s="10">
        <f>IF($B112="","",IF(AND($U112="파견중",$Q112&lt;&gt;""),IF($R112&lt;&gt;"",$R112,"파견과 미입력"),IF(AND($AD112&lt;&gt;"",LEFT($AD112,1)&lt;&gt;"⚠"),MID($AD112,FIND(" ",$AD112)+1,60),IF($F112="","",IF($F112="인턴","수련교육부(인턴)",$F112)))))</f>
        <v/>
      </c>
      <c r="P112" s="10">
        <f>IF($B112="","",IF($AK112&lt;&gt;"",IF(AND(TODAY()&gt;=INDEX(파견수련계획!$AB$4:$AB$83,$AK112),OR(NOT(ISNUMBER(INDEX(파견수련계획!$AC$4:$AC$83,$AK112))),TODAY()&lt;=INDEX(파견수련계획!$AC$4:$AC$83,$AK112))),"다기관",IF($AF112="","",INDEX(파견수련계획!$T$4:$T$83,$AF112))),IF($AF112="","",INDEX(파견수련계획!$T$4:$T$83,$AF112))))</f>
        <v/>
      </c>
      <c r="Q112" s="10">
        <f>IF($AF112="","",INDEX(파견수련계획!$S$4:$S$83,$AF112))</f>
        <v/>
      </c>
      <c r="R112" s="10">
        <f>IF($AF112="","",INDEX(파견수련계획!$U$4:$U$83,$AF112))</f>
        <v/>
      </c>
      <c r="S112" s="11">
        <f>IF($AF112="","",IF(INDEX(파견수련계획!$H$4:$H$83,$AF112)="","",INDEX(파견수련계획!$H$4:$H$83,$AF112)))</f>
        <v/>
      </c>
      <c r="T112" s="11">
        <f>IF($AF112="","",IF(INDEX(파견수련계획!$I$4:$I$83,$AF112)="","",INDEX(파견수련계획!$I$4:$I$83,$AF112)))</f>
        <v/>
      </c>
      <c r="U112" s="10">
        <f>IF($AF112="","",INDEX(파견수련계획!$X$4:$X$83,$AF112))</f>
        <v/>
      </c>
      <c r="V112" s="17">
        <f>IF($AF112="","",INDEX(파견수련계획!$V$4:$V$83,$AF112))</f>
        <v/>
      </c>
      <c r="W112" s="17">
        <f>IF(AND($U112="파견중",$T112&lt;&gt;""),$T112-TODAY(),"")</f>
        <v/>
      </c>
      <c r="X112" s="17">
        <f>IF(OR($B112="",TRIM($J112&amp;"")=""),"",SUMPRODUCT((파견수련계획!$Q$4:$Q$83=TRIM($J112&amp;""))*파견수련계획!$W$4:$W$83))</f>
        <v/>
      </c>
      <c r="Y112" s="10">
        <f>IF($B112="","",IF($AG112="","",IF(IF(TRIM($J112&amp;"")="",0,SUMPRODUCT((파견수련계획!$Q$4:$Q$83=TRIM($J112&amp;""))*파견수련계획!$AD$4:$AD$83))&gt;0,$AE112,IF(N($X112)&lt;=0,$AG112,IF($AH112+$AI112=DAY(EOMONTH(요약!$B$3,0)),IF(AND($AH112&gt;=요약!$E$3,$AI112&lt;요약!$E$3),"서울병원",IF(AND($AI112&gt;=요약!$E$3,$AH112&lt;요약!$E$3),"구리병원","⚠15일 판정불가(서울 "&amp;$AH112&amp;"일/구리 "&amp;$AI112&amp;"일)")),IF($AJ112="",$AE112,IF(INDEX(파견수련계획!$T$4:$T$83,$AJ112)="통합수련",INDEX(파견수련계획!$S$4:$S$83,$AJ112),$AE112)))))))</f>
        <v/>
      </c>
      <c r="Z112" s="19">
        <f>IF($B112="","",IF($AB112="","기본자료에 없는 사번",IF(COUNTIF($B$2:$B$401,$B112)&gt;1,"중복 사번",IF($AE112="","소속(입사장소) 입력",IF(IF(TRIM($J112&amp;"")="",0,SUMPRODUCT((파견수련계획!$Q$4:$Q$83=TRIM($J112&amp;""))*(파견수련계획!$AA$4:$AA$83&lt;&gt;"")))&gt;0,"파견수련계획 입력오류 확인",IF(LEFT($Y112,1)="⚠","서울·구리 15일 판정 불가(양쪽 모두 이상/미만)",IF(IF($AC112="",0,N(INDEX(인턴근무계획!$T$3:$T$62,$AC112)))&gt;0,"인턴계획 입력오류 확인",IF(AND($AC112&lt;&gt;"",$U112&lt;&gt;"파견중",$N112&lt;&gt;$AE112),"인턴 타지역 근무: 파견 여부 확인","정상"))))))))</f>
        <v/>
      </c>
      <c r="AA112" s="5" t="n"/>
      <c r="AB112" s="10">
        <f>IF($B112="","",IFERROR(MATCH($B112,기본자료!$B$2:$B$1001,0),IFERROR(MATCH($B112&amp;"",기본자료!$B$2:$B$1001,0),IFERROR(MATCH(VALUE($B112),기본자료!$B$2:$B$1001,0),""))))</f>
        <v/>
      </c>
      <c r="AC112" s="10">
        <f>IF($B112="","",IFERROR(MATCH($B112,인턴근무계획!$D$3:$D$62,0),IFERROR(MATCH($B112&amp;"",인턴근무계획!$D$3:$D$62,0),IFERROR(MATCH(VALUE($B112),인턴근무계획!$D$3:$D$62,0),""))))</f>
        <v/>
      </c>
      <c r="AD112" s="10">
        <f>IF(OR($AC112="",인턴현황!$G$3=""),"",INDEX(인턴근무계획!$M$3:$R$62,$AC112,인턴현황!$G$3)&amp;"")</f>
        <v/>
      </c>
      <c r="AE112" s="10">
        <f>IF($B112="","",IF($M112&lt;&gt;"",$M112,IF($AF112&lt;&gt;"",IF(LEFT(INDEX(파견수련계획!$R$4:$R$83,$AF112),1)&lt;&gt;"⚠",INDEX(파견수련계획!$R$4:$R$83,$AF112),IF($H112="","",IF(RIGHT($H112,2)="병원",$H112,$H112&amp;"병원"))),IF($H112="","",IF(RIGHT($H112,2)="병원",$H112,$H112&amp;"병원")))))</f>
        <v/>
      </c>
      <c r="AF112" s="10">
        <f>IF(OR($B112="",TRIM($J112&amp;"")=""),"",IFERROR(MATCH(TRIM($J112&amp;"")&amp;"|파견중",파견수련계획!$Y$4:$Y$83,0),IFERROR(MATCH(TRIM($J112&amp;"")&amp;"|파견예정",파견수련계획!$Y$4:$Y$83,0),IFERROR(MATCH(TRIM($J112&amp;"")&amp;"|파견종료",파견수련계획!$Y$4:$Y$83,0),""))))</f>
        <v/>
      </c>
      <c r="AG112" s="10">
        <f>IF($B112="","",IF(AND(IF(OR($AC112="",인턴현황!$K$2=""),"",INDEX(인턴근무계획!$M$3:$R$62,$AC112,인턴현황!$K$2)&amp;"")&lt;&gt;"",LEFT(IF(OR($AC112="",인턴현황!$K$2=""),"",INDEX(인턴근무계획!$M$3:$R$62,$AC112,인턴현황!$K$2)&amp;""),1)&lt;&gt;"⚠"),LEFT(IF(OR($AC112="",인턴현황!$K$2=""),"",INDEX(인턴근무계획!$M$3:$R$62,$AC112,인턴현황!$K$2)&amp;""),FIND(" ",IF(OR($AC112="",인턴현황!$K$2=""),"",INDEX(인턴근무계획!$M$3:$R$62,$AC112,인턴현황!$K$2)&amp;""))-1),$AE112))</f>
        <v/>
      </c>
      <c r="AH112" s="17">
        <f>IF($B112="","",IF(TRIM($J112&amp;"")="",0,SUMPRODUCT((파견수련계획!$Q$4:$Q$83=TRIM($J112&amp;""))*(파견수련계획!$S$4:$S$83="서울병원")*파견수련계획!$W$4:$W$83))+IF($AG112="서울병원",MAX(0,DAY(EOMONTH(요약!$B$3,0))-N($X112)),0))</f>
        <v/>
      </c>
      <c r="AI112" s="17">
        <f>IF($B112="","",IF(TRIM($J112&amp;"")="",0,SUMPRODUCT((파견수련계획!$Q$4:$Q$83=TRIM($J112&amp;""))*(파견수련계획!$S$4:$S$83="구리병원")*파견수련계획!$W$4:$W$83))+IF($AG112="구리병원",MAX(0,DAY(EOMONTH(요약!$B$3,0))-N($X112)),0))</f>
        <v/>
      </c>
      <c r="AJ112" s="10">
        <f>IF(OR($B112="",TRIM($J112&amp;"")=""),"",IFERROR(MATCH(TRIM($J112&amp;"")&amp;"|월",파견수련계획!$Z$4:$Z$83,0),""))</f>
        <v/>
      </c>
      <c r="AK112" s="10">
        <f>IF(OR($B112="",TRIM($J112&amp;"")=""),"",IFERROR(MATCH(TRIM($J112&amp;"")&amp;"|다기관",파견수련계획!$AE$4:$AE$83,0),""))</f>
        <v/>
      </c>
      <c r="AL112" s="10">
        <f>IF($AK112="","","다기관 "&amp;TEXT(INDEX(파견수련계획!$AB$4:$AB$83,$AK112),"yyyy-mm-dd")&amp;"~"&amp;IF(ISNUMBER(INDEX(파견수련계획!$AC$4:$AC$83,$AK112)),TEXT(INDEX(파견수련계획!$AC$4:$AC$83,$AK112),"yyyy-mm-dd"),""))</f>
        <v/>
      </c>
    </row>
    <row r="113">
      <c r="A113" s="10">
        <f>IF(B113="","",ROW()-1)</f>
        <v/>
      </c>
      <c r="B113" s="18" t="n"/>
      <c r="C113" s="10">
        <f>IF($AB113="","",IF(INDEX(기본자료!$C$2:$C$1001,$AB113)="","",INDEX(기본자료!$C$2:$C$1001,$AB113)))</f>
        <v/>
      </c>
      <c r="D113" s="10">
        <f>IF($AB113="","",IF(INDEX(기본자료!$J$2:$J$1001,$AB113)="","",INDEX(기본자료!$J$2:$J$1001,$AB113)))</f>
        <v/>
      </c>
      <c r="E113" s="11">
        <f>IF($AB113="","",IF(INDEX(기본자료!$K$2:$K$1001,$AB113)="","",IF(NOT(ISNUMBER(INDEX(기본자료!$K$2:$K$1001,$AB113))),INDEX(기본자료!$K$2:$K$1001,$AB113),IF(INDEX(기본자료!$K$2:$K$1001,$AB113)&lt;1000000,INDEX(기본자료!$K$2:$K$1001,$AB113),IF(AND(INDEX(기본자료!$K$2:$K$1001,$AB113)&gt;=10000101,INT(MOD(INDEX(기본자료!$K$2:$K$1001,$AB113),10000)/100)&gt;=1,INT(MOD(INDEX(기본자료!$K$2:$K$1001,$AB113),10000)/100)&lt;=12,MOD(INDEX(기본자료!$K$2:$K$1001,$AB113),100)&gt;=1,MOD(INDEX(기본자료!$K$2:$K$1001,$AB113),100)&lt;=31),DATE(INT(INDEX(기본자료!$K$2:$K$1001,$AB113)/10000),INT(MOD(INDEX(기본자료!$K$2:$K$1001,$AB113),10000)/100),MOD(INDEX(기본자료!$K$2:$K$1001,$AB113),100)),INDEX(기본자료!$K$2:$K$1001,$AB113)&amp;"")))))</f>
        <v/>
      </c>
      <c r="F113" s="10">
        <f>IF($AB113="","",IF(INDEX(기본자료!$D$2:$D$1001,$AB113)="","",INDEX(기본자료!$D$2:$D$1001,$AB113)))</f>
        <v/>
      </c>
      <c r="G113" s="10">
        <f>IF($AB113="","",IF(INDEX(기본자료!$E$2:$E$1001,$AB113)="","",INDEX(기본자료!$E$2:$E$1001,$AB113)))</f>
        <v/>
      </c>
      <c r="H113" s="10">
        <f>IF($AB113="","",IF(INDEX(기본자료!$F$2:$F$1001,$AB113)="","",INDEX(기본자료!$F$2:$F$1001,$AB113)))</f>
        <v/>
      </c>
      <c r="I113" s="11">
        <f>IF($AB113="","",IF(INDEX(기본자료!$G$2:$G$1001,$AB113)="","",IF(NOT(ISNUMBER(INDEX(기본자료!$G$2:$G$1001,$AB113))),INDEX(기본자료!$G$2:$G$1001,$AB113),IF(INDEX(기본자료!$G$2:$G$1001,$AB113)&lt;1000000,INDEX(기본자료!$G$2:$G$1001,$AB113),IF(AND(INDEX(기본자료!$G$2:$G$1001,$AB113)&gt;=10000101,INT(MOD(INDEX(기본자료!$G$2:$G$1001,$AB113),10000)/100)&gt;=1,INT(MOD(INDEX(기본자료!$G$2:$G$1001,$AB113),10000)/100)&lt;=12,MOD(INDEX(기본자료!$G$2:$G$1001,$AB113),100)&gt;=1,MOD(INDEX(기본자료!$G$2:$G$1001,$AB113),100)&lt;=31),DATE(INT(INDEX(기본자료!$G$2:$G$1001,$AB113)/10000),INT(MOD(INDEX(기본자료!$G$2:$G$1001,$AB113),10000)/100),MOD(INDEX(기본자료!$G$2:$G$1001,$AB113),100)),INDEX(기본자료!$G$2:$G$1001,$AB113)&amp;"")))))</f>
        <v/>
      </c>
      <c r="J113" s="10">
        <f>IF($AB113="","",IF(INDEX(기본자료!$H$2:$H$1001,$AB113)="","",INDEX(기본자료!$H$2:$H$1001,$AB113)))</f>
        <v/>
      </c>
      <c r="K113" s="10">
        <f>IF($AB113="","",IF(INDEX(기본자료!$I$2:$I$1001,$AB113)="","",INDEX(기본자료!$I$2:$I$1001,$AB113)))</f>
        <v/>
      </c>
      <c r="L113" s="10">
        <f>IF($AB113="","",IF(INDEX(기본자료!$A$2:$A$1001,$AB113)="","",INDEX(기본자료!$A$2:$A$1001,$AB113)))</f>
        <v/>
      </c>
      <c r="M113" s="15" t="n"/>
      <c r="N113" s="10">
        <f>IF($B113="","",IF(AND($U113="파견중",$Q113&lt;&gt;""),$Q113,IF(AND($AD113&lt;&gt;"",LEFT($AD113,1)&lt;&gt;"⚠"),LEFT($AD113,FIND(" ",$AD113)-1),IF($H113="","",IF(RIGHT($H113,2)="병원",$H113,$H113&amp;"병원")))))</f>
        <v/>
      </c>
      <c r="O113" s="10">
        <f>IF($B113="","",IF(AND($U113="파견중",$Q113&lt;&gt;""),IF($R113&lt;&gt;"",$R113,"파견과 미입력"),IF(AND($AD113&lt;&gt;"",LEFT($AD113,1)&lt;&gt;"⚠"),MID($AD113,FIND(" ",$AD113)+1,60),IF($F113="","",IF($F113="인턴","수련교육부(인턴)",$F113)))))</f>
        <v/>
      </c>
      <c r="P113" s="10">
        <f>IF($B113="","",IF($AK113&lt;&gt;"",IF(AND(TODAY()&gt;=INDEX(파견수련계획!$AB$4:$AB$83,$AK113),OR(NOT(ISNUMBER(INDEX(파견수련계획!$AC$4:$AC$83,$AK113))),TODAY()&lt;=INDEX(파견수련계획!$AC$4:$AC$83,$AK113))),"다기관",IF($AF113="","",INDEX(파견수련계획!$T$4:$T$83,$AF113))),IF($AF113="","",INDEX(파견수련계획!$T$4:$T$83,$AF113))))</f>
        <v/>
      </c>
      <c r="Q113" s="10">
        <f>IF($AF113="","",INDEX(파견수련계획!$S$4:$S$83,$AF113))</f>
        <v/>
      </c>
      <c r="R113" s="10">
        <f>IF($AF113="","",INDEX(파견수련계획!$U$4:$U$83,$AF113))</f>
        <v/>
      </c>
      <c r="S113" s="11">
        <f>IF($AF113="","",IF(INDEX(파견수련계획!$H$4:$H$83,$AF113)="","",INDEX(파견수련계획!$H$4:$H$83,$AF113)))</f>
        <v/>
      </c>
      <c r="T113" s="11">
        <f>IF($AF113="","",IF(INDEX(파견수련계획!$I$4:$I$83,$AF113)="","",INDEX(파견수련계획!$I$4:$I$83,$AF113)))</f>
        <v/>
      </c>
      <c r="U113" s="10">
        <f>IF($AF113="","",INDEX(파견수련계획!$X$4:$X$83,$AF113))</f>
        <v/>
      </c>
      <c r="V113" s="17">
        <f>IF($AF113="","",INDEX(파견수련계획!$V$4:$V$83,$AF113))</f>
        <v/>
      </c>
      <c r="W113" s="17">
        <f>IF(AND($U113="파견중",$T113&lt;&gt;""),$T113-TODAY(),"")</f>
        <v/>
      </c>
      <c r="X113" s="17">
        <f>IF(OR($B113="",TRIM($J113&amp;"")=""),"",SUMPRODUCT((파견수련계획!$Q$4:$Q$83=TRIM($J113&amp;""))*파견수련계획!$W$4:$W$83))</f>
        <v/>
      </c>
      <c r="Y113" s="10">
        <f>IF($B113="","",IF($AG113="","",IF(IF(TRIM($J113&amp;"")="",0,SUMPRODUCT((파견수련계획!$Q$4:$Q$83=TRIM($J113&amp;""))*파견수련계획!$AD$4:$AD$83))&gt;0,$AE113,IF(N($X113)&lt;=0,$AG113,IF($AH113+$AI113=DAY(EOMONTH(요약!$B$3,0)),IF(AND($AH113&gt;=요약!$E$3,$AI113&lt;요약!$E$3),"서울병원",IF(AND($AI113&gt;=요약!$E$3,$AH113&lt;요약!$E$3),"구리병원","⚠15일 판정불가(서울 "&amp;$AH113&amp;"일/구리 "&amp;$AI113&amp;"일)")),IF($AJ113="",$AE113,IF(INDEX(파견수련계획!$T$4:$T$83,$AJ113)="통합수련",INDEX(파견수련계획!$S$4:$S$83,$AJ113),$AE113)))))))</f>
        <v/>
      </c>
      <c r="Z113" s="19">
        <f>IF($B113="","",IF($AB113="","기본자료에 없는 사번",IF(COUNTIF($B$2:$B$401,$B113)&gt;1,"중복 사번",IF($AE113="","소속(입사장소) 입력",IF(IF(TRIM($J113&amp;"")="",0,SUMPRODUCT((파견수련계획!$Q$4:$Q$83=TRIM($J113&amp;""))*(파견수련계획!$AA$4:$AA$83&lt;&gt;"")))&gt;0,"파견수련계획 입력오류 확인",IF(LEFT($Y113,1)="⚠","서울·구리 15일 판정 불가(양쪽 모두 이상/미만)",IF(IF($AC113="",0,N(INDEX(인턴근무계획!$T$3:$T$62,$AC113)))&gt;0,"인턴계획 입력오류 확인",IF(AND($AC113&lt;&gt;"",$U113&lt;&gt;"파견중",$N113&lt;&gt;$AE113),"인턴 타지역 근무: 파견 여부 확인","정상"))))))))</f>
        <v/>
      </c>
      <c r="AA113" s="5" t="n"/>
      <c r="AB113" s="10">
        <f>IF($B113="","",IFERROR(MATCH($B113,기본자료!$B$2:$B$1001,0),IFERROR(MATCH($B113&amp;"",기본자료!$B$2:$B$1001,0),IFERROR(MATCH(VALUE($B113),기본자료!$B$2:$B$1001,0),""))))</f>
        <v/>
      </c>
      <c r="AC113" s="10">
        <f>IF($B113="","",IFERROR(MATCH($B113,인턴근무계획!$D$3:$D$62,0),IFERROR(MATCH($B113&amp;"",인턴근무계획!$D$3:$D$62,0),IFERROR(MATCH(VALUE($B113),인턴근무계획!$D$3:$D$62,0),""))))</f>
        <v/>
      </c>
      <c r="AD113" s="10">
        <f>IF(OR($AC113="",인턴현황!$G$3=""),"",INDEX(인턴근무계획!$M$3:$R$62,$AC113,인턴현황!$G$3)&amp;"")</f>
        <v/>
      </c>
      <c r="AE113" s="10">
        <f>IF($B113="","",IF($M113&lt;&gt;"",$M113,IF($AF113&lt;&gt;"",IF(LEFT(INDEX(파견수련계획!$R$4:$R$83,$AF113),1)&lt;&gt;"⚠",INDEX(파견수련계획!$R$4:$R$83,$AF113),IF($H113="","",IF(RIGHT($H113,2)="병원",$H113,$H113&amp;"병원"))),IF($H113="","",IF(RIGHT($H113,2)="병원",$H113,$H113&amp;"병원")))))</f>
        <v/>
      </c>
      <c r="AF113" s="10">
        <f>IF(OR($B113="",TRIM($J113&amp;"")=""),"",IFERROR(MATCH(TRIM($J113&amp;"")&amp;"|파견중",파견수련계획!$Y$4:$Y$83,0),IFERROR(MATCH(TRIM($J113&amp;"")&amp;"|파견예정",파견수련계획!$Y$4:$Y$83,0),IFERROR(MATCH(TRIM($J113&amp;"")&amp;"|파견종료",파견수련계획!$Y$4:$Y$83,0),""))))</f>
        <v/>
      </c>
      <c r="AG113" s="10">
        <f>IF($B113="","",IF(AND(IF(OR($AC113="",인턴현황!$K$2=""),"",INDEX(인턴근무계획!$M$3:$R$62,$AC113,인턴현황!$K$2)&amp;"")&lt;&gt;"",LEFT(IF(OR($AC113="",인턴현황!$K$2=""),"",INDEX(인턴근무계획!$M$3:$R$62,$AC113,인턴현황!$K$2)&amp;""),1)&lt;&gt;"⚠"),LEFT(IF(OR($AC113="",인턴현황!$K$2=""),"",INDEX(인턴근무계획!$M$3:$R$62,$AC113,인턴현황!$K$2)&amp;""),FIND(" ",IF(OR($AC113="",인턴현황!$K$2=""),"",INDEX(인턴근무계획!$M$3:$R$62,$AC113,인턴현황!$K$2)&amp;""))-1),$AE113))</f>
        <v/>
      </c>
      <c r="AH113" s="17">
        <f>IF($B113="","",IF(TRIM($J113&amp;"")="",0,SUMPRODUCT((파견수련계획!$Q$4:$Q$83=TRIM($J113&amp;""))*(파견수련계획!$S$4:$S$83="서울병원")*파견수련계획!$W$4:$W$83))+IF($AG113="서울병원",MAX(0,DAY(EOMONTH(요약!$B$3,0))-N($X113)),0))</f>
        <v/>
      </c>
      <c r="AI113" s="17">
        <f>IF($B113="","",IF(TRIM($J113&amp;"")="",0,SUMPRODUCT((파견수련계획!$Q$4:$Q$83=TRIM($J113&amp;""))*(파견수련계획!$S$4:$S$83="구리병원")*파견수련계획!$W$4:$W$83))+IF($AG113="구리병원",MAX(0,DAY(EOMONTH(요약!$B$3,0))-N($X113)),0))</f>
        <v/>
      </c>
      <c r="AJ113" s="10">
        <f>IF(OR($B113="",TRIM($J113&amp;"")=""),"",IFERROR(MATCH(TRIM($J113&amp;"")&amp;"|월",파견수련계획!$Z$4:$Z$83,0),""))</f>
        <v/>
      </c>
      <c r="AK113" s="10">
        <f>IF(OR($B113="",TRIM($J113&amp;"")=""),"",IFERROR(MATCH(TRIM($J113&amp;"")&amp;"|다기관",파견수련계획!$AE$4:$AE$83,0),""))</f>
        <v/>
      </c>
      <c r="AL113" s="10">
        <f>IF($AK113="","","다기관 "&amp;TEXT(INDEX(파견수련계획!$AB$4:$AB$83,$AK113),"yyyy-mm-dd")&amp;"~"&amp;IF(ISNUMBER(INDEX(파견수련계획!$AC$4:$AC$83,$AK113)),TEXT(INDEX(파견수련계획!$AC$4:$AC$83,$AK113),"yyyy-mm-dd"),""))</f>
        <v/>
      </c>
    </row>
    <row r="114">
      <c r="A114" s="10">
        <f>IF(B114="","",ROW()-1)</f>
        <v/>
      </c>
      <c r="B114" s="18" t="n"/>
      <c r="C114" s="10">
        <f>IF($AB114="","",IF(INDEX(기본자료!$C$2:$C$1001,$AB114)="","",INDEX(기본자료!$C$2:$C$1001,$AB114)))</f>
        <v/>
      </c>
      <c r="D114" s="10">
        <f>IF($AB114="","",IF(INDEX(기본자료!$J$2:$J$1001,$AB114)="","",INDEX(기본자료!$J$2:$J$1001,$AB114)))</f>
        <v/>
      </c>
      <c r="E114" s="11">
        <f>IF($AB114="","",IF(INDEX(기본자료!$K$2:$K$1001,$AB114)="","",IF(NOT(ISNUMBER(INDEX(기본자료!$K$2:$K$1001,$AB114))),INDEX(기본자료!$K$2:$K$1001,$AB114),IF(INDEX(기본자료!$K$2:$K$1001,$AB114)&lt;1000000,INDEX(기본자료!$K$2:$K$1001,$AB114),IF(AND(INDEX(기본자료!$K$2:$K$1001,$AB114)&gt;=10000101,INT(MOD(INDEX(기본자료!$K$2:$K$1001,$AB114),10000)/100)&gt;=1,INT(MOD(INDEX(기본자료!$K$2:$K$1001,$AB114),10000)/100)&lt;=12,MOD(INDEX(기본자료!$K$2:$K$1001,$AB114),100)&gt;=1,MOD(INDEX(기본자료!$K$2:$K$1001,$AB114),100)&lt;=31),DATE(INT(INDEX(기본자료!$K$2:$K$1001,$AB114)/10000),INT(MOD(INDEX(기본자료!$K$2:$K$1001,$AB114),10000)/100),MOD(INDEX(기본자료!$K$2:$K$1001,$AB114),100)),INDEX(기본자료!$K$2:$K$1001,$AB114)&amp;"")))))</f>
        <v/>
      </c>
      <c r="F114" s="10">
        <f>IF($AB114="","",IF(INDEX(기본자료!$D$2:$D$1001,$AB114)="","",INDEX(기본자료!$D$2:$D$1001,$AB114)))</f>
        <v/>
      </c>
      <c r="G114" s="10">
        <f>IF($AB114="","",IF(INDEX(기본자료!$E$2:$E$1001,$AB114)="","",INDEX(기본자료!$E$2:$E$1001,$AB114)))</f>
        <v/>
      </c>
      <c r="H114" s="10">
        <f>IF($AB114="","",IF(INDEX(기본자료!$F$2:$F$1001,$AB114)="","",INDEX(기본자료!$F$2:$F$1001,$AB114)))</f>
        <v/>
      </c>
      <c r="I114" s="11">
        <f>IF($AB114="","",IF(INDEX(기본자료!$G$2:$G$1001,$AB114)="","",IF(NOT(ISNUMBER(INDEX(기본자료!$G$2:$G$1001,$AB114))),INDEX(기본자료!$G$2:$G$1001,$AB114),IF(INDEX(기본자료!$G$2:$G$1001,$AB114)&lt;1000000,INDEX(기본자료!$G$2:$G$1001,$AB114),IF(AND(INDEX(기본자료!$G$2:$G$1001,$AB114)&gt;=10000101,INT(MOD(INDEX(기본자료!$G$2:$G$1001,$AB114),10000)/100)&gt;=1,INT(MOD(INDEX(기본자료!$G$2:$G$1001,$AB114),10000)/100)&lt;=12,MOD(INDEX(기본자료!$G$2:$G$1001,$AB114),100)&gt;=1,MOD(INDEX(기본자료!$G$2:$G$1001,$AB114),100)&lt;=31),DATE(INT(INDEX(기본자료!$G$2:$G$1001,$AB114)/10000),INT(MOD(INDEX(기본자료!$G$2:$G$1001,$AB114),10000)/100),MOD(INDEX(기본자료!$G$2:$G$1001,$AB114),100)),INDEX(기본자료!$G$2:$G$1001,$AB114)&amp;"")))))</f>
        <v/>
      </c>
      <c r="J114" s="10">
        <f>IF($AB114="","",IF(INDEX(기본자료!$H$2:$H$1001,$AB114)="","",INDEX(기본자료!$H$2:$H$1001,$AB114)))</f>
        <v/>
      </c>
      <c r="K114" s="10">
        <f>IF($AB114="","",IF(INDEX(기본자료!$I$2:$I$1001,$AB114)="","",INDEX(기본자료!$I$2:$I$1001,$AB114)))</f>
        <v/>
      </c>
      <c r="L114" s="10">
        <f>IF($AB114="","",IF(INDEX(기본자료!$A$2:$A$1001,$AB114)="","",INDEX(기본자료!$A$2:$A$1001,$AB114)))</f>
        <v/>
      </c>
      <c r="M114" s="15" t="n"/>
      <c r="N114" s="10">
        <f>IF($B114="","",IF(AND($U114="파견중",$Q114&lt;&gt;""),$Q114,IF(AND($AD114&lt;&gt;"",LEFT($AD114,1)&lt;&gt;"⚠"),LEFT($AD114,FIND(" ",$AD114)-1),IF($H114="","",IF(RIGHT($H114,2)="병원",$H114,$H114&amp;"병원")))))</f>
        <v/>
      </c>
      <c r="O114" s="10">
        <f>IF($B114="","",IF(AND($U114="파견중",$Q114&lt;&gt;""),IF($R114&lt;&gt;"",$R114,"파견과 미입력"),IF(AND($AD114&lt;&gt;"",LEFT($AD114,1)&lt;&gt;"⚠"),MID($AD114,FIND(" ",$AD114)+1,60),IF($F114="","",IF($F114="인턴","수련교육부(인턴)",$F114)))))</f>
        <v/>
      </c>
      <c r="P114" s="10">
        <f>IF($B114="","",IF($AK114&lt;&gt;"",IF(AND(TODAY()&gt;=INDEX(파견수련계획!$AB$4:$AB$83,$AK114),OR(NOT(ISNUMBER(INDEX(파견수련계획!$AC$4:$AC$83,$AK114))),TODAY()&lt;=INDEX(파견수련계획!$AC$4:$AC$83,$AK114))),"다기관",IF($AF114="","",INDEX(파견수련계획!$T$4:$T$83,$AF114))),IF($AF114="","",INDEX(파견수련계획!$T$4:$T$83,$AF114))))</f>
        <v/>
      </c>
      <c r="Q114" s="10">
        <f>IF($AF114="","",INDEX(파견수련계획!$S$4:$S$83,$AF114))</f>
        <v/>
      </c>
      <c r="R114" s="10">
        <f>IF($AF114="","",INDEX(파견수련계획!$U$4:$U$83,$AF114))</f>
        <v/>
      </c>
      <c r="S114" s="11">
        <f>IF($AF114="","",IF(INDEX(파견수련계획!$H$4:$H$83,$AF114)="","",INDEX(파견수련계획!$H$4:$H$83,$AF114)))</f>
        <v/>
      </c>
      <c r="T114" s="11">
        <f>IF($AF114="","",IF(INDEX(파견수련계획!$I$4:$I$83,$AF114)="","",INDEX(파견수련계획!$I$4:$I$83,$AF114)))</f>
        <v/>
      </c>
      <c r="U114" s="10">
        <f>IF($AF114="","",INDEX(파견수련계획!$X$4:$X$83,$AF114))</f>
        <v/>
      </c>
      <c r="V114" s="17">
        <f>IF($AF114="","",INDEX(파견수련계획!$V$4:$V$83,$AF114))</f>
        <v/>
      </c>
      <c r="W114" s="17">
        <f>IF(AND($U114="파견중",$T114&lt;&gt;""),$T114-TODAY(),"")</f>
        <v/>
      </c>
      <c r="X114" s="17">
        <f>IF(OR($B114="",TRIM($J114&amp;"")=""),"",SUMPRODUCT((파견수련계획!$Q$4:$Q$83=TRIM($J114&amp;""))*파견수련계획!$W$4:$W$83))</f>
        <v/>
      </c>
      <c r="Y114" s="10">
        <f>IF($B114="","",IF($AG114="","",IF(IF(TRIM($J114&amp;"")="",0,SUMPRODUCT((파견수련계획!$Q$4:$Q$83=TRIM($J114&amp;""))*파견수련계획!$AD$4:$AD$83))&gt;0,$AE114,IF(N($X114)&lt;=0,$AG114,IF($AH114+$AI114=DAY(EOMONTH(요약!$B$3,0)),IF(AND($AH114&gt;=요약!$E$3,$AI114&lt;요약!$E$3),"서울병원",IF(AND($AI114&gt;=요약!$E$3,$AH114&lt;요약!$E$3),"구리병원","⚠15일 판정불가(서울 "&amp;$AH114&amp;"일/구리 "&amp;$AI114&amp;"일)")),IF($AJ114="",$AE114,IF(INDEX(파견수련계획!$T$4:$T$83,$AJ114)="통합수련",INDEX(파견수련계획!$S$4:$S$83,$AJ114),$AE114)))))))</f>
        <v/>
      </c>
      <c r="Z114" s="19">
        <f>IF($B114="","",IF($AB114="","기본자료에 없는 사번",IF(COUNTIF($B$2:$B$401,$B114)&gt;1,"중복 사번",IF($AE114="","소속(입사장소) 입력",IF(IF(TRIM($J114&amp;"")="",0,SUMPRODUCT((파견수련계획!$Q$4:$Q$83=TRIM($J114&amp;""))*(파견수련계획!$AA$4:$AA$83&lt;&gt;"")))&gt;0,"파견수련계획 입력오류 확인",IF(LEFT($Y114,1)="⚠","서울·구리 15일 판정 불가(양쪽 모두 이상/미만)",IF(IF($AC114="",0,N(INDEX(인턴근무계획!$T$3:$T$62,$AC114)))&gt;0,"인턴계획 입력오류 확인",IF(AND($AC114&lt;&gt;"",$U114&lt;&gt;"파견중",$N114&lt;&gt;$AE114),"인턴 타지역 근무: 파견 여부 확인","정상"))))))))</f>
        <v/>
      </c>
      <c r="AA114" s="5" t="n"/>
      <c r="AB114" s="10">
        <f>IF($B114="","",IFERROR(MATCH($B114,기본자료!$B$2:$B$1001,0),IFERROR(MATCH($B114&amp;"",기본자료!$B$2:$B$1001,0),IFERROR(MATCH(VALUE($B114),기본자료!$B$2:$B$1001,0),""))))</f>
        <v/>
      </c>
      <c r="AC114" s="10">
        <f>IF($B114="","",IFERROR(MATCH($B114,인턴근무계획!$D$3:$D$62,0),IFERROR(MATCH($B114&amp;"",인턴근무계획!$D$3:$D$62,0),IFERROR(MATCH(VALUE($B114),인턴근무계획!$D$3:$D$62,0),""))))</f>
        <v/>
      </c>
      <c r="AD114" s="10">
        <f>IF(OR($AC114="",인턴현황!$G$3=""),"",INDEX(인턴근무계획!$M$3:$R$62,$AC114,인턴현황!$G$3)&amp;"")</f>
        <v/>
      </c>
      <c r="AE114" s="10">
        <f>IF($B114="","",IF($M114&lt;&gt;"",$M114,IF($AF114&lt;&gt;"",IF(LEFT(INDEX(파견수련계획!$R$4:$R$83,$AF114),1)&lt;&gt;"⚠",INDEX(파견수련계획!$R$4:$R$83,$AF114),IF($H114="","",IF(RIGHT($H114,2)="병원",$H114,$H114&amp;"병원"))),IF($H114="","",IF(RIGHT($H114,2)="병원",$H114,$H114&amp;"병원")))))</f>
        <v/>
      </c>
      <c r="AF114" s="10">
        <f>IF(OR($B114="",TRIM($J114&amp;"")=""),"",IFERROR(MATCH(TRIM($J114&amp;"")&amp;"|파견중",파견수련계획!$Y$4:$Y$83,0),IFERROR(MATCH(TRIM($J114&amp;"")&amp;"|파견예정",파견수련계획!$Y$4:$Y$83,0),IFERROR(MATCH(TRIM($J114&amp;"")&amp;"|파견종료",파견수련계획!$Y$4:$Y$83,0),""))))</f>
        <v/>
      </c>
      <c r="AG114" s="10">
        <f>IF($B114="","",IF(AND(IF(OR($AC114="",인턴현황!$K$2=""),"",INDEX(인턴근무계획!$M$3:$R$62,$AC114,인턴현황!$K$2)&amp;"")&lt;&gt;"",LEFT(IF(OR($AC114="",인턴현황!$K$2=""),"",INDEX(인턴근무계획!$M$3:$R$62,$AC114,인턴현황!$K$2)&amp;""),1)&lt;&gt;"⚠"),LEFT(IF(OR($AC114="",인턴현황!$K$2=""),"",INDEX(인턴근무계획!$M$3:$R$62,$AC114,인턴현황!$K$2)&amp;""),FIND(" ",IF(OR($AC114="",인턴현황!$K$2=""),"",INDEX(인턴근무계획!$M$3:$R$62,$AC114,인턴현황!$K$2)&amp;""))-1),$AE114))</f>
        <v/>
      </c>
      <c r="AH114" s="17">
        <f>IF($B114="","",IF(TRIM($J114&amp;"")="",0,SUMPRODUCT((파견수련계획!$Q$4:$Q$83=TRIM($J114&amp;""))*(파견수련계획!$S$4:$S$83="서울병원")*파견수련계획!$W$4:$W$83))+IF($AG114="서울병원",MAX(0,DAY(EOMONTH(요약!$B$3,0))-N($X114)),0))</f>
        <v/>
      </c>
      <c r="AI114" s="17">
        <f>IF($B114="","",IF(TRIM($J114&amp;"")="",0,SUMPRODUCT((파견수련계획!$Q$4:$Q$83=TRIM($J114&amp;""))*(파견수련계획!$S$4:$S$83="구리병원")*파견수련계획!$W$4:$W$83))+IF($AG114="구리병원",MAX(0,DAY(EOMONTH(요약!$B$3,0))-N($X114)),0))</f>
        <v/>
      </c>
      <c r="AJ114" s="10">
        <f>IF(OR($B114="",TRIM($J114&amp;"")=""),"",IFERROR(MATCH(TRIM($J114&amp;"")&amp;"|월",파견수련계획!$Z$4:$Z$83,0),""))</f>
        <v/>
      </c>
      <c r="AK114" s="10">
        <f>IF(OR($B114="",TRIM($J114&amp;"")=""),"",IFERROR(MATCH(TRIM($J114&amp;"")&amp;"|다기관",파견수련계획!$AE$4:$AE$83,0),""))</f>
        <v/>
      </c>
      <c r="AL114" s="10">
        <f>IF($AK114="","","다기관 "&amp;TEXT(INDEX(파견수련계획!$AB$4:$AB$83,$AK114),"yyyy-mm-dd")&amp;"~"&amp;IF(ISNUMBER(INDEX(파견수련계획!$AC$4:$AC$83,$AK114)),TEXT(INDEX(파견수련계획!$AC$4:$AC$83,$AK114),"yyyy-mm-dd"),""))</f>
        <v/>
      </c>
    </row>
    <row r="115">
      <c r="A115" s="10">
        <f>IF(B115="","",ROW()-1)</f>
        <v/>
      </c>
      <c r="B115" s="18" t="n"/>
      <c r="C115" s="10">
        <f>IF($AB115="","",IF(INDEX(기본자료!$C$2:$C$1001,$AB115)="","",INDEX(기본자료!$C$2:$C$1001,$AB115)))</f>
        <v/>
      </c>
      <c r="D115" s="10">
        <f>IF($AB115="","",IF(INDEX(기본자료!$J$2:$J$1001,$AB115)="","",INDEX(기본자료!$J$2:$J$1001,$AB115)))</f>
        <v/>
      </c>
      <c r="E115" s="11">
        <f>IF($AB115="","",IF(INDEX(기본자료!$K$2:$K$1001,$AB115)="","",IF(NOT(ISNUMBER(INDEX(기본자료!$K$2:$K$1001,$AB115))),INDEX(기본자료!$K$2:$K$1001,$AB115),IF(INDEX(기본자료!$K$2:$K$1001,$AB115)&lt;1000000,INDEX(기본자료!$K$2:$K$1001,$AB115),IF(AND(INDEX(기본자료!$K$2:$K$1001,$AB115)&gt;=10000101,INT(MOD(INDEX(기본자료!$K$2:$K$1001,$AB115),10000)/100)&gt;=1,INT(MOD(INDEX(기본자료!$K$2:$K$1001,$AB115),10000)/100)&lt;=12,MOD(INDEX(기본자료!$K$2:$K$1001,$AB115),100)&gt;=1,MOD(INDEX(기본자료!$K$2:$K$1001,$AB115),100)&lt;=31),DATE(INT(INDEX(기본자료!$K$2:$K$1001,$AB115)/10000),INT(MOD(INDEX(기본자료!$K$2:$K$1001,$AB115),10000)/100),MOD(INDEX(기본자료!$K$2:$K$1001,$AB115),100)),INDEX(기본자료!$K$2:$K$1001,$AB115)&amp;"")))))</f>
        <v/>
      </c>
      <c r="F115" s="10">
        <f>IF($AB115="","",IF(INDEX(기본자료!$D$2:$D$1001,$AB115)="","",INDEX(기본자료!$D$2:$D$1001,$AB115)))</f>
        <v/>
      </c>
      <c r="G115" s="10">
        <f>IF($AB115="","",IF(INDEX(기본자료!$E$2:$E$1001,$AB115)="","",INDEX(기본자료!$E$2:$E$1001,$AB115)))</f>
        <v/>
      </c>
      <c r="H115" s="10">
        <f>IF($AB115="","",IF(INDEX(기본자료!$F$2:$F$1001,$AB115)="","",INDEX(기본자료!$F$2:$F$1001,$AB115)))</f>
        <v/>
      </c>
      <c r="I115" s="11">
        <f>IF($AB115="","",IF(INDEX(기본자료!$G$2:$G$1001,$AB115)="","",IF(NOT(ISNUMBER(INDEX(기본자료!$G$2:$G$1001,$AB115))),INDEX(기본자료!$G$2:$G$1001,$AB115),IF(INDEX(기본자료!$G$2:$G$1001,$AB115)&lt;1000000,INDEX(기본자료!$G$2:$G$1001,$AB115),IF(AND(INDEX(기본자료!$G$2:$G$1001,$AB115)&gt;=10000101,INT(MOD(INDEX(기본자료!$G$2:$G$1001,$AB115),10000)/100)&gt;=1,INT(MOD(INDEX(기본자료!$G$2:$G$1001,$AB115),10000)/100)&lt;=12,MOD(INDEX(기본자료!$G$2:$G$1001,$AB115),100)&gt;=1,MOD(INDEX(기본자료!$G$2:$G$1001,$AB115),100)&lt;=31),DATE(INT(INDEX(기본자료!$G$2:$G$1001,$AB115)/10000),INT(MOD(INDEX(기본자료!$G$2:$G$1001,$AB115),10000)/100),MOD(INDEX(기본자료!$G$2:$G$1001,$AB115),100)),INDEX(기본자료!$G$2:$G$1001,$AB115)&amp;"")))))</f>
        <v/>
      </c>
      <c r="J115" s="10">
        <f>IF($AB115="","",IF(INDEX(기본자료!$H$2:$H$1001,$AB115)="","",INDEX(기본자료!$H$2:$H$1001,$AB115)))</f>
        <v/>
      </c>
      <c r="K115" s="10">
        <f>IF($AB115="","",IF(INDEX(기본자료!$I$2:$I$1001,$AB115)="","",INDEX(기본자료!$I$2:$I$1001,$AB115)))</f>
        <v/>
      </c>
      <c r="L115" s="10">
        <f>IF($AB115="","",IF(INDEX(기본자료!$A$2:$A$1001,$AB115)="","",INDEX(기본자료!$A$2:$A$1001,$AB115)))</f>
        <v/>
      </c>
      <c r="M115" s="15" t="n"/>
      <c r="N115" s="10">
        <f>IF($B115="","",IF(AND($U115="파견중",$Q115&lt;&gt;""),$Q115,IF(AND($AD115&lt;&gt;"",LEFT($AD115,1)&lt;&gt;"⚠"),LEFT($AD115,FIND(" ",$AD115)-1),IF($H115="","",IF(RIGHT($H115,2)="병원",$H115,$H115&amp;"병원")))))</f>
        <v/>
      </c>
      <c r="O115" s="10">
        <f>IF($B115="","",IF(AND($U115="파견중",$Q115&lt;&gt;""),IF($R115&lt;&gt;"",$R115,"파견과 미입력"),IF(AND($AD115&lt;&gt;"",LEFT($AD115,1)&lt;&gt;"⚠"),MID($AD115,FIND(" ",$AD115)+1,60),IF($F115="","",IF($F115="인턴","수련교육부(인턴)",$F115)))))</f>
        <v/>
      </c>
      <c r="P115" s="10">
        <f>IF($B115="","",IF($AK115&lt;&gt;"",IF(AND(TODAY()&gt;=INDEX(파견수련계획!$AB$4:$AB$83,$AK115),OR(NOT(ISNUMBER(INDEX(파견수련계획!$AC$4:$AC$83,$AK115))),TODAY()&lt;=INDEX(파견수련계획!$AC$4:$AC$83,$AK115))),"다기관",IF($AF115="","",INDEX(파견수련계획!$T$4:$T$83,$AF115))),IF($AF115="","",INDEX(파견수련계획!$T$4:$T$83,$AF115))))</f>
        <v/>
      </c>
      <c r="Q115" s="10">
        <f>IF($AF115="","",INDEX(파견수련계획!$S$4:$S$83,$AF115))</f>
        <v/>
      </c>
      <c r="R115" s="10">
        <f>IF($AF115="","",INDEX(파견수련계획!$U$4:$U$83,$AF115))</f>
        <v/>
      </c>
      <c r="S115" s="11">
        <f>IF($AF115="","",IF(INDEX(파견수련계획!$H$4:$H$83,$AF115)="","",INDEX(파견수련계획!$H$4:$H$83,$AF115)))</f>
        <v/>
      </c>
      <c r="T115" s="11">
        <f>IF($AF115="","",IF(INDEX(파견수련계획!$I$4:$I$83,$AF115)="","",INDEX(파견수련계획!$I$4:$I$83,$AF115)))</f>
        <v/>
      </c>
      <c r="U115" s="10">
        <f>IF($AF115="","",INDEX(파견수련계획!$X$4:$X$83,$AF115))</f>
        <v/>
      </c>
      <c r="V115" s="17">
        <f>IF($AF115="","",INDEX(파견수련계획!$V$4:$V$83,$AF115))</f>
        <v/>
      </c>
      <c r="W115" s="17">
        <f>IF(AND($U115="파견중",$T115&lt;&gt;""),$T115-TODAY(),"")</f>
        <v/>
      </c>
      <c r="X115" s="17">
        <f>IF(OR($B115="",TRIM($J115&amp;"")=""),"",SUMPRODUCT((파견수련계획!$Q$4:$Q$83=TRIM($J115&amp;""))*파견수련계획!$W$4:$W$83))</f>
        <v/>
      </c>
      <c r="Y115" s="10">
        <f>IF($B115="","",IF($AG115="","",IF(IF(TRIM($J115&amp;"")="",0,SUMPRODUCT((파견수련계획!$Q$4:$Q$83=TRIM($J115&amp;""))*파견수련계획!$AD$4:$AD$83))&gt;0,$AE115,IF(N($X115)&lt;=0,$AG115,IF($AH115+$AI115=DAY(EOMONTH(요약!$B$3,0)),IF(AND($AH115&gt;=요약!$E$3,$AI115&lt;요약!$E$3),"서울병원",IF(AND($AI115&gt;=요약!$E$3,$AH115&lt;요약!$E$3),"구리병원","⚠15일 판정불가(서울 "&amp;$AH115&amp;"일/구리 "&amp;$AI115&amp;"일)")),IF($AJ115="",$AE115,IF(INDEX(파견수련계획!$T$4:$T$83,$AJ115)="통합수련",INDEX(파견수련계획!$S$4:$S$83,$AJ115),$AE115)))))))</f>
        <v/>
      </c>
      <c r="Z115" s="19">
        <f>IF($B115="","",IF($AB115="","기본자료에 없는 사번",IF(COUNTIF($B$2:$B$401,$B115)&gt;1,"중복 사번",IF($AE115="","소속(입사장소) 입력",IF(IF(TRIM($J115&amp;"")="",0,SUMPRODUCT((파견수련계획!$Q$4:$Q$83=TRIM($J115&amp;""))*(파견수련계획!$AA$4:$AA$83&lt;&gt;"")))&gt;0,"파견수련계획 입력오류 확인",IF(LEFT($Y115,1)="⚠","서울·구리 15일 판정 불가(양쪽 모두 이상/미만)",IF(IF($AC115="",0,N(INDEX(인턴근무계획!$T$3:$T$62,$AC115)))&gt;0,"인턴계획 입력오류 확인",IF(AND($AC115&lt;&gt;"",$U115&lt;&gt;"파견중",$N115&lt;&gt;$AE115),"인턴 타지역 근무: 파견 여부 확인","정상"))))))))</f>
        <v/>
      </c>
      <c r="AA115" s="5" t="n"/>
      <c r="AB115" s="10">
        <f>IF($B115="","",IFERROR(MATCH($B115,기본자료!$B$2:$B$1001,0),IFERROR(MATCH($B115&amp;"",기본자료!$B$2:$B$1001,0),IFERROR(MATCH(VALUE($B115),기본자료!$B$2:$B$1001,0),""))))</f>
        <v/>
      </c>
      <c r="AC115" s="10">
        <f>IF($B115="","",IFERROR(MATCH($B115,인턴근무계획!$D$3:$D$62,0),IFERROR(MATCH($B115&amp;"",인턴근무계획!$D$3:$D$62,0),IFERROR(MATCH(VALUE($B115),인턴근무계획!$D$3:$D$62,0),""))))</f>
        <v/>
      </c>
      <c r="AD115" s="10">
        <f>IF(OR($AC115="",인턴현황!$G$3=""),"",INDEX(인턴근무계획!$M$3:$R$62,$AC115,인턴현황!$G$3)&amp;"")</f>
        <v/>
      </c>
      <c r="AE115" s="10">
        <f>IF($B115="","",IF($M115&lt;&gt;"",$M115,IF($AF115&lt;&gt;"",IF(LEFT(INDEX(파견수련계획!$R$4:$R$83,$AF115),1)&lt;&gt;"⚠",INDEX(파견수련계획!$R$4:$R$83,$AF115),IF($H115="","",IF(RIGHT($H115,2)="병원",$H115,$H115&amp;"병원"))),IF($H115="","",IF(RIGHT($H115,2)="병원",$H115,$H115&amp;"병원")))))</f>
        <v/>
      </c>
      <c r="AF115" s="10">
        <f>IF(OR($B115="",TRIM($J115&amp;"")=""),"",IFERROR(MATCH(TRIM($J115&amp;"")&amp;"|파견중",파견수련계획!$Y$4:$Y$83,0),IFERROR(MATCH(TRIM($J115&amp;"")&amp;"|파견예정",파견수련계획!$Y$4:$Y$83,0),IFERROR(MATCH(TRIM($J115&amp;"")&amp;"|파견종료",파견수련계획!$Y$4:$Y$83,0),""))))</f>
        <v/>
      </c>
      <c r="AG115" s="10">
        <f>IF($B115="","",IF(AND(IF(OR($AC115="",인턴현황!$K$2=""),"",INDEX(인턴근무계획!$M$3:$R$62,$AC115,인턴현황!$K$2)&amp;"")&lt;&gt;"",LEFT(IF(OR($AC115="",인턴현황!$K$2=""),"",INDEX(인턴근무계획!$M$3:$R$62,$AC115,인턴현황!$K$2)&amp;""),1)&lt;&gt;"⚠"),LEFT(IF(OR($AC115="",인턴현황!$K$2=""),"",INDEX(인턴근무계획!$M$3:$R$62,$AC115,인턴현황!$K$2)&amp;""),FIND(" ",IF(OR($AC115="",인턴현황!$K$2=""),"",INDEX(인턴근무계획!$M$3:$R$62,$AC115,인턴현황!$K$2)&amp;""))-1),$AE115))</f>
        <v/>
      </c>
      <c r="AH115" s="17">
        <f>IF($B115="","",IF(TRIM($J115&amp;"")="",0,SUMPRODUCT((파견수련계획!$Q$4:$Q$83=TRIM($J115&amp;""))*(파견수련계획!$S$4:$S$83="서울병원")*파견수련계획!$W$4:$W$83))+IF($AG115="서울병원",MAX(0,DAY(EOMONTH(요약!$B$3,0))-N($X115)),0))</f>
        <v/>
      </c>
      <c r="AI115" s="17">
        <f>IF($B115="","",IF(TRIM($J115&amp;"")="",0,SUMPRODUCT((파견수련계획!$Q$4:$Q$83=TRIM($J115&amp;""))*(파견수련계획!$S$4:$S$83="구리병원")*파견수련계획!$W$4:$W$83))+IF($AG115="구리병원",MAX(0,DAY(EOMONTH(요약!$B$3,0))-N($X115)),0))</f>
        <v/>
      </c>
      <c r="AJ115" s="10">
        <f>IF(OR($B115="",TRIM($J115&amp;"")=""),"",IFERROR(MATCH(TRIM($J115&amp;"")&amp;"|월",파견수련계획!$Z$4:$Z$83,0),""))</f>
        <v/>
      </c>
      <c r="AK115" s="10">
        <f>IF(OR($B115="",TRIM($J115&amp;"")=""),"",IFERROR(MATCH(TRIM($J115&amp;"")&amp;"|다기관",파견수련계획!$AE$4:$AE$83,0),""))</f>
        <v/>
      </c>
      <c r="AL115" s="10">
        <f>IF($AK115="","","다기관 "&amp;TEXT(INDEX(파견수련계획!$AB$4:$AB$83,$AK115),"yyyy-mm-dd")&amp;"~"&amp;IF(ISNUMBER(INDEX(파견수련계획!$AC$4:$AC$83,$AK115)),TEXT(INDEX(파견수련계획!$AC$4:$AC$83,$AK115),"yyyy-mm-dd"),""))</f>
        <v/>
      </c>
    </row>
    <row r="116">
      <c r="A116" s="10">
        <f>IF(B116="","",ROW()-1)</f>
        <v/>
      </c>
      <c r="B116" s="18" t="n"/>
      <c r="C116" s="10">
        <f>IF($AB116="","",IF(INDEX(기본자료!$C$2:$C$1001,$AB116)="","",INDEX(기본자료!$C$2:$C$1001,$AB116)))</f>
        <v/>
      </c>
      <c r="D116" s="10">
        <f>IF($AB116="","",IF(INDEX(기본자료!$J$2:$J$1001,$AB116)="","",INDEX(기본자료!$J$2:$J$1001,$AB116)))</f>
        <v/>
      </c>
      <c r="E116" s="11">
        <f>IF($AB116="","",IF(INDEX(기본자료!$K$2:$K$1001,$AB116)="","",IF(NOT(ISNUMBER(INDEX(기본자료!$K$2:$K$1001,$AB116))),INDEX(기본자료!$K$2:$K$1001,$AB116),IF(INDEX(기본자료!$K$2:$K$1001,$AB116)&lt;1000000,INDEX(기본자료!$K$2:$K$1001,$AB116),IF(AND(INDEX(기본자료!$K$2:$K$1001,$AB116)&gt;=10000101,INT(MOD(INDEX(기본자료!$K$2:$K$1001,$AB116),10000)/100)&gt;=1,INT(MOD(INDEX(기본자료!$K$2:$K$1001,$AB116),10000)/100)&lt;=12,MOD(INDEX(기본자료!$K$2:$K$1001,$AB116),100)&gt;=1,MOD(INDEX(기본자료!$K$2:$K$1001,$AB116),100)&lt;=31),DATE(INT(INDEX(기본자료!$K$2:$K$1001,$AB116)/10000),INT(MOD(INDEX(기본자료!$K$2:$K$1001,$AB116),10000)/100),MOD(INDEX(기본자료!$K$2:$K$1001,$AB116),100)),INDEX(기본자료!$K$2:$K$1001,$AB116)&amp;"")))))</f>
        <v/>
      </c>
      <c r="F116" s="10">
        <f>IF($AB116="","",IF(INDEX(기본자료!$D$2:$D$1001,$AB116)="","",INDEX(기본자료!$D$2:$D$1001,$AB116)))</f>
        <v/>
      </c>
      <c r="G116" s="10">
        <f>IF($AB116="","",IF(INDEX(기본자료!$E$2:$E$1001,$AB116)="","",INDEX(기본자료!$E$2:$E$1001,$AB116)))</f>
        <v/>
      </c>
      <c r="H116" s="10">
        <f>IF($AB116="","",IF(INDEX(기본자료!$F$2:$F$1001,$AB116)="","",INDEX(기본자료!$F$2:$F$1001,$AB116)))</f>
        <v/>
      </c>
      <c r="I116" s="11">
        <f>IF($AB116="","",IF(INDEX(기본자료!$G$2:$G$1001,$AB116)="","",IF(NOT(ISNUMBER(INDEX(기본자료!$G$2:$G$1001,$AB116))),INDEX(기본자료!$G$2:$G$1001,$AB116),IF(INDEX(기본자료!$G$2:$G$1001,$AB116)&lt;1000000,INDEX(기본자료!$G$2:$G$1001,$AB116),IF(AND(INDEX(기본자료!$G$2:$G$1001,$AB116)&gt;=10000101,INT(MOD(INDEX(기본자료!$G$2:$G$1001,$AB116),10000)/100)&gt;=1,INT(MOD(INDEX(기본자료!$G$2:$G$1001,$AB116),10000)/100)&lt;=12,MOD(INDEX(기본자료!$G$2:$G$1001,$AB116),100)&gt;=1,MOD(INDEX(기본자료!$G$2:$G$1001,$AB116),100)&lt;=31),DATE(INT(INDEX(기본자료!$G$2:$G$1001,$AB116)/10000),INT(MOD(INDEX(기본자료!$G$2:$G$1001,$AB116),10000)/100),MOD(INDEX(기본자료!$G$2:$G$1001,$AB116),100)),INDEX(기본자료!$G$2:$G$1001,$AB116)&amp;"")))))</f>
        <v/>
      </c>
      <c r="J116" s="10">
        <f>IF($AB116="","",IF(INDEX(기본자료!$H$2:$H$1001,$AB116)="","",INDEX(기본자료!$H$2:$H$1001,$AB116)))</f>
        <v/>
      </c>
      <c r="K116" s="10">
        <f>IF($AB116="","",IF(INDEX(기본자료!$I$2:$I$1001,$AB116)="","",INDEX(기본자료!$I$2:$I$1001,$AB116)))</f>
        <v/>
      </c>
      <c r="L116" s="10">
        <f>IF($AB116="","",IF(INDEX(기본자료!$A$2:$A$1001,$AB116)="","",INDEX(기본자료!$A$2:$A$1001,$AB116)))</f>
        <v/>
      </c>
      <c r="M116" s="15" t="n"/>
      <c r="N116" s="10">
        <f>IF($B116="","",IF(AND($U116="파견중",$Q116&lt;&gt;""),$Q116,IF(AND($AD116&lt;&gt;"",LEFT($AD116,1)&lt;&gt;"⚠"),LEFT($AD116,FIND(" ",$AD116)-1),IF($H116="","",IF(RIGHT($H116,2)="병원",$H116,$H116&amp;"병원")))))</f>
        <v/>
      </c>
      <c r="O116" s="10">
        <f>IF($B116="","",IF(AND($U116="파견중",$Q116&lt;&gt;""),IF($R116&lt;&gt;"",$R116,"파견과 미입력"),IF(AND($AD116&lt;&gt;"",LEFT($AD116,1)&lt;&gt;"⚠"),MID($AD116,FIND(" ",$AD116)+1,60),IF($F116="","",IF($F116="인턴","수련교육부(인턴)",$F116)))))</f>
        <v/>
      </c>
      <c r="P116" s="10">
        <f>IF($B116="","",IF($AK116&lt;&gt;"",IF(AND(TODAY()&gt;=INDEX(파견수련계획!$AB$4:$AB$83,$AK116),OR(NOT(ISNUMBER(INDEX(파견수련계획!$AC$4:$AC$83,$AK116))),TODAY()&lt;=INDEX(파견수련계획!$AC$4:$AC$83,$AK116))),"다기관",IF($AF116="","",INDEX(파견수련계획!$T$4:$T$83,$AF116))),IF($AF116="","",INDEX(파견수련계획!$T$4:$T$83,$AF116))))</f>
        <v/>
      </c>
      <c r="Q116" s="10">
        <f>IF($AF116="","",INDEX(파견수련계획!$S$4:$S$83,$AF116))</f>
        <v/>
      </c>
      <c r="R116" s="10">
        <f>IF($AF116="","",INDEX(파견수련계획!$U$4:$U$83,$AF116))</f>
        <v/>
      </c>
      <c r="S116" s="11">
        <f>IF($AF116="","",IF(INDEX(파견수련계획!$H$4:$H$83,$AF116)="","",INDEX(파견수련계획!$H$4:$H$83,$AF116)))</f>
        <v/>
      </c>
      <c r="T116" s="11">
        <f>IF($AF116="","",IF(INDEX(파견수련계획!$I$4:$I$83,$AF116)="","",INDEX(파견수련계획!$I$4:$I$83,$AF116)))</f>
        <v/>
      </c>
      <c r="U116" s="10">
        <f>IF($AF116="","",INDEX(파견수련계획!$X$4:$X$83,$AF116))</f>
        <v/>
      </c>
      <c r="V116" s="17">
        <f>IF($AF116="","",INDEX(파견수련계획!$V$4:$V$83,$AF116))</f>
        <v/>
      </c>
      <c r="W116" s="17">
        <f>IF(AND($U116="파견중",$T116&lt;&gt;""),$T116-TODAY(),"")</f>
        <v/>
      </c>
      <c r="X116" s="17">
        <f>IF(OR($B116="",TRIM($J116&amp;"")=""),"",SUMPRODUCT((파견수련계획!$Q$4:$Q$83=TRIM($J116&amp;""))*파견수련계획!$W$4:$W$83))</f>
        <v/>
      </c>
      <c r="Y116" s="10">
        <f>IF($B116="","",IF($AG116="","",IF(IF(TRIM($J116&amp;"")="",0,SUMPRODUCT((파견수련계획!$Q$4:$Q$83=TRIM($J116&amp;""))*파견수련계획!$AD$4:$AD$83))&gt;0,$AE116,IF(N($X116)&lt;=0,$AG116,IF($AH116+$AI116=DAY(EOMONTH(요약!$B$3,0)),IF(AND($AH116&gt;=요약!$E$3,$AI116&lt;요약!$E$3),"서울병원",IF(AND($AI116&gt;=요약!$E$3,$AH116&lt;요약!$E$3),"구리병원","⚠15일 판정불가(서울 "&amp;$AH116&amp;"일/구리 "&amp;$AI116&amp;"일)")),IF($AJ116="",$AE116,IF(INDEX(파견수련계획!$T$4:$T$83,$AJ116)="통합수련",INDEX(파견수련계획!$S$4:$S$83,$AJ116),$AE116)))))))</f>
        <v/>
      </c>
      <c r="Z116" s="19">
        <f>IF($B116="","",IF($AB116="","기본자료에 없는 사번",IF(COUNTIF($B$2:$B$401,$B116)&gt;1,"중복 사번",IF($AE116="","소속(입사장소) 입력",IF(IF(TRIM($J116&amp;"")="",0,SUMPRODUCT((파견수련계획!$Q$4:$Q$83=TRIM($J116&amp;""))*(파견수련계획!$AA$4:$AA$83&lt;&gt;"")))&gt;0,"파견수련계획 입력오류 확인",IF(LEFT($Y116,1)="⚠","서울·구리 15일 판정 불가(양쪽 모두 이상/미만)",IF(IF($AC116="",0,N(INDEX(인턴근무계획!$T$3:$T$62,$AC116)))&gt;0,"인턴계획 입력오류 확인",IF(AND($AC116&lt;&gt;"",$U116&lt;&gt;"파견중",$N116&lt;&gt;$AE116),"인턴 타지역 근무: 파견 여부 확인","정상"))))))))</f>
        <v/>
      </c>
      <c r="AA116" s="5" t="n"/>
      <c r="AB116" s="10">
        <f>IF($B116="","",IFERROR(MATCH($B116,기본자료!$B$2:$B$1001,0),IFERROR(MATCH($B116&amp;"",기본자료!$B$2:$B$1001,0),IFERROR(MATCH(VALUE($B116),기본자료!$B$2:$B$1001,0),""))))</f>
        <v/>
      </c>
      <c r="AC116" s="10">
        <f>IF($B116="","",IFERROR(MATCH($B116,인턴근무계획!$D$3:$D$62,0),IFERROR(MATCH($B116&amp;"",인턴근무계획!$D$3:$D$62,0),IFERROR(MATCH(VALUE($B116),인턴근무계획!$D$3:$D$62,0),""))))</f>
        <v/>
      </c>
      <c r="AD116" s="10">
        <f>IF(OR($AC116="",인턴현황!$G$3=""),"",INDEX(인턴근무계획!$M$3:$R$62,$AC116,인턴현황!$G$3)&amp;"")</f>
        <v/>
      </c>
      <c r="AE116" s="10">
        <f>IF($B116="","",IF($M116&lt;&gt;"",$M116,IF($AF116&lt;&gt;"",IF(LEFT(INDEX(파견수련계획!$R$4:$R$83,$AF116),1)&lt;&gt;"⚠",INDEX(파견수련계획!$R$4:$R$83,$AF116),IF($H116="","",IF(RIGHT($H116,2)="병원",$H116,$H116&amp;"병원"))),IF($H116="","",IF(RIGHT($H116,2)="병원",$H116,$H116&amp;"병원")))))</f>
        <v/>
      </c>
      <c r="AF116" s="10">
        <f>IF(OR($B116="",TRIM($J116&amp;"")=""),"",IFERROR(MATCH(TRIM($J116&amp;"")&amp;"|파견중",파견수련계획!$Y$4:$Y$83,0),IFERROR(MATCH(TRIM($J116&amp;"")&amp;"|파견예정",파견수련계획!$Y$4:$Y$83,0),IFERROR(MATCH(TRIM($J116&amp;"")&amp;"|파견종료",파견수련계획!$Y$4:$Y$83,0),""))))</f>
        <v/>
      </c>
      <c r="AG116" s="10">
        <f>IF($B116="","",IF(AND(IF(OR($AC116="",인턴현황!$K$2=""),"",INDEX(인턴근무계획!$M$3:$R$62,$AC116,인턴현황!$K$2)&amp;"")&lt;&gt;"",LEFT(IF(OR($AC116="",인턴현황!$K$2=""),"",INDEX(인턴근무계획!$M$3:$R$62,$AC116,인턴현황!$K$2)&amp;""),1)&lt;&gt;"⚠"),LEFT(IF(OR($AC116="",인턴현황!$K$2=""),"",INDEX(인턴근무계획!$M$3:$R$62,$AC116,인턴현황!$K$2)&amp;""),FIND(" ",IF(OR($AC116="",인턴현황!$K$2=""),"",INDEX(인턴근무계획!$M$3:$R$62,$AC116,인턴현황!$K$2)&amp;""))-1),$AE116))</f>
        <v/>
      </c>
      <c r="AH116" s="17">
        <f>IF($B116="","",IF(TRIM($J116&amp;"")="",0,SUMPRODUCT((파견수련계획!$Q$4:$Q$83=TRIM($J116&amp;""))*(파견수련계획!$S$4:$S$83="서울병원")*파견수련계획!$W$4:$W$83))+IF($AG116="서울병원",MAX(0,DAY(EOMONTH(요약!$B$3,0))-N($X116)),0))</f>
        <v/>
      </c>
      <c r="AI116" s="17">
        <f>IF($B116="","",IF(TRIM($J116&amp;"")="",0,SUMPRODUCT((파견수련계획!$Q$4:$Q$83=TRIM($J116&amp;""))*(파견수련계획!$S$4:$S$83="구리병원")*파견수련계획!$W$4:$W$83))+IF($AG116="구리병원",MAX(0,DAY(EOMONTH(요약!$B$3,0))-N($X116)),0))</f>
        <v/>
      </c>
      <c r="AJ116" s="10">
        <f>IF(OR($B116="",TRIM($J116&amp;"")=""),"",IFERROR(MATCH(TRIM($J116&amp;"")&amp;"|월",파견수련계획!$Z$4:$Z$83,0),""))</f>
        <v/>
      </c>
      <c r="AK116" s="10">
        <f>IF(OR($B116="",TRIM($J116&amp;"")=""),"",IFERROR(MATCH(TRIM($J116&amp;"")&amp;"|다기관",파견수련계획!$AE$4:$AE$83,0),""))</f>
        <v/>
      </c>
      <c r="AL116" s="10">
        <f>IF($AK116="","","다기관 "&amp;TEXT(INDEX(파견수련계획!$AB$4:$AB$83,$AK116),"yyyy-mm-dd")&amp;"~"&amp;IF(ISNUMBER(INDEX(파견수련계획!$AC$4:$AC$83,$AK116)),TEXT(INDEX(파견수련계획!$AC$4:$AC$83,$AK116),"yyyy-mm-dd"),""))</f>
        <v/>
      </c>
    </row>
    <row r="117">
      <c r="A117" s="10">
        <f>IF(B117="","",ROW()-1)</f>
        <v/>
      </c>
      <c r="B117" s="18" t="n"/>
      <c r="C117" s="10">
        <f>IF($AB117="","",IF(INDEX(기본자료!$C$2:$C$1001,$AB117)="","",INDEX(기본자료!$C$2:$C$1001,$AB117)))</f>
        <v/>
      </c>
      <c r="D117" s="10">
        <f>IF($AB117="","",IF(INDEX(기본자료!$J$2:$J$1001,$AB117)="","",INDEX(기본자료!$J$2:$J$1001,$AB117)))</f>
        <v/>
      </c>
      <c r="E117" s="11">
        <f>IF($AB117="","",IF(INDEX(기본자료!$K$2:$K$1001,$AB117)="","",IF(NOT(ISNUMBER(INDEX(기본자료!$K$2:$K$1001,$AB117))),INDEX(기본자료!$K$2:$K$1001,$AB117),IF(INDEX(기본자료!$K$2:$K$1001,$AB117)&lt;1000000,INDEX(기본자료!$K$2:$K$1001,$AB117),IF(AND(INDEX(기본자료!$K$2:$K$1001,$AB117)&gt;=10000101,INT(MOD(INDEX(기본자료!$K$2:$K$1001,$AB117),10000)/100)&gt;=1,INT(MOD(INDEX(기본자료!$K$2:$K$1001,$AB117),10000)/100)&lt;=12,MOD(INDEX(기본자료!$K$2:$K$1001,$AB117),100)&gt;=1,MOD(INDEX(기본자료!$K$2:$K$1001,$AB117),100)&lt;=31),DATE(INT(INDEX(기본자료!$K$2:$K$1001,$AB117)/10000),INT(MOD(INDEX(기본자료!$K$2:$K$1001,$AB117),10000)/100),MOD(INDEX(기본자료!$K$2:$K$1001,$AB117),100)),INDEX(기본자료!$K$2:$K$1001,$AB117)&amp;"")))))</f>
        <v/>
      </c>
      <c r="F117" s="10">
        <f>IF($AB117="","",IF(INDEX(기본자료!$D$2:$D$1001,$AB117)="","",INDEX(기본자료!$D$2:$D$1001,$AB117)))</f>
        <v/>
      </c>
      <c r="G117" s="10">
        <f>IF($AB117="","",IF(INDEX(기본자료!$E$2:$E$1001,$AB117)="","",INDEX(기본자료!$E$2:$E$1001,$AB117)))</f>
        <v/>
      </c>
      <c r="H117" s="10">
        <f>IF($AB117="","",IF(INDEX(기본자료!$F$2:$F$1001,$AB117)="","",INDEX(기본자료!$F$2:$F$1001,$AB117)))</f>
        <v/>
      </c>
      <c r="I117" s="11">
        <f>IF($AB117="","",IF(INDEX(기본자료!$G$2:$G$1001,$AB117)="","",IF(NOT(ISNUMBER(INDEX(기본자료!$G$2:$G$1001,$AB117))),INDEX(기본자료!$G$2:$G$1001,$AB117),IF(INDEX(기본자료!$G$2:$G$1001,$AB117)&lt;1000000,INDEX(기본자료!$G$2:$G$1001,$AB117),IF(AND(INDEX(기본자료!$G$2:$G$1001,$AB117)&gt;=10000101,INT(MOD(INDEX(기본자료!$G$2:$G$1001,$AB117),10000)/100)&gt;=1,INT(MOD(INDEX(기본자료!$G$2:$G$1001,$AB117),10000)/100)&lt;=12,MOD(INDEX(기본자료!$G$2:$G$1001,$AB117),100)&gt;=1,MOD(INDEX(기본자료!$G$2:$G$1001,$AB117),100)&lt;=31),DATE(INT(INDEX(기본자료!$G$2:$G$1001,$AB117)/10000),INT(MOD(INDEX(기본자료!$G$2:$G$1001,$AB117),10000)/100),MOD(INDEX(기본자료!$G$2:$G$1001,$AB117),100)),INDEX(기본자료!$G$2:$G$1001,$AB117)&amp;"")))))</f>
        <v/>
      </c>
      <c r="J117" s="10">
        <f>IF($AB117="","",IF(INDEX(기본자료!$H$2:$H$1001,$AB117)="","",INDEX(기본자료!$H$2:$H$1001,$AB117)))</f>
        <v/>
      </c>
      <c r="K117" s="10">
        <f>IF($AB117="","",IF(INDEX(기본자료!$I$2:$I$1001,$AB117)="","",INDEX(기본자료!$I$2:$I$1001,$AB117)))</f>
        <v/>
      </c>
      <c r="L117" s="10">
        <f>IF($AB117="","",IF(INDEX(기본자료!$A$2:$A$1001,$AB117)="","",INDEX(기본자료!$A$2:$A$1001,$AB117)))</f>
        <v/>
      </c>
      <c r="M117" s="15" t="n"/>
      <c r="N117" s="10">
        <f>IF($B117="","",IF(AND($U117="파견중",$Q117&lt;&gt;""),$Q117,IF(AND($AD117&lt;&gt;"",LEFT($AD117,1)&lt;&gt;"⚠"),LEFT($AD117,FIND(" ",$AD117)-1),IF($H117="","",IF(RIGHT($H117,2)="병원",$H117,$H117&amp;"병원")))))</f>
        <v/>
      </c>
      <c r="O117" s="10">
        <f>IF($B117="","",IF(AND($U117="파견중",$Q117&lt;&gt;""),IF($R117&lt;&gt;"",$R117,"파견과 미입력"),IF(AND($AD117&lt;&gt;"",LEFT($AD117,1)&lt;&gt;"⚠"),MID($AD117,FIND(" ",$AD117)+1,60),IF($F117="","",IF($F117="인턴","수련교육부(인턴)",$F117)))))</f>
        <v/>
      </c>
      <c r="P117" s="10">
        <f>IF($B117="","",IF($AK117&lt;&gt;"",IF(AND(TODAY()&gt;=INDEX(파견수련계획!$AB$4:$AB$83,$AK117),OR(NOT(ISNUMBER(INDEX(파견수련계획!$AC$4:$AC$83,$AK117))),TODAY()&lt;=INDEX(파견수련계획!$AC$4:$AC$83,$AK117))),"다기관",IF($AF117="","",INDEX(파견수련계획!$T$4:$T$83,$AF117))),IF($AF117="","",INDEX(파견수련계획!$T$4:$T$83,$AF117))))</f>
        <v/>
      </c>
      <c r="Q117" s="10">
        <f>IF($AF117="","",INDEX(파견수련계획!$S$4:$S$83,$AF117))</f>
        <v/>
      </c>
      <c r="R117" s="10">
        <f>IF($AF117="","",INDEX(파견수련계획!$U$4:$U$83,$AF117))</f>
        <v/>
      </c>
      <c r="S117" s="11">
        <f>IF($AF117="","",IF(INDEX(파견수련계획!$H$4:$H$83,$AF117)="","",INDEX(파견수련계획!$H$4:$H$83,$AF117)))</f>
        <v/>
      </c>
      <c r="T117" s="11">
        <f>IF($AF117="","",IF(INDEX(파견수련계획!$I$4:$I$83,$AF117)="","",INDEX(파견수련계획!$I$4:$I$83,$AF117)))</f>
        <v/>
      </c>
      <c r="U117" s="10">
        <f>IF($AF117="","",INDEX(파견수련계획!$X$4:$X$83,$AF117))</f>
        <v/>
      </c>
      <c r="V117" s="17">
        <f>IF($AF117="","",INDEX(파견수련계획!$V$4:$V$83,$AF117))</f>
        <v/>
      </c>
      <c r="W117" s="17">
        <f>IF(AND($U117="파견중",$T117&lt;&gt;""),$T117-TODAY(),"")</f>
        <v/>
      </c>
      <c r="X117" s="17">
        <f>IF(OR($B117="",TRIM($J117&amp;"")=""),"",SUMPRODUCT((파견수련계획!$Q$4:$Q$83=TRIM($J117&amp;""))*파견수련계획!$W$4:$W$83))</f>
        <v/>
      </c>
      <c r="Y117" s="10">
        <f>IF($B117="","",IF($AG117="","",IF(IF(TRIM($J117&amp;"")="",0,SUMPRODUCT((파견수련계획!$Q$4:$Q$83=TRIM($J117&amp;""))*파견수련계획!$AD$4:$AD$83))&gt;0,$AE117,IF(N($X117)&lt;=0,$AG117,IF($AH117+$AI117=DAY(EOMONTH(요약!$B$3,0)),IF(AND($AH117&gt;=요약!$E$3,$AI117&lt;요약!$E$3),"서울병원",IF(AND($AI117&gt;=요약!$E$3,$AH117&lt;요약!$E$3),"구리병원","⚠15일 판정불가(서울 "&amp;$AH117&amp;"일/구리 "&amp;$AI117&amp;"일)")),IF($AJ117="",$AE117,IF(INDEX(파견수련계획!$T$4:$T$83,$AJ117)="통합수련",INDEX(파견수련계획!$S$4:$S$83,$AJ117),$AE117)))))))</f>
        <v/>
      </c>
      <c r="Z117" s="19">
        <f>IF($B117="","",IF($AB117="","기본자료에 없는 사번",IF(COUNTIF($B$2:$B$401,$B117)&gt;1,"중복 사번",IF($AE117="","소속(입사장소) 입력",IF(IF(TRIM($J117&amp;"")="",0,SUMPRODUCT((파견수련계획!$Q$4:$Q$83=TRIM($J117&amp;""))*(파견수련계획!$AA$4:$AA$83&lt;&gt;"")))&gt;0,"파견수련계획 입력오류 확인",IF(LEFT($Y117,1)="⚠","서울·구리 15일 판정 불가(양쪽 모두 이상/미만)",IF(IF($AC117="",0,N(INDEX(인턴근무계획!$T$3:$T$62,$AC117)))&gt;0,"인턴계획 입력오류 확인",IF(AND($AC117&lt;&gt;"",$U117&lt;&gt;"파견중",$N117&lt;&gt;$AE117),"인턴 타지역 근무: 파견 여부 확인","정상"))))))))</f>
        <v/>
      </c>
      <c r="AA117" s="5" t="n"/>
      <c r="AB117" s="10">
        <f>IF($B117="","",IFERROR(MATCH($B117,기본자료!$B$2:$B$1001,0),IFERROR(MATCH($B117&amp;"",기본자료!$B$2:$B$1001,0),IFERROR(MATCH(VALUE($B117),기본자료!$B$2:$B$1001,0),""))))</f>
        <v/>
      </c>
      <c r="AC117" s="10">
        <f>IF($B117="","",IFERROR(MATCH($B117,인턴근무계획!$D$3:$D$62,0),IFERROR(MATCH($B117&amp;"",인턴근무계획!$D$3:$D$62,0),IFERROR(MATCH(VALUE($B117),인턴근무계획!$D$3:$D$62,0),""))))</f>
        <v/>
      </c>
      <c r="AD117" s="10">
        <f>IF(OR($AC117="",인턴현황!$G$3=""),"",INDEX(인턴근무계획!$M$3:$R$62,$AC117,인턴현황!$G$3)&amp;"")</f>
        <v/>
      </c>
      <c r="AE117" s="10">
        <f>IF($B117="","",IF($M117&lt;&gt;"",$M117,IF($AF117&lt;&gt;"",IF(LEFT(INDEX(파견수련계획!$R$4:$R$83,$AF117),1)&lt;&gt;"⚠",INDEX(파견수련계획!$R$4:$R$83,$AF117),IF($H117="","",IF(RIGHT($H117,2)="병원",$H117,$H117&amp;"병원"))),IF($H117="","",IF(RIGHT($H117,2)="병원",$H117,$H117&amp;"병원")))))</f>
        <v/>
      </c>
      <c r="AF117" s="10">
        <f>IF(OR($B117="",TRIM($J117&amp;"")=""),"",IFERROR(MATCH(TRIM($J117&amp;"")&amp;"|파견중",파견수련계획!$Y$4:$Y$83,0),IFERROR(MATCH(TRIM($J117&amp;"")&amp;"|파견예정",파견수련계획!$Y$4:$Y$83,0),IFERROR(MATCH(TRIM($J117&amp;"")&amp;"|파견종료",파견수련계획!$Y$4:$Y$83,0),""))))</f>
        <v/>
      </c>
      <c r="AG117" s="10">
        <f>IF($B117="","",IF(AND(IF(OR($AC117="",인턴현황!$K$2=""),"",INDEX(인턴근무계획!$M$3:$R$62,$AC117,인턴현황!$K$2)&amp;"")&lt;&gt;"",LEFT(IF(OR($AC117="",인턴현황!$K$2=""),"",INDEX(인턴근무계획!$M$3:$R$62,$AC117,인턴현황!$K$2)&amp;""),1)&lt;&gt;"⚠"),LEFT(IF(OR($AC117="",인턴현황!$K$2=""),"",INDEX(인턴근무계획!$M$3:$R$62,$AC117,인턴현황!$K$2)&amp;""),FIND(" ",IF(OR($AC117="",인턴현황!$K$2=""),"",INDEX(인턴근무계획!$M$3:$R$62,$AC117,인턴현황!$K$2)&amp;""))-1),$AE117))</f>
        <v/>
      </c>
      <c r="AH117" s="17">
        <f>IF($B117="","",IF(TRIM($J117&amp;"")="",0,SUMPRODUCT((파견수련계획!$Q$4:$Q$83=TRIM($J117&amp;""))*(파견수련계획!$S$4:$S$83="서울병원")*파견수련계획!$W$4:$W$83))+IF($AG117="서울병원",MAX(0,DAY(EOMONTH(요약!$B$3,0))-N($X117)),0))</f>
        <v/>
      </c>
      <c r="AI117" s="17">
        <f>IF($B117="","",IF(TRIM($J117&amp;"")="",0,SUMPRODUCT((파견수련계획!$Q$4:$Q$83=TRIM($J117&amp;""))*(파견수련계획!$S$4:$S$83="구리병원")*파견수련계획!$W$4:$W$83))+IF($AG117="구리병원",MAX(0,DAY(EOMONTH(요약!$B$3,0))-N($X117)),0))</f>
        <v/>
      </c>
      <c r="AJ117" s="10">
        <f>IF(OR($B117="",TRIM($J117&amp;"")=""),"",IFERROR(MATCH(TRIM($J117&amp;"")&amp;"|월",파견수련계획!$Z$4:$Z$83,0),""))</f>
        <v/>
      </c>
      <c r="AK117" s="10">
        <f>IF(OR($B117="",TRIM($J117&amp;"")=""),"",IFERROR(MATCH(TRIM($J117&amp;"")&amp;"|다기관",파견수련계획!$AE$4:$AE$83,0),""))</f>
        <v/>
      </c>
      <c r="AL117" s="10">
        <f>IF($AK117="","","다기관 "&amp;TEXT(INDEX(파견수련계획!$AB$4:$AB$83,$AK117),"yyyy-mm-dd")&amp;"~"&amp;IF(ISNUMBER(INDEX(파견수련계획!$AC$4:$AC$83,$AK117)),TEXT(INDEX(파견수련계획!$AC$4:$AC$83,$AK117),"yyyy-mm-dd"),""))</f>
        <v/>
      </c>
    </row>
    <row r="118">
      <c r="A118" s="10">
        <f>IF(B118="","",ROW()-1)</f>
        <v/>
      </c>
      <c r="B118" s="18" t="n"/>
      <c r="C118" s="10">
        <f>IF($AB118="","",IF(INDEX(기본자료!$C$2:$C$1001,$AB118)="","",INDEX(기본자료!$C$2:$C$1001,$AB118)))</f>
        <v/>
      </c>
      <c r="D118" s="10">
        <f>IF($AB118="","",IF(INDEX(기본자료!$J$2:$J$1001,$AB118)="","",INDEX(기본자료!$J$2:$J$1001,$AB118)))</f>
        <v/>
      </c>
      <c r="E118" s="11">
        <f>IF($AB118="","",IF(INDEX(기본자료!$K$2:$K$1001,$AB118)="","",IF(NOT(ISNUMBER(INDEX(기본자료!$K$2:$K$1001,$AB118))),INDEX(기본자료!$K$2:$K$1001,$AB118),IF(INDEX(기본자료!$K$2:$K$1001,$AB118)&lt;1000000,INDEX(기본자료!$K$2:$K$1001,$AB118),IF(AND(INDEX(기본자료!$K$2:$K$1001,$AB118)&gt;=10000101,INT(MOD(INDEX(기본자료!$K$2:$K$1001,$AB118),10000)/100)&gt;=1,INT(MOD(INDEX(기본자료!$K$2:$K$1001,$AB118),10000)/100)&lt;=12,MOD(INDEX(기본자료!$K$2:$K$1001,$AB118),100)&gt;=1,MOD(INDEX(기본자료!$K$2:$K$1001,$AB118),100)&lt;=31),DATE(INT(INDEX(기본자료!$K$2:$K$1001,$AB118)/10000),INT(MOD(INDEX(기본자료!$K$2:$K$1001,$AB118),10000)/100),MOD(INDEX(기본자료!$K$2:$K$1001,$AB118),100)),INDEX(기본자료!$K$2:$K$1001,$AB118)&amp;"")))))</f>
        <v/>
      </c>
      <c r="F118" s="10">
        <f>IF($AB118="","",IF(INDEX(기본자료!$D$2:$D$1001,$AB118)="","",INDEX(기본자료!$D$2:$D$1001,$AB118)))</f>
        <v/>
      </c>
      <c r="G118" s="10">
        <f>IF($AB118="","",IF(INDEX(기본자료!$E$2:$E$1001,$AB118)="","",INDEX(기본자료!$E$2:$E$1001,$AB118)))</f>
        <v/>
      </c>
      <c r="H118" s="10">
        <f>IF($AB118="","",IF(INDEX(기본자료!$F$2:$F$1001,$AB118)="","",INDEX(기본자료!$F$2:$F$1001,$AB118)))</f>
        <v/>
      </c>
      <c r="I118" s="11">
        <f>IF($AB118="","",IF(INDEX(기본자료!$G$2:$G$1001,$AB118)="","",IF(NOT(ISNUMBER(INDEX(기본자료!$G$2:$G$1001,$AB118))),INDEX(기본자료!$G$2:$G$1001,$AB118),IF(INDEX(기본자료!$G$2:$G$1001,$AB118)&lt;1000000,INDEX(기본자료!$G$2:$G$1001,$AB118),IF(AND(INDEX(기본자료!$G$2:$G$1001,$AB118)&gt;=10000101,INT(MOD(INDEX(기본자료!$G$2:$G$1001,$AB118),10000)/100)&gt;=1,INT(MOD(INDEX(기본자료!$G$2:$G$1001,$AB118),10000)/100)&lt;=12,MOD(INDEX(기본자료!$G$2:$G$1001,$AB118),100)&gt;=1,MOD(INDEX(기본자료!$G$2:$G$1001,$AB118),100)&lt;=31),DATE(INT(INDEX(기본자료!$G$2:$G$1001,$AB118)/10000),INT(MOD(INDEX(기본자료!$G$2:$G$1001,$AB118),10000)/100),MOD(INDEX(기본자료!$G$2:$G$1001,$AB118),100)),INDEX(기본자료!$G$2:$G$1001,$AB118)&amp;"")))))</f>
        <v/>
      </c>
      <c r="J118" s="10">
        <f>IF($AB118="","",IF(INDEX(기본자료!$H$2:$H$1001,$AB118)="","",INDEX(기본자료!$H$2:$H$1001,$AB118)))</f>
        <v/>
      </c>
      <c r="K118" s="10">
        <f>IF($AB118="","",IF(INDEX(기본자료!$I$2:$I$1001,$AB118)="","",INDEX(기본자료!$I$2:$I$1001,$AB118)))</f>
        <v/>
      </c>
      <c r="L118" s="10">
        <f>IF($AB118="","",IF(INDEX(기본자료!$A$2:$A$1001,$AB118)="","",INDEX(기본자료!$A$2:$A$1001,$AB118)))</f>
        <v/>
      </c>
      <c r="M118" s="15" t="n"/>
      <c r="N118" s="10">
        <f>IF($B118="","",IF(AND($U118="파견중",$Q118&lt;&gt;""),$Q118,IF(AND($AD118&lt;&gt;"",LEFT($AD118,1)&lt;&gt;"⚠"),LEFT($AD118,FIND(" ",$AD118)-1),IF($H118="","",IF(RIGHT($H118,2)="병원",$H118,$H118&amp;"병원")))))</f>
        <v/>
      </c>
      <c r="O118" s="10">
        <f>IF($B118="","",IF(AND($U118="파견중",$Q118&lt;&gt;""),IF($R118&lt;&gt;"",$R118,"파견과 미입력"),IF(AND($AD118&lt;&gt;"",LEFT($AD118,1)&lt;&gt;"⚠"),MID($AD118,FIND(" ",$AD118)+1,60),IF($F118="","",IF($F118="인턴","수련교육부(인턴)",$F118)))))</f>
        <v/>
      </c>
      <c r="P118" s="10">
        <f>IF($B118="","",IF($AK118&lt;&gt;"",IF(AND(TODAY()&gt;=INDEX(파견수련계획!$AB$4:$AB$83,$AK118),OR(NOT(ISNUMBER(INDEX(파견수련계획!$AC$4:$AC$83,$AK118))),TODAY()&lt;=INDEX(파견수련계획!$AC$4:$AC$83,$AK118))),"다기관",IF($AF118="","",INDEX(파견수련계획!$T$4:$T$83,$AF118))),IF($AF118="","",INDEX(파견수련계획!$T$4:$T$83,$AF118))))</f>
        <v/>
      </c>
      <c r="Q118" s="10">
        <f>IF($AF118="","",INDEX(파견수련계획!$S$4:$S$83,$AF118))</f>
        <v/>
      </c>
      <c r="R118" s="10">
        <f>IF($AF118="","",INDEX(파견수련계획!$U$4:$U$83,$AF118))</f>
        <v/>
      </c>
      <c r="S118" s="11">
        <f>IF($AF118="","",IF(INDEX(파견수련계획!$H$4:$H$83,$AF118)="","",INDEX(파견수련계획!$H$4:$H$83,$AF118)))</f>
        <v/>
      </c>
      <c r="T118" s="11">
        <f>IF($AF118="","",IF(INDEX(파견수련계획!$I$4:$I$83,$AF118)="","",INDEX(파견수련계획!$I$4:$I$83,$AF118)))</f>
        <v/>
      </c>
      <c r="U118" s="10">
        <f>IF($AF118="","",INDEX(파견수련계획!$X$4:$X$83,$AF118))</f>
        <v/>
      </c>
      <c r="V118" s="17">
        <f>IF($AF118="","",INDEX(파견수련계획!$V$4:$V$83,$AF118))</f>
        <v/>
      </c>
      <c r="W118" s="17">
        <f>IF(AND($U118="파견중",$T118&lt;&gt;""),$T118-TODAY(),"")</f>
        <v/>
      </c>
      <c r="X118" s="17">
        <f>IF(OR($B118="",TRIM($J118&amp;"")=""),"",SUMPRODUCT((파견수련계획!$Q$4:$Q$83=TRIM($J118&amp;""))*파견수련계획!$W$4:$W$83))</f>
        <v/>
      </c>
      <c r="Y118" s="10">
        <f>IF($B118="","",IF($AG118="","",IF(IF(TRIM($J118&amp;"")="",0,SUMPRODUCT((파견수련계획!$Q$4:$Q$83=TRIM($J118&amp;""))*파견수련계획!$AD$4:$AD$83))&gt;0,$AE118,IF(N($X118)&lt;=0,$AG118,IF($AH118+$AI118=DAY(EOMONTH(요약!$B$3,0)),IF(AND($AH118&gt;=요약!$E$3,$AI118&lt;요약!$E$3),"서울병원",IF(AND($AI118&gt;=요약!$E$3,$AH118&lt;요약!$E$3),"구리병원","⚠15일 판정불가(서울 "&amp;$AH118&amp;"일/구리 "&amp;$AI118&amp;"일)")),IF($AJ118="",$AE118,IF(INDEX(파견수련계획!$T$4:$T$83,$AJ118)="통합수련",INDEX(파견수련계획!$S$4:$S$83,$AJ118),$AE118)))))))</f>
        <v/>
      </c>
      <c r="Z118" s="19">
        <f>IF($B118="","",IF($AB118="","기본자료에 없는 사번",IF(COUNTIF($B$2:$B$401,$B118)&gt;1,"중복 사번",IF($AE118="","소속(입사장소) 입력",IF(IF(TRIM($J118&amp;"")="",0,SUMPRODUCT((파견수련계획!$Q$4:$Q$83=TRIM($J118&amp;""))*(파견수련계획!$AA$4:$AA$83&lt;&gt;"")))&gt;0,"파견수련계획 입력오류 확인",IF(LEFT($Y118,1)="⚠","서울·구리 15일 판정 불가(양쪽 모두 이상/미만)",IF(IF($AC118="",0,N(INDEX(인턴근무계획!$T$3:$T$62,$AC118)))&gt;0,"인턴계획 입력오류 확인",IF(AND($AC118&lt;&gt;"",$U118&lt;&gt;"파견중",$N118&lt;&gt;$AE118),"인턴 타지역 근무: 파견 여부 확인","정상"))))))))</f>
        <v/>
      </c>
      <c r="AA118" s="5" t="n"/>
      <c r="AB118" s="10">
        <f>IF($B118="","",IFERROR(MATCH($B118,기본자료!$B$2:$B$1001,0),IFERROR(MATCH($B118&amp;"",기본자료!$B$2:$B$1001,0),IFERROR(MATCH(VALUE($B118),기본자료!$B$2:$B$1001,0),""))))</f>
        <v/>
      </c>
      <c r="AC118" s="10">
        <f>IF($B118="","",IFERROR(MATCH($B118,인턴근무계획!$D$3:$D$62,0),IFERROR(MATCH($B118&amp;"",인턴근무계획!$D$3:$D$62,0),IFERROR(MATCH(VALUE($B118),인턴근무계획!$D$3:$D$62,0),""))))</f>
        <v/>
      </c>
      <c r="AD118" s="10">
        <f>IF(OR($AC118="",인턴현황!$G$3=""),"",INDEX(인턴근무계획!$M$3:$R$62,$AC118,인턴현황!$G$3)&amp;"")</f>
        <v/>
      </c>
      <c r="AE118" s="10">
        <f>IF($B118="","",IF($M118&lt;&gt;"",$M118,IF($AF118&lt;&gt;"",IF(LEFT(INDEX(파견수련계획!$R$4:$R$83,$AF118),1)&lt;&gt;"⚠",INDEX(파견수련계획!$R$4:$R$83,$AF118),IF($H118="","",IF(RIGHT($H118,2)="병원",$H118,$H118&amp;"병원"))),IF($H118="","",IF(RIGHT($H118,2)="병원",$H118,$H118&amp;"병원")))))</f>
        <v/>
      </c>
      <c r="AF118" s="10">
        <f>IF(OR($B118="",TRIM($J118&amp;"")=""),"",IFERROR(MATCH(TRIM($J118&amp;"")&amp;"|파견중",파견수련계획!$Y$4:$Y$83,0),IFERROR(MATCH(TRIM($J118&amp;"")&amp;"|파견예정",파견수련계획!$Y$4:$Y$83,0),IFERROR(MATCH(TRIM($J118&amp;"")&amp;"|파견종료",파견수련계획!$Y$4:$Y$83,0),""))))</f>
        <v/>
      </c>
      <c r="AG118" s="10">
        <f>IF($B118="","",IF(AND(IF(OR($AC118="",인턴현황!$K$2=""),"",INDEX(인턴근무계획!$M$3:$R$62,$AC118,인턴현황!$K$2)&amp;"")&lt;&gt;"",LEFT(IF(OR($AC118="",인턴현황!$K$2=""),"",INDEX(인턴근무계획!$M$3:$R$62,$AC118,인턴현황!$K$2)&amp;""),1)&lt;&gt;"⚠"),LEFT(IF(OR($AC118="",인턴현황!$K$2=""),"",INDEX(인턴근무계획!$M$3:$R$62,$AC118,인턴현황!$K$2)&amp;""),FIND(" ",IF(OR($AC118="",인턴현황!$K$2=""),"",INDEX(인턴근무계획!$M$3:$R$62,$AC118,인턴현황!$K$2)&amp;""))-1),$AE118))</f>
        <v/>
      </c>
      <c r="AH118" s="17">
        <f>IF($B118="","",IF(TRIM($J118&amp;"")="",0,SUMPRODUCT((파견수련계획!$Q$4:$Q$83=TRIM($J118&amp;""))*(파견수련계획!$S$4:$S$83="서울병원")*파견수련계획!$W$4:$W$83))+IF($AG118="서울병원",MAX(0,DAY(EOMONTH(요약!$B$3,0))-N($X118)),0))</f>
        <v/>
      </c>
      <c r="AI118" s="17">
        <f>IF($B118="","",IF(TRIM($J118&amp;"")="",0,SUMPRODUCT((파견수련계획!$Q$4:$Q$83=TRIM($J118&amp;""))*(파견수련계획!$S$4:$S$83="구리병원")*파견수련계획!$W$4:$W$83))+IF($AG118="구리병원",MAX(0,DAY(EOMONTH(요약!$B$3,0))-N($X118)),0))</f>
        <v/>
      </c>
      <c r="AJ118" s="10">
        <f>IF(OR($B118="",TRIM($J118&amp;"")=""),"",IFERROR(MATCH(TRIM($J118&amp;"")&amp;"|월",파견수련계획!$Z$4:$Z$83,0),""))</f>
        <v/>
      </c>
      <c r="AK118" s="10">
        <f>IF(OR($B118="",TRIM($J118&amp;"")=""),"",IFERROR(MATCH(TRIM($J118&amp;"")&amp;"|다기관",파견수련계획!$AE$4:$AE$83,0),""))</f>
        <v/>
      </c>
      <c r="AL118" s="10">
        <f>IF($AK118="","","다기관 "&amp;TEXT(INDEX(파견수련계획!$AB$4:$AB$83,$AK118),"yyyy-mm-dd")&amp;"~"&amp;IF(ISNUMBER(INDEX(파견수련계획!$AC$4:$AC$83,$AK118)),TEXT(INDEX(파견수련계획!$AC$4:$AC$83,$AK118),"yyyy-mm-dd"),""))</f>
        <v/>
      </c>
    </row>
    <row r="119">
      <c r="A119" s="10">
        <f>IF(B119="","",ROW()-1)</f>
        <v/>
      </c>
      <c r="B119" s="18" t="n"/>
      <c r="C119" s="10">
        <f>IF($AB119="","",IF(INDEX(기본자료!$C$2:$C$1001,$AB119)="","",INDEX(기본자료!$C$2:$C$1001,$AB119)))</f>
        <v/>
      </c>
      <c r="D119" s="10">
        <f>IF($AB119="","",IF(INDEX(기본자료!$J$2:$J$1001,$AB119)="","",INDEX(기본자료!$J$2:$J$1001,$AB119)))</f>
        <v/>
      </c>
      <c r="E119" s="11">
        <f>IF($AB119="","",IF(INDEX(기본자료!$K$2:$K$1001,$AB119)="","",IF(NOT(ISNUMBER(INDEX(기본자료!$K$2:$K$1001,$AB119))),INDEX(기본자료!$K$2:$K$1001,$AB119),IF(INDEX(기본자료!$K$2:$K$1001,$AB119)&lt;1000000,INDEX(기본자료!$K$2:$K$1001,$AB119),IF(AND(INDEX(기본자료!$K$2:$K$1001,$AB119)&gt;=10000101,INT(MOD(INDEX(기본자료!$K$2:$K$1001,$AB119),10000)/100)&gt;=1,INT(MOD(INDEX(기본자료!$K$2:$K$1001,$AB119),10000)/100)&lt;=12,MOD(INDEX(기본자료!$K$2:$K$1001,$AB119),100)&gt;=1,MOD(INDEX(기본자료!$K$2:$K$1001,$AB119),100)&lt;=31),DATE(INT(INDEX(기본자료!$K$2:$K$1001,$AB119)/10000),INT(MOD(INDEX(기본자료!$K$2:$K$1001,$AB119),10000)/100),MOD(INDEX(기본자료!$K$2:$K$1001,$AB119),100)),INDEX(기본자료!$K$2:$K$1001,$AB119)&amp;"")))))</f>
        <v/>
      </c>
      <c r="F119" s="10">
        <f>IF($AB119="","",IF(INDEX(기본자료!$D$2:$D$1001,$AB119)="","",INDEX(기본자료!$D$2:$D$1001,$AB119)))</f>
        <v/>
      </c>
      <c r="G119" s="10">
        <f>IF($AB119="","",IF(INDEX(기본자료!$E$2:$E$1001,$AB119)="","",INDEX(기본자료!$E$2:$E$1001,$AB119)))</f>
        <v/>
      </c>
      <c r="H119" s="10">
        <f>IF($AB119="","",IF(INDEX(기본자료!$F$2:$F$1001,$AB119)="","",INDEX(기본자료!$F$2:$F$1001,$AB119)))</f>
        <v/>
      </c>
      <c r="I119" s="11">
        <f>IF($AB119="","",IF(INDEX(기본자료!$G$2:$G$1001,$AB119)="","",IF(NOT(ISNUMBER(INDEX(기본자료!$G$2:$G$1001,$AB119))),INDEX(기본자료!$G$2:$G$1001,$AB119),IF(INDEX(기본자료!$G$2:$G$1001,$AB119)&lt;1000000,INDEX(기본자료!$G$2:$G$1001,$AB119),IF(AND(INDEX(기본자료!$G$2:$G$1001,$AB119)&gt;=10000101,INT(MOD(INDEX(기본자료!$G$2:$G$1001,$AB119),10000)/100)&gt;=1,INT(MOD(INDEX(기본자료!$G$2:$G$1001,$AB119),10000)/100)&lt;=12,MOD(INDEX(기본자료!$G$2:$G$1001,$AB119),100)&gt;=1,MOD(INDEX(기본자료!$G$2:$G$1001,$AB119),100)&lt;=31),DATE(INT(INDEX(기본자료!$G$2:$G$1001,$AB119)/10000),INT(MOD(INDEX(기본자료!$G$2:$G$1001,$AB119),10000)/100),MOD(INDEX(기본자료!$G$2:$G$1001,$AB119),100)),INDEX(기본자료!$G$2:$G$1001,$AB119)&amp;"")))))</f>
        <v/>
      </c>
      <c r="J119" s="10">
        <f>IF($AB119="","",IF(INDEX(기본자료!$H$2:$H$1001,$AB119)="","",INDEX(기본자료!$H$2:$H$1001,$AB119)))</f>
        <v/>
      </c>
      <c r="K119" s="10">
        <f>IF($AB119="","",IF(INDEX(기본자료!$I$2:$I$1001,$AB119)="","",INDEX(기본자료!$I$2:$I$1001,$AB119)))</f>
        <v/>
      </c>
      <c r="L119" s="10">
        <f>IF($AB119="","",IF(INDEX(기본자료!$A$2:$A$1001,$AB119)="","",INDEX(기본자료!$A$2:$A$1001,$AB119)))</f>
        <v/>
      </c>
      <c r="M119" s="15" t="n"/>
      <c r="N119" s="10">
        <f>IF($B119="","",IF(AND($U119="파견중",$Q119&lt;&gt;""),$Q119,IF(AND($AD119&lt;&gt;"",LEFT($AD119,1)&lt;&gt;"⚠"),LEFT($AD119,FIND(" ",$AD119)-1),IF($H119="","",IF(RIGHT($H119,2)="병원",$H119,$H119&amp;"병원")))))</f>
        <v/>
      </c>
      <c r="O119" s="10">
        <f>IF($B119="","",IF(AND($U119="파견중",$Q119&lt;&gt;""),IF($R119&lt;&gt;"",$R119,"파견과 미입력"),IF(AND($AD119&lt;&gt;"",LEFT($AD119,1)&lt;&gt;"⚠"),MID($AD119,FIND(" ",$AD119)+1,60),IF($F119="","",IF($F119="인턴","수련교육부(인턴)",$F119)))))</f>
        <v/>
      </c>
      <c r="P119" s="10">
        <f>IF($B119="","",IF($AK119&lt;&gt;"",IF(AND(TODAY()&gt;=INDEX(파견수련계획!$AB$4:$AB$83,$AK119),OR(NOT(ISNUMBER(INDEX(파견수련계획!$AC$4:$AC$83,$AK119))),TODAY()&lt;=INDEX(파견수련계획!$AC$4:$AC$83,$AK119))),"다기관",IF($AF119="","",INDEX(파견수련계획!$T$4:$T$83,$AF119))),IF($AF119="","",INDEX(파견수련계획!$T$4:$T$83,$AF119))))</f>
        <v/>
      </c>
      <c r="Q119" s="10">
        <f>IF($AF119="","",INDEX(파견수련계획!$S$4:$S$83,$AF119))</f>
        <v/>
      </c>
      <c r="R119" s="10">
        <f>IF($AF119="","",INDEX(파견수련계획!$U$4:$U$83,$AF119))</f>
        <v/>
      </c>
      <c r="S119" s="11">
        <f>IF($AF119="","",IF(INDEX(파견수련계획!$H$4:$H$83,$AF119)="","",INDEX(파견수련계획!$H$4:$H$83,$AF119)))</f>
        <v/>
      </c>
      <c r="T119" s="11">
        <f>IF($AF119="","",IF(INDEX(파견수련계획!$I$4:$I$83,$AF119)="","",INDEX(파견수련계획!$I$4:$I$83,$AF119)))</f>
        <v/>
      </c>
      <c r="U119" s="10">
        <f>IF($AF119="","",INDEX(파견수련계획!$X$4:$X$83,$AF119))</f>
        <v/>
      </c>
      <c r="V119" s="17">
        <f>IF($AF119="","",INDEX(파견수련계획!$V$4:$V$83,$AF119))</f>
        <v/>
      </c>
      <c r="W119" s="17">
        <f>IF(AND($U119="파견중",$T119&lt;&gt;""),$T119-TODAY(),"")</f>
        <v/>
      </c>
      <c r="X119" s="17">
        <f>IF(OR($B119="",TRIM($J119&amp;"")=""),"",SUMPRODUCT((파견수련계획!$Q$4:$Q$83=TRIM($J119&amp;""))*파견수련계획!$W$4:$W$83))</f>
        <v/>
      </c>
      <c r="Y119" s="10">
        <f>IF($B119="","",IF($AG119="","",IF(IF(TRIM($J119&amp;"")="",0,SUMPRODUCT((파견수련계획!$Q$4:$Q$83=TRIM($J119&amp;""))*파견수련계획!$AD$4:$AD$83))&gt;0,$AE119,IF(N($X119)&lt;=0,$AG119,IF($AH119+$AI119=DAY(EOMONTH(요약!$B$3,0)),IF(AND($AH119&gt;=요약!$E$3,$AI119&lt;요약!$E$3),"서울병원",IF(AND($AI119&gt;=요약!$E$3,$AH119&lt;요약!$E$3),"구리병원","⚠15일 판정불가(서울 "&amp;$AH119&amp;"일/구리 "&amp;$AI119&amp;"일)")),IF($AJ119="",$AE119,IF(INDEX(파견수련계획!$T$4:$T$83,$AJ119)="통합수련",INDEX(파견수련계획!$S$4:$S$83,$AJ119),$AE119)))))))</f>
        <v/>
      </c>
      <c r="Z119" s="19">
        <f>IF($B119="","",IF($AB119="","기본자료에 없는 사번",IF(COUNTIF($B$2:$B$401,$B119)&gt;1,"중복 사번",IF($AE119="","소속(입사장소) 입력",IF(IF(TRIM($J119&amp;"")="",0,SUMPRODUCT((파견수련계획!$Q$4:$Q$83=TRIM($J119&amp;""))*(파견수련계획!$AA$4:$AA$83&lt;&gt;"")))&gt;0,"파견수련계획 입력오류 확인",IF(LEFT($Y119,1)="⚠","서울·구리 15일 판정 불가(양쪽 모두 이상/미만)",IF(IF($AC119="",0,N(INDEX(인턴근무계획!$T$3:$T$62,$AC119)))&gt;0,"인턴계획 입력오류 확인",IF(AND($AC119&lt;&gt;"",$U119&lt;&gt;"파견중",$N119&lt;&gt;$AE119),"인턴 타지역 근무: 파견 여부 확인","정상"))))))))</f>
        <v/>
      </c>
      <c r="AA119" s="5" t="n"/>
      <c r="AB119" s="10">
        <f>IF($B119="","",IFERROR(MATCH($B119,기본자료!$B$2:$B$1001,0),IFERROR(MATCH($B119&amp;"",기본자료!$B$2:$B$1001,0),IFERROR(MATCH(VALUE($B119),기본자료!$B$2:$B$1001,0),""))))</f>
        <v/>
      </c>
      <c r="AC119" s="10">
        <f>IF($B119="","",IFERROR(MATCH($B119,인턴근무계획!$D$3:$D$62,0),IFERROR(MATCH($B119&amp;"",인턴근무계획!$D$3:$D$62,0),IFERROR(MATCH(VALUE($B119),인턴근무계획!$D$3:$D$62,0),""))))</f>
        <v/>
      </c>
      <c r="AD119" s="10">
        <f>IF(OR($AC119="",인턴현황!$G$3=""),"",INDEX(인턴근무계획!$M$3:$R$62,$AC119,인턴현황!$G$3)&amp;"")</f>
        <v/>
      </c>
      <c r="AE119" s="10">
        <f>IF($B119="","",IF($M119&lt;&gt;"",$M119,IF($AF119&lt;&gt;"",IF(LEFT(INDEX(파견수련계획!$R$4:$R$83,$AF119),1)&lt;&gt;"⚠",INDEX(파견수련계획!$R$4:$R$83,$AF119),IF($H119="","",IF(RIGHT($H119,2)="병원",$H119,$H119&amp;"병원"))),IF($H119="","",IF(RIGHT($H119,2)="병원",$H119,$H119&amp;"병원")))))</f>
        <v/>
      </c>
      <c r="AF119" s="10">
        <f>IF(OR($B119="",TRIM($J119&amp;"")=""),"",IFERROR(MATCH(TRIM($J119&amp;"")&amp;"|파견중",파견수련계획!$Y$4:$Y$83,0),IFERROR(MATCH(TRIM($J119&amp;"")&amp;"|파견예정",파견수련계획!$Y$4:$Y$83,0),IFERROR(MATCH(TRIM($J119&amp;"")&amp;"|파견종료",파견수련계획!$Y$4:$Y$83,0),""))))</f>
        <v/>
      </c>
      <c r="AG119" s="10">
        <f>IF($B119="","",IF(AND(IF(OR($AC119="",인턴현황!$K$2=""),"",INDEX(인턴근무계획!$M$3:$R$62,$AC119,인턴현황!$K$2)&amp;"")&lt;&gt;"",LEFT(IF(OR($AC119="",인턴현황!$K$2=""),"",INDEX(인턴근무계획!$M$3:$R$62,$AC119,인턴현황!$K$2)&amp;""),1)&lt;&gt;"⚠"),LEFT(IF(OR($AC119="",인턴현황!$K$2=""),"",INDEX(인턴근무계획!$M$3:$R$62,$AC119,인턴현황!$K$2)&amp;""),FIND(" ",IF(OR($AC119="",인턴현황!$K$2=""),"",INDEX(인턴근무계획!$M$3:$R$62,$AC119,인턴현황!$K$2)&amp;""))-1),$AE119))</f>
        <v/>
      </c>
      <c r="AH119" s="17">
        <f>IF($B119="","",IF(TRIM($J119&amp;"")="",0,SUMPRODUCT((파견수련계획!$Q$4:$Q$83=TRIM($J119&amp;""))*(파견수련계획!$S$4:$S$83="서울병원")*파견수련계획!$W$4:$W$83))+IF($AG119="서울병원",MAX(0,DAY(EOMONTH(요약!$B$3,0))-N($X119)),0))</f>
        <v/>
      </c>
      <c r="AI119" s="17">
        <f>IF($B119="","",IF(TRIM($J119&amp;"")="",0,SUMPRODUCT((파견수련계획!$Q$4:$Q$83=TRIM($J119&amp;""))*(파견수련계획!$S$4:$S$83="구리병원")*파견수련계획!$W$4:$W$83))+IF($AG119="구리병원",MAX(0,DAY(EOMONTH(요약!$B$3,0))-N($X119)),0))</f>
        <v/>
      </c>
      <c r="AJ119" s="10">
        <f>IF(OR($B119="",TRIM($J119&amp;"")=""),"",IFERROR(MATCH(TRIM($J119&amp;"")&amp;"|월",파견수련계획!$Z$4:$Z$83,0),""))</f>
        <v/>
      </c>
      <c r="AK119" s="10">
        <f>IF(OR($B119="",TRIM($J119&amp;"")=""),"",IFERROR(MATCH(TRIM($J119&amp;"")&amp;"|다기관",파견수련계획!$AE$4:$AE$83,0),""))</f>
        <v/>
      </c>
      <c r="AL119" s="10">
        <f>IF($AK119="","","다기관 "&amp;TEXT(INDEX(파견수련계획!$AB$4:$AB$83,$AK119),"yyyy-mm-dd")&amp;"~"&amp;IF(ISNUMBER(INDEX(파견수련계획!$AC$4:$AC$83,$AK119)),TEXT(INDEX(파견수련계획!$AC$4:$AC$83,$AK119),"yyyy-mm-dd"),""))</f>
        <v/>
      </c>
    </row>
    <row r="120">
      <c r="A120" s="10">
        <f>IF(B120="","",ROW()-1)</f>
        <v/>
      </c>
      <c r="B120" s="18" t="n"/>
      <c r="C120" s="10">
        <f>IF($AB120="","",IF(INDEX(기본자료!$C$2:$C$1001,$AB120)="","",INDEX(기본자료!$C$2:$C$1001,$AB120)))</f>
        <v/>
      </c>
      <c r="D120" s="10">
        <f>IF($AB120="","",IF(INDEX(기본자료!$J$2:$J$1001,$AB120)="","",INDEX(기본자료!$J$2:$J$1001,$AB120)))</f>
        <v/>
      </c>
      <c r="E120" s="11">
        <f>IF($AB120="","",IF(INDEX(기본자료!$K$2:$K$1001,$AB120)="","",IF(NOT(ISNUMBER(INDEX(기본자료!$K$2:$K$1001,$AB120))),INDEX(기본자료!$K$2:$K$1001,$AB120),IF(INDEX(기본자료!$K$2:$K$1001,$AB120)&lt;1000000,INDEX(기본자료!$K$2:$K$1001,$AB120),IF(AND(INDEX(기본자료!$K$2:$K$1001,$AB120)&gt;=10000101,INT(MOD(INDEX(기본자료!$K$2:$K$1001,$AB120),10000)/100)&gt;=1,INT(MOD(INDEX(기본자료!$K$2:$K$1001,$AB120),10000)/100)&lt;=12,MOD(INDEX(기본자료!$K$2:$K$1001,$AB120),100)&gt;=1,MOD(INDEX(기본자료!$K$2:$K$1001,$AB120),100)&lt;=31),DATE(INT(INDEX(기본자료!$K$2:$K$1001,$AB120)/10000),INT(MOD(INDEX(기본자료!$K$2:$K$1001,$AB120),10000)/100),MOD(INDEX(기본자료!$K$2:$K$1001,$AB120),100)),INDEX(기본자료!$K$2:$K$1001,$AB120)&amp;"")))))</f>
        <v/>
      </c>
      <c r="F120" s="10">
        <f>IF($AB120="","",IF(INDEX(기본자료!$D$2:$D$1001,$AB120)="","",INDEX(기본자료!$D$2:$D$1001,$AB120)))</f>
        <v/>
      </c>
      <c r="G120" s="10">
        <f>IF($AB120="","",IF(INDEX(기본자료!$E$2:$E$1001,$AB120)="","",INDEX(기본자료!$E$2:$E$1001,$AB120)))</f>
        <v/>
      </c>
      <c r="H120" s="10">
        <f>IF($AB120="","",IF(INDEX(기본자료!$F$2:$F$1001,$AB120)="","",INDEX(기본자료!$F$2:$F$1001,$AB120)))</f>
        <v/>
      </c>
      <c r="I120" s="11">
        <f>IF($AB120="","",IF(INDEX(기본자료!$G$2:$G$1001,$AB120)="","",IF(NOT(ISNUMBER(INDEX(기본자료!$G$2:$G$1001,$AB120))),INDEX(기본자료!$G$2:$G$1001,$AB120),IF(INDEX(기본자료!$G$2:$G$1001,$AB120)&lt;1000000,INDEX(기본자료!$G$2:$G$1001,$AB120),IF(AND(INDEX(기본자료!$G$2:$G$1001,$AB120)&gt;=10000101,INT(MOD(INDEX(기본자료!$G$2:$G$1001,$AB120),10000)/100)&gt;=1,INT(MOD(INDEX(기본자료!$G$2:$G$1001,$AB120),10000)/100)&lt;=12,MOD(INDEX(기본자료!$G$2:$G$1001,$AB120),100)&gt;=1,MOD(INDEX(기본자료!$G$2:$G$1001,$AB120),100)&lt;=31),DATE(INT(INDEX(기본자료!$G$2:$G$1001,$AB120)/10000),INT(MOD(INDEX(기본자료!$G$2:$G$1001,$AB120),10000)/100),MOD(INDEX(기본자료!$G$2:$G$1001,$AB120),100)),INDEX(기본자료!$G$2:$G$1001,$AB120)&amp;"")))))</f>
        <v/>
      </c>
      <c r="J120" s="10">
        <f>IF($AB120="","",IF(INDEX(기본자료!$H$2:$H$1001,$AB120)="","",INDEX(기본자료!$H$2:$H$1001,$AB120)))</f>
        <v/>
      </c>
      <c r="K120" s="10">
        <f>IF($AB120="","",IF(INDEX(기본자료!$I$2:$I$1001,$AB120)="","",INDEX(기본자료!$I$2:$I$1001,$AB120)))</f>
        <v/>
      </c>
      <c r="L120" s="10">
        <f>IF($AB120="","",IF(INDEX(기본자료!$A$2:$A$1001,$AB120)="","",INDEX(기본자료!$A$2:$A$1001,$AB120)))</f>
        <v/>
      </c>
      <c r="M120" s="15" t="n"/>
      <c r="N120" s="10">
        <f>IF($B120="","",IF(AND($U120="파견중",$Q120&lt;&gt;""),$Q120,IF(AND($AD120&lt;&gt;"",LEFT($AD120,1)&lt;&gt;"⚠"),LEFT($AD120,FIND(" ",$AD120)-1),IF($H120="","",IF(RIGHT($H120,2)="병원",$H120,$H120&amp;"병원")))))</f>
        <v/>
      </c>
      <c r="O120" s="10">
        <f>IF($B120="","",IF(AND($U120="파견중",$Q120&lt;&gt;""),IF($R120&lt;&gt;"",$R120,"파견과 미입력"),IF(AND($AD120&lt;&gt;"",LEFT($AD120,1)&lt;&gt;"⚠"),MID($AD120,FIND(" ",$AD120)+1,60),IF($F120="","",IF($F120="인턴","수련교육부(인턴)",$F120)))))</f>
        <v/>
      </c>
      <c r="P120" s="10">
        <f>IF($B120="","",IF($AK120&lt;&gt;"",IF(AND(TODAY()&gt;=INDEX(파견수련계획!$AB$4:$AB$83,$AK120),OR(NOT(ISNUMBER(INDEX(파견수련계획!$AC$4:$AC$83,$AK120))),TODAY()&lt;=INDEX(파견수련계획!$AC$4:$AC$83,$AK120))),"다기관",IF($AF120="","",INDEX(파견수련계획!$T$4:$T$83,$AF120))),IF($AF120="","",INDEX(파견수련계획!$T$4:$T$83,$AF120))))</f>
        <v/>
      </c>
      <c r="Q120" s="10">
        <f>IF($AF120="","",INDEX(파견수련계획!$S$4:$S$83,$AF120))</f>
        <v/>
      </c>
      <c r="R120" s="10">
        <f>IF($AF120="","",INDEX(파견수련계획!$U$4:$U$83,$AF120))</f>
        <v/>
      </c>
      <c r="S120" s="11">
        <f>IF($AF120="","",IF(INDEX(파견수련계획!$H$4:$H$83,$AF120)="","",INDEX(파견수련계획!$H$4:$H$83,$AF120)))</f>
        <v/>
      </c>
      <c r="T120" s="11">
        <f>IF($AF120="","",IF(INDEX(파견수련계획!$I$4:$I$83,$AF120)="","",INDEX(파견수련계획!$I$4:$I$83,$AF120)))</f>
        <v/>
      </c>
      <c r="U120" s="10">
        <f>IF($AF120="","",INDEX(파견수련계획!$X$4:$X$83,$AF120))</f>
        <v/>
      </c>
      <c r="V120" s="17">
        <f>IF($AF120="","",INDEX(파견수련계획!$V$4:$V$83,$AF120))</f>
        <v/>
      </c>
      <c r="W120" s="17">
        <f>IF(AND($U120="파견중",$T120&lt;&gt;""),$T120-TODAY(),"")</f>
        <v/>
      </c>
      <c r="X120" s="17">
        <f>IF(OR($B120="",TRIM($J120&amp;"")=""),"",SUMPRODUCT((파견수련계획!$Q$4:$Q$83=TRIM($J120&amp;""))*파견수련계획!$W$4:$W$83))</f>
        <v/>
      </c>
      <c r="Y120" s="10">
        <f>IF($B120="","",IF($AG120="","",IF(IF(TRIM($J120&amp;"")="",0,SUMPRODUCT((파견수련계획!$Q$4:$Q$83=TRIM($J120&amp;""))*파견수련계획!$AD$4:$AD$83))&gt;0,$AE120,IF(N($X120)&lt;=0,$AG120,IF($AH120+$AI120=DAY(EOMONTH(요약!$B$3,0)),IF(AND($AH120&gt;=요약!$E$3,$AI120&lt;요약!$E$3),"서울병원",IF(AND($AI120&gt;=요약!$E$3,$AH120&lt;요약!$E$3),"구리병원","⚠15일 판정불가(서울 "&amp;$AH120&amp;"일/구리 "&amp;$AI120&amp;"일)")),IF($AJ120="",$AE120,IF(INDEX(파견수련계획!$T$4:$T$83,$AJ120)="통합수련",INDEX(파견수련계획!$S$4:$S$83,$AJ120),$AE120)))))))</f>
        <v/>
      </c>
      <c r="Z120" s="19">
        <f>IF($B120="","",IF($AB120="","기본자료에 없는 사번",IF(COUNTIF($B$2:$B$401,$B120)&gt;1,"중복 사번",IF($AE120="","소속(입사장소) 입력",IF(IF(TRIM($J120&amp;"")="",0,SUMPRODUCT((파견수련계획!$Q$4:$Q$83=TRIM($J120&amp;""))*(파견수련계획!$AA$4:$AA$83&lt;&gt;"")))&gt;0,"파견수련계획 입력오류 확인",IF(LEFT($Y120,1)="⚠","서울·구리 15일 판정 불가(양쪽 모두 이상/미만)",IF(IF($AC120="",0,N(INDEX(인턴근무계획!$T$3:$T$62,$AC120)))&gt;0,"인턴계획 입력오류 확인",IF(AND($AC120&lt;&gt;"",$U120&lt;&gt;"파견중",$N120&lt;&gt;$AE120),"인턴 타지역 근무: 파견 여부 확인","정상"))))))))</f>
        <v/>
      </c>
      <c r="AA120" s="5" t="n"/>
      <c r="AB120" s="10">
        <f>IF($B120="","",IFERROR(MATCH($B120,기본자료!$B$2:$B$1001,0),IFERROR(MATCH($B120&amp;"",기본자료!$B$2:$B$1001,0),IFERROR(MATCH(VALUE($B120),기본자료!$B$2:$B$1001,0),""))))</f>
        <v/>
      </c>
      <c r="AC120" s="10">
        <f>IF($B120="","",IFERROR(MATCH($B120,인턴근무계획!$D$3:$D$62,0),IFERROR(MATCH($B120&amp;"",인턴근무계획!$D$3:$D$62,0),IFERROR(MATCH(VALUE($B120),인턴근무계획!$D$3:$D$62,0),""))))</f>
        <v/>
      </c>
      <c r="AD120" s="10">
        <f>IF(OR($AC120="",인턴현황!$G$3=""),"",INDEX(인턴근무계획!$M$3:$R$62,$AC120,인턴현황!$G$3)&amp;"")</f>
        <v/>
      </c>
      <c r="AE120" s="10">
        <f>IF($B120="","",IF($M120&lt;&gt;"",$M120,IF($AF120&lt;&gt;"",IF(LEFT(INDEX(파견수련계획!$R$4:$R$83,$AF120),1)&lt;&gt;"⚠",INDEX(파견수련계획!$R$4:$R$83,$AF120),IF($H120="","",IF(RIGHT($H120,2)="병원",$H120,$H120&amp;"병원"))),IF($H120="","",IF(RIGHT($H120,2)="병원",$H120,$H120&amp;"병원")))))</f>
        <v/>
      </c>
      <c r="AF120" s="10">
        <f>IF(OR($B120="",TRIM($J120&amp;"")=""),"",IFERROR(MATCH(TRIM($J120&amp;"")&amp;"|파견중",파견수련계획!$Y$4:$Y$83,0),IFERROR(MATCH(TRIM($J120&amp;"")&amp;"|파견예정",파견수련계획!$Y$4:$Y$83,0),IFERROR(MATCH(TRIM($J120&amp;"")&amp;"|파견종료",파견수련계획!$Y$4:$Y$83,0),""))))</f>
        <v/>
      </c>
      <c r="AG120" s="10">
        <f>IF($B120="","",IF(AND(IF(OR($AC120="",인턴현황!$K$2=""),"",INDEX(인턴근무계획!$M$3:$R$62,$AC120,인턴현황!$K$2)&amp;"")&lt;&gt;"",LEFT(IF(OR($AC120="",인턴현황!$K$2=""),"",INDEX(인턴근무계획!$M$3:$R$62,$AC120,인턴현황!$K$2)&amp;""),1)&lt;&gt;"⚠"),LEFT(IF(OR($AC120="",인턴현황!$K$2=""),"",INDEX(인턴근무계획!$M$3:$R$62,$AC120,인턴현황!$K$2)&amp;""),FIND(" ",IF(OR($AC120="",인턴현황!$K$2=""),"",INDEX(인턴근무계획!$M$3:$R$62,$AC120,인턴현황!$K$2)&amp;""))-1),$AE120))</f>
        <v/>
      </c>
      <c r="AH120" s="17">
        <f>IF($B120="","",IF(TRIM($J120&amp;"")="",0,SUMPRODUCT((파견수련계획!$Q$4:$Q$83=TRIM($J120&amp;""))*(파견수련계획!$S$4:$S$83="서울병원")*파견수련계획!$W$4:$W$83))+IF($AG120="서울병원",MAX(0,DAY(EOMONTH(요약!$B$3,0))-N($X120)),0))</f>
        <v/>
      </c>
      <c r="AI120" s="17">
        <f>IF($B120="","",IF(TRIM($J120&amp;"")="",0,SUMPRODUCT((파견수련계획!$Q$4:$Q$83=TRIM($J120&amp;""))*(파견수련계획!$S$4:$S$83="구리병원")*파견수련계획!$W$4:$W$83))+IF($AG120="구리병원",MAX(0,DAY(EOMONTH(요약!$B$3,0))-N($X120)),0))</f>
        <v/>
      </c>
      <c r="AJ120" s="10">
        <f>IF(OR($B120="",TRIM($J120&amp;"")=""),"",IFERROR(MATCH(TRIM($J120&amp;"")&amp;"|월",파견수련계획!$Z$4:$Z$83,0),""))</f>
        <v/>
      </c>
      <c r="AK120" s="10">
        <f>IF(OR($B120="",TRIM($J120&amp;"")=""),"",IFERROR(MATCH(TRIM($J120&amp;"")&amp;"|다기관",파견수련계획!$AE$4:$AE$83,0),""))</f>
        <v/>
      </c>
      <c r="AL120" s="10">
        <f>IF($AK120="","","다기관 "&amp;TEXT(INDEX(파견수련계획!$AB$4:$AB$83,$AK120),"yyyy-mm-dd")&amp;"~"&amp;IF(ISNUMBER(INDEX(파견수련계획!$AC$4:$AC$83,$AK120)),TEXT(INDEX(파견수련계획!$AC$4:$AC$83,$AK120),"yyyy-mm-dd"),""))</f>
        <v/>
      </c>
    </row>
    <row r="121">
      <c r="A121" s="10">
        <f>IF(B121="","",ROW()-1)</f>
        <v/>
      </c>
      <c r="B121" s="18" t="n"/>
      <c r="C121" s="10">
        <f>IF($AB121="","",IF(INDEX(기본자료!$C$2:$C$1001,$AB121)="","",INDEX(기본자료!$C$2:$C$1001,$AB121)))</f>
        <v/>
      </c>
      <c r="D121" s="10">
        <f>IF($AB121="","",IF(INDEX(기본자료!$J$2:$J$1001,$AB121)="","",INDEX(기본자료!$J$2:$J$1001,$AB121)))</f>
        <v/>
      </c>
      <c r="E121" s="11">
        <f>IF($AB121="","",IF(INDEX(기본자료!$K$2:$K$1001,$AB121)="","",IF(NOT(ISNUMBER(INDEX(기본자료!$K$2:$K$1001,$AB121))),INDEX(기본자료!$K$2:$K$1001,$AB121),IF(INDEX(기본자료!$K$2:$K$1001,$AB121)&lt;1000000,INDEX(기본자료!$K$2:$K$1001,$AB121),IF(AND(INDEX(기본자료!$K$2:$K$1001,$AB121)&gt;=10000101,INT(MOD(INDEX(기본자료!$K$2:$K$1001,$AB121),10000)/100)&gt;=1,INT(MOD(INDEX(기본자료!$K$2:$K$1001,$AB121),10000)/100)&lt;=12,MOD(INDEX(기본자료!$K$2:$K$1001,$AB121),100)&gt;=1,MOD(INDEX(기본자료!$K$2:$K$1001,$AB121),100)&lt;=31),DATE(INT(INDEX(기본자료!$K$2:$K$1001,$AB121)/10000),INT(MOD(INDEX(기본자료!$K$2:$K$1001,$AB121),10000)/100),MOD(INDEX(기본자료!$K$2:$K$1001,$AB121),100)),INDEX(기본자료!$K$2:$K$1001,$AB121)&amp;"")))))</f>
        <v/>
      </c>
      <c r="F121" s="10">
        <f>IF($AB121="","",IF(INDEX(기본자료!$D$2:$D$1001,$AB121)="","",INDEX(기본자료!$D$2:$D$1001,$AB121)))</f>
        <v/>
      </c>
      <c r="G121" s="10">
        <f>IF($AB121="","",IF(INDEX(기본자료!$E$2:$E$1001,$AB121)="","",INDEX(기본자료!$E$2:$E$1001,$AB121)))</f>
        <v/>
      </c>
      <c r="H121" s="10">
        <f>IF($AB121="","",IF(INDEX(기본자료!$F$2:$F$1001,$AB121)="","",INDEX(기본자료!$F$2:$F$1001,$AB121)))</f>
        <v/>
      </c>
      <c r="I121" s="11">
        <f>IF($AB121="","",IF(INDEX(기본자료!$G$2:$G$1001,$AB121)="","",IF(NOT(ISNUMBER(INDEX(기본자료!$G$2:$G$1001,$AB121))),INDEX(기본자료!$G$2:$G$1001,$AB121),IF(INDEX(기본자료!$G$2:$G$1001,$AB121)&lt;1000000,INDEX(기본자료!$G$2:$G$1001,$AB121),IF(AND(INDEX(기본자료!$G$2:$G$1001,$AB121)&gt;=10000101,INT(MOD(INDEX(기본자료!$G$2:$G$1001,$AB121),10000)/100)&gt;=1,INT(MOD(INDEX(기본자료!$G$2:$G$1001,$AB121),10000)/100)&lt;=12,MOD(INDEX(기본자료!$G$2:$G$1001,$AB121),100)&gt;=1,MOD(INDEX(기본자료!$G$2:$G$1001,$AB121),100)&lt;=31),DATE(INT(INDEX(기본자료!$G$2:$G$1001,$AB121)/10000),INT(MOD(INDEX(기본자료!$G$2:$G$1001,$AB121),10000)/100),MOD(INDEX(기본자료!$G$2:$G$1001,$AB121),100)),INDEX(기본자료!$G$2:$G$1001,$AB121)&amp;"")))))</f>
        <v/>
      </c>
      <c r="J121" s="10">
        <f>IF($AB121="","",IF(INDEX(기본자료!$H$2:$H$1001,$AB121)="","",INDEX(기본자료!$H$2:$H$1001,$AB121)))</f>
        <v/>
      </c>
      <c r="K121" s="10">
        <f>IF($AB121="","",IF(INDEX(기본자료!$I$2:$I$1001,$AB121)="","",INDEX(기본자료!$I$2:$I$1001,$AB121)))</f>
        <v/>
      </c>
      <c r="L121" s="10">
        <f>IF($AB121="","",IF(INDEX(기본자료!$A$2:$A$1001,$AB121)="","",INDEX(기본자료!$A$2:$A$1001,$AB121)))</f>
        <v/>
      </c>
      <c r="M121" s="15" t="n"/>
      <c r="N121" s="10">
        <f>IF($B121="","",IF(AND($U121="파견중",$Q121&lt;&gt;""),$Q121,IF(AND($AD121&lt;&gt;"",LEFT($AD121,1)&lt;&gt;"⚠"),LEFT($AD121,FIND(" ",$AD121)-1),IF($H121="","",IF(RIGHT($H121,2)="병원",$H121,$H121&amp;"병원")))))</f>
        <v/>
      </c>
      <c r="O121" s="10">
        <f>IF($B121="","",IF(AND($U121="파견중",$Q121&lt;&gt;""),IF($R121&lt;&gt;"",$R121,"파견과 미입력"),IF(AND($AD121&lt;&gt;"",LEFT($AD121,1)&lt;&gt;"⚠"),MID($AD121,FIND(" ",$AD121)+1,60),IF($F121="","",IF($F121="인턴","수련교육부(인턴)",$F121)))))</f>
        <v/>
      </c>
      <c r="P121" s="10">
        <f>IF($B121="","",IF($AK121&lt;&gt;"",IF(AND(TODAY()&gt;=INDEX(파견수련계획!$AB$4:$AB$83,$AK121),OR(NOT(ISNUMBER(INDEX(파견수련계획!$AC$4:$AC$83,$AK121))),TODAY()&lt;=INDEX(파견수련계획!$AC$4:$AC$83,$AK121))),"다기관",IF($AF121="","",INDEX(파견수련계획!$T$4:$T$83,$AF121))),IF($AF121="","",INDEX(파견수련계획!$T$4:$T$83,$AF121))))</f>
        <v/>
      </c>
      <c r="Q121" s="10">
        <f>IF($AF121="","",INDEX(파견수련계획!$S$4:$S$83,$AF121))</f>
        <v/>
      </c>
      <c r="R121" s="10">
        <f>IF($AF121="","",INDEX(파견수련계획!$U$4:$U$83,$AF121))</f>
        <v/>
      </c>
      <c r="S121" s="11">
        <f>IF($AF121="","",IF(INDEX(파견수련계획!$H$4:$H$83,$AF121)="","",INDEX(파견수련계획!$H$4:$H$83,$AF121)))</f>
        <v/>
      </c>
      <c r="T121" s="11">
        <f>IF($AF121="","",IF(INDEX(파견수련계획!$I$4:$I$83,$AF121)="","",INDEX(파견수련계획!$I$4:$I$83,$AF121)))</f>
        <v/>
      </c>
      <c r="U121" s="10">
        <f>IF($AF121="","",INDEX(파견수련계획!$X$4:$X$83,$AF121))</f>
        <v/>
      </c>
      <c r="V121" s="17">
        <f>IF($AF121="","",INDEX(파견수련계획!$V$4:$V$83,$AF121))</f>
        <v/>
      </c>
      <c r="W121" s="17">
        <f>IF(AND($U121="파견중",$T121&lt;&gt;""),$T121-TODAY(),"")</f>
        <v/>
      </c>
      <c r="X121" s="17">
        <f>IF(OR($B121="",TRIM($J121&amp;"")=""),"",SUMPRODUCT((파견수련계획!$Q$4:$Q$83=TRIM($J121&amp;""))*파견수련계획!$W$4:$W$83))</f>
        <v/>
      </c>
      <c r="Y121" s="10">
        <f>IF($B121="","",IF($AG121="","",IF(IF(TRIM($J121&amp;"")="",0,SUMPRODUCT((파견수련계획!$Q$4:$Q$83=TRIM($J121&amp;""))*파견수련계획!$AD$4:$AD$83))&gt;0,$AE121,IF(N($X121)&lt;=0,$AG121,IF($AH121+$AI121=DAY(EOMONTH(요약!$B$3,0)),IF(AND($AH121&gt;=요약!$E$3,$AI121&lt;요약!$E$3),"서울병원",IF(AND($AI121&gt;=요약!$E$3,$AH121&lt;요약!$E$3),"구리병원","⚠15일 판정불가(서울 "&amp;$AH121&amp;"일/구리 "&amp;$AI121&amp;"일)")),IF($AJ121="",$AE121,IF(INDEX(파견수련계획!$T$4:$T$83,$AJ121)="통합수련",INDEX(파견수련계획!$S$4:$S$83,$AJ121),$AE121)))))))</f>
        <v/>
      </c>
      <c r="Z121" s="19">
        <f>IF($B121="","",IF($AB121="","기본자료에 없는 사번",IF(COUNTIF($B$2:$B$401,$B121)&gt;1,"중복 사번",IF($AE121="","소속(입사장소) 입력",IF(IF(TRIM($J121&amp;"")="",0,SUMPRODUCT((파견수련계획!$Q$4:$Q$83=TRIM($J121&amp;""))*(파견수련계획!$AA$4:$AA$83&lt;&gt;"")))&gt;0,"파견수련계획 입력오류 확인",IF(LEFT($Y121,1)="⚠","서울·구리 15일 판정 불가(양쪽 모두 이상/미만)",IF(IF($AC121="",0,N(INDEX(인턴근무계획!$T$3:$T$62,$AC121)))&gt;0,"인턴계획 입력오류 확인",IF(AND($AC121&lt;&gt;"",$U121&lt;&gt;"파견중",$N121&lt;&gt;$AE121),"인턴 타지역 근무: 파견 여부 확인","정상"))))))))</f>
        <v/>
      </c>
      <c r="AA121" s="5" t="n"/>
      <c r="AB121" s="10">
        <f>IF($B121="","",IFERROR(MATCH($B121,기본자료!$B$2:$B$1001,0),IFERROR(MATCH($B121&amp;"",기본자료!$B$2:$B$1001,0),IFERROR(MATCH(VALUE($B121),기본자료!$B$2:$B$1001,0),""))))</f>
        <v/>
      </c>
      <c r="AC121" s="10">
        <f>IF($B121="","",IFERROR(MATCH($B121,인턴근무계획!$D$3:$D$62,0),IFERROR(MATCH($B121&amp;"",인턴근무계획!$D$3:$D$62,0),IFERROR(MATCH(VALUE($B121),인턴근무계획!$D$3:$D$62,0),""))))</f>
        <v/>
      </c>
      <c r="AD121" s="10">
        <f>IF(OR($AC121="",인턴현황!$G$3=""),"",INDEX(인턴근무계획!$M$3:$R$62,$AC121,인턴현황!$G$3)&amp;"")</f>
        <v/>
      </c>
      <c r="AE121" s="10">
        <f>IF($B121="","",IF($M121&lt;&gt;"",$M121,IF($AF121&lt;&gt;"",IF(LEFT(INDEX(파견수련계획!$R$4:$R$83,$AF121),1)&lt;&gt;"⚠",INDEX(파견수련계획!$R$4:$R$83,$AF121),IF($H121="","",IF(RIGHT($H121,2)="병원",$H121,$H121&amp;"병원"))),IF($H121="","",IF(RIGHT($H121,2)="병원",$H121,$H121&amp;"병원")))))</f>
        <v/>
      </c>
      <c r="AF121" s="10">
        <f>IF(OR($B121="",TRIM($J121&amp;"")=""),"",IFERROR(MATCH(TRIM($J121&amp;"")&amp;"|파견중",파견수련계획!$Y$4:$Y$83,0),IFERROR(MATCH(TRIM($J121&amp;"")&amp;"|파견예정",파견수련계획!$Y$4:$Y$83,0),IFERROR(MATCH(TRIM($J121&amp;"")&amp;"|파견종료",파견수련계획!$Y$4:$Y$83,0),""))))</f>
        <v/>
      </c>
      <c r="AG121" s="10">
        <f>IF($B121="","",IF(AND(IF(OR($AC121="",인턴현황!$K$2=""),"",INDEX(인턴근무계획!$M$3:$R$62,$AC121,인턴현황!$K$2)&amp;"")&lt;&gt;"",LEFT(IF(OR($AC121="",인턴현황!$K$2=""),"",INDEX(인턴근무계획!$M$3:$R$62,$AC121,인턴현황!$K$2)&amp;""),1)&lt;&gt;"⚠"),LEFT(IF(OR($AC121="",인턴현황!$K$2=""),"",INDEX(인턴근무계획!$M$3:$R$62,$AC121,인턴현황!$K$2)&amp;""),FIND(" ",IF(OR($AC121="",인턴현황!$K$2=""),"",INDEX(인턴근무계획!$M$3:$R$62,$AC121,인턴현황!$K$2)&amp;""))-1),$AE121))</f>
        <v/>
      </c>
      <c r="AH121" s="17">
        <f>IF($B121="","",IF(TRIM($J121&amp;"")="",0,SUMPRODUCT((파견수련계획!$Q$4:$Q$83=TRIM($J121&amp;""))*(파견수련계획!$S$4:$S$83="서울병원")*파견수련계획!$W$4:$W$83))+IF($AG121="서울병원",MAX(0,DAY(EOMONTH(요약!$B$3,0))-N($X121)),0))</f>
        <v/>
      </c>
      <c r="AI121" s="17">
        <f>IF($B121="","",IF(TRIM($J121&amp;"")="",0,SUMPRODUCT((파견수련계획!$Q$4:$Q$83=TRIM($J121&amp;""))*(파견수련계획!$S$4:$S$83="구리병원")*파견수련계획!$W$4:$W$83))+IF($AG121="구리병원",MAX(0,DAY(EOMONTH(요약!$B$3,0))-N($X121)),0))</f>
        <v/>
      </c>
      <c r="AJ121" s="10">
        <f>IF(OR($B121="",TRIM($J121&amp;"")=""),"",IFERROR(MATCH(TRIM($J121&amp;"")&amp;"|월",파견수련계획!$Z$4:$Z$83,0),""))</f>
        <v/>
      </c>
      <c r="AK121" s="10">
        <f>IF(OR($B121="",TRIM($J121&amp;"")=""),"",IFERROR(MATCH(TRIM($J121&amp;"")&amp;"|다기관",파견수련계획!$AE$4:$AE$83,0),""))</f>
        <v/>
      </c>
      <c r="AL121" s="10">
        <f>IF($AK121="","","다기관 "&amp;TEXT(INDEX(파견수련계획!$AB$4:$AB$83,$AK121),"yyyy-mm-dd")&amp;"~"&amp;IF(ISNUMBER(INDEX(파견수련계획!$AC$4:$AC$83,$AK121)),TEXT(INDEX(파견수련계획!$AC$4:$AC$83,$AK121),"yyyy-mm-dd"),""))</f>
        <v/>
      </c>
    </row>
    <row r="122">
      <c r="A122" s="10">
        <f>IF(B122="","",ROW()-1)</f>
        <v/>
      </c>
      <c r="B122" s="18" t="n"/>
      <c r="C122" s="10">
        <f>IF($AB122="","",IF(INDEX(기본자료!$C$2:$C$1001,$AB122)="","",INDEX(기본자료!$C$2:$C$1001,$AB122)))</f>
        <v/>
      </c>
      <c r="D122" s="10">
        <f>IF($AB122="","",IF(INDEX(기본자료!$J$2:$J$1001,$AB122)="","",INDEX(기본자료!$J$2:$J$1001,$AB122)))</f>
        <v/>
      </c>
      <c r="E122" s="11">
        <f>IF($AB122="","",IF(INDEX(기본자료!$K$2:$K$1001,$AB122)="","",IF(NOT(ISNUMBER(INDEX(기본자료!$K$2:$K$1001,$AB122))),INDEX(기본자료!$K$2:$K$1001,$AB122),IF(INDEX(기본자료!$K$2:$K$1001,$AB122)&lt;1000000,INDEX(기본자료!$K$2:$K$1001,$AB122),IF(AND(INDEX(기본자료!$K$2:$K$1001,$AB122)&gt;=10000101,INT(MOD(INDEX(기본자료!$K$2:$K$1001,$AB122),10000)/100)&gt;=1,INT(MOD(INDEX(기본자료!$K$2:$K$1001,$AB122),10000)/100)&lt;=12,MOD(INDEX(기본자료!$K$2:$K$1001,$AB122),100)&gt;=1,MOD(INDEX(기본자료!$K$2:$K$1001,$AB122),100)&lt;=31),DATE(INT(INDEX(기본자료!$K$2:$K$1001,$AB122)/10000),INT(MOD(INDEX(기본자료!$K$2:$K$1001,$AB122),10000)/100),MOD(INDEX(기본자료!$K$2:$K$1001,$AB122),100)),INDEX(기본자료!$K$2:$K$1001,$AB122)&amp;"")))))</f>
        <v/>
      </c>
      <c r="F122" s="10">
        <f>IF($AB122="","",IF(INDEX(기본자료!$D$2:$D$1001,$AB122)="","",INDEX(기본자료!$D$2:$D$1001,$AB122)))</f>
        <v/>
      </c>
      <c r="G122" s="10">
        <f>IF($AB122="","",IF(INDEX(기본자료!$E$2:$E$1001,$AB122)="","",INDEX(기본자료!$E$2:$E$1001,$AB122)))</f>
        <v/>
      </c>
      <c r="H122" s="10">
        <f>IF($AB122="","",IF(INDEX(기본자료!$F$2:$F$1001,$AB122)="","",INDEX(기본자료!$F$2:$F$1001,$AB122)))</f>
        <v/>
      </c>
      <c r="I122" s="11">
        <f>IF($AB122="","",IF(INDEX(기본자료!$G$2:$G$1001,$AB122)="","",IF(NOT(ISNUMBER(INDEX(기본자료!$G$2:$G$1001,$AB122))),INDEX(기본자료!$G$2:$G$1001,$AB122),IF(INDEX(기본자료!$G$2:$G$1001,$AB122)&lt;1000000,INDEX(기본자료!$G$2:$G$1001,$AB122),IF(AND(INDEX(기본자료!$G$2:$G$1001,$AB122)&gt;=10000101,INT(MOD(INDEX(기본자료!$G$2:$G$1001,$AB122),10000)/100)&gt;=1,INT(MOD(INDEX(기본자료!$G$2:$G$1001,$AB122),10000)/100)&lt;=12,MOD(INDEX(기본자료!$G$2:$G$1001,$AB122),100)&gt;=1,MOD(INDEX(기본자료!$G$2:$G$1001,$AB122),100)&lt;=31),DATE(INT(INDEX(기본자료!$G$2:$G$1001,$AB122)/10000),INT(MOD(INDEX(기본자료!$G$2:$G$1001,$AB122),10000)/100),MOD(INDEX(기본자료!$G$2:$G$1001,$AB122),100)),INDEX(기본자료!$G$2:$G$1001,$AB122)&amp;"")))))</f>
        <v/>
      </c>
      <c r="J122" s="10">
        <f>IF($AB122="","",IF(INDEX(기본자료!$H$2:$H$1001,$AB122)="","",INDEX(기본자료!$H$2:$H$1001,$AB122)))</f>
        <v/>
      </c>
      <c r="K122" s="10">
        <f>IF($AB122="","",IF(INDEX(기본자료!$I$2:$I$1001,$AB122)="","",INDEX(기본자료!$I$2:$I$1001,$AB122)))</f>
        <v/>
      </c>
      <c r="L122" s="10">
        <f>IF($AB122="","",IF(INDEX(기본자료!$A$2:$A$1001,$AB122)="","",INDEX(기본자료!$A$2:$A$1001,$AB122)))</f>
        <v/>
      </c>
      <c r="M122" s="15" t="n"/>
      <c r="N122" s="10">
        <f>IF($B122="","",IF(AND($U122="파견중",$Q122&lt;&gt;""),$Q122,IF(AND($AD122&lt;&gt;"",LEFT($AD122,1)&lt;&gt;"⚠"),LEFT($AD122,FIND(" ",$AD122)-1),IF($H122="","",IF(RIGHT($H122,2)="병원",$H122,$H122&amp;"병원")))))</f>
        <v/>
      </c>
      <c r="O122" s="10">
        <f>IF($B122="","",IF(AND($U122="파견중",$Q122&lt;&gt;""),IF($R122&lt;&gt;"",$R122,"파견과 미입력"),IF(AND($AD122&lt;&gt;"",LEFT($AD122,1)&lt;&gt;"⚠"),MID($AD122,FIND(" ",$AD122)+1,60),IF($F122="","",IF($F122="인턴","수련교육부(인턴)",$F122)))))</f>
        <v/>
      </c>
      <c r="P122" s="10">
        <f>IF($B122="","",IF($AK122&lt;&gt;"",IF(AND(TODAY()&gt;=INDEX(파견수련계획!$AB$4:$AB$83,$AK122),OR(NOT(ISNUMBER(INDEX(파견수련계획!$AC$4:$AC$83,$AK122))),TODAY()&lt;=INDEX(파견수련계획!$AC$4:$AC$83,$AK122))),"다기관",IF($AF122="","",INDEX(파견수련계획!$T$4:$T$83,$AF122))),IF($AF122="","",INDEX(파견수련계획!$T$4:$T$83,$AF122))))</f>
        <v/>
      </c>
      <c r="Q122" s="10">
        <f>IF($AF122="","",INDEX(파견수련계획!$S$4:$S$83,$AF122))</f>
        <v/>
      </c>
      <c r="R122" s="10">
        <f>IF($AF122="","",INDEX(파견수련계획!$U$4:$U$83,$AF122))</f>
        <v/>
      </c>
      <c r="S122" s="11">
        <f>IF($AF122="","",IF(INDEX(파견수련계획!$H$4:$H$83,$AF122)="","",INDEX(파견수련계획!$H$4:$H$83,$AF122)))</f>
        <v/>
      </c>
      <c r="T122" s="11">
        <f>IF($AF122="","",IF(INDEX(파견수련계획!$I$4:$I$83,$AF122)="","",INDEX(파견수련계획!$I$4:$I$83,$AF122)))</f>
        <v/>
      </c>
      <c r="U122" s="10">
        <f>IF($AF122="","",INDEX(파견수련계획!$X$4:$X$83,$AF122))</f>
        <v/>
      </c>
      <c r="V122" s="17">
        <f>IF($AF122="","",INDEX(파견수련계획!$V$4:$V$83,$AF122))</f>
        <v/>
      </c>
      <c r="W122" s="17">
        <f>IF(AND($U122="파견중",$T122&lt;&gt;""),$T122-TODAY(),"")</f>
        <v/>
      </c>
      <c r="X122" s="17">
        <f>IF(OR($B122="",TRIM($J122&amp;"")=""),"",SUMPRODUCT((파견수련계획!$Q$4:$Q$83=TRIM($J122&amp;""))*파견수련계획!$W$4:$W$83))</f>
        <v/>
      </c>
      <c r="Y122" s="10">
        <f>IF($B122="","",IF($AG122="","",IF(IF(TRIM($J122&amp;"")="",0,SUMPRODUCT((파견수련계획!$Q$4:$Q$83=TRIM($J122&amp;""))*파견수련계획!$AD$4:$AD$83))&gt;0,$AE122,IF(N($X122)&lt;=0,$AG122,IF($AH122+$AI122=DAY(EOMONTH(요약!$B$3,0)),IF(AND($AH122&gt;=요약!$E$3,$AI122&lt;요약!$E$3),"서울병원",IF(AND($AI122&gt;=요약!$E$3,$AH122&lt;요약!$E$3),"구리병원","⚠15일 판정불가(서울 "&amp;$AH122&amp;"일/구리 "&amp;$AI122&amp;"일)")),IF($AJ122="",$AE122,IF(INDEX(파견수련계획!$T$4:$T$83,$AJ122)="통합수련",INDEX(파견수련계획!$S$4:$S$83,$AJ122),$AE122)))))))</f>
        <v/>
      </c>
      <c r="Z122" s="19">
        <f>IF($B122="","",IF($AB122="","기본자료에 없는 사번",IF(COUNTIF($B$2:$B$401,$B122)&gt;1,"중복 사번",IF($AE122="","소속(입사장소) 입력",IF(IF(TRIM($J122&amp;"")="",0,SUMPRODUCT((파견수련계획!$Q$4:$Q$83=TRIM($J122&amp;""))*(파견수련계획!$AA$4:$AA$83&lt;&gt;"")))&gt;0,"파견수련계획 입력오류 확인",IF(LEFT($Y122,1)="⚠","서울·구리 15일 판정 불가(양쪽 모두 이상/미만)",IF(IF($AC122="",0,N(INDEX(인턴근무계획!$T$3:$T$62,$AC122)))&gt;0,"인턴계획 입력오류 확인",IF(AND($AC122&lt;&gt;"",$U122&lt;&gt;"파견중",$N122&lt;&gt;$AE122),"인턴 타지역 근무: 파견 여부 확인","정상"))))))))</f>
        <v/>
      </c>
      <c r="AA122" s="5" t="n"/>
      <c r="AB122" s="10">
        <f>IF($B122="","",IFERROR(MATCH($B122,기본자료!$B$2:$B$1001,0),IFERROR(MATCH($B122&amp;"",기본자료!$B$2:$B$1001,0),IFERROR(MATCH(VALUE($B122),기본자료!$B$2:$B$1001,0),""))))</f>
        <v/>
      </c>
      <c r="AC122" s="10">
        <f>IF($B122="","",IFERROR(MATCH($B122,인턴근무계획!$D$3:$D$62,0),IFERROR(MATCH($B122&amp;"",인턴근무계획!$D$3:$D$62,0),IFERROR(MATCH(VALUE($B122),인턴근무계획!$D$3:$D$62,0),""))))</f>
        <v/>
      </c>
      <c r="AD122" s="10">
        <f>IF(OR($AC122="",인턴현황!$G$3=""),"",INDEX(인턴근무계획!$M$3:$R$62,$AC122,인턴현황!$G$3)&amp;"")</f>
        <v/>
      </c>
      <c r="AE122" s="10">
        <f>IF($B122="","",IF($M122&lt;&gt;"",$M122,IF($AF122&lt;&gt;"",IF(LEFT(INDEX(파견수련계획!$R$4:$R$83,$AF122),1)&lt;&gt;"⚠",INDEX(파견수련계획!$R$4:$R$83,$AF122),IF($H122="","",IF(RIGHT($H122,2)="병원",$H122,$H122&amp;"병원"))),IF($H122="","",IF(RIGHT($H122,2)="병원",$H122,$H122&amp;"병원")))))</f>
        <v/>
      </c>
      <c r="AF122" s="10">
        <f>IF(OR($B122="",TRIM($J122&amp;"")=""),"",IFERROR(MATCH(TRIM($J122&amp;"")&amp;"|파견중",파견수련계획!$Y$4:$Y$83,0),IFERROR(MATCH(TRIM($J122&amp;"")&amp;"|파견예정",파견수련계획!$Y$4:$Y$83,0),IFERROR(MATCH(TRIM($J122&amp;"")&amp;"|파견종료",파견수련계획!$Y$4:$Y$83,0),""))))</f>
        <v/>
      </c>
      <c r="AG122" s="10">
        <f>IF($B122="","",IF(AND(IF(OR($AC122="",인턴현황!$K$2=""),"",INDEX(인턴근무계획!$M$3:$R$62,$AC122,인턴현황!$K$2)&amp;"")&lt;&gt;"",LEFT(IF(OR($AC122="",인턴현황!$K$2=""),"",INDEX(인턴근무계획!$M$3:$R$62,$AC122,인턴현황!$K$2)&amp;""),1)&lt;&gt;"⚠"),LEFT(IF(OR($AC122="",인턴현황!$K$2=""),"",INDEX(인턴근무계획!$M$3:$R$62,$AC122,인턴현황!$K$2)&amp;""),FIND(" ",IF(OR($AC122="",인턴현황!$K$2=""),"",INDEX(인턴근무계획!$M$3:$R$62,$AC122,인턴현황!$K$2)&amp;""))-1),$AE122))</f>
        <v/>
      </c>
      <c r="AH122" s="17">
        <f>IF($B122="","",IF(TRIM($J122&amp;"")="",0,SUMPRODUCT((파견수련계획!$Q$4:$Q$83=TRIM($J122&amp;""))*(파견수련계획!$S$4:$S$83="서울병원")*파견수련계획!$W$4:$W$83))+IF($AG122="서울병원",MAX(0,DAY(EOMONTH(요약!$B$3,0))-N($X122)),0))</f>
        <v/>
      </c>
      <c r="AI122" s="17">
        <f>IF($B122="","",IF(TRIM($J122&amp;"")="",0,SUMPRODUCT((파견수련계획!$Q$4:$Q$83=TRIM($J122&amp;""))*(파견수련계획!$S$4:$S$83="구리병원")*파견수련계획!$W$4:$W$83))+IF($AG122="구리병원",MAX(0,DAY(EOMONTH(요약!$B$3,0))-N($X122)),0))</f>
        <v/>
      </c>
      <c r="AJ122" s="10">
        <f>IF(OR($B122="",TRIM($J122&amp;"")=""),"",IFERROR(MATCH(TRIM($J122&amp;"")&amp;"|월",파견수련계획!$Z$4:$Z$83,0),""))</f>
        <v/>
      </c>
      <c r="AK122" s="10">
        <f>IF(OR($B122="",TRIM($J122&amp;"")=""),"",IFERROR(MATCH(TRIM($J122&amp;"")&amp;"|다기관",파견수련계획!$AE$4:$AE$83,0),""))</f>
        <v/>
      </c>
      <c r="AL122" s="10">
        <f>IF($AK122="","","다기관 "&amp;TEXT(INDEX(파견수련계획!$AB$4:$AB$83,$AK122),"yyyy-mm-dd")&amp;"~"&amp;IF(ISNUMBER(INDEX(파견수련계획!$AC$4:$AC$83,$AK122)),TEXT(INDEX(파견수련계획!$AC$4:$AC$83,$AK122),"yyyy-mm-dd"),""))</f>
        <v/>
      </c>
    </row>
    <row r="123">
      <c r="A123" s="10">
        <f>IF(B123="","",ROW()-1)</f>
        <v/>
      </c>
      <c r="B123" s="18" t="n"/>
      <c r="C123" s="10">
        <f>IF($AB123="","",IF(INDEX(기본자료!$C$2:$C$1001,$AB123)="","",INDEX(기본자료!$C$2:$C$1001,$AB123)))</f>
        <v/>
      </c>
      <c r="D123" s="10">
        <f>IF($AB123="","",IF(INDEX(기본자료!$J$2:$J$1001,$AB123)="","",INDEX(기본자료!$J$2:$J$1001,$AB123)))</f>
        <v/>
      </c>
      <c r="E123" s="11">
        <f>IF($AB123="","",IF(INDEX(기본자료!$K$2:$K$1001,$AB123)="","",IF(NOT(ISNUMBER(INDEX(기본자료!$K$2:$K$1001,$AB123))),INDEX(기본자료!$K$2:$K$1001,$AB123),IF(INDEX(기본자료!$K$2:$K$1001,$AB123)&lt;1000000,INDEX(기본자료!$K$2:$K$1001,$AB123),IF(AND(INDEX(기본자료!$K$2:$K$1001,$AB123)&gt;=10000101,INT(MOD(INDEX(기본자료!$K$2:$K$1001,$AB123),10000)/100)&gt;=1,INT(MOD(INDEX(기본자료!$K$2:$K$1001,$AB123),10000)/100)&lt;=12,MOD(INDEX(기본자료!$K$2:$K$1001,$AB123),100)&gt;=1,MOD(INDEX(기본자료!$K$2:$K$1001,$AB123),100)&lt;=31),DATE(INT(INDEX(기본자료!$K$2:$K$1001,$AB123)/10000),INT(MOD(INDEX(기본자료!$K$2:$K$1001,$AB123),10000)/100),MOD(INDEX(기본자료!$K$2:$K$1001,$AB123),100)),INDEX(기본자료!$K$2:$K$1001,$AB123)&amp;"")))))</f>
        <v/>
      </c>
      <c r="F123" s="10">
        <f>IF($AB123="","",IF(INDEX(기본자료!$D$2:$D$1001,$AB123)="","",INDEX(기본자료!$D$2:$D$1001,$AB123)))</f>
        <v/>
      </c>
      <c r="G123" s="10">
        <f>IF($AB123="","",IF(INDEX(기본자료!$E$2:$E$1001,$AB123)="","",INDEX(기본자료!$E$2:$E$1001,$AB123)))</f>
        <v/>
      </c>
      <c r="H123" s="10">
        <f>IF($AB123="","",IF(INDEX(기본자료!$F$2:$F$1001,$AB123)="","",INDEX(기본자료!$F$2:$F$1001,$AB123)))</f>
        <v/>
      </c>
      <c r="I123" s="11">
        <f>IF($AB123="","",IF(INDEX(기본자료!$G$2:$G$1001,$AB123)="","",IF(NOT(ISNUMBER(INDEX(기본자료!$G$2:$G$1001,$AB123))),INDEX(기본자료!$G$2:$G$1001,$AB123),IF(INDEX(기본자료!$G$2:$G$1001,$AB123)&lt;1000000,INDEX(기본자료!$G$2:$G$1001,$AB123),IF(AND(INDEX(기본자료!$G$2:$G$1001,$AB123)&gt;=10000101,INT(MOD(INDEX(기본자료!$G$2:$G$1001,$AB123),10000)/100)&gt;=1,INT(MOD(INDEX(기본자료!$G$2:$G$1001,$AB123),10000)/100)&lt;=12,MOD(INDEX(기본자료!$G$2:$G$1001,$AB123),100)&gt;=1,MOD(INDEX(기본자료!$G$2:$G$1001,$AB123),100)&lt;=31),DATE(INT(INDEX(기본자료!$G$2:$G$1001,$AB123)/10000),INT(MOD(INDEX(기본자료!$G$2:$G$1001,$AB123),10000)/100),MOD(INDEX(기본자료!$G$2:$G$1001,$AB123),100)),INDEX(기본자료!$G$2:$G$1001,$AB123)&amp;"")))))</f>
        <v/>
      </c>
      <c r="J123" s="10">
        <f>IF($AB123="","",IF(INDEX(기본자료!$H$2:$H$1001,$AB123)="","",INDEX(기본자료!$H$2:$H$1001,$AB123)))</f>
        <v/>
      </c>
      <c r="K123" s="10">
        <f>IF($AB123="","",IF(INDEX(기본자료!$I$2:$I$1001,$AB123)="","",INDEX(기본자료!$I$2:$I$1001,$AB123)))</f>
        <v/>
      </c>
      <c r="L123" s="10">
        <f>IF($AB123="","",IF(INDEX(기본자료!$A$2:$A$1001,$AB123)="","",INDEX(기본자료!$A$2:$A$1001,$AB123)))</f>
        <v/>
      </c>
      <c r="M123" s="15" t="n"/>
      <c r="N123" s="10">
        <f>IF($B123="","",IF(AND($U123="파견중",$Q123&lt;&gt;""),$Q123,IF(AND($AD123&lt;&gt;"",LEFT($AD123,1)&lt;&gt;"⚠"),LEFT($AD123,FIND(" ",$AD123)-1),IF($H123="","",IF(RIGHT($H123,2)="병원",$H123,$H123&amp;"병원")))))</f>
        <v/>
      </c>
      <c r="O123" s="10">
        <f>IF($B123="","",IF(AND($U123="파견중",$Q123&lt;&gt;""),IF($R123&lt;&gt;"",$R123,"파견과 미입력"),IF(AND($AD123&lt;&gt;"",LEFT($AD123,1)&lt;&gt;"⚠"),MID($AD123,FIND(" ",$AD123)+1,60),IF($F123="","",IF($F123="인턴","수련교육부(인턴)",$F123)))))</f>
        <v/>
      </c>
      <c r="P123" s="10">
        <f>IF($B123="","",IF($AK123&lt;&gt;"",IF(AND(TODAY()&gt;=INDEX(파견수련계획!$AB$4:$AB$83,$AK123),OR(NOT(ISNUMBER(INDEX(파견수련계획!$AC$4:$AC$83,$AK123))),TODAY()&lt;=INDEX(파견수련계획!$AC$4:$AC$83,$AK123))),"다기관",IF($AF123="","",INDEX(파견수련계획!$T$4:$T$83,$AF123))),IF($AF123="","",INDEX(파견수련계획!$T$4:$T$83,$AF123))))</f>
        <v/>
      </c>
      <c r="Q123" s="10">
        <f>IF($AF123="","",INDEX(파견수련계획!$S$4:$S$83,$AF123))</f>
        <v/>
      </c>
      <c r="R123" s="10">
        <f>IF($AF123="","",INDEX(파견수련계획!$U$4:$U$83,$AF123))</f>
        <v/>
      </c>
      <c r="S123" s="11">
        <f>IF($AF123="","",IF(INDEX(파견수련계획!$H$4:$H$83,$AF123)="","",INDEX(파견수련계획!$H$4:$H$83,$AF123)))</f>
        <v/>
      </c>
      <c r="T123" s="11">
        <f>IF($AF123="","",IF(INDEX(파견수련계획!$I$4:$I$83,$AF123)="","",INDEX(파견수련계획!$I$4:$I$83,$AF123)))</f>
        <v/>
      </c>
      <c r="U123" s="10">
        <f>IF($AF123="","",INDEX(파견수련계획!$X$4:$X$83,$AF123))</f>
        <v/>
      </c>
      <c r="V123" s="17">
        <f>IF($AF123="","",INDEX(파견수련계획!$V$4:$V$83,$AF123))</f>
        <v/>
      </c>
      <c r="W123" s="17">
        <f>IF(AND($U123="파견중",$T123&lt;&gt;""),$T123-TODAY(),"")</f>
        <v/>
      </c>
      <c r="X123" s="17">
        <f>IF(OR($B123="",TRIM($J123&amp;"")=""),"",SUMPRODUCT((파견수련계획!$Q$4:$Q$83=TRIM($J123&amp;""))*파견수련계획!$W$4:$W$83))</f>
        <v/>
      </c>
      <c r="Y123" s="10">
        <f>IF($B123="","",IF($AG123="","",IF(IF(TRIM($J123&amp;"")="",0,SUMPRODUCT((파견수련계획!$Q$4:$Q$83=TRIM($J123&amp;""))*파견수련계획!$AD$4:$AD$83))&gt;0,$AE123,IF(N($X123)&lt;=0,$AG123,IF($AH123+$AI123=DAY(EOMONTH(요약!$B$3,0)),IF(AND($AH123&gt;=요약!$E$3,$AI123&lt;요약!$E$3),"서울병원",IF(AND($AI123&gt;=요약!$E$3,$AH123&lt;요약!$E$3),"구리병원","⚠15일 판정불가(서울 "&amp;$AH123&amp;"일/구리 "&amp;$AI123&amp;"일)")),IF($AJ123="",$AE123,IF(INDEX(파견수련계획!$T$4:$T$83,$AJ123)="통합수련",INDEX(파견수련계획!$S$4:$S$83,$AJ123),$AE123)))))))</f>
        <v/>
      </c>
      <c r="Z123" s="19">
        <f>IF($B123="","",IF($AB123="","기본자료에 없는 사번",IF(COUNTIF($B$2:$B$401,$B123)&gt;1,"중복 사번",IF($AE123="","소속(입사장소) 입력",IF(IF(TRIM($J123&amp;"")="",0,SUMPRODUCT((파견수련계획!$Q$4:$Q$83=TRIM($J123&amp;""))*(파견수련계획!$AA$4:$AA$83&lt;&gt;"")))&gt;0,"파견수련계획 입력오류 확인",IF(LEFT($Y123,1)="⚠","서울·구리 15일 판정 불가(양쪽 모두 이상/미만)",IF(IF($AC123="",0,N(INDEX(인턴근무계획!$T$3:$T$62,$AC123)))&gt;0,"인턴계획 입력오류 확인",IF(AND($AC123&lt;&gt;"",$U123&lt;&gt;"파견중",$N123&lt;&gt;$AE123),"인턴 타지역 근무: 파견 여부 확인","정상"))))))))</f>
        <v/>
      </c>
      <c r="AA123" s="5" t="n"/>
      <c r="AB123" s="10">
        <f>IF($B123="","",IFERROR(MATCH($B123,기본자료!$B$2:$B$1001,0),IFERROR(MATCH($B123&amp;"",기본자료!$B$2:$B$1001,0),IFERROR(MATCH(VALUE($B123),기본자료!$B$2:$B$1001,0),""))))</f>
        <v/>
      </c>
      <c r="AC123" s="10">
        <f>IF($B123="","",IFERROR(MATCH($B123,인턴근무계획!$D$3:$D$62,0),IFERROR(MATCH($B123&amp;"",인턴근무계획!$D$3:$D$62,0),IFERROR(MATCH(VALUE($B123),인턴근무계획!$D$3:$D$62,0),""))))</f>
        <v/>
      </c>
      <c r="AD123" s="10">
        <f>IF(OR($AC123="",인턴현황!$G$3=""),"",INDEX(인턴근무계획!$M$3:$R$62,$AC123,인턴현황!$G$3)&amp;"")</f>
        <v/>
      </c>
      <c r="AE123" s="10">
        <f>IF($B123="","",IF($M123&lt;&gt;"",$M123,IF($AF123&lt;&gt;"",IF(LEFT(INDEX(파견수련계획!$R$4:$R$83,$AF123),1)&lt;&gt;"⚠",INDEX(파견수련계획!$R$4:$R$83,$AF123),IF($H123="","",IF(RIGHT($H123,2)="병원",$H123,$H123&amp;"병원"))),IF($H123="","",IF(RIGHT($H123,2)="병원",$H123,$H123&amp;"병원")))))</f>
        <v/>
      </c>
      <c r="AF123" s="10">
        <f>IF(OR($B123="",TRIM($J123&amp;"")=""),"",IFERROR(MATCH(TRIM($J123&amp;"")&amp;"|파견중",파견수련계획!$Y$4:$Y$83,0),IFERROR(MATCH(TRIM($J123&amp;"")&amp;"|파견예정",파견수련계획!$Y$4:$Y$83,0),IFERROR(MATCH(TRIM($J123&amp;"")&amp;"|파견종료",파견수련계획!$Y$4:$Y$83,0),""))))</f>
        <v/>
      </c>
      <c r="AG123" s="10">
        <f>IF($B123="","",IF(AND(IF(OR($AC123="",인턴현황!$K$2=""),"",INDEX(인턴근무계획!$M$3:$R$62,$AC123,인턴현황!$K$2)&amp;"")&lt;&gt;"",LEFT(IF(OR($AC123="",인턴현황!$K$2=""),"",INDEX(인턴근무계획!$M$3:$R$62,$AC123,인턴현황!$K$2)&amp;""),1)&lt;&gt;"⚠"),LEFT(IF(OR($AC123="",인턴현황!$K$2=""),"",INDEX(인턴근무계획!$M$3:$R$62,$AC123,인턴현황!$K$2)&amp;""),FIND(" ",IF(OR($AC123="",인턴현황!$K$2=""),"",INDEX(인턴근무계획!$M$3:$R$62,$AC123,인턴현황!$K$2)&amp;""))-1),$AE123))</f>
        <v/>
      </c>
      <c r="AH123" s="17">
        <f>IF($B123="","",IF(TRIM($J123&amp;"")="",0,SUMPRODUCT((파견수련계획!$Q$4:$Q$83=TRIM($J123&amp;""))*(파견수련계획!$S$4:$S$83="서울병원")*파견수련계획!$W$4:$W$83))+IF($AG123="서울병원",MAX(0,DAY(EOMONTH(요약!$B$3,0))-N($X123)),0))</f>
        <v/>
      </c>
      <c r="AI123" s="17">
        <f>IF($B123="","",IF(TRIM($J123&amp;"")="",0,SUMPRODUCT((파견수련계획!$Q$4:$Q$83=TRIM($J123&amp;""))*(파견수련계획!$S$4:$S$83="구리병원")*파견수련계획!$W$4:$W$83))+IF($AG123="구리병원",MAX(0,DAY(EOMONTH(요약!$B$3,0))-N($X123)),0))</f>
        <v/>
      </c>
      <c r="AJ123" s="10">
        <f>IF(OR($B123="",TRIM($J123&amp;"")=""),"",IFERROR(MATCH(TRIM($J123&amp;"")&amp;"|월",파견수련계획!$Z$4:$Z$83,0),""))</f>
        <v/>
      </c>
      <c r="AK123" s="10">
        <f>IF(OR($B123="",TRIM($J123&amp;"")=""),"",IFERROR(MATCH(TRIM($J123&amp;"")&amp;"|다기관",파견수련계획!$AE$4:$AE$83,0),""))</f>
        <v/>
      </c>
      <c r="AL123" s="10">
        <f>IF($AK123="","","다기관 "&amp;TEXT(INDEX(파견수련계획!$AB$4:$AB$83,$AK123),"yyyy-mm-dd")&amp;"~"&amp;IF(ISNUMBER(INDEX(파견수련계획!$AC$4:$AC$83,$AK123)),TEXT(INDEX(파견수련계획!$AC$4:$AC$83,$AK123),"yyyy-mm-dd"),""))</f>
        <v/>
      </c>
    </row>
    <row r="124">
      <c r="A124" s="10">
        <f>IF(B124="","",ROW()-1)</f>
        <v/>
      </c>
      <c r="B124" s="18" t="n"/>
      <c r="C124" s="10">
        <f>IF($AB124="","",IF(INDEX(기본자료!$C$2:$C$1001,$AB124)="","",INDEX(기본자료!$C$2:$C$1001,$AB124)))</f>
        <v/>
      </c>
      <c r="D124" s="10">
        <f>IF($AB124="","",IF(INDEX(기본자료!$J$2:$J$1001,$AB124)="","",INDEX(기본자료!$J$2:$J$1001,$AB124)))</f>
        <v/>
      </c>
      <c r="E124" s="11">
        <f>IF($AB124="","",IF(INDEX(기본자료!$K$2:$K$1001,$AB124)="","",IF(NOT(ISNUMBER(INDEX(기본자료!$K$2:$K$1001,$AB124))),INDEX(기본자료!$K$2:$K$1001,$AB124),IF(INDEX(기본자료!$K$2:$K$1001,$AB124)&lt;1000000,INDEX(기본자료!$K$2:$K$1001,$AB124),IF(AND(INDEX(기본자료!$K$2:$K$1001,$AB124)&gt;=10000101,INT(MOD(INDEX(기본자료!$K$2:$K$1001,$AB124),10000)/100)&gt;=1,INT(MOD(INDEX(기본자료!$K$2:$K$1001,$AB124),10000)/100)&lt;=12,MOD(INDEX(기본자료!$K$2:$K$1001,$AB124),100)&gt;=1,MOD(INDEX(기본자료!$K$2:$K$1001,$AB124),100)&lt;=31),DATE(INT(INDEX(기본자료!$K$2:$K$1001,$AB124)/10000),INT(MOD(INDEX(기본자료!$K$2:$K$1001,$AB124),10000)/100),MOD(INDEX(기본자료!$K$2:$K$1001,$AB124),100)),INDEX(기본자료!$K$2:$K$1001,$AB124)&amp;"")))))</f>
        <v/>
      </c>
      <c r="F124" s="10">
        <f>IF($AB124="","",IF(INDEX(기본자료!$D$2:$D$1001,$AB124)="","",INDEX(기본자료!$D$2:$D$1001,$AB124)))</f>
        <v/>
      </c>
      <c r="G124" s="10">
        <f>IF($AB124="","",IF(INDEX(기본자료!$E$2:$E$1001,$AB124)="","",INDEX(기본자료!$E$2:$E$1001,$AB124)))</f>
        <v/>
      </c>
      <c r="H124" s="10">
        <f>IF($AB124="","",IF(INDEX(기본자료!$F$2:$F$1001,$AB124)="","",INDEX(기본자료!$F$2:$F$1001,$AB124)))</f>
        <v/>
      </c>
      <c r="I124" s="11">
        <f>IF($AB124="","",IF(INDEX(기본자료!$G$2:$G$1001,$AB124)="","",IF(NOT(ISNUMBER(INDEX(기본자료!$G$2:$G$1001,$AB124))),INDEX(기본자료!$G$2:$G$1001,$AB124),IF(INDEX(기본자료!$G$2:$G$1001,$AB124)&lt;1000000,INDEX(기본자료!$G$2:$G$1001,$AB124),IF(AND(INDEX(기본자료!$G$2:$G$1001,$AB124)&gt;=10000101,INT(MOD(INDEX(기본자료!$G$2:$G$1001,$AB124),10000)/100)&gt;=1,INT(MOD(INDEX(기본자료!$G$2:$G$1001,$AB124),10000)/100)&lt;=12,MOD(INDEX(기본자료!$G$2:$G$1001,$AB124),100)&gt;=1,MOD(INDEX(기본자료!$G$2:$G$1001,$AB124),100)&lt;=31),DATE(INT(INDEX(기본자료!$G$2:$G$1001,$AB124)/10000),INT(MOD(INDEX(기본자료!$G$2:$G$1001,$AB124),10000)/100),MOD(INDEX(기본자료!$G$2:$G$1001,$AB124),100)),INDEX(기본자료!$G$2:$G$1001,$AB124)&amp;"")))))</f>
        <v/>
      </c>
      <c r="J124" s="10">
        <f>IF($AB124="","",IF(INDEX(기본자료!$H$2:$H$1001,$AB124)="","",INDEX(기본자료!$H$2:$H$1001,$AB124)))</f>
        <v/>
      </c>
      <c r="K124" s="10">
        <f>IF($AB124="","",IF(INDEX(기본자료!$I$2:$I$1001,$AB124)="","",INDEX(기본자료!$I$2:$I$1001,$AB124)))</f>
        <v/>
      </c>
      <c r="L124" s="10">
        <f>IF($AB124="","",IF(INDEX(기본자료!$A$2:$A$1001,$AB124)="","",INDEX(기본자료!$A$2:$A$1001,$AB124)))</f>
        <v/>
      </c>
      <c r="M124" s="15" t="n"/>
      <c r="N124" s="10">
        <f>IF($B124="","",IF(AND($U124="파견중",$Q124&lt;&gt;""),$Q124,IF(AND($AD124&lt;&gt;"",LEFT($AD124,1)&lt;&gt;"⚠"),LEFT($AD124,FIND(" ",$AD124)-1),IF($H124="","",IF(RIGHT($H124,2)="병원",$H124,$H124&amp;"병원")))))</f>
        <v/>
      </c>
      <c r="O124" s="10">
        <f>IF($B124="","",IF(AND($U124="파견중",$Q124&lt;&gt;""),IF($R124&lt;&gt;"",$R124,"파견과 미입력"),IF(AND($AD124&lt;&gt;"",LEFT($AD124,1)&lt;&gt;"⚠"),MID($AD124,FIND(" ",$AD124)+1,60),IF($F124="","",IF($F124="인턴","수련교육부(인턴)",$F124)))))</f>
        <v/>
      </c>
      <c r="P124" s="10">
        <f>IF($B124="","",IF($AK124&lt;&gt;"",IF(AND(TODAY()&gt;=INDEX(파견수련계획!$AB$4:$AB$83,$AK124),OR(NOT(ISNUMBER(INDEX(파견수련계획!$AC$4:$AC$83,$AK124))),TODAY()&lt;=INDEX(파견수련계획!$AC$4:$AC$83,$AK124))),"다기관",IF($AF124="","",INDEX(파견수련계획!$T$4:$T$83,$AF124))),IF($AF124="","",INDEX(파견수련계획!$T$4:$T$83,$AF124))))</f>
        <v/>
      </c>
      <c r="Q124" s="10">
        <f>IF($AF124="","",INDEX(파견수련계획!$S$4:$S$83,$AF124))</f>
        <v/>
      </c>
      <c r="R124" s="10">
        <f>IF($AF124="","",INDEX(파견수련계획!$U$4:$U$83,$AF124))</f>
        <v/>
      </c>
      <c r="S124" s="11">
        <f>IF($AF124="","",IF(INDEX(파견수련계획!$H$4:$H$83,$AF124)="","",INDEX(파견수련계획!$H$4:$H$83,$AF124)))</f>
        <v/>
      </c>
      <c r="T124" s="11">
        <f>IF($AF124="","",IF(INDEX(파견수련계획!$I$4:$I$83,$AF124)="","",INDEX(파견수련계획!$I$4:$I$83,$AF124)))</f>
        <v/>
      </c>
      <c r="U124" s="10">
        <f>IF($AF124="","",INDEX(파견수련계획!$X$4:$X$83,$AF124))</f>
        <v/>
      </c>
      <c r="V124" s="17">
        <f>IF($AF124="","",INDEX(파견수련계획!$V$4:$V$83,$AF124))</f>
        <v/>
      </c>
      <c r="W124" s="17">
        <f>IF(AND($U124="파견중",$T124&lt;&gt;""),$T124-TODAY(),"")</f>
        <v/>
      </c>
      <c r="X124" s="17">
        <f>IF(OR($B124="",TRIM($J124&amp;"")=""),"",SUMPRODUCT((파견수련계획!$Q$4:$Q$83=TRIM($J124&amp;""))*파견수련계획!$W$4:$W$83))</f>
        <v/>
      </c>
      <c r="Y124" s="10">
        <f>IF($B124="","",IF($AG124="","",IF(IF(TRIM($J124&amp;"")="",0,SUMPRODUCT((파견수련계획!$Q$4:$Q$83=TRIM($J124&amp;""))*파견수련계획!$AD$4:$AD$83))&gt;0,$AE124,IF(N($X124)&lt;=0,$AG124,IF($AH124+$AI124=DAY(EOMONTH(요약!$B$3,0)),IF(AND($AH124&gt;=요약!$E$3,$AI124&lt;요약!$E$3),"서울병원",IF(AND($AI124&gt;=요약!$E$3,$AH124&lt;요약!$E$3),"구리병원","⚠15일 판정불가(서울 "&amp;$AH124&amp;"일/구리 "&amp;$AI124&amp;"일)")),IF($AJ124="",$AE124,IF(INDEX(파견수련계획!$T$4:$T$83,$AJ124)="통합수련",INDEX(파견수련계획!$S$4:$S$83,$AJ124),$AE124)))))))</f>
        <v/>
      </c>
      <c r="Z124" s="19">
        <f>IF($B124="","",IF($AB124="","기본자료에 없는 사번",IF(COUNTIF($B$2:$B$401,$B124)&gt;1,"중복 사번",IF($AE124="","소속(입사장소) 입력",IF(IF(TRIM($J124&amp;"")="",0,SUMPRODUCT((파견수련계획!$Q$4:$Q$83=TRIM($J124&amp;""))*(파견수련계획!$AA$4:$AA$83&lt;&gt;"")))&gt;0,"파견수련계획 입력오류 확인",IF(LEFT($Y124,1)="⚠","서울·구리 15일 판정 불가(양쪽 모두 이상/미만)",IF(IF($AC124="",0,N(INDEX(인턴근무계획!$T$3:$T$62,$AC124)))&gt;0,"인턴계획 입력오류 확인",IF(AND($AC124&lt;&gt;"",$U124&lt;&gt;"파견중",$N124&lt;&gt;$AE124),"인턴 타지역 근무: 파견 여부 확인","정상"))))))))</f>
        <v/>
      </c>
      <c r="AA124" s="5" t="n"/>
      <c r="AB124" s="10">
        <f>IF($B124="","",IFERROR(MATCH($B124,기본자료!$B$2:$B$1001,0),IFERROR(MATCH($B124&amp;"",기본자료!$B$2:$B$1001,0),IFERROR(MATCH(VALUE($B124),기본자료!$B$2:$B$1001,0),""))))</f>
        <v/>
      </c>
      <c r="AC124" s="10">
        <f>IF($B124="","",IFERROR(MATCH($B124,인턴근무계획!$D$3:$D$62,0),IFERROR(MATCH($B124&amp;"",인턴근무계획!$D$3:$D$62,0),IFERROR(MATCH(VALUE($B124),인턴근무계획!$D$3:$D$62,0),""))))</f>
        <v/>
      </c>
      <c r="AD124" s="10">
        <f>IF(OR($AC124="",인턴현황!$G$3=""),"",INDEX(인턴근무계획!$M$3:$R$62,$AC124,인턴현황!$G$3)&amp;"")</f>
        <v/>
      </c>
      <c r="AE124" s="10">
        <f>IF($B124="","",IF($M124&lt;&gt;"",$M124,IF($AF124&lt;&gt;"",IF(LEFT(INDEX(파견수련계획!$R$4:$R$83,$AF124),1)&lt;&gt;"⚠",INDEX(파견수련계획!$R$4:$R$83,$AF124),IF($H124="","",IF(RIGHT($H124,2)="병원",$H124,$H124&amp;"병원"))),IF($H124="","",IF(RIGHT($H124,2)="병원",$H124,$H124&amp;"병원")))))</f>
        <v/>
      </c>
      <c r="AF124" s="10">
        <f>IF(OR($B124="",TRIM($J124&amp;"")=""),"",IFERROR(MATCH(TRIM($J124&amp;"")&amp;"|파견중",파견수련계획!$Y$4:$Y$83,0),IFERROR(MATCH(TRIM($J124&amp;"")&amp;"|파견예정",파견수련계획!$Y$4:$Y$83,0),IFERROR(MATCH(TRIM($J124&amp;"")&amp;"|파견종료",파견수련계획!$Y$4:$Y$83,0),""))))</f>
        <v/>
      </c>
      <c r="AG124" s="10">
        <f>IF($B124="","",IF(AND(IF(OR($AC124="",인턴현황!$K$2=""),"",INDEX(인턴근무계획!$M$3:$R$62,$AC124,인턴현황!$K$2)&amp;"")&lt;&gt;"",LEFT(IF(OR($AC124="",인턴현황!$K$2=""),"",INDEX(인턴근무계획!$M$3:$R$62,$AC124,인턴현황!$K$2)&amp;""),1)&lt;&gt;"⚠"),LEFT(IF(OR($AC124="",인턴현황!$K$2=""),"",INDEX(인턴근무계획!$M$3:$R$62,$AC124,인턴현황!$K$2)&amp;""),FIND(" ",IF(OR($AC124="",인턴현황!$K$2=""),"",INDEX(인턴근무계획!$M$3:$R$62,$AC124,인턴현황!$K$2)&amp;""))-1),$AE124))</f>
        <v/>
      </c>
      <c r="AH124" s="17">
        <f>IF($B124="","",IF(TRIM($J124&amp;"")="",0,SUMPRODUCT((파견수련계획!$Q$4:$Q$83=TRIM($J124&amp;""))*(파견수련계획!$S$4:$S$83="서울병원")*파견수련계획!$W$4:$W$83))+IF($AG124="서울병원",MAX(0,DAY(EOMONTH(요약!$B$3,0))-N($X124)),0))</f>
        <v/>
      </c>
      <c r="AI124" s="17">
        <f>IF($B124="","",IF(TRIM($J124&amp;"")="",0,SUMPRODUCT((파견수련계획!$Q$4:$Q$83=TRIM($J124&amp;""))*(파견수련계획!$S$4:$S$83="구리병원")*파견수련계획!$W$4:$W$83))+IF($AG124="구리병원",MAX(0,DAY(EOMONTH(요약!$B$3,0))-N($X124)),0))</f>
        <v/>
      </c>
      <c r="AJ124" s="10">
        <f>IF(OR($B124="",TRIM($J124&amp;"")=""),"",IFERROR(MATCH(TRIM($J124&amp;"")&amp;"|월",파견수련계획!$Z$4:$Z$83,0),""))</f>
        <v/>
      </c>
      <c r="AK124" s="10">
        <f>IF(OR($B124="",TRIM($J124&amp;"")=""),"",IFERROR(MATCH(TRIM($J124&amp;"")&amp;"|다기관",파견수련계획!$AE$4:$AE$83,0),""))</f>
        <v/>
      </c>
      <c r="AL124" s="10">
        <f>IF($AK124="","","다기관 "&amp;TEXT(INDEX(파견수련계획!$AB$4:$AB$83,$AK124),"yyyy-mm-dd")&amp;"~"&amp;IF(ISNUMBER(INDEX(파견수련계획!$AC$4:$AC$83,$AK124)),TEXT(INDEX(파견수련계획!$AC$4:$AC$83,$AK124),"yyyy-mm-dd"),""))</f>
        <v/>
      </c>
    </row>
    <row r="125">
      <c r="A125" s="10">
        <f>IF(B125="","",ROW()-1)</f>
        <v/>
      </c>
      <c r="B125" s="18" t="n"/>
      <c r="C125" s="10">
        <f>IF($AB125="","",IF(INDEX(기본자료!$C$2:$C$1001,$AB125)="","",INDEX(기본자료!$C$2:$C$1001,$AB125)))</f>
        <v/>
      </c>
      <c r="D125" s="10">
        <f>IF($AB125="","",IF(INDEX(기본자료!$J$2:$J$1001,$AB125)="","",INDEX(기본자료!$J$2:$J$1001,$AB125)))</f>
        <v/>
      </c>
      <c r="E125" s="11">
        <f>IF($AB125="","",IF(INDEX(기본자료!$K$2:$K$1001,$AB125)="","",IF(NOT(ISNUMBER(INDEX(기본자료!$K$2:$K$1001,$AB125))),INDEX(기본자료!$K$2:$K$1001,$AB125),IF(INDEX(기본자료!$K$2:$K$1001,$AB125)&lt;1000000,INDEX(기본자료!$K$2:$K$1001,$AB125),IF(AND(INDEX(기본자료!$K$2:$K$1001,$AB125)&gt;=10000101,INT(MOD(INDEX(기본자료!$K$2:$K$1001,$AB125),10000)/100)&gt;=1,INT(MOD(INDEX(기본자료!$K$2:$K$1001,$AB125),10000)/100)&lt;=12,MOD(INDEX(기본자료!$K$2:$K$1001,$AB125),100)&gt;=1,MOD(INDEX(기본자료!$K$2:$K$1001,$AB125),100)&lt;=31),DATE(INT(INDEX(기본자료!$K$2:$K$1001,$AB125)/10000),INT(MOD(INDEX(기본자료!$K$2:$K$1001,$AB125),10000)/100),MOD(INDEX(기본자료!$K$2:$K$1001,$AB125),100)),INDEX(기본자료!$K$2:$K$1001,$AB125)&amp;"")))))</f>
        <v/>
      </c>
      <c r="F125" s="10">
        <f>IF($AB125="","",IF(INDEX(기본자료!$D$2:$D$1001,$AB125)="","",INDEX(기본자료!$D$2:$D$1001,$AB125)))</f>
        <v/>
      </c>
      <c r="G125" s="10">
        <f>IF($AB125="","",IF(INDEX(기본자료!$E$2:$E$1001,$AB125)="","",INDEX(기본자료!$E$2:$E$1001,$AB125)))</f>
        <v/>
      </c>
      <c r="H125" s="10">
        <f>IF($AB125="","",IF(INDEX(기본자료!$F$2:$F$1001,$AB125)="","",INDEX(기본자료!$F$2:$F$1001,$AB125)))</f>
        <v/>
      </c>
      <c r="I125" s="11">
        <f>IF($AB125="","",IF(INDEX(기본자료!$G$2:$G$1001,$AB125)="","",IF(NOT(ISNUMBER(INDEX(기본자료!$G$2:$G$1001,$AB125))),INDEX(기본자료!$G$2:$G$1001,$AB125),IF(INDEX(기본자료!$G$2:$G$1001,$AB125)&lt;1000000,INDEX(기본자료!$G$2:$G$1001,$AB125),IF(AND(INDEX(기본자료!$G$2:$G$1001,$AB125)&gt;=10000101,INT(MOD(INDEX(기본자료!$G$2:$G$1001,$AB125),10000)/100)&gt;=1,INT(MOD(INDEX(기본자료!$G$2:$G$1001,$AB125),10000)/100)&lt;=12,MOD(INDEX(기본자료!$G$2:$G$1001,$AB125),100)&gt;=1,MOD(INDEX(기본자료!$G$2:$G$1001,$AB125),100)&lt;=31),DATE(INT(INDEX(기본자료!$G$2:$G$1001,$AB125)/10000),INT(MOD(INDEX(기본자료!$G$2:$G$1001,$AB125),10000)/100),MOD(INDEX(기본자료!$G$2:$G$1001,$AB125),100)),INDEX(기본자료!$G$2:$G$1001,$AB125)&amp;"")))))</f>
        <v/>
      </c>
      <c r="J125" s="10">
        <f>IF($AB125="","",IF(INDEX(기본자료!$H$2:$H$1001,$AB125)="","",INDEX(기본자료!$H$2:$H$1001,$AB125)))</f>
        <v/>
      </c>
      <c r="K125" s="10">
        <f>IF($AB125="","",IF(INDEX(기본자료!$I$2:$I$1001,$AB125)="","",INDEX(기본자료!$I$2:$I$1001,$AB125)))</f>
        <v/>
      </c>
      <c r="L125" s="10">
        <f>IF($AB125="","",IF(INDEX(기본자료!$A$2:$A$1001,$AB125)="","",INDEX(기본자료!$A$2:$A$1001,$AB125)))</f>
        <v/>
      </c>
      <c r="M125" s="15" t="n"/>
      <c r="N125" s="10">
        <f>IF($B125="","",IF(AND($U125="파견중",$Q125&lt;&gt;""),$Q125,IF(AND($AD125&lt;&gt;"",LEFT($AD125,1)&lt;&gt;"⚠"),LEFT($AD125,FIND(" ",$AD125)-1),IF($H125="","",IF(RIGHT($H125,2)="병원",$H125,$H125&amp;"병원")))))</f>
        <v/>
      </c>
      <c r="O125" s="10">
        <f>IF($B125="","",IF(AND($U125="파견중",$Q125&lt;&gt;""),IF($R125&lt;&gt;"",$R125,"파견과 미입력"),IF(AND($AD125&lt;&gt;"",LEFT($AD125,1)&lt;&gt;"⚠"),MID($AD125,FIND(" ",$AD125)+1,60),IF($F125="","",IF($F125="인턴","수련교육부(인턴)",$F125)))))</f>
        <v/>
      </c>
      <c r="P125" s="10">
        <f>IF($B125="","",IF($AK125&lt;&gt;"",IF(AND(TODAY()&gt;=INDEX(파견수련계획!$AB$4:$AB$83,$AK125),OR(NOT(ISNUMBER(INDEX(파견수련계획!$AC$4:$AC$83,$AK125))),TODAY()&lt;=INDEX(파견수련계획!$AC$4:$AC$83,$AK125))),"다기관",IF($AF125="","",INDEX(파견수련계획!$T$4:$T$83,$AF125))),IF($AF125="","",INDEX(파견수련계획!$T$4:$T$83,$AF125))))</f>
        <v/>
      </c>
      <c r="Q125" s="10">
        <f>IF($AF125="","",INDEX(파견수련계획!$S$4:$S$83,$AF125))</f>
        <v/>
      </c>
      <c r="R125" s="10">
        <f>IF($AF125="","",INDEX(파견수련계획!$U$4:$U$83,$AF125))</f>
        <v/>
      </c>
      <c r="S125" s="11">
        <f>IF($AF125="","",IF(INDEX(파견수련계획!$H$4:$H$83,$AF125)="","",INDEX(파견수련계획!$H$4:$H$83,$AF125)))</f>
        <v/>
      </c>
      <c r="T125" s="11">
        <f>IF($AF125="","",IF(INDEX(파견수련계획!$I$4:$I$83,$AF125)="","",INDEX(파견수련계획!$I$4:$I$83,$AF125)))</f>
        <v/>
      </c>
      <c r="U125" s="10">
        <f>IF($AF125="","",INDEX(파견수련계획!$X$4:$X$83,$AF125))</f>
        <v/>
      </c>
      <c r="V125" s="17">
        <f>IF($AF125="","",INDEX(파견수련계획!$V$4:$V$83,$AF125))</f>
        <v/>
      </c>
      <c r="W125" s="17">
        <f>IF(AND($U125="파견중",$T125&lt;&gt;""),$T125-TODAY(),"")</f>
        <v/>
      </c>
      <c r="X125" s="17">
        <f>IF(OR($B125="",TRIM($J125&amp;"")=""),"",SUMPRODUCT((파견수련계획!$Q$4:$Q$83=TRIM($J125&amp;""))*파견수련계획!$W$4:$W$83))</f>
        <v/>
      </c>
      <c r="Y125" s="10">
        <f>IF($B125="","",IF($AG125="","",IF(IF(TRIM($J125&amp;"")="",0,SUMPRODUCT((파견수련계획!$Q$4:$Q$83=TRIM($J125&amp;""))*파견수련계획!$AD$4:$AD$83))&gt;0,$AE125,IF(N($X125)&lt;=0,$AG125,IF($AH125+$AI125=DAY(EOMONTH(요약!$B$3,0)),IF(AND($AH125&gt;=요약!$E$3,$AI125&lt;요약!$E$3),"서울병원",IF(AND($AI125&gt;=요약!$E$3,$AH125&lt;요약!$E$3),"구리병원","⚠15일 판정불가(서울 "&amp;$AH125&amp;"일/구리 "&amp;$AI125&amp;"일)")),IF($AJ125="",$AE125,IF(INDEX(파견수련계획!$T$4:$T$83,$AJ125)="통합수련",INDEX(파견수련계획!$S$4:$S$83,$AJ125),$AE125)))))))</f>
        <v/>
      </c>
      <c r="Z125" s="19">
        <f>IF($B125="","",IF($AB125="","기본자료에 없는 사번",IF(COUNTIF($B$2:$B$401,$B125)&gt;1,"중복 사번",IF($AE125="","소속(입사장소) 입력",IF(IF(TRIM($J125&amp;"")="",0,SUMPRODUCT((파견수련계획!$Q$4:$Q$83=TRIM($J125&amp;""))*(파견수련계획!$AA$4:$AA$83&lt;&gt;"")))&gt;0,"파견수련계획 입력오류 확인",IF(LEFT($Y125,1)="⚠","서울·구리 15일 판정 불가(양쪽 모두 이상/미만)",IF(IF($AC125="",0,N(INDEX(인턴근무계획!$T$3:$T$62,$AC125)))&gt;0,"인턴계획 입력오류 확인",IF(AND($AC125&lt;&gt;"",$U125&lt;&gt;"파견중",$N125&lt;&gt;$AE125),"인턴 타지역 근무: 파견 여부 확인","정상"))))))))</f>
        <v/>
      </c>
      <c r="AA125" s="5" t="n"/>
      <c r="AB125" s="10">
        <f>IF($B125="","",IFERROR(MATCH($B125,기본자료!$B$2:$B$1001,0),IFERROR(MATCH($B125&amp;"",기본자료!$B$2:$B$1001,0),IFERROR(MATCH(VALUE($B125),기본자료!$B$2:$B$1001,0),""))))</f>
        <v/>
      </c>
      <c r="AC125" s="10">
        <f>IF($B125="","",IFERROR(MATCH($B125,인턴근무계획!$D$3:$D$62,0),IFERROR(MATCH($B125&amp;"",인턴근무계획!$D$3:$D$62,0),IFERROR(MATCH(VALUE($B125),인턴근무계획!$D$3:$D$62,0),""))))</f>
        <v/>
      </c>
      <c r="AD125" s="10">
        <f>IF(OR($AC125="",인턴현황!$G$3=""),"",INDEX(인턴근무계획!$M$3:$R$62,$AC125,인턴현황!$G$3)&amp;"")</f>
        <v/>
      </c>
      <c r="AE125" s="10">
        <f>IF($B125="","",IF($M125&lt;&gt;"",$M125,IF($AF125&lt;&gt;"",IF(LEFT(INDEX(파견수련계획!$R$4:$R$83,$AF125),1)&lt;&gt;"⚠",INDEX(파견수련계획!$R$4:$R$83,$AF125),IF($H125="","",IF(RIGHT($H125,2)="병원",$H125,$H125&amp;"병원"))),IF($H125="","",IF(RIGHT($H125,2)="병원",$H125,$H125&amp;"병원")))))</f>
        <v/>
      </c>
      <c r="AF125" s="10">
        <f>IF(OR($B125="",TRIM($J125&amp;"")=""),"",IFERROR(MATCH(TRIM($J125&amp;"")&amp;"|파견중",파견수련계획!$Y$4:$Y$83,0),IFERROR(MATCH(TRIM($J125&amp;"")&amp;"|파견예정",파견수련계획!$Y$4:$Y$83,0),IFERROR(MATCH(TRIM($J125&amp;"")&amp;"|파견종료",파견수련계획!$Y$4:$Y$83,0),""))))</f>
        <v/>
      </c>
      <c r="AG125" s="10">
        <f>IF($B125="","",IF(AND(IF(OR($AC125="",인턴현황!$K$2=""),"",INDEX(인턴근무계획!$M$3:$R$62,$AC125,인턴현황!$K$2)&amp;"")&lt;&gt;"",LEFT(IF(OR($AC125="",인턴현황!$K$2=""),"",INDEX(인턴근무계획!$M$3:$R$62,$AC125,인턴현황!$K$2)&amp;""),1)&lt;&gt;"⚠"),LEFT(IF(OR($AC125="",인턴현황!$K$2=""),"",INDEX(인턴근무계획!$M$3:$R$62,$AC125,인턴현황!$K$2)&amp;""),FIND(" ",IF(OR($AC125="",인턴현황!$K$2=""),"",INDEX(인턴근무계획!$M$3:$R$62,$AC125,인턴현황!$K$2)&amp;""))-1),$AE125))</f>
        <v/>
      </c>
      <c r="AH125" s="17">
        <f>IF($B125="","",IF(TRIM($J125&amp;"")="",0,SUMPRODUCT((파견수련계획!$Q$4:$Q$83=TRIM($J125&amp;""))*(파견수련계획!$S$4:$S$83="서울병원")*파견수련계획!$W$4:$W$83))+IF($AG125="서울병원",MAX(0,DAY(EOMONTH(요약!$B$3,0))-N($X125)),0))</f>
        <v/>
      </c>
      <c r="AI125" s="17">
        <f>IF($B125="","",IF(TRIM($J125&amp;"")="",0,SUMPRODUCT((파견수련계획!$Q$4:$Q$83=TRIM($J125&amp;""))*(파견수련계획!$S$4:$S$83="구리병원")*파견수련계획!$W$4:$W$83))+IF($AG125="구리병원",MAX(0,DAY(EOMONTH(요약!$B$3,0))-N($X125)),0))</f>
        <v/>
      </c>
      <c r="AJ125" s="10">
        <f>IF(OR($B125="",TRIM($J125&amp;"")=""),"",IFERROR(MATCH(TRIM($J125&amp;"")&amp;"|월",파견수련계획!$Z$4:$Z$83,0),""))</f>
        <v/>
      </c>
      <c r="AK125" s="10">
        <f>IF(OR($B125="",TRIM($J125&amp;"")=""),"",IFERROR(MATCH(TRIM($J125&amp;"")&amp;"|다기관",파견수련계획!$AE$4:$AE$83,0),""))</f>
        <v/>
      </c>
      <c r="AL125" s="10">
        <f>IF($AK125="","","다기관 "&amp;TEXT(INDEX(파견수련계획!$AB$4:$AB$83,$AK125),"yyyy-mm-dd")&amp;"~"&amp;IF(ISNUMBER(INDEX(파견수련계획!$AC$4:$AC$83,$AK125)),TEXT(INDEX(파견수련계획!$AC$4:$AC$83,$AK125),"yyyy-mm-dd"),""))</f>
        <v/>
      </c>
    </row>
    <row r="126">
      <c r="A126" s="10">
        <f>IF(B126="","",ROW()-1)</f>
        <v/>
      </c>
      <c r="B126" s="18" t="n"/>
      <c r="C126" s="10">
        <f>IF($AB126="","",IF(INDEX(기본자료!$C$2:$C$1001,$AB126)="","",INDEX(기본자료!$C$2:$C$1001,$AB126)))</f>
        <v/>
      </c>
      <c r="D126" s="10">
        <f>IF($AB126="","",IF(INDEX(기본자료!$J$2:$J$1001,$AB126)="","",INDEX(기본자료!$J$2:$J$1001,$AB126)))</f>
        <v/>
      </c>
      <c r="E126" s="11">
        <f>IF($AB126="","",IF(INDEX(기본자료!$K$2:$K$1001,$AB126)="","",IF(NOT(ISNUMBER(INDEX(기본자료!$K$2:$K$1001,$AB126))),INDEX(기본자료!$K$2:$K$1001,$AB126),IF(INDEX(기본자료!$K$2:$K$1001,$AB126)&lt;1000000,INDEX(기본자료!$K$2:$K$1001,$AB126),IF(AND(INDEX(기본자료!$K$2:$K$1001,$AB126)&gt;=10000101,INT(MOD(INDEX(기본자료!$K$2:$K$1001,$AB126),10000)/100)&gt;=1,INT(MOD(INDEX(기본자료!$K$2:$K$1001,$AB126),10000)/100)&lt;=12,MOD(INDEX(기본자료!$K$2:$K$1001,$AB126),100)&gt;=1,MOD(INDEX(기본자료!$K$2:$K$1001,$AB126),100)&lt;=31),DATE(INT(INDEX(기본자료!$K$2:$K$1001,$AB126)/10000),INT(MOD(INDEX(기본자료!$K$2:$K$1001,$AB126),10000)/100),MOD(INDEX(기본자료!$K$2:$K$1001,$AB126),100)),INDEX(기본자료!$K$2:$K$1001,$AB126)&amp;"")))))</f>
        <v/>
      </c>
      <c r="F126" s="10">
        <f>IF($AB126="","",IF(INDEX(기본자료!$D$2:$D$1001,$AB126)="","",INDEX(기본자료!$D$2:$D$1001,$AB126)))</f>
        <v/>
      </c>
      <c r="G126" s="10">
        <f>IF($AB126="","",IF(INDEX(기본자료!$E$2:$E$1001,$AB126)="","",INDEX(기본자료!$E$2:$E$1001,$AB126)))</f>
        <v/>
      </c>
      <c r="H126" s="10">
        <f>IF($AB126="","",IF(INDEX(기본자료!$F$2:$F$1001,$AB126)="","",INDEX(기본자료!$F$2:$F$1001,$AB126)))</f>
        <v/>
      </c>
      <c r="I126" s="11">
        <f>IF($AB126="","",IF(INDEX(기본자료!$G$2:$G$1001,$AB126)="","",IF(NOT(ISNUMBER(INDEX(기본자료!$G$2:$G$1001,$AB126))),INDEX(기본자료!$G$2:$G$1001,$AB126),IF(INDEX(기본자료!$G$2:$G$1001,$AB126)&lt;1000000,INDEX(기본자료!$G$2:$G$1001,$AB126),IF(AND(INDEX(기본자료!$G$2:$G$1001,$AB126)&gt;=10000101,INT(MOD(INDEX(기본자료!$G$2:$G$1001,$AB126),10000)/100)&gt;=1,INT(MOD(INDEX(기본자료!$G$2:$G$1001,$AB126),10000)/100)&lt;=12,MOD(INDEX(기본자료!$G$2:$G$1001,$AB126),100)&gt;=1,MOD(INDEX(기본자료!$G$2:$G$1001,$AB126),100)&lt;=31),DATE(INT(INDEX(기본자료!$G$2:$G$1001,$AB126)/10000),INT(MOD(INDEX(기본자료!$G$2:$G$1001,$AB126),10000)/100),MOD(INDEX(기본자료!$G$2:$G$1001,$AB126),100)),INDEX(기본자료!$G$2:$G$1001,$AB126)&amp;"")))))</f>
        <v/>
      </c>
      <c r="J126" s="10">
        <f>IF($AB126="","",IF(INDEX(기본자료!$H$2:$H$1001,$AB126)="","",INDEX(기본자료!$H$2:$H$1001,$AB126)))</f>
        <v/>
      </c>
      <c r="K126" s="10">
        <f>IF($AB126="","",IF(INDEX(기본자료!$I$2:$I$1001,$AB126)="","",INDEX(기본자료!$I$2:$I$1001,$AB126)))</f>
        <v/>
      </c>
      <c r="L126" s="10">
        <f>IF($AB126="","",IF(INDEX(기본자료!$A$2:$A$1001,$AB126)="","",INDEX(기본자료!$A$2:$A$1001,$AB126)))</f>
        <v/>
      </c>
      <c r="M126" s="15" t="n"/>
      <c r="N126" s="10">
        <f>IF($B126="","",IF(AND($U126="파견중",$Q126&lt;&gt;""),$Q126,IF(AND($AD126&lt;&gt;"",LEFT($AD126,1)&lt;&gt;"⚠"),LEFT($AD126,FIND(" ",$AD126)-1),IF($H126="","",IF(RIGHT($H126,2)="병원",$H126,$H126&amp;"병원")))))</f>
        <v/>
      </c>
      <c r="O126" s="10">
        <f>IF($B126="","",IF(AND($U126="파견중",$Q126&lt;&gt;""),IF($R126&lt;&gt;"",$R126,"파견과 미입력"),IF(AND($AD126&lt;&gt;"",LEFT($AD126,1)&lt;&gt;"⚠"),MID($AD126,FIND(" ",$AD126)+1,60),IF($F126="","",IF($F126="인턴","수련교육부(인턴)",$F126)))))</f>
        <v/>
      </c>
      <c r="P126" s="10">
        <f>IF($B126="","",IF($AK126&lt;&gt;"",IF(AND(TODAY()&gt;=INDEX(파견수련계획!$AB$4:$AB$83,$AK126),OR(NOT(ISNUMBER(INDEX(파견수련계획!$AC$4:$AC$83,$AK126))),TODAY()&lt;=INDEX(파견수련계획!$AC$4:$AC$83,$AK126))),"다기관",IF($AF126="","",INDEX(파견수련계획!$T$4:$T$83,$AF126))),IF($AF126="","",INDEX(파견수련계획!$T$4:$T$83,$AF126))))</f>
        <v/>
      </c>
      <c r="Q126" s="10">
        <f>IF($AF126="","",INDEX(파견수련계획!$S$4:$S$83,$AF126))</f>
        <v/>
      </c>
      <c r="R126" s="10">
        <f>IF($AF126="","",INDEX(파견수련계획!$U$4:$U$83,$AF126))</f>
        <v/>
      </c>
      <c r="S126" s="11">
        <f>IF($AF126="","",IF(INDEX(파견수련계획!$H$4:$H$83,$AF126)="","",INDEX(파견수련계획!$H$4:$H$83,$AF126)))</f>
        <v/>
      </c>
      <c r="T126" s="11">
        <f>IF($AF126="","",IF(INDEX(파견수련계획!$I$4:$I$83,$AF126)="","",INDEX(파견수련계획!$I$4:$I$83,$AF126)))</f>
        <v/>
      </c>
      <c r="U126" s="10">
        <f>IF($AF126="","",INDEX(파견수련계획!$X$4:$X$83,$AF126))</f>
        <v/>
      </c>
      <c r="V126" s="17">
        <f>IF($AF126="","",INDEX(파견수련계획!$V$4:$V$83,$AF126))</f>
        <v/>
      </c>
      <c r="W126" s="17">
        <f>IF(AND($U126="파견중",$T126&lt;&gt;""),$T126-TODAY(),"")</f>
        <v/>
      </c>
      <c r="X126" s="17">
        <f>IF(OR($B126="",TRIM($J126&amp;"")=""),"",SUMPRODUCT((파견수련계획!$Q$4:$Q$83=TRIM($J126&amp;""))*파견수련계획!$W$4:$W$83))</f>
        <v/>
      </c>
      <c r="Y126" s="10">
        <f>IF($B126="","",IF($AG126="","",IF(IF(TRIM($J126&amp;"")="",0,SUMPRODUCT((파견수련계획!$Q$4:$Q$83=TRIM($J126&amp;""))*파견수련계획!$AD$4:$AD$83))&gt;0,$AE126,IF(N($X126)&lt;=0,$AG126,IF($AH126+$AI126=DAY(EOMONTH(요약!$B$3,0)),IF(AND($AH126&gt;=요약!$E$3,$AI126&lt;요약!$E$3),"서울병원",IF(AND($AI126&gt;=요약!$E$3,$AH126&lt;요약!$E$3),"구리병원","⚠15일 판정불가(서울 "&amp;$AH126&amp;"일/구리 "&amp;$AI126&amp;"일)")),IF($AJ126="",$AE126,IF(INDEX(파견수련계획!$T$4:$T$83,$AJ126)="통합수련",INDEX(파견수련계획!$S$4:$S$83,$AJ126),$AE126)))))))</f>
        <v/>
      </c>
      <c r="Z126" s="19">
        <f>IF($B126="","",IF($AB126="","기본자료에 없는 사번",IF(COUNTIF($B$2:$B$401,$B126)&gt;1,"중복 사번",IF($AE126="","소속(입사장소) 입력",IF(IF(TRIM($J126&amp;"")="",0,SUMPRODUCT((파견수련계획!$Q$4:$Q$83=TRIM($J126&amp;""))*(파견수련계획!$AA$4:$AA$83&lt;&gt;"")))&gt;0,"파견수련계획 입력오류 확인",IF(LEFT($Y126,1)="⚠","서울·구리 15일 판정 불가(양쪽 모두 이상/미만)",IF(IF($AC126="",0,N(INDEX(인턴근무계획!$T$3:$T$62,$AC126)))&gt;0,"인턴계획 입력오류 확인",IF(AND($AC126&lt;&gt;"",$U126&lt;&gt;"파견중",$N126&lt;&gt;$AE126),"인턴 타지역 근무: 파견 여부 확인","정상"))))))))</f>
        <v/>
      </c>
      <c r="AA126" s="5" t="n"/>
      <c r="AB126" s="10">
        <f>IF($B126="","",IFERROR(MATCH($B126,기본자료!$B$2:$B$1001,0),IFERROR(MATCH($B126&amp;"",기본자료!$B$2:$B$1001,0),IFERROR(MATCH(VALUE($B126),기본자료!$B$2:$B$1001,0),""))))</f>
        <v/>
      </c>
      <c r="AC126" s="10">
        <f>IF($B126="","",IFERROR(MATCH($B126,인턴근무계획!$D$3:$D$62,0),IFERROR(MATCH($B126&amp;"",인턴근무계획!$D$3:$D$62,0),IFERROR(MATCH(VALUE($B126),인턴근무계획!$D$3:$D$62,0),""))))</f>
        <v/>
      </c>
      <c r="AD126" s="10">
        <f>IF(OR($AC126="",인턴현황!$G$3=""),"",INDEX(인턴근무계획!$M$3:$R$62,$AC126,인턴현황!$G$3)&amp;"")</f>
        <v/>
      </c>
      <c r="AE126" s="10">
        <f>IF($B126="","",IF($M126&lt;&gt;"",$M126,IF($AF126&lt;&gt;"",IF(LEFT(INDEX(파견수련계획!$R$4:$R$83,$AF126),1)&lt;&gt;"⚠",INDEX(파견수련계획!$R$4:$R$83,$AF126),IF($H126="","",IF(RIGHT($H126,2)="병원",$H126,$H126&amp;"병원"))),IF($H126="","",IF(RIGHT($H126,2)="병원",$H126,$H126&amp;"병원")))))</f>
        <v/>
      </c>
      <c r="AF126" s="10">
        <f>IF(OR($B126="",TRIM($J126&amp;"")=""),"",IFERROR(MATCH(TRIM($J126&amp;"")&amp;"|파견중",파견수련계획!$Y$4:$Y$83,0),IFERROR(MATCH(TRIM($J126&amp;"")&amp;"|파견예정",파견수련계획!$Y$4:$Y$83,0),IFERROR(MATCH(TRIM($J126&amp;"")&amp;"|파견종료",파견수련계획!$Y$4:$Y$83,0),""))))</f>
        <v/>
      </c>
      <c r="AG126" s="10">
        <f>IF($B126="","",IF(AND(IF(OR($AC126="",인턴현황!$K$2=""),"",INDEX(인턴근무계획!$M$3:$R$62,$AC126,인턴현황!$K$2)&amp;"")&lt;&gt;"",LEFT(IF(OR($AC126="",인턴현황!$K$2=""),"",INDEX(인턴근무계획!$M$3:$R$62,$AC126,인턴현황!$K$2)&amp;""),1)&lt;&gt;"⚠"),LEFT(IF(OR($AC126="",인턴현황!$K$2=""),"",INDEX(인턴근무계획!$M$3:$R$62,$AC126,인턴현황!$K$2)&amp;""),FIND(" ",IF(OR($AC126="",인턴현황!$K$2=""),"",INDEX(인턴근무계획!$M$3:$R$62,$AC126,인턴현황!$K$2)&amp;""))-1),$AE126))</f>
        <v/>
      </c>
      <c r="AH126" s="17">
        <f>IF($B126="","",IF(TRIM($J126&amp;"")="",0,SUMPRODUCT((파견수련계획!$Q$4:$Q$83=TRIM($J126&amp;""))*(파견수련계획!$S$4:$S$83="서울병원")*파견수련계획!$W$4:$W$83))+IF($AG126="서울병원",MAX(0,DAY(EOMONTH(요약!$B$3,0))-N($X126)),0))</f>
        <v/>
      </c>
      <c r="AI126" s="17">
        <f>IF($B126="","",IF(TRIM($J126&amp;"")="",0,SUMPRODUCT((파견수련계획!$Q$4:$Q$83=TRIM($J126&amp;""))*(파견수련계획!$S$4:$S$83="구리병원")*파견수련계획!$W$4:$W$83))+IF($AG126="구리병원",MAX(0,DAY(EOMONTH(요약!$B$3,0))-N($X126)),0))</f>
        <v/>
      </c>
      <c r="AJ126" s="10">
        <f>IF(OR($B126="",TRIM($J126&amp;"")=""),"",IFERROR(MATCH(TRIM($J126&amp;"")&amp;"|월",파견수련계획!$Z$4:$Z$83,0),""))</f>
        <v/>
      </c>
      <c r="AK126" s="10">
        <f>IF(OR($B126="",TRIM($J126&amp;"")=""),"",IFERROR(MATCH(TRIM($J126&amp;"")&amp;"|다기관",파견수련계획!$AE$4:$AE$83,0),""))</f>
        <v/>
      </c>
      <c r="AL126" s="10">
        <f>IF($AK126="","","다기관 "&amp;TEXT(INDEX(파견수련계획!$AB$4:$AB$83,$AK126),"yyyy-mm-dd")&amp;"~"&amp;IF(ISNUMBER(INDEX(파견수련계획!$AC$4:$AC$83,$AK126)),TEXT(INDEX(파견수련계획!$AC$4:$AC$83,$AK126),"yyyy-mm-dd"),""))</f>
        <v/>
      </c>
    </row>
    <row r="127">
      <c r="A127" s="10">
        <f>IF(B127="","",ROW()-1)</f>
        <v/>
      </c>
      <c r="B127" s="18" t="n"/>
      <c r="C127" s="10">
        <f>IF($AB127="","",IF(INDEX(기본자료!$C$2:$C$1001,$AB127)="","",INDEX(기본자료!$C$2:$C$1001,$AB127)))</f>
        <v/>
      </c>
      <c r="D127" s="10">
        <f>IF($AB127="","",IF(INDEX(기본자료!$J$2:$J$1001,$AB127)="","",INDEX(기본자료!$J$2:$J$1001,$AB127)))</f>
        <v/>
      </c>
      <c r="E127" s="11">
        <f>IF($AB127="","",IF(INDEX(기본자료!$K$2:$K$1001,$AB127)="","",IF(NOT(ISNUMBER(INDEX(기본자료!$K$2:$K$1001,$AB127))),INDEX(기본자료!$K$2:$K$1001,$AB127),IF(INDEX(기본자료!$K$2:$K$1001,$AB127)&lt;1000000,INDEX(기본자료!$K$2:$K$1001,$AB127),IF(AND(INDEX(기본자료!$K$2:$K$1001,$AB127)&gt;=10000101,INT(MOD(INDEX(기본자료!$K$2:$K$1001,$AB127),10000)/100)&gt;=1,INT(MOD(INDEX(기본자료!$K$2:$K$1001,$AB127),10000)/100)&lt;=12,MOD(INDEX(기본자료!$K$2:$K$1001,$AB127),100)&gt;=1,MOD(INDEX(기본자료!$K$2:$K$1001,$AB127),100)&lt;=31),DATE(INT(INDEX(기본자료!$K$2:$K$1001,$AB127)/10000),INT(MOD(INDEX(기본자료!$K$2:$K$1001,$AB127),10000)/100),MOD(INDEX(기본자료!$K$2:$K$1001,$AB127),100)),INDEX(기본자료!$K$2:$K$1001,$AB127)&amp;"")))))</f>
        <v/>
      </c>
      <c r="F127" s="10">
        <f>IF($AB127="","",IF(INDEX(기본자료!$D$2:$D$1001,$AB127)="","",INDEX(기본자료!$D$2:$D$1001,$AB127)))</f>
        <v/>
      </c>
      <c r="G127" s="10">
        <f>IF($AB127="","",IF(INDEX(기본자료!$E$2:$E$1001,$AB127)="","",INDEX(기본자료!$E$2:$E$1001,$AB127)))</f>
        <v/>
      </c>
      <c r="H127" s="10">
        <f>IF($AB127="","",IF(INDEX(기본자료!$F$2:$F$1001,$AB127)="","",INDEX(기본자료!$F$2:$F$1001,$AB127)))</f>
        <v/>
      </c>
      <c r="I127" s="11">
        <f>IF($AB127="","",IF(INDEX(기본자료!$G$2:$G$1001,$AB127)="","",IF(NOT(ISNUMBER(INDEX(기본자료!$G$2:$G$1001,$AB127))),INDEX(기본자료!$G$2:$G$1001,$AB127),IF(INDEX(기본자료!$G$2:$G$1001,$AB127)&lt;1000000,INDEX(기본자료!$G$2:$G$1001,$AB127),IF(AND(INDEX(기본자료!$G$2:$G$1001,$AB127)&gt;=10000101,INT(MOD(INDEX(기본자료!$G$2:$G$1001,$AB127),10000)/100)&gt;=1,INT(MOD(INDEX(기본자료!$G$2:$G$1001,$AB127),10000)/100)&lt;=12,MOD(INDEX(기본자료!$G$2:$G$1001,$AB127),100)&gt;=1,MOD(INDEX(기본자료!$G$2:$G$1001,$AB127),100)&lt;=31),DATE(INT(INDEX(기본자료!$G$2:$G$1001,$AB127)/10000),INT(MOD(INDEX(기본자료!$G$2:$G$1001,$AB127),10000)/100),MOD(INDEX(기본자료!$G$2:$G$1001,$AB127),100)),INDEX(기본자료!$G$2:$G$1001,$AB127)&amp;"")))))</f>
        <v/>
      </c>
      <c r="J127" s="10">
        <f>IF($AB127="","",IF(INDEX(기본자료!$H$2:$H$1001,$AB127)="","",INDEX(기본자료!$H$2:$H$1001,$AB127)))</f>
        <v/>
      </c>
      <c r="K127" s="10">
        <f>IF($AB127="","",IF(INDEX(기본자료!$I$2:$I$1001,$AB127)="","",INDEX(기본자료!$I$2:$I$1001,$AB127)))</f>
        <v/>
      </c>
      <c r="L127" s="10">
        <f>IF($AB127="","",IF(INDEX(기본자료!$A$2:$A$1001,$AB127)="","",INDEX(기본자료!$A$2:$A$1001,$AB127)))</f>
        <v/>
      </c>
      <c r="M127" s="15" t="n"/>
      <c r="N127" s="10">
        <f>IF($B127="","",IF(AND($U127="파견중",$Q127&lt;&gt;""),$Q127,IF(AND($AD127&lt;&gt;"",LEFT($AD127,1)&lt;&gt;"⚠"),LEFT($AD127,FIND(" ",$AD127)-1),IF($H127="","",IF(RIGHT($H127,2)="병원",$H127,$H127&amp;"병원")))))</f>
        <v/>
      </c>
      <c r="O127" s="10">
        <f>IF($B127="","",IF(AND($U127="파견중",$Q127&lt;&gt;""),IF($R127&lt;&gt;"",$R127,"파견과 미입력"),IF(AND($AD127&lt;&gt;"",LEFT($AD127,1)&lt;&gt;"⚠"),MID($AD127,FIND(" ",$AD127)+1,60),IF($F127="","",IF($F127="인턴","수련교육부(인턴)",$F127)))))</f>
        <v/>
      </c>
      <c r="P127" s="10">
        <f>IF($B127="","",IF($AK127&lt;&gt;"",IF(AND(TODAY()&gt;=INDEX(파견수련계획!$AB$4:$AB$83,$AK127),OR(NOT(ISNUMBER(INDEX(파견수련계획!$AC$4:$AC$83,$AK127))),TODAY()&lt;=INDEX(파견수련계획!$AC$4:$AC$83,$AK127))),"다기관",IF($AF127="","",INDEX(파견수련계획!$T$4:$T$83,$AF127))),IF($AF127="","",INDEX(파견수련계획!$T$4:$T$83,$AF127))))</f>
        <v/>
      </c>
      <c r="Q127" s="10">
        <f>IF($AF127="","",INDEX(파견수련계획!$S$4:$S$83,$AF127))</f>
        <v/>
      </c>
      <c r="R127" s="10">
        <f>IF($AF127="","",INDEX(파견수련계획!$U$4:$U$83,$AF127))</f>
        <v/>
      </c>
      <c r="S127" s="11">
        <f>IF($AF127="","",IF(INDEX(파견수련계획!$H$4:$H$83,$AF127)="","",INDEX(파견수련계획!$H$4:$H$83,$AF127)))</f>
        <v/>
      </c>
      <c r="T127" s="11">
        <f>IF($AF127="","",IF(INDEX(파견수련계획!$I$4:$I$83,$AF127)="","",INDEX(파견수련계획!$I$4:$I$83,$AF127)))</f>
        <v/>
      </c>
      <c r="U127" s="10">
        <f>IF($AF127="","",INDEX(파견수련계획!$X$4:$X$83,$AF127))</f>
        <v/>
      </c>
      <c r="V127" s="17">
        <f>IF($AF127="","",INDEX(파견수련계획!$V$4:$V$83,$AF127))</f>
        <v/>
      </c>
      <c r="W127" s="17">
        <f>IF(AND($U127="파견중",$T127&lt;&gt;""),$T127-TODAY(),"")</f>
        <v/>
      </c>
      <c r="X127" s="17">
        <f>IF(OR($B127="",TRIM($J127&amp;"")=""),"",SUMPRODUCT((파견수련계획!$Q$4:$Q$83=TRIM($J127&amp;""))*파견수련계획!$W$4:$W$83))</f>
        <v/>
      </c>
      <c r="Y127" s="10">
        <f>IF($B127="","",IF($AG127="","",IF(IF(TRIM($J127&amp;"")="",0,SUMPRODUCT((파견수련계획!$Q$4:$Q$83=TRIM($J127&amp;""))*파견수련계획!$AD$4:$AD$83))&gt;0,$AE127,IF(N($X127)&lt;=0,$AG127,IF($AH127+$AI127=DAY(EOMONTH(요약!$B$3,0)),IF(AND($AH127&gt;=요약!$E$3,$AI127&lt;요약!$E$3),"서울병원",IF(AND($AI127&gt;=요약!$E$3,$AH127&lt;요약!$E$3),"구리병원","⚠15일 판정불가(서울 "&amp;$AH127&amp;"일/구리 "&amp;$AI127&amp;"일)")),IF($AJ127="",$AE127,IF(INDEX(파견수련계획!$T$4:$T$83,$AJ127)="통합수련",INDEX(파견수련계획!$S$4:$S$83,$AJ127),$AE127)))))))</f>
        <v/>
      </c>
      <c r="Z127" s="19">
        <f>IF($B127="","",IF($AB127="","기본자료에 없는 사번",IF(COUNTIF($B$2:$B$401,$B127)&gt;1,"중복 사번",IF($AE127="","소속(입사장소) 입력",IF(IF(TRIM($J127&amp;"")="",0,SUMPRODUCT((파견수련계획!$Q$4:$Q$83=TRIM($J127&amp;""))*(파견수련계획!$AA$4:$AA$83&lt;&gt;"")))&gt;0,"파견수련계획 입력오류 확인",IF(LEFT($Y127,1)="⚠","서울·구리 15일 판정 불가(양쪽 모두 이상/미만)",IF(IF($AC127="",0,N(INDEX(인턴근무계획!$T$3:$T$62,$AC127)))&gt;0,"인턴계획 입력오류 확인",IF(AND($AC127&lt;&gt;"",$U127&lt;&gt;"파견중",$N127&lt;&gt;$AE127),"인턴 타지역 근무: 파견 여부 확인","정상"))))))))</f>
        <v/>
      </c>
      <c r="AA127" s="5" t="n"/>
      <c r="AB127" s="10">
        <f>IF($B127="","",IFERROR(MATCH($B127,기본자료!$B$2:$B$1001,0),IFERROR(MATCH($B127&amp;"",기본자료!$B$2:$B$1001,0),IFERROR(MATCH(VALUE($B127),기본자료!$B$2:$B$1001,0),""))))</f>
        <v/>
      </c>
      <c r="AC127" s="10">
        <f>IF($B127="","",IFERROR(MATCH($B127,인턴근무계획!$D$3:$D$62,0),IFERROR(MATCH($B127&amp;"",인턴근무계획!$D$3:$D$62,0),IFERROR(MATCH(VALUE($B127),인턴근무계획!$D$3:$D$62,0),""))))</f>
        <v/>
      </c>
      <c r="AD127" s="10">
        <f>IF(OR($AC127="",인턴현황!$G$3=""),"",INDEX(인턴근무계획!$M$3:$R$62,$AC127,인턴현황!$G$3)&amp;"")</f>
        <v/>
      </c>
      <c r="AE127" s="10">
        <f>IF($B127="","",IF($M127&lt;&gt;"",$M127,IF($AF127&lt;&gt;"",IF(LEFT(INDEX(파견수련계획!$R$4:$R$83,$AF127),1)&lt;&gt;"⚠",INDEX(파견수련계획!$R$4:$R$83,$AF127),IF($H127="","",IF(RIGHT($H127,2)="병원",$H127,$H127&amp;"병원"))),IF($H127="","",IF(RIGHT($H127,2)="병원",$H127,$H127&amp;"병원")))))</f>
        <v/>
      </c>
      <c r="AF127" s="10">
        <f>IF(OR($B127="",TRIM($J127&amp;"")=""),"",IFERROR(MATCH(TRIM($J127&amp;"")&amp;"|파견중",파견수련계획!$Y$4:$Y$83,0),IFERROR(MATCH(TRIM($J127&amp;"")&amp;"|파견예정",파견수련계획!$Y$4:$Y$83,0),IFERROR(MATCH(TRIM($J127&amp;"")&amp;"|파견종료",파견수련계획!$Y$4:$Y$83,0),""))))</f>
        <v/>
      </c>
      <c r="AG127" s="10">
        <f>IF($B127="","",IF(AND(IF(OR($AC127="",인턴현황!$K$2=""),"",INDEX(인턴근무계획!$M$3:$R$62,$AC127,인턴현황!$K$2)&amp;"")&lt;&gt;"",LEFT(IF(OR($AC127="",인턴현황!$K$2=""),"",INDEX(인턴근무계획!$M$3:$R$62,$AC127,인턴현황!$K$2)&amp;""),1)&lt;&gt;"⚠"),LEFT(IF(OR($AC127="",인턴현황!$K$2=""),"",INDEX(인턴근무계획!$M$3:$R$62,$AC127,인턴현황!$K$2)&amp;""),FIND(" ",IF(OR($AC127="",인턴현황!$K$2=""),"",INDEX(인턴근무계획!$M$3:$R$62,$AC127,인턴현황!$K$2)&amp;""))-1),$AE127))</f>
        <v/>
      </c>
      <c r="AH127" s="17">
        <f>IF($B127="","",IF(TRIM($J127&amp;"")="",0,SUMPRODUCT((파견수련계획!$Q$4:$Q$83=TRIM($J127&amp;""))*(파견수련계획!$S$4:$S$83="서울병원")*파견수련계획!$W$4:$W$83))+IF($AG127="서울병원",MAX(0,DAY(EOMONTH(요약!$B$3,0))-N($X127)),0))</f>
        <v/>
      </c>
      <c r="AI127" s="17">
        <f>IF($B127="","",IF(TRIM($J127&amp;"")="",0,SUMPRODUCT((파견수련계획!$Q$4:$Q$83=TRIM($J127&amp;""))*(파견수련계획!$S$4:$S$83="구리병원")*파견수련계획!$W$4:$W$83))+IF($AG127="구리병원",MAX(0,DAY(EOMONTH(요약!$B$3,0))-N($X127)),0))</f>
        <v/>
      </c>
      <c r="AJ127" s="10">
        <f>IF(OR($B127="",TRIM($J127&amp;"")=""),"",IFERROR(MATCH(TRIM($J127&amp;"")&amp;"|월",파견수련계획!$Z$4:$Z$83,0),""))</f>
        <v/>
      </c>
      <c r="AK127" s="10">
        <f>IF(OR($B127="",TRIM($J127&amp;"")=""),"",IFERROR(MATCH(TRIM($J127&amp;"")&amp;"|다기관",파견수련계획!$AE$4:$AE$83,0),""))</f>
        <v/>
      </c>
      <c r="AL127" s="10">
        <f>IF($AK127="","","다기관 "&amp;TEXT(INDEX(파견수련계획!$AB$4:$AB$83,$AK127),"yyyy-mm-dd")&amp;"~"&amp;IF(ISNUMBER(INDEX(파견수련계획!$AC$4:$AC$83,$AK127)),TEXT(INDEX(파견수련계획!$AC$4:$AC$83,$AK127),"yyyy-mm-dd"),""))</f>
        <v/>
      </c>
    </row>
    <row r="128">
      <c r="A128" s="10">
        <f>IF(B128="","",ROW()-1)</f>
        <v/>
      </c>
      <c r="B128" s="18" t="n"/>
      <c r="C128" s="10">
        <f>IF($AB128="","",IF(INDEX(기본자료!$C$2:$C$1001,$AB128)="","",INDEX(기본자료!$C$2:$C$1001,$AB128)))</f>
        <v/>
      </c>
      <c r="D128" s="10">
        <f>IF($AB128="","",IF(INDEX(기본자료!$J$2:$J$1001,$AB128)="","",INDEX(기본자료!$J$2:$J$1001,$AB128)))</f>
        <v/>
      </c>
      <c r="E128" s="11">
        <f>IF($AB128="","",IF(INDEX(기본자료!$K$2:$K$1001,$AB128)="","",IF(NOT(ISNUMBER(INDEX(기본자료!$K$2:$K$1001,$AB128))),INDEX(기본자료!$K$2:$K$1001,$AB128),IF(INDEX(기본자료!$K$2:$K$1001,$AB128)&lt;1000000,INDEX(기본자료!$K$2:$K$1001,$AB128),IF(AND(INDEX(기본자료!$K$2:$K$1001,$AB128)&gt;=10000101,INT(MOD(INDEX(기본자료!$K$2:$K$1001,$AB128),10000)/100)&gt;=1,INT(MOD(INDEX(기본자료!$K$2:$K$1001,$AB128),10000)/100)&lt;=12,MOD(INDEX(기본자료!$K$2:$K$1001,$AB128),100)&gt;=1,MOD(INDEX(기본자료!$K$2:$K$1001,$AB128),100)&lt;=31),DATE(INT(INDEX(기본자료!$K$2:$K$1001,$AB128)/10000),INT(MOD(INDEX(기본자료!$K$2:$K$1001,$AB128),10000)/100),MOD(INDEX(기본자료!$K$2:$K$1001,$AB128),100)),INDEX(기본자료!$K$2:$K$1001,$AB128)&amp;"")))))</f>
        <v/>
      </c>
      <c r="F128" s="10">
        <f>IF($AB128="","",IF(INDEX(기본자료!$D$2:$D$1001,$AB128)="","",INDEX(기본자료!$D$2:$D$1001,$AB128)))</f>
        <v/>
      </c>
      <c r="G128" s="10">
        <f>IF($AB128="","",IF(INDEX(기본자료!$E$2:$E$1001,$AB128)="","",INDEX(기본자료!$E$2:$E$1001,$AB128)))</f>
        <v/>
      </c>
      <c r="H128" s="10">
        <f>IF($AB128="","",IF(INDEX(기본자료!$F$2:$F$1001,$AB128)="","",INDEX(기본자료!$F$2:$F$1001,$AB128)))</f>
        <v/>
      </c>
      <c r="I128" s="11">
        <f>IF($AB128="","",IF(INDEX(기본자료!$G$2:$G$1001,$AB128)="","",IF(NOT(ISNUMBER(INDEX(기본자료!$G$2:$G$1001,$AB128))),INDEX(기본자료!$G$2:$G$1001,$AB128),IF(INDEX(기본자료!$G$2:$G$1001,$AB128)&lt;1000000,INDEX(기본자료!$G$2:$G$1001,$AB128),IF(AND(INDEX(기본자료!$G$2:$G$1001,$AB128)&gt;=10000101,INT(MOD(INDEX(기본자료!$G$2:$G$1001,$AB128),10000)/100)&gt;=1,INT(MOD(INDEX(기본자료!$G$2:$G$1001,$AB128),10000)/100)&lt;=12,MOD(INDEX(기본자료!$G$2:$G$1001,$AB128),100)&gt;=1,MOD(INDEX(기본자료!$G$2:$G$1001,$AB128),100)&lt;=31),DATE(INT(INDEX(기본자료!$G$2:$G$1001,$AB128)/10000),INT(MOD(INDEX(기본자료!$G$2:$G$1001,$AB128),10000)/100),MOD(INDEX(기본자료!$G$2:$G$1001,$AB128),100)),INDEX(기본자료!$G$2:$G$1001,$AB128)&amp;"")))))</f>
        <v/>
      </c>
      <c r="J128" s="10">
        <f>IF($AB128="","",IF(INDEX(기본자료!$H$2:$H$1001,$AB128)="","",INDEX(기본자료!$H$2:$H$1001,$AB128)))</f>
        <v/>
      </c>
      <c r="K128" s="10">
        <f>IF($AB128="","",IF(INDEX(기본자료!$I$2:$I$1001,$AB128)="","",INDEX(기본자료!$I$2:$I$1001,$AB128)))</f>
        <v/>
      </c>
      <c r="L128" s="10">
        <f>IF($AB128="","",IF(INDEX(기본자료!$A$2:$A$1001,$AB128)="","",INDEX(기본자료!$A$2:$A$1001,$AB128)))</f>
        <v/>
      </c>
      <c r="M128" s="15" t="n"/>
      <c r="N128" s="10">
        <f>IF($B128="","",IF(AND($U128="파견중",$Q128&lt;&gt;""),$Q128,IF(AND($AD128&lt;&gt;"",LEFT($AD128,1)&lt;&gt;"⚠"),LEFT($AD128,FIND(" ",$AD128)-1),IF($H128="","",IF(RIGHT($H128,2)="병원",$H128,$H128&amp;"병원")))))</f>
        <v/>
      </c>
      <c r="O128" s="10">
        <f>IF($B128="","",IF(AND($U128="파견중",$Q128&lt;&gt;""),IF($R128&lt;&gt;"",$R128,"파견과 미입력"),IF(AND($AD128&lt;&gt;"",LEFT($AD128,1)&lt;&gt;"⚠"),MID($AD128,FIND(" ",$AD128)+1,60),IF($F128="","",IF($F128="인턴","수련교육부(인턴)",$F128)))))</f>
        <v/>
      </c>
      <c r="P128" s="10">
        <f>IF($B128="","",IF($AK128&lt;&gt;"",IF(AND(TODAY()&gt;=INDEX(파견수련계획!$AB$4:$AB$83,$AK128),OR(NOT(ISNUMBER(INDEX(파견수련계획!$AC$4:$AC$83,$AK128))),TODAY()&lt;=INDEX(파견수련계획!$AC$4:$AC$83,$AK128))),"다기관",IF($AF128="","",INDEX(파견수련계획!$T$4:$T$83,$AF128))),IF($AF128="","",INDEX(파견수련계획!$T$4:$T$83,$AF128))))</f>
        <v/>
      </c>
      <c r="Q128" s="10">
        <f>IF($AF128="","",INDEX(파견수련계획!$S$4:$S$83,$AF128))</f>
        <v/>
      </c>
      <c r="R128" s="10">
        <f>IF($AF128="","",INDEX(파견수련계획!$U$4:$U$83,$AF128))</f>
        <v/>
      </c>
      <c r="S128" s="11">
        <f>IF($AF128="","",IF(INDEX(파견수련계획!$H$4:$H$83,$AF128)="","",INDEX(파견수련계획!$H$4:$H$83,$AF128)))</f>
        <v/>
      </c>
      <c r="T128" s="11">
        <f>IF($AF128="","",IF(INDEX(파견수련계획!$I$4:$I$83,$AF128)="","",INDEX(파견수련계획!$I$4:$I$83,$AF128)))</f>
        <v/>
      </c>
      <c r="U128" s="10">
        <f>IF($AF128="","",INDEX(파견수련계획!$X$4:$X$83,$AF128))</f>
        <v/>
      </c>
      <c r="V128" s="17">
        <f>IF($AF128="","",INDEX(파견수련계획!$V$4:$V$83,$AF128))</f>
        <v/>
      </c>
      <c r="W128" s="17">
        <f>IF(AND($U128="파견중",$T128&lt;&gt;""),$T128-TODAY(),"")</f>
        <v/>
      </c>
      <c r="X128" s="17">
        <f>IF(OR($B128="",TRIM($J128&amp;"")=""),"",SUMPRODUCT((파견수련계획!$Q$4:$Q$83=TRIM($J128&amp;""))*파견수련계획!$W$4:$W$83))</f>
        <v/>
      </c>
      <c r="Y128" s="10">
        <f>IF($B128="","",IF($AG128="","",IF(IF(TRIM($J128&amp;"")="",0,SUMPRODUCT((파견수련계획!$Q$4:$Q$83=TRIM($J128&amp;""))*파견수련계획!$AD$4:$AD$83))&gt;0,$AE128,IF(N($X128)&lt;=0,$AG128,IF($AH128+$AI128=DAY(EOMONTH(요약!$B$3,0)),IF(AND($AH128&gt;=요약!$E$3,$AI128&lt;요약!$E$3),"서울병원",IF(AND($AI128&gt;=요약!$E$3,$AH128&lt;요약!$E$3),"구리병원","⚠15일 판정불가(서울 "&amp;$AH128&amp;"일/구리 "&amp;$AI128&amp;"일)")),IF($AJ128="",$AE128,IF(INDEX(파견수련계획!$T$4:$T$83,$AJ128)="통합수련",INDEX(파견수련계획!$S$4:$S$83,$AJ128),$AE128)))))))</f>
        <v/>
      </c>
      <c r="Z128" s="19">
        <f>IF($B128="","",IF($AB128="","기본자료에 없는 사번",IF(COUNTIF($B$2:$B$401,$B128)&gt;1,"중복 사번",IF($AE128="","소속(입사장소) 입력",IF(IF(TRIM($J128&amp;"")="",0,SUMPRODUCT((파견수련계획!$Q$4:$Q$83=TRIM($J128&amp;""))*(파견수련계획!$AA$4:$AA$83&lt;&gt;"")))&gt;0,"파견수련계획 입력오류 확인",IF(LEFT($Y128,1)="⚠","서울·구리 15일 판정 불가(양쪽 모두 이상/미만)",IF(IF($AC128="",0,N(INDEX(인턴근무계획!$T$3:$T$62,$AC128)))&gt;0,"인턴계획 입력오류 확인",IF(AND($AC128&lt;&gt;"",$U128&lt;&gt;"파견중",$N128&lt;&gt;$AE128),"인턴 타지역 근무: 파견 여부 확인","정상"))))))))</f>
        <v/>
      </c>
      <c r="AA128" s="5" t="n"/>
      <c r="AB128" s="10">
        <f>IF($B128="","",IFERROR(MATCH($B128,기본자료!$B$2:$B$1001,0),IFERROR(MATCH($B128&amp;"",기본자료!$B$2:$B$1001,0),IFERROR(MATCH(VALUE($B128),기본자료!$B$2:$B$1001,0),""))))</f>
        <v/>
      </c>
      <c r="AC128" s="10">
        <f>IF($B128="","",IFERROR(MATCH($B128,인턴근무계획!$D$3:$D$62,0),IFERROR(MATCH($B128&amp;"",인턴근무계획!$D$3:$D$62,0),IFERROR(MATCH(VALUE($B128),인턴근무계획!$D$3:$D$62,0),""))))</f>
        <v/>
      </c>
      <c r="AD128" s="10">
        <f>IF(OR($AC128="",인턴현황!$G$3=""),"",INDEX(인턴근무계획!$M$3:$R$62,$AC128,인턴현황!$G$3)&amp;"")</f>
        <v/>
      </c>
      <c r="AE128" s="10">
        <f>IF($B128="","",IF($M128&lt;&gt;"",$M128,IF($AF128&lt;&gt;"",IF(LEFT(INDEX(파견수련계획!$R$4:$R$83,$AF128),1)&lt;&gt;"⚠",INDEX(파견수련계획!$R$4:$R$83,$AF128),IF($H128="","",IF(RIGHT($H128,2)="병원",$H128,$H128&amp;"병원"))),IF($H128="","",IF(RIGHT($H128,2)="병원",$H128,$H128&amp;"병원")))))</f>
        <v/>
      </c>
      <c r="AF128" s="10">
        <f>IF(OR($B128="",TRIM($J128&amp;"")=""),"",IFERROR(MATCH(TRIM($J128&amp;"")&amp;"|파견중",파견수련계획!$Y$4:$Y$83,0),IFERROR(MATCH(TRIM($J128&amp;"")&amp;"|파견예정",파견수련계획!$Y$4:$Y$83,0),IFERROR(MATCH(TRIM($J128&amp;"")&amp;"|파견종료",파견수련계획!$Y$4:$Y$83,0),""))))</f>
        <v/>
      </c>
      <c r="AG128" s="10">
        <f>IF($B128="","",IF(AND(IF(OR($AC128="",인턴현황!$K$2=""),"",INDEX(인턴근무계획!$M$3:$R$62,$AC128,인턴현황!$K$2)&amp;"")&lt;&gt;"",LEFT(IF(OR($AC128="",인턴현황!$K$2=""),"",INDEX(인턴근무계획!$M$3:$R$62,$AC128,인턴현황!$K$2)&amp;""),1)&lt;&gt;"⚠"),LEFT(IF(OR($AC128="",인턴현황!$K$2=""),"",INDEX(인턴근무계획!$M$3:$R$62,$AC128,인턴현황!$K$2)&amp;""),FIND(" ",IF(OR($AC128="",인턴현황!$K$2=""),"",INDEX(인턴근무계획!$M$3:$R$62,$AC128,인턴현황!$K$2)&amp;""))-1),$AE128))</f>
        <v/>
      </c>
      <c r="AH128" s="17">
        <f>IF($B128="","",IF(TRIM($J128&amp;"")="",0,SUMPRODUCT((파견수련계획!$Q$4:$Q$83=TRIM($J128&amp;""))*(파견수련계획!$S$4:$S$83="서울병원")*파견수련계획!$W$4:$W$83))+IF($AG128="서울병원",MAX(0,DAY(EOMONTH(요약!$B$3,0))-N($X128)),0))</f>
        <v/>
      </c>
      <c r="AI128" s="17">
        <f>IF($B128="","",IF(TRIM($J128&amp;"")="",0,SUMPRODUCT((파견수련계획!$Q$4:$Q$83=TRIM($J128&amp;""))*(파견수련계획!$S$4:$S$83="구리병원")*파견수련계획!$W$4:$W$83))+IF($AG128="구리병원",MAX(0,DAY(EOMONTH(요약!$B$3,0))-N($X128)),0))</f>
        <v/>
      </c>
      <c r="AJ128" s="10">
        <f>IF(OR($B128="",TRIM($J128&amp;"")=""),"",IFERROR(MATCH(TRIM($J128&amp;"")&amp;"|월",파견수련계획!$Z$4:$Z$83,0),""))</f>
        <v/>
      </c>
      <c r="AK128" s="10">
        <f>IF(OR($B128="",TRIM($J128&amp;"")=""),"",IFERROR(MATCH(TRIM($J128&amp;"")&amp;"|다기관",파견수련계획!$AE$4:$AE$83,0),""))</f>
        <v/>
      </c>
      <c r="AL128" s="10">
        <f>IF($AK128="","","다기관 "&amp;TEXT(INDEX(파견수련계획!$AB$4:$AB$83,$AK128),"yyyy-mm-dd")&amp;"~"&amp;IF(ISNUMBER(INDEX(파견수련계획!$AC$4:$AC$83,$AK128)),TEXT(INDEX(파견수련계획!$AC$4:$AC$83,$AK128),"yyyy-mm-dd"),""))</f>
        <v/>
      </c>
    </row>
    <row r="129">
      <c r="A129" s="10">
        <f>IF(B129="","",ROW()-1)</f>
        <v/>
      </c>
      <c r="B129" s="18" t="n"/>
      <c r="C129" s="10">
        <f>IF($AB129="","",IF(INDEX(기본자료!$C$2:$C$1001,$AB129)="","",INDEX(기본자료!$C$2:$C$1001,$AB129)))</f>
        <v/>
      </c>
      <c r="D129" s="10">
        <f>IF($AB129="","",IF(INDEX(기본자료!$J$2:$J$1001,$AB129)="","",INDEX(기본자료!$J$2:$J$1001,$AB129)))</f>
        <v/>
      </c>
      <c r="E129" s="11">
        <f>IF($AB129="","",IF(INDEX(기본자료!$K$2:$K$1001,$AB129)="","",IF(NOT(ISNUMBER(INDEX(기본자료!$K$2:$K$1001,$AB129))),INDEX(기본자료!$K$2:$K$1001,$AB129),IF(INDEX(기본자료!$K$2:$K$1001,$AB129)&lt;1000000,INDEX(기본자료!$K$2:$K$1001,$AB129),IF(AND(INDEX(기본자료!$K$2:$K$1001,$AB129)&gt;=10000101,INT(MOD(INDEX(기본자료!$K$2:$K$1001,$AB129),10000)/100)&gt;=1,INT(MOD(INDEX(기본자료!$K$2:$K$1001,$AB129),10000)/100)&lt;=12,MOD(INDEX(기본자료!$K$2:$K$1001,$AB129),100)&gt;=1,MOD(INDEX(기본자료!$K$2:$K$1001,$AB129),100)&lt;=31),DATE(INT(INDEX(기본자료!$K$2:$K$1001,$AB129)/10000),INT(MOD(INDEX(기본자료!$K$2:$K$1001,$AB129),10000)/100),MOD(INDEX(기본자료!$K$2:$K$1001,$AB129),100)),INDEX(기본자료!$K$2:$K$1001,$AB129)&amp;"")))))</f>
        <v/>
      </c>
      <c r="F129" s="10">
        <f>IF($AB129="","",IF(INDEX(기본자료!$D$2:$D$1001,$AB129)="","",INDEX(기본자료!$D$2:$D$1001,$AB129)))</f>
        <v/>
      </c>
      <c r="G129" s="10">
        <f>IF($AB129="","",IF(INDEX(기본자료!$E$2:$E$1001,$AB129)="","",INDEX(기본자료!$E$2:$E$1001,$AB129)))</f>
        <v/>
      </c>
      <c r="H129" s="10">
        <f>IF($AB129="","",IF(INDEX(기본자료!$F$2:$F$1001,$AB129)="","",INDEX(기본자료!$F$2:$F$1001,$AB129)))</f>
        <v/>
      </c>
      <c r="I129" s="11">
        <f>IF($AB129="","",IF(INDEX(기본자료!$G$2:$G$1001,$AB129)="","",IF(NOT(ISNUMBER(INDEX(기본자료!$G$2:$G$1001,$AB129))),INDEX(기본자료!$G$2:$G$1001,$AB129),IF(INDEX(기본자료!$G$2:$G$1001,$AB129)&lt;1000000,INDEX(기본자료!$G$2:$G$1001,$AB129),IF(AND(INDEX(기본자료!$G$2:$G$1001,$AB129)&gt;=10000101,INT(MOD(INDEX(기본자료!$G$2:$G$1001,$AB129),10000)/100)&gt;=1,INT(MOD(INDEX(기본자료!$G$2:$G$1001,$AB129),10000)/100)&lt;=12,MOD(INDEX(기본자료!$G$2:$G$1001,$AB129),100)&gt;=1,MOD(INDEX(기본자료!$G$2:$G$1001,$AB129),100)&lt;=31),DATE(INT(INDEX(기본자료!$G$2:$G$1001,$AB129)/10000),INT(MOD(INDEX(기본자료!$G$2:$G$1001,$AB129),10000)/100),MOD(INDEX(기본자료!$G$2:$G$1001,$AB129),100)),INDEX(기본자료!$G$2:$G$1001,$AB129)&amp;"")))))</f>
        <v/>
      </c>
      <c r="J129" s="10">
        <f>IF($AB129="","",IF(INDEX(기본자료!$H$2:$H$1001,$AB129)="","",INDEX(기본자료!$H$2:$H$1001,$AB129)))</f>
        <v/>
      </c>
      <c r="K129" s="10">
        <f>IF($AB129="","",IF(INDEX(기본자료!$I$2:$I$1001,$AB129)="","",INDEX(기본자료!$I$2:$I$1001,$AB129)))</f>
        <v/>
      </c>
      <c r="L129" s="10">
        <f>IF($AB129="","",IF(INDEX(기본자료!$A$2:$A$1001,$AB129)="","",INDEX(기본자료!$A$2:$A$1001,$AB129)))</f>
        <v/>
      </c>
      <c r="M129" s="15" t="n"/>
      <c r="N129" s="10">
        <f>IF($B129="","",IF(AND($U129="파견중",$Q129&lt;&gt;""),$Q129,IF(AND($AD129&lt;&gt;"",LEFT($AD129,1)&lt;&gt;"⚠"),LEFT($AD129,FIND(" ",$AD129)-1),IF($H129="","",IF(RIGHT($H129,2)="병원",$H129,$H129&amp;"병원")))))</f>
        <v/>
      </c>
      <c r="O129" s="10">
        <f>IF($B129="","",IF(AND($U129="파견중",$Q129&lt;&gt;""),IF($R129&lt;&gt;"",$R129,"파견과 미입력"),IF(AND($AD129&lt;&gt;"",LEFT($AD129,1)&lt;&gt;"⚠"),MID($AD129,FIND(" ",$AD129)+1,60),IF($F129="","",IF($F129="인턴","수련교육부(인턴)",$F129)))))</f>
        <v/>
      </c>
      <c r="P129" s="10">
        <f>IF($B129="","",IF($AK129&lt;&gt;"",IF(AND(TODAY()&gt;=INDEX(파견수련계획!$AB$4:$AB$83,$AK129),OR(NOT(ISNUMBER(INDEX(파견수련계획!$AC$4:$AC$83,$AK129))),TODAY()&lt;=INDEX(파견수련계획!$AC$4:$AC$83,$AK129))),"다기관",IF($AF129="","",INDEX(파견수련계획!$T$4:$T$83,$AF129))),IF($AF129="","",INDEX(파견수련계획!$T$4:$T$83,$AF129))))</f>
        <v/>
      </c>
      <c r="Q129" s="10">
        <f>IF($AF129="","",INDEX(파견수련계획!$S$4:$S$83,$AF129))</f>
        <v/>
      </c>
      <c r="R129" s="10">
        <f>IF($AF129="","",INDEX(파견수련계획!$U$4:$U$83,$AF129))</f>
        <v/>
      </c>
      <c r="S129" s="11">
        <f>IF($AF129="","",IF(INDEX(파견수련계획!$H$4:$H$83,$AF129)="","",INDEX(파견수련계획!$H$4:$H$83,$AF129)))</f>
        <v/>
      </c>
      <c r="T129" s="11">
        <f>IF($AF129="","",IF(INDEX(파견수련계획!$I$4:$I$83,$AF129)="","",INDEX(파견수련계획!$I$4:$I$83,$AF129)))</f>
        <v/>
      </c>
      <c r="U129" s="10">
        <f>IF($AF129="","",INDEX(파견수련계획!$X$4:$X$83,$AF129))</f>
        <v/>
      </c>
      <c r="V129" s="17">
        <f>IF($AF129="","",INDEX(파견수련계획!$V$4:$V$83,$AF129))</f>
        <v/>
      </c>
      <c r="W129" s="17">
        <f>IF(AND($U129="파견중",$T129&lt;&gt;""),$T129-TODAY(),"")</f>
        <v/>
      </c>
      <c r="X129" s="17">
        <f>IF(OR($B129="",TRIM($J129&amp;"")=""),"",SUMPRODUCT((파견수련계획!$Q$4:$Q$83=TRIM($J129&amp;""))*파견수련계획!$W$4:$W$83))</f>
        <v/>
      </c>
      <c r="Y129" s="10">
        <f>IF($B129="","",IF($AG129="","",IF(IF(TRIM($J129&amp;"")="",0,SUMPRODUCT((파견수련계획!$Q$4:$Q$83=TRIM($J129&amp;""))*파견수련계획!$AD$4:$AD$83))&gt;0,$AE129,IF(N($X129)&lt;=0,$AG129,IF($AH129+$AI129=DAY(EOMONTH(요약!$B$3,0)),IF(AND($AH129&gt;=요약!$E$3,$AI129&lt;요약!$E$3),"서울병원",IF(AND($AI129&gt;=요약!$E$3,$AH129&lt;요약!$E$3),"구리병원","⚠15일 판정불가(서울 "&amp;$AH129&amp;"일/구리 "&amp;$AI129&amp;"일)")),IF($AJ129="",$AE129,IF(INDEX(파견수련계획!$T$4:$T$83,$AJ129)="통합수련",INDEX(파견수련계획!$S$4:$S$83,$AJ129),$AE129)))))))</f>
        <v/>
      </c>
      <c r="Z129" s="19">
        <f>IF($B129="","",IF($AB129="","기본자료에 없는 사번",IF(COUNTIF($B$2:$B$401,$B129)&gt;1,"중복 사번",IF($AE129="","소속(입사장소) 입력",IF(IF(TRIM($J129&amp;"")="",0,SUMPRODUCT((파견수련계획!$Q$4:$Q$83=TRIM($J129&amp;""))*(파견수련계획!$AA$4:$AA$83&lt;&gt;"")))&gt;0,"파견수련계획 입력오류 확인",IF(LEFT($Y129,1)="⚠","서울·구리 15일 판정 불가(양쪽 모두 이상/미만)",IF(IF($AC129="",0,N(INDEX(인턴근무계획!$T$3:$T$62,$AC129)))&gt;0,"인턴계획 입력오류 확인",IF(AND($AC129&lt;&gt;"",$U129&lt;&gt;"파견중",$N129&lt;&gt;$AE129),"인턴 타지역 근무: 파견 여부 확인","정상"))))))))</f>
        <v/>
      </c>
      <c r="AA129" s="5" t="n"/>
      <c r="AB129" s="10">
        <f>IF($B129="","",IFERROR(MATCH($B129,기본자료!$B$2:$B$1001,0),IFERROR(MATCH($B129&amp;"",기본자료!$B$2:$B$1001,0),IFERROR(MATCH(VALUE($B129),기본자료!$B$2:$B$1001,0),""))))</f>
        <v/>
      </c>
      <c r="AC129" s="10">
        <f>IF($B129="","",IFERROR(MATCH($B129,인턴근무계획!$D$3:$D$62,0),IFERROR(MATCH($B129&amp;"",인턴근무계획!$D$3:$D$62,0),IFERROR(MATCH(VALUE($B129),인턴근무계획!$D$3:$D$62,0),""))))</f>
        <v/>
      </c>
      <c r="AD129" s="10">
        <f>IF(OR($AC129="",인턴현황!$G$3=""),"",INDEX(인턴근무계획!$M$3:$R$62,$AC129,인턴현황!$G$3)&amp;"")</f>
        <v/>
      </c>
      <c r="AE129" s="10">
        <f>IF($B129="","",IF($M129&lt;&gt;"",$M129,IF($AF129&lt;&gt;"",IF(LEFT(INDEX(파견수련계획!$R$4:$R$83,$AF129),1)&lt;&gt;"⚠",INDEX(파견수련계획!$R$4:$R$83,$AF129),IF($H129="","",IF(RIGHT($H129,2)="병원",$H129,$H129&amp;"병원"))),IF($H129="","",IF(RIGHT($H129,2)="병원",$H129,$H129&amp;"병원")))))</f>
        <v/>
      </c>
      <c r="AF129" s="10">
        <f>IF(OR($B129="",TRIM($J129&amp;"")=""),"",IFERROR(MATCH(TRIM($J129&amp;"")&amp;"|파견중",파견수련계획!$Y$4:$Y$83,0),IFERROR(MATCH(TRIM($J129&amp;"")&amp;"|파견예정",파견수련계획!$Y$4:$Y$83,0),IFERROR(MATCH(TRIM($J129&amp;"")&amp;"|파견종료",파견수련계획!$Y$4:$Y$83,0),""))))</f>
        <v/>
      </c>
      <c r="AG129" s="10">
        <f>IF($B129="","",IF(AND(IF(OR($AC129="",인턴현황!$K$2=""),"",INDEX(인턴근무계획!$M$3:$R$62,$AC129,인턴현황!$K$2)&amp;"")&lt;&gt;"",LEFT(IF(OR($AC129="",인턴현황!$K$2=""),"",INDEX(인턴근무계획!$M$3:$R$62,$AC129,인턴현황!$K$2)&amp;""),1)&lt;&gt;"⚠"),LEFT(IF(OR($AC129="",인턴현황!$K$2=""),"",INDEX(인턴근무계획!$M$3:$R$62,$AC129,인턴현황!$K$2)&amp;""),FIND(" ",IF(OR($AC129="",인턴현황!$K$2=""),"",INDEX(인턴근무계획!$M$3:$R$62,$AC129,인턴현황!$K$2)&amp;""))-1),$AE129))</f>
        <v/>
      </c>
      <c r="AH129" s="17">
        <f>IF($B129="","",IF(TRIM($J129&amp;"")="",0,SUMPRODUCT((파견수련계획!$Q$4:$Q$83=TRIM($J129&amp;""))*(파견수련계획!$S$4:$S$83="서울병원")*파견수련계획!$W$4:$W$83))+IF($AG129="서울병원",MAX(0,DAY(EOMONTH(요약!$B$3,0))-N($X129)),0))</f>
        <v/>
      </c>
      <c r="AI129" s="17">
        <f>IF($B129="","",IF(TRIM($J129&amp;"")="",0,SUMPRODUCT((파견수련계획!$Q$4:$Q$83=TRIM($J129&amp;""))*(파견수련계획!$S$4:$S$83="구리병원")*파견수련계획!$W$4:$W$83))+IF($AG129="구리병원",MAX(0,DAY(EOMONTH(요약!$B$3,0))-N($X129)),0))</f>
        <v/>
      </c>
      <c r="AJ129" s="10">
        <f>IF(OR($B129="",TRIM($J129&amp;"")=""),"",IFERROR(MATCH(TRIM($J129&amp;"")&amp;"|월",파견수련계획!$Z$4:$Z$83,0),""))</f>
        <v/>
      </c>
      <c r="AK129" s="10">
        <f>IF(OR($B129="",TRIM($J129&amp;"")=""),"",IFERROR(MATCH(TRIM($J129&amp;"")&amp;"|다기관",파견수련계획!$AE$4:$AE$83,0),""))</f>
        <v/>
      </c>
      <c r="AL129" s="10">
        <f>IF($AK129="","","다기관 "&amp;TEXT(INDEX(파견수련계획!$AB$4:$AB$83,$AK129),"yyyy-mm-dd")&amp;"~"&amp;IF(ISNUMBER(INDEX(파견수련계획!$AC$4:$AC$83,$AK129)),TEXT(INDEX(파견수련계획!$AC$4:$AC$83,$AK129),"yyyy-mm-dd"),""))</f>
        <v/>
      </c>
    </row>
    <row r="130">
      <c r="A130" s="10">
        <f>IF(B130="","",ROW()-1)</f>
        <v/>
      </c>
      <c r="B130" s="18" t="n"/>
      <c r="C130" s="10">
        <f>IF($AB130="","",IF(INDEX(기본자료!$C$2:$C$1001,$AB130)="","",INDEX(기본자료!$C$2:$C$1001,$AB130)))</f>
        <v/>
      </c>
      <c r="D130" s="10">
        <f>IF($AB130="","",IF(INDEX(기본자료!$J$2:$J$1001,$AB130)="","",INDEX(기본자료!$J$2:$J$1001,$AB130)))</f>
        <v/>
      </c>
      <c r="E130" s="11">
        <f>IF($AB130="","",IF(INDEX(기본자료!$K$2:$K$1001,$AB130)="","",IF(NOT(ISNUMBER(INDEX(기본자료!$K$2:$K$1001,$AB130))),INDEX(기본자료!$K$2:$K$1001,$AB130),IF(INDEX(기본자료!$K$2:$K$1001,$AB130)&lt;1000000,INDEX(기본자료!$K$2:$K$1001,$AB130),IF(AND(INDEX(기본자료!$K$2:$K$1001,$AB130)&gt;=10000101,INT(MOD(INDEX(기본자료!$K$2:$K$1001,$AB130),10000)/100)&gt;=1,INT(MOD(INDEX(기본자료!$K$2:$K$1001,$AB130),10000)/100)&lt;=12,MOD(INDEX(기본자료!$K$2:$K$1001,$AB130),100)&gt;=1,MOD(INDEX(기본자료!$K$2:$K$1001,$AB130),100)&lt;=31),DATE(INT(INDEX(기본자료!$K$2:$K$1001,$AB130)/10000),INT(MOD(INDEX(기본자료!$K$2:$K$1001,$AB130),10000)/100),MOD(INDEX(기본자료!$K$2:$K$1001,$AB130),100)),INDEX(기본자료!$K$2:$K$1001,$AB130)&amp;"")))))</f>
        <v/>
      </c>
      <c r="F130" s="10">
        <f>IF($AB130="","",IF(INDEX(기본자료!$D$2:$D$1001,$AB130)="","",INDEX(기본자료!$D$2:$D$1001,$AB130)))</f>
        <v/>
      </c>
      <c r="G130" s="10">
        <f>IF($AB130="","",IF(INDEX(기본자료!$E$2:$E$1001,$AB130)="","",INDEX(기본자료!$E$2:$E$1001,$AB130)))</f>
        <v/>
      </c>
      <c r="H130" s="10">
        <f>IF($AB130="","",IF(INDEX(기본자료!$F$2:$F$1001,$AB130)="","",INDEX(기본자료!$F$2:$F$1001,$AB130)))</f>
        <v/>
      </c>
      <c r="I130" s="11">
        <f>IF($AB130="","",IF(INDEX(기본자료!$G$2:$G$1001,$AB130)="","",IF(NOT(ISNUMBER(INDEX(기본자료!$G$2:$G$1001,$AB130))),INDEX(기본자료!$G$2:$G$1001,$AB130),IF(INDEX(기본자료!$G$2:$G$1001,$AB130)&lt;1000000,INDEX(기본자료!$G$2:$G$1001,$AB130),IF(AND(INDEX(기본자료!$G$2:$G$1001,$AB130)&gt;=10000101,INT(MOD(INDEX(기본자료!$G$2:$G$1001,$AB130),10000)/100)&gt;=1,INT(MOD(INDEX(기본자료!$G$2:$G$1001,$AB130),10000)/100)&lt;=12,MOD(INDEX(기본자료!$G$2:$G$1001,$AB130),100)&gt;=1,MOD(INDEX(기본자료!$G$2:$G$1001,$AB130),100)&lt;=31),DATE(INT(INDEX(기본자료!$G$2:$G$1001,$AB130)/10000),INT(MOD(INDEX(기본자료!$G$2:$G$1001,$AB130),10000)/100),MOD(INDEX(기본자료!$G$2:$G$1001,$AB130),100)),INDEX(기본자료!$G$2:$G$1001,$AB130)&amp;"")))))</f>
        <v/>
      </c>
      <c r="J130" s="10">
        <f>IF($AB130="","",IF(INDEX(기본자료!$H$2:$H$1001,$AB130)="","",INDEX(기본자료!$H$2:$H$1001,$AB130)))</f>
        <v/>
      </c>
      <c r="K130" s="10">
        <f>IF($AB130="","",IF(INDEX(기본자료!$I$2:$I$1001,$AB130)="","",INDEX(기본자료!$I$2:$I$1001,$AB130)))</f>
        <v/>
      </c>
      <c r="L130" s="10">
        <f>IF($AB130="","",IF(INDEX(기본자료!$A$2:$A$1001,$AB130)="","",INDEX(기본자료!$A$2:$A$1001,$AB130)))</f>
        <v/>
      </c>
      <c r="M130" s="15" t="n"/>
      <c r="N130" s="10">
        <f>IF($B130="","",IF(AND($U130="파견중",$Q130&lt;&gt;""),$Q130,IF(AND($AD130&lt;&gt;"",LEFT($AD130,1)&lt;&gt;"⚠"),LEFT($AD130,FIND(" ",$AD130)-1),IF($H130="","",IF(RIGHT($H130,2)="병원",$H130,$H130&amp;"병원")))))</f>
        <v/>
      </c>
      <c r="O130" s="10">
        <f>IF($B130="","",IF(AND($U130="파견중",$Q130&lt;&gt;""),IF($R130&lt;&gt;"",$R130,"파견과 미입력"),IF(AND($AD130&lt;&gt;"",LEFT($AD130,1)&lt;&gt;"⚠"),MID($AD130,FIND(" ",$AD130)+1,60),IF($F130="","",IF($F130="인턴","수련교육부(인턴)",$F130)))))</f>
        <v/>
      </c>
      <c r="P130" s="10">
        <f>IF($B130="","",IF($AK130&lt;&gt;"",IF(AND(TODAY()&gt;=INDEX(파견수련계획!$AB$4:$AB$83,$AK130),OR(NOT(ISNUMBER(INDEX(파견수련계획!$AC$4:$AC$83,$AK130))),TODAY()&lt;=INDEX(파견수련계획!$AC$4:$AC$83,$AK130))),"다기관",IF($AF130="","",INDEX(파견수련계획!$T$4:$T$83,$AF130))),IF($AF130="","",INDEX(파견수련계획!$T$4:$T$83,$AF130))))</f>
        <v/>
      </c>
      <c r="Q130" s="10">
        <f>IF($AF130="","",INDEX(파견수련계획!$S$4:$S$83,$AF130))</f>
        <v/>
      </c>
      <c r="R130" s="10">
        <f>IF($AF130="","",INDEX(파견수련계획!$U$4:$U$83,$AF130))</f>
        <v/>
      </c>
      <c r="S130" s="11">
        <f>IF($AF130="","",IF(INDEX(파견수련계획!$H$4:$H$83,$AF130)="","",INDEX(파견수련계획!$H$4:$H$83,$AF130)))</f>
        <v/>
      </c>
      <c r="T130" s="11">
        <f>IF($AF130="","",IF(INDEX(파견수련계획!$I$4:$I$83,$AF130)="","",INDEX(파견수련계획!$I$4:$I$83,$AF130)))</f>
        <v/>
      </c>
      <c r="U130" s="10">
        <f>IF($AF130="","",INDEX(파견수련계획!$X$4:$X$83,$AF130))</f>
        <v/>
      </c>
      <c r="V130" s="17">
        <f>IF($AF130="","",INDEX(파견수련계획!$V$4:$V$83,$AF130))</f>
        <v/>
      </c>
      <c r="W130" s="17">
        <f>IF(AND($U130="파견중",$T130&lt;&gt;""),$T130-TODAY(),"")</f>
        <v/>
      </c>
      <c r="X130" s="17">
        <f>IF(OR($B130="",TRIM($J130&amp;"")=""),"",SUMPRODUCT((파견수련계획!$Q$4:$Q$83=TRIM($J130&amp;""))*파견수련계획!$W$4:$W$83))</f>
        <v/>
      </c>
      <c r="Y130" s="10">
        <f>IF($B130="","",IF($AG130="","",IF(IF(TRIM($J130&amp;"")="",0,SUMPRODUCT((파견수련계획!$Q$4:$Q$83=TRIM($J130&amp;""))*파견수련계획!$AD$4:$AD$83))&gt;0,$AE130,IF(N($X130)&lt;=0,$AG130,IF($AH130+$AI130=DAY(EOMONTH(요약!$B$3,0)),IF(AND($AH130&gt;=요약!$E$3,$AI130&lt;요약!$E$3),"서울병원",IF(AND($AI130&gt;=요약!$E$3,$AH130&lt;요약!$E$3),"구리병원","⚠15일 판정불가(서울 "&amp;$AH130&amp;"일/구리 "&amp;$AI130&amp;"일)")),IF($AJ130="",$AE130,IF(INDEX(파견수련계획!$T$4:$T$83,$AJ130)="통합수련",INDEX(파견수련계획!$S$4:$S$83,$AJ130),$AE130)))))))</f>
        <v/>
      </c>
      <c r="Z130" s="19">
        <f>IF($B130="","",IF($AB130="","기본자료에 없는 사번",IF(COUNTIF($B$2:$B$401,$B130)&gt;1,"중복 사번",IF($AE130="","소속(입사장소) 입력",IF(IF(TRIM($J130&amp;"")="",0,SUMPRODUCT((파견수련계획!$Q$4:$Q$83=TRIM($J130&amp;""))*(파견수련계획!$AA$4:$AA$83&lt;&gt;"")))&gt;0,"파견수련계획 입력오류 확인",IF(LEFT($Y130,1)="⚠","서울·구리 15일 판정 불가(양쪽 모두 이상/미만)",IF(IF($AC130="",0,N(INDEX(인턴근무계획!$T$3:$T$62,$AC130)))&gt;0,"인턴계획 입력오류 확인",IF(AND($AC130&lt;&gt;"",$U130&lt;&gt;"파견중",$N130&lt;&gt;$AE130),"인턴 타지역 근무: 파견 여부 확인","정상"))))))))</f>
        <v/>
      </c>
      <c r="AA130" s="5" t="n"/>
      <c r="AB130" s="10">
        <f>IF($B130="","",IFERROR(MATCH($B130,기본자료!$B$2:$B$1001,0),IFERROR(MATCH($B130&amp;"",기본자료!$B$2:$B$1001,0),IFERROR(MATCH(VALUE($B130),기본자료!$B$2:$B$1001,0),""))))</f>
        <v/>
      </c>
      <c r="AC130" s="10">
        <f>IF($B130="","",IFERROR(MATCH($B130,인턴근무계획!$D$3:$D$62,0),IFERROR(MATCH($B130&amp;"",인턴근무계획!$D$3:$D$62,0),IFERROR(MATCH(VALUE($B130),인턴근무계획!$D$3:$D$62,0),""))))</f>
        <v/>
      </c>
      <c r="AD130" s="10">
        <f>IF(OR($AC130="",인턴현황!$G$3=""),"",INDEX(인턴근무계획!$M$3:$R$62,$AC130,인턴현황!$G$3)&amp;"")</f>
        <v/>
      </c>
      <c r="AE130" s="10">
        <f>IF($B130="","",IF($M130&lt;&gt;"",$M130,IF($AF130&lt;&gt;"",IF(LEFT(INDEX(파견수련계획!$R$4:$R$83,$AF130),1)&lt;&gt;"⚠",INDEX(파견수련계획!$R$4:$R$83,$AF130),IF($H130="","",IF(RIGHT($H130,2)="병원",$H130,$H130&amp;"병원"))),IF($H130="","",IF(RIGHT($H130,2)="병원",$H130,$H130&amp;"병원")))))</f>
        <v/>
      </c>
      <c r="AF130" s="10">
        <f>IF(OR($B130="",TRIM($J130&amp;"")=""),"",IFERROR(MATCH(TRIM($J130&amp;"")&amp;"|파견중",파견수련계획!$Y$4:$Y$83,0),IFERROR(MATCH(TRIM($J130&amp;"")&amp;"|파견예정",파견수련계획!$Y$4:$Y$83,0),IFERROR(MATCH(TRIM($J130&amp;"")&amp;"|파견종료",파견수련계획!$Y$4:$Y$83,0),""))))</f>
        <v/>
      </c>
      <c r="AG130" s="10">
        <f>IF($B130="","",IF(AND(IF(OR($AC130="",인턴현황!$K$2=""),"",INDEX(인턴근무계획!$M$3:$R$62,$AC130,인턴현황!$K$2)&amp;"")&lt;&gt;"",LEFT(IF(OR($AC130="",인턴현황!$K$2=""),"",INDEX(인턴근무계획!$M$3:$R$62,$AC130,인턴현황!$K$2)&amp;""),1)&lt;&gt;"⚠"),LEFT(IF(OR($AC130="",인턴현황!$K$2=""),"",INDEX(인턴근무계획!$M$3:$R$62,$AC130,인턴현황!$K$2)&amp;""),FIND(" ",IF(OR($AC130="",인턴현황!$K$2=""),"",INDEX(인턴근무계획!$M$3:$R$62,$AC130,인턴현황!$K$2)&amp;""))-1),$AE130))</f>
        <v/>
      </c>
      <c r="AH130" s="17">
        <f>IF($B130="","",IF(TRIM($J130&amp;"")="",0,SUMPRODUCT((파견수련계획!$Q$4:$Q$83=TRIM($J130&amp;""))*(파견수련계획!$S$4:$S$83="서울병원")*파견수련계획!$W$4:$W$83))+IF($AG130="서울병원",MAX(0,DAY(EOMONTH(요약!$B$3,0))-N($X130)),0))</f>
        <v/>
      </c>
      <c r="AI130" s="17">
        <f>IF($B130="","",IF(TRIM($J130&amp;"")="",0,SUMPRODUCT((파견수련계획!$Q$4:$Q$83=TRIM($J130&amp;""))*(파견수련계획!$S$4:$S$83="구리병원")*파견수련계획!$W$4:$W$83))+IF($AG130="구리병원",MAX(0,DAY(EOMONTH(요약!$B$3,0))-N($X130)),0))</f>
        <v/>
      </c>
      <c r="AJ130" s="10">
        <f>IF(OR($B130="",TRIM($J130&amp;"")=""),"",IFERROR(MATCH(TRIM($J130&amp;"")&amp;"|월",파견수련계획!$Z$4:$Z$83,0),""))</f>
        <v/>
      </c>
      <c r="AK130" s="10">
        <f>IF(OR($B130="",TRIM($J130&amp;"")=""),"",IFERROR(MATCH(TRIM($J130&amp;"")&amp;"|다기관",파견수련계획!$AE$4:$AE$83,0),""))</f>
        <v/>
      </c>
      <c r="AL130" s="10">
        <f>IF($AK130="","","다기관 "&amp;TEXT(INDEX(파견수련계획!$AB$4:$AB$83,$AK130),"yyyy-mm-dd")&amp;"~"&amp;IF(ISNUMBER(INDEX(파견수련계획!$AC$4:$AC$83,$AK130)),TEXT(INDEX(파견수련계획!$AC$4:$AC$83,$AK130),"yyyy-mm-dd"),""))</f>
        <v/>
      </c>
    </row>
    <row r="131">
      <c r="A131" s="10">
        <f>IF(B131="","",ROW()-1)</f>
        <v/>
      </c>
      <c r="B131" s="18" t="n"/>
      <c r="C131" s="10">
        <f>IF($AB131="","",IF(INDEX(기본자료!$C$2:$C$1001,$AB131)="","",INDEX(기본자료!$C$2:$C$1001,$AB131)))</f>
        <v/>
      </c>
      <c r="D131" s="10">
        <f>IF($AB131="","",IF(INDEX(기본자료!$J$2:$J$1001,$AB131)="","",INDEX(기본자료!$J$2:$J$1001,$AB131)))</f>
        <v/>
      </c>
      <c r="E131" s="11">
        <f>IF($AB131="","",IF(INDEX(기본자료!$K$2:$K$1001,$AB131)="","",IF(NOT(ISNUMBER(INDEX(기본자료!$K$2:$K$1001,$AB131))),INDEX(기본자료!$K$2:$K$1001,$AB131),IF(INDEX(기본자료!$K$2:$K$1001,$AB131)&lt;1000000,INDEX(기본자료!$K$2:$K$1001,$AB131),IF(AND(INDEX(기본자료!$K$2:$K$1001,$AB131)&gt;=10000101,INT(MOD(INDEX(기본자료!$K$2:$K$1001,$AB131),10000)/100)&gt;=1,INT(MOD(INDEX(기본자료!$K$2:$K$1001,$AB131),10000)/100)&lt;=12,MOD(INDEX(기본자료!$K$2:$K$1001,$AB131),100)&gt;=1,MOD(INDEX(기본자료!$K$2:$K$1001,$AB131),100)&lt;=31),DATE(INT(INDEX(기본자료!$K$2:$K$1001,$AB131)/10000),INT(MOD(INDEX(기본자료!$K$2:$K$1001,$AB131),10000)/100),MOD(INDEX(기본자료!$K$2:$K$1001,$AB131),100)),INDEX(기본자료!$K$2:$K$1001,$AB131)&amp;"")))))</f>
        <v/>
      </c>
      <c r="F131" s="10">
        <f>IF($AB131="","",IF(INDEX(기본자료!$D$2:$D$1001,$AB131)="","",INDEX(기본자료!$D$2:$D$1001,$AB131)))</f>
        <v/>
      </c>
      <c r="G131" s="10">
        <f>IF($AB131="","",IF(INDEX(기본자료!$E$2:$E$1001,$AB131)="","",INDEX(기본자료!$E$2:$E$1001,$AB131)))</f>
        <v/>
      </c>
      <c r="H131" s="10">
        <f>IF($AB131="","",IF(INDEX(기본자료!$F$2:$F$1001,$AB131)="","",INDEX(기본자료!$F$2:$F$1001,$AB131)))</f>
        <v/>
      </c>
      <c r="I131" s="11">
        <f>IF($AB131="","",IF(INDEX(기본자료!$G$2:$G$1001,$AB131)="","",IF(NOT(ISNUMBER(INDEX(기본자료!$G$2:$G$1001,$AB131))),INDEX(기본자료!$G$2:$G$1001,$AB131),IF(INDEX(기본자료!$G$2:$G$1001,$AB131)&lt;1000000,INDEX(기본자료!$G$2:$G$1001,$AB131),IF(AND(INDEX(기본자료!$G$2:$G$1001,$AB131)&gt;=10000101,INT(MOD(INDEX(기본자료!$G$2:$G$1001,$AB131),10000)/100)&gt;=1,INT(MOD(INDEX(기본자료!$G$2:$G$1001,$AB131),10000)/100)&lt;=12,MOD(INDEX(기본자료!$G$2:$G$1001,$AB131),100)&gt;=1,MOD(INDEX(기본자료!$G$2:$G$1001,$AB131),100)&lt;=31),DATE(INT(INDEX(기본자료!$G$2:$G$1001,$AB131)/10000),INT(MOD(INDEX(기본자료!$G$2:$G$1001,$AB131),10000)/100),MOD(INDEX(기본자료!$G$2:$G$1001,$AB131),100)),INDEX(기본자료!$G$2:$G$1001,$AB131)&amp;"")))))</f>
        <v/>
      </c>
      <c r="J131" s="10">
        <f>IF($AB131="","",IF(INDEX(기본자료!$H$2:$H$1001,$AB131)="","",INDEX(기본자료!$H$2:$H$1001,$AB131)))</f>
        <v/>
      </c>
      <c r="K131" s="10">
        <f>IF($AB131="","",IF(INDEX(기본자료!$I$2:$I$1001,$AB131)="","",INDEX(기본자료!$I$2:$I$1001,$AB131)))</f>
        <v/>
      </c>
      <c r="L131" s="10">
        <f>IF($AB131="","",IF(INDEX(기본자료!$A$2:$A$1001,$AB131)="","",INDEX(기본자료!$A$2:$A$1001,$AB131)))</f>
        <v/>
      </c>
      <c r="M131" s="15" t="n"/>
      <c r="N131" s="10">
        <f>IF($B131="","",IF(AND($U131="파견중",$Q131&lt;&gt;""),$Q131,IF(AND($AD131&lt;&gt;"",LEFT($AD131,1)&lt;&gt;"⚠"),LEFT($AD131,FIND(" ",$AD131)-1),IF($H131="","",IF(RIGHT($H131,2)="병원",$H131,$H131&amp;"병원")))))</f>
        <v/>
      </c>
      <c r="O131" s="10">
        <f>IF($B131="","",IF(AND($U131="파견중",$Q131&lt;&gt;""),IF($R131&lt;&gt;"",$R131,"파견과 미입력"),IF(AND($AD131&lt;&gt;"",LEFT($AD131,1)&lt;&gt;"⚠"),MID($AD131,FIND(" ",$AD131)+1,60),IF($F131="","",IF($F131="인턴","수련교육부(인턴)",$F131)))))</f>
        <v/>
      </c>
      <c r="P131" s="10">
        <f>IF($B131="","",IF($AK131&lt;&gt;"",IF(AND(TODAY()&gt;=INDEX(파견수련계획!$AB$4:$AB$83,$AK131),OR(NOT(ISNUMBER(INDEX(파견수련계획!$AC$4:$AC$83,$AK131))),TODAY()&lt;=INDEX(파견수련계획!$AC$4:$AC$83,$AK131))),"다기관",IF($AF131="","",INDEX(파견수련계획!$T$4:$T$83,$AF131))),IF($AF131="","",INDEX(파견수련계획!$T$4:$T$83,$AF131))))</f>
        <v/>
      </c>
      <c r="Q131" s="10">
        <f>IF($AF131="","",INDEX(파견수련계획!$S$4:$S$83,$AF131))</f>
        <v/>
      </c>
      <c r="R131" s="10">
        <f>IF($AF131="","",INDEX(파견수련계획!$U$4:$U$83,$AF131))</f>
        <v/>
      </c>
      <c r="S131" s="11">
        <f>IF($AF131="","",IF(INDEX(파견수련계획!$H$4:$H$83,$AF131)="","",INDEX(파견수련계획!$H$4:$H$83,$AF131)))</f>
        <v/>
      </c>
      <c r="T131" s="11">
        <f>IF($AF131="","",IF(INDEX(파견수련계획!$I$4:$I$83,$AF131)="","",INDEX(파견수련계획!$I$4:$I$83,$AF131)))</f>
        <v/>
      </c>
      <c r="U131" s="10">
        <f>IF($AF131="","",INDEX(파견수련계획!$X$4:$X$83,$AF131))</f>
        <v/>
      </c>
      <c r="V131" s="17">
        <f>IF($AF131="","",INDEX(파견수련계획!$V$4:$V$83,$AF131))</f>
        <v/>
      </c>
      <c r="W131" s="17">
        <f>IF(AND($U131="파견중",$T131&lt;&gt;""),$T131-TODAY(),"")</f>
        <v/>
      </c>
      <c r="X131" s="17">
        <f>IF(OR($B131="",TRIM($J131&amp;"")=""),"",SUMPRODUCT((파견수련계획!$Q$4:$Q$83=TRIM($J131&amp;""))*파견수련계획!$W$4:$W$83))</f>
        <v/>
      </c>
      <c r="Y131" s="10">
        <f>IF($B131="","",IF($AG131="","",IF(IF(TRIM($J131&amp;"")="",0,SUMPRODUCT((파견수련계획!$Q$4:$Q$83=TRIM($J131&amp;""))*파견수련계획!$AD$4:$AD$83))&gt;0,$AE131,IF(N($X131)&lt;=0,$AG131,IF($AH131+$AI131=DAY(EOMONTH(요약!$B$3,0)),IF(AND($AH131&gt;=요약!$E$3,$AI131&lt;요약!$E$3),"서울병원",IF(AND($AI131&gt;=요약!$E$3,$AH131&lt;요약!$E$3),"구리병원","⚠15일 판정불가(서울 "&amp;$AH131&amp;"일/구리 "&amp;$AI131&amp;"일)")),IF($AJ131="",$AE131,IF(INDEX(파견수련계획!$T$4:$T$83,$AJ131)="통합수련",INDEX(파견수련계획!$S$4:$S$83,$AJ131),$AE131)))))))</f>
        <v/>
      </c>
      <c r="Z131" s="19">
        <f>IF($B131="","",IF($AB131="","기본자료에 없는 사번",IF(COUNTIF($B$2:$B$401,$B131)&gt;1,"중복 사번",IF($AE131="","소속(입사장소) 입력",IF(IF(TRIM($J131&amp;"")="",0,SUMPRODUCT((파견수련계획!$Q$4:$Q$83=TRIM($J131&amp;""))*(파견수련계획!$AA$4:$AA$83&lt;&gt;"")))&gt;0,"파견수련계획 입력오류 확인",IF(LEFT($Y131,1)="⚠","서울·구리 15일 판정 불가(양쪽 모두 이상/미만)",IF(IF($AC131="",0,N(INDEX(인턴근무계획!$T$3:$T$62,$AC131)))&gt;0,"인턴계획 입력오류 확인",IF(AND($AC131&lt;&gt;"",$U131&lt;&gt;"파견중",$N131&lt;&gt;$AE131),"인턴 타지역 근무: 파견 여부 확인","정상"))))))))</f>
        <v/>
      </c>
      <c r="AA131" s="5" t="n"/>
      <c r="AB131" s="10">
        <f>IF($B131="","",IFERROR(MATCH($B131,기본자료!$B$2:$B$1001,0),IFERROR(MATCH($B131&amp;"",기본자료!$B$2:$B$1001,0),IFERROR(MATCH(VALUE($B131),기본자료!$B$2:$B$1001,0),""))))</f>
        <v/>
      </c>
      <c r="AC131" s="10">
        <f>IF($B131="","",IFERROR(MATCH($B131,인턴근무계획!$D$3:$D$62,0),IFERROR(MATCH($B131&amp;"",인턴근무계획!$D$3:$D$62,0),IFERROR(MATCH(VALUE($B131),인턴근무계획!$D$3:$D$62,0),""))))</f>
        <v/>
      </c>
      <c r="AD131" s="10">
        <f>IF(OR($AC131="",인턴현황!$G$3=""),"",INDEX(인턴근무계획!$M$3:$R$62,$AC131,인턴현황!$G$3)&amp;"")</f>
        <v/>
      </c>
      <c r="AE131" s="10">
        <f>IF($B131="","",IF($M131&lt;&gt;"",$M131,IF($AF131&lt;&gt;"",IF(LEFT(INDEX(파견수련계획!$R$4:$R$83,$AF131),1)&lt;&gt;"⚠",INDEX(파견수련계획!$R$4:$R$83,$AF131),IF($H131="","",IF(RIGHT($H131,2)="병원",$H131,$H131&amp;"병원"))),IF($H131="","",IF(RIGHT($H131,2)="병원",$H131,$H131&amp;"병원")))))</f>
        <v/>
      </c>
      <c r="AF131" s="10">
        <f>IF(OR($B131="",TRIM($J131&amp;"")=""),"",IFERROR(MATCH(TRIM($J131&amp;"")&amp;"|파견중",파견수련계획!$Y$4:$Y$83,0),IFERROR(MATCH(TRIM($J131&amp;"")&amp;"|파견예정",파견수련계획!$Y$4:$Y$83,0),IFERROR(MATCH(TRIM($J131&amp;"")&amp;"|파견종료",파견수련계획!$Y$4:$Y$83,0),""))))</f>
        <v/>
      </c>
      <c r="AG131" s="10">
        <f>IF($B131="","",IF(AND(IF(OR($AC131="",인턴현황!$K$2=""),"",INDEX(인턴근무계획!$M$3:$R$62,$AC131,인턴현황!$K$2)&amp;"")&lt;&gt;"",LEFT(IF(OR($AC131="",인턴현황!$K$2=""),"",INDEX(인턴근무계획!$M$3:$R$62,$AC131,인턴현황!$K$2)&amp;""),1)&lt;&gt;"⚠"),LEFT(IF(OR($AC131="",인턴현황!$K$2=""),"",INDEX(인턴근무계획!$M$3:$R$62,$AC131,인턴현황!$K$2)&amp;""),FIND(" ",IF(OR($AC131="",인턴현황!$K$2=""),"",INDEX(인턴근무계획!$M$3:$R$62,$AC131,인턴현황!$K$2)&amp;""))-1),$AE131))</f>
        <v/>
      </c>
      <c r="AH131" s="17">
        <f>IF($B131="","",IF(TRIM($J131&amp;"")="",0,SUMPRODUCT((파견수련계획!$Q$4:$Q$83=TRIM($J131&amp;""))*(파견수련계획!$S$4:$S$83="서울병원")*파견수련계획!$W$4:$W$83))+IF($AG131="서울병원",MAX(0,DAY(EOMONTH(요약!$B$3,0))-N($X131)),0))</f>
        <v/>
      </c>
      <c r="AI131" s="17">
        <f>IF($B131="","",IF(TRIM($J131&amp;"")="",0,SUMPRODUCT((파견수련계획!$Q$4:$Q$83=TRIM($J131&amp;""))*(파견수련계획!$S$4:$S$83="구리병원")*파견수련계획!$W$4:$W$83))+IF($AG131="구리병원",MAX(0,DAY(EOMONTH(요약!$B$3,0))-N($X131)),0))</f>
        <v/>
      </c>
      <c r="AJ131" s="10">
        <f>IF(OR($B131="",TRIM($J131&amp;"")=""),"",IFERROR(MATCH(TRIM($J131&amp;"")&amp;"|월",파견수련계획!$Z$4:$Z$83,0),""))</f>
        <v/>
      </c>
      <c r="AK131" s="10">
        <f>IF(OR($B131="",TRIM($J131&amp;"")=""),"",IFERROR(MATCH(TRIM($J131&amp;"")&amp;"|다기관",파견수련계획!$AE$4:$AE$83,0),""))</f>
        <v/>
      </c>
      <c r="AL131" s="10">
        <f>IF($AK131="","","다기관 "&amp;TEXT(INDEX(파견수련계획!$AB$4:$AB$83,$AK131),"yyyy-mm-dd")&amp;"~"&amp;IF(ISNUMBER(INDEX(파견수련계획!$AC$4:$AC$83,$AK131)),TEXT(INDEX(파견수련계획!$AC$4:$AC$83,$AK131),"yyyy-mm-dd"),""))</f>
        <v/>
      </c>
    </row>
    <row r="132">
      <c r="A132" s="10">
        <f>IF(B132="","",ROW()-1)</f>
        <v/>
      </c>
      <c r="B132" s="18" t="n"/>
      <c r="C132" s="10">
        <f>IF($AB132="","",IF(INDEX(기본자료!$C$2:$C$1001,$AB132)="","",INDEX(기본자료!$C$2:$C$1001,$AB132)))</f>
        <v/>
      </c>
      <c r="D132" s="10">
        <f>IF($AB132="","",IF(INDEX(기본자료!$J$2:$J$1001,$AB132)="","",INDEX(기본자료!$J$2:$J$1001,$AB132)))</f>
        <v/>
      </c>
      <c r="E132" s="11">
        <f>IF($AB132="","",IF(INDEX(기본자료!$K$2:$K$1001,$AB132)="","",IF(NOT(ISNUMBER(INDEX(기본자료!$K$2:$K$1001,$AB132))),INDEX(기본자료!$K$2:$K$1001,$AB132),IF(INDEX(기본자료!$K$2:$K$1001,$AB132)&lt;1000000,INDEX(기본자료!$K$2:$K$1001,$AB132),IF(AND(INDEX(기본자료!$K$2:$K$1001,$AB132)&gt;=10000101,INT(MOD(INDEX(기본자료!$K$2:$K$1001,$AB132),10000)/100)&gt;=1,INT(MOD(INDEX(기본자료!$K$2:$K$1001,$AB132),10000)/100)&lt;=12,MOD(INDEX(기본자료!$K$2:$K$1001,$AB132),100)&gt;=1,MOD(INDEX(기본자료!$K$2:$K$1001,$AB132),100)&lt;=31),DATE(INT(INDEX(기본자료!$K$2:$K$1001,$AB132)/10000),INT(MOD(INDEX(기본자료!$K$2:$K$1001,$AB132),10000)/100),MOD(INDEX(기본자료!$K$2:$K$1001,$AB132),100)),INDEX(기본자료!$K$2:$K$1001,$AB132)&amp;"")))))</f>
        <v/>
      </c>
      <c r="F132" s="10">
        <f>IF($AB132="","",IF(INDEX(기본자료!$D$2:$D$1001,$AB132)="","",INDEX(기본자료!$D$2:$D$1001,$AB132)))</f>
        <v/>
      </c>
      <c r="G132" s="10">
        <f>IF($AB132="","",IF(INDEX(기본자료!$E$2:$E$1001,$AB132)="","",INDEX(기본자료!$E$2:$E$1001,$AB132)))</f>
        <v/>
      </c>
      <c r="H132" s="10">
        <f>IF($AB132="","",IF(INDEX(기본자료!$F$2:$F$1001,$AB132)="","",INDEX(기본자료!$F$2:$F$1001,$AB132)))</f>
        <v/>
      </c>
      <c r="I132" s="11">
        <f>IF($AB132="","",IF(INDEX(기본자료!$G$2:$G$1001,$AB132)="","",IF(NOT(ISNUMBER(INDEX(기본자료!$G$2:$G$1001,$AB132))),INDEX(기본자료!$G$2:$G$1001,$AB132),IF(INDEX(기본자료!$G$2:$G$1001,$AB132)&lt;1000000,INDEX(기본자료!$G$2:$G$1001,$AB132),IF(AND(INDEX(기본자료!$G$2:$G$1001,$AB132)&gt;=10000101,INT(MOD(INDEX(기본자료!$G$2:$G$1001,$AB132),10000)/100)&gt;=1,INT(MOD(INDEX(기본자료!$G$2:$G$1001,$AB132),10000)/100)&lt;=12,MOD(INDEX(기본자료!$G$2:$G$1001,$AB132),100)&gt;=1,MOD(INDEX(기본자료!$G$2:$G$1001,$AB132),100)&lt;=31),DATE(INT(INDEX(기본자료!$G$2:$G$1001,$AB132)/10000),INT(MOD(INDEX(기본자료!$G$2:$G$1001,$AB132),10000)/100),MOD(INDEX(기본자료!$G$2:$G$1001,$AB132),100)),INDEX(기본자료!$G$2:$G$1001,$AB132)&amp;"")))))</f>
        <v/>
      </c>
      <c r="J132" s="10">
        <f>IF($AB132="","",IF(INDEX(기본자료!$H$2:$H$1001,$AB132)="","",INDEX(기본자료!$H$2:$H$1001,$AB132)))</f>
        <v/>
      </c>
      <c r="K132" s="10">
        <f>IF($AB132="","",IF(INDEX(기본자료!$I$2:$I$1001,$AB132)="","",INDEX(기본자료!$I$2:$I$1001,$AB132)))</f>
        <v/>
      </c>
      <c r="L132" s="10">
        <f>IF($AB132="","",IF(INDEX(기본자료!$A$2:$A$1001,$AB132)="","",INDEX(기본자료!$A$2:$A$1001,$AB132)))</f>
        <v/>
      </c>
      <c r="M132" s="15" t="n"/>
      <c r="N132" s="10">
        <f>IF($B132="","",IF(AND($U132="파견중",$Q132&lt;&gt;""),$Q132,IF(AND($AD132&lt;&gt;"",LEFT($AD132,1)&lt;&gt;"⚠"),LEFT($AD132,FIND(" ",$AD132)-1),IF($H132="","",IF(RIGHT($H132,2)="병원",$H132,$H132&amp;"병원")))))</f>
        <v/>
      </c>
      <c r="O132" s="10">
        <f>IF($B132="","",IF(AND($U132="파견중",$Q132&lt;&gt;""),IF($R132&lt;&gt;"",$R132,"파견과 미입력"),IF(AND($AD132&lt;&gt;"",LEFT($AD132,1)&lt;&gt;"⚠"),MID($AD132,FIND(" ",$AD132)+1,60),IF($F132="","",IF($F132="인턴","수련교육부(인턴)",$F132)))))</f>
        <v/>
      </c>
      <c r="P132" s="10">
        <f>IF($B132="","",IF($AK132&lt;&gt;"",IF(AND(TODAY()&gt;=INDEX(파견수련계획!$AB$4:$AB$83,$AK132),OR(NOT(ISNUMBER(INDEX(파견수련계획!$AC$4:$AC$83,$AK132))),TODAY()&lt;=INDEX(파견수련계획!$AC$4:$AC$83,$AK132))),"다기관",IF($AF132="","",INDEX(파견수련계획!$T$4:$T$83,$AF132))),IF($AF132="","",INDEX(파견수련계획!$T$4:$T$83,$AF132))))</f>
        <v/>
      </c>
      <c r="Q132" s="10">
        <f>IF($AF132="","",INDEX(파견수련계획!$S$4:$S$83,$AF132))</f>
        <v/>
      </c>
      <c r="R132" s="10">
        <f>IF($AF132="","",INDEX(파견수련계획!$U$4:$U$83,$AF132))</f>
        <v/>
      </c>
      <c r="S132" s="11">
        <f>IF($AF132="","",IF(INDEX(파견수련계획!$H$4:$H$83,$AF132)="","",INDEX(파견수련계획!$H$4:$H$83,$AF132)))</f>
        <v/>
      </c>
      <c r="T132" s="11">
        <f>IF($AF132="","",IF(INDEX(파견수련계획!$I$4:$I$83,$AF132)="","",INDEX(파견수련계획!$I$4:$I$83,$AF132)))</f>
        <v/>
      </c>
      <c r="U132" s="10">
        <f>IF($AF132="","",INDEX(파견수련계획!$X$4:$X$83,$AF132))</f>
        <v/>
      </c>
      <c r="V132" s="17">
        <f>IF($AF132="","",INDEX(파견수련계획!$V$4:$V$83,$AF132))</f>
        <v/>
      </c>
      <c r="W132" s="17">
        <f>IF(AND($U132="파견중",$T132&lt;&gt;""),$T132-TODAY(),"")</f>
        <v/>
      </c>
      <c r="X132" s="17">
        <f>IF(OR($B132="",TRIM($J132&amp;"")=""),"",SUMPRODUCT((파견수련계획!$Q$4:$Q$83=TRIM($J132&amp;""))*파견수련계획!$W$4:$W$83))</f>
        <v/>
      </c>
      <c r="Y132" s="10">
        <f>IF($B132="","",IF($AG132="","",IF(IF(TRIM($J132&amp;"")="",0,SUMPRODUCT((파견수련계획!$Q$4:$Q$83=TRIM($J132&amp;""))*파견수련계획!$AD$4:$AD$83))&gt;0,$AE132,IF(N($X132)&lt;=0,$AG132,IF($AH132+$AI132=DAY(EOMONTH(요약!$B$3,0)),IF(AND($AH132&gt;=요약!$E$3,$AI132&lt;요약!$E$3),"서울병원",IF(AND($AI132&gt;=요약!$E$3,$AH132&lt;요약!$E$3),"구리병원","⚠15일 판정불가(서울 "&amp;$AH132&amp;"일/구리 "&amp;$AI132&amp;"일)")),IF($AJ132="",$AE132,IF(INDEX(파견수련계획!$T$4:$T$83,$AJ132)="통합수련",INDEX(파견수련계획!$S$4:$S$83,$AJ132),$AE132)))))))</f>
        <v/>
      </c>
      <c r="Z132" s="19">
        <f>IF($B132="","",IF($AB132="","기본자료에 없는 사번",IF(COUNTIF($B$2:$B$401,$B132)&gt;1,"중복 사번",IF($AE132="","소속(입사장소) 입력",IF(IF(TRIM($J132&amp;"")="",0,SUMPRODUCT((파견수련계획!$Q$4:$Q$83=TRIM($J132&amp;""))*(파견수련계획!$AA$4:$AA$83&lt;&gt;"")))&gt;0,"파견수련계획 입력오류 확인",IF(LEFT($Y132,1)="⚠","서울·구리 15일 판정 불가(양쪽 모두 이상/미만)",IF(IF($AC132="",0,N(INDEX(인턴근무계획!$T$3:$T$62,$AC132)))&gt;0,"인턴계획 입력오류 확인",IF(AND($AC132&lt;&gt;"",$U132&lt;&gt;"파견중",$N132&lt;&gt;$AE132),"인턴 타지역 근무: 파견 여부 확인","정상"))))))))</f>
        <v/>
      </c>
      <c r="AA132" s="5" t="n"/>
      <c r="AB132" s="10">
        <f>IF($B132="","",IFERROR(MATCH($B132,기본자료!$B$2:$B$1001,0),IFERROR(MATCH($B132&amp;"",기본자료!$B$2:$B$1001,0),IFERROR(MATCH(VALUE($B132),기본자료!$B$2:$B$1001,0),""))))</f>
        <v/>
      </c>
      <c r="AC132" s="10">
        <f>IF($B132="","",IFERROR(MATCH($B132,인턴근무계획!$D$3:$D$62,0),IFERROR(MATCH($B132&amp;"",인턴근무계획!$D$3:$D$62,0),IFERROR(MATCH(VALUE($B132),인턴근무계획!$D$3:$D$62,0),""))))</f>
        <v/>
      </c>
      <c r="AD132" s="10">
        <f>IF(OR($AC132="",인턴현황!$G$3=""),"",INDEX(인턴근무계획!$M$3:$R$62,$AC132,인턴현황!$G$3)&amp;"")</f>
        <v/>
      </c>
      <c r="AE132" s="10">
        <f>IF($B132="","",IF($M132&lt;&gt;"",$M132,IF($AF132&lt;&gt;"",IF(LEFT(INDEX(파견수련계획!$R$4:$R$83,$AF132),1)&lt;&gt;"⚠",INDEX(파견수련계획!$R$4:$R$83,$AF132),IF($H132="","",IF(RIGHT($H132,2)="병원",$H132,$H132&amp;"병원"))),IF($H132="","",IF(RIGHT($H132,2)="병원",$H132,$H132&amp;"병원")))))</f>
        <v/>
      </c>
      <c r="AF132" s="10">
        <f>IF(OR($B132="",TRIM($J132&amp;"")=""),"",IFERROR(MATCH(TRIM($J132&amp;"")&amp;"|파견중",파견수련계획!$Y$4:$Y$83,0),IFERROR(MATCH(TRIM($J132&amp;"")&amp;"|파견예정",파견수련계획!$Y$4:$Y$83,0),IFERROR(MATCH(TRIM($J132&amp;"")&amp;"|파견종료",파견수련계획!$Y$4:$Y$83,0),""))))</f>
        <v/>
      </c>
      <c r="AG132" s="10">
        <f>IF($B132="","",IF(AND(IF(OR($AC132="",인턴현황!$K$2=""),"",INDEX(인턴근무계획!$M$3:$R$62,$AC132,인턴현황!$K$2)&amp;"")&lt;&gt;"",LEFT(IF(OR($AC132="",인턴현황!$K$2=""),"",INDEX(인턴근무계획!$M$3:$R$62,$AC132,인턴현황!$K$2)&amp;""),1)&lt;&gt;"⚠"),LEFT(IF(OR($AC132="",인턴현황!$K$2=""),"",INDEX(인턴근무계획!$M$3:$R$62,$AC132,인턴현황!$K$2)&amp;""),FIND(" ",IF(OR($AC132="",인턴현황!$K$2=""),"",INDEX(인턴근무계획!$M$3:$R$62,$AC132,인턴현황!$K$2)&amp;""))-1),$AE132))</f>
        <v/>
      </c>
      <c r="AH132" s="17">
        <f>IF($B132="","",IF(TRIM($J132&amp;"")="",0,SUMPRODUCT((파견수련계획!$Q$4:$Q$83=TRIM($J132&amp;""))*(파견수련계획!$S$4:$S$83="서울병원")*파견수련계획!$W$4:$W$83))+IF($AG132="서울병원",MAX(0,DAY(EOMONTH(요약!$B$3,0))-N($X132)),0))</f>
        <v/>
      </c>
      <c r="AI132" s="17">
        <f>IF($B132="","",IF(TRIM($J132&amp;"")="",0,SUMPRODUCT((파견수련계획!$Q$4:$Q$83=TRIM($J132&amp;""))*(파견수련계획!$S$4:$S$83="구리병원")*파견수련계획!$W$4:$W$83))+IF($AG132="구리병원",MAX(0,DAY(EOMONTH(요약!$B$3,0))-N($X132)),0))</f>
        <v/>
      </c>
      <c r="AJ132" s="10">
        <f>IF(OR($B132="",TRIM($J132&amp;"")=""),"",IFERROR(MATCH(TRIM($J132&amp;"")&amp;"|월",파견수련계획!$Z$4:$Z$83,0),""))</f>
        <v/>
      </c>
      <c r="AK132" s="10">
        <f>IF(OR($B132="",TRIM($J132&amp;"")=""),"",IFERROR(MATCH(TRIM($J132&amp;"")&amp;"|다기관",파견수련계획!$AE$4:$AE$83,0),""))</f>
        <v/>
      </c>
      <c r="AL132" s="10">
        <f>IF($AK132="","","다기관 "&amp;TEXT(INDEX(파견수련계획!$AB$4:$AB$83,$AK132),"yyyy-mm-dd")&amp;"~"&amp;IF(ISNUMBER(INDEX(파견수련계획!$AC$4:$AC$83,$AK132)),TEXT(INDEX(파견수련계획!$AC$4:$AC$83,$AK132),"yyyy-mm-dd"),""))</f>
        <v/>
      </c>
    </row>
    <row r="133">
      <c r="A133" s="10">
        <f>IF(B133="","",ROW()-1)</f>
        <v/>
      </c>
      <c r="B133" s="18" t="n"/>
      <c r="C133" s="10">
        <f>IF($AB133="","",IF(INDEX(기본자료!$C$2:$C$1001,$AB133)="","",INDEX(기본자료!$C$2:$C$1001,$AB133)))</f>
        <v/>
      </c>
      <c r="D133" s="10">
        <f>IF($AB133="","",IF(INDEX(기본자료!$J$2:$J$1001,$AB133)="","",INDEX(기본자료!$J$2:$J$1001,$AB133)))</f>
        <v/>
      </c>
      <c r="E133" s="11">
        <f>IF($AB133="","",IF(INDEX(기본자료!$K$2:$K$1001,$AB133)="","",IF(NOT(ISNUMBER(INDEX(기본자료!$K$2:$K$1001,$AB133))),INDEX(기본자료!$K$2:$K$1001,$AB133),IF(INDEX(기본자료!$K$2:$K$1001,$AB133)&lt;1000000,INDEX(기본자료!$K$2:$K$1001,$AB133),IF(AND(INDEX(기본자료!$K$2:$K$1001,$AB133)&gt;=10000101,INT(MOD(INDEX(기본자료!$K$2:$K$1001,$AB133),10000)/100)&gt;=1,INT(MOD(INDEX(기본자료!$K$2:$K$1001,$AB133),10000)/100)&lt;=12,MOD(INDEX(기본자료!$K$2:$K$1001,$AB133),100)&gt;=1,MOD(INDEX(기본자료!$K$2:$K$1001,$AB133),100)&lt;=31),DATE(INT(INDEX(기본자료!$K$2:$K$1001,$AB133)/10000),INT(MOD(INDEX(기본자료!$K$2:$K$1001,$AB133),10000)/100),MOD(INDEX(기본자료!$K$2:$K$1001,$AB133),100)),INDEX(기본자료!$K$2:$K$1001,$AB133)&amp;"")))))</f>
        <v/>
      </c>
      <c r="F133" s="10">
        <f>IF($AB133="","",IF(INDEX(기본자료!$D$2:$D$1001,$AB133)="","",INDEX(기본자료!$D$2:$D$1001,$AB133)))</f>
        <v/>
      </c>
      <c r="G133" s="10">
        <f>IF($AB133="","",IF(INDEX(기본자료!$E$2:$E$1001,$AB133)="","",INDEX(기본자료!$E$2:$E$1001,$AB133)))</f>
        <v/>
      </c>
      <c r="H133" s="10">
        <f>IF($AB133="","",IF(INDEX(기본자료!$F$2:$F$1001,$AB133)="","",INDEX(기본자료!$F$2:$F$1001,$AB133)))</f>
        <v/>
      </c>
      <c r="I133" s="11">
        <f>IF($AB133="","",IF(INDEX(기본자료!$G$2:$G$1001,$AB133)="","",IF(NOT(ISNUMBER(INDEX(기본자료!$G$2:$G$1001,$AB133))),INDEX(기본자료!$G$2:$G$1001,$AB133),IF(INDEX(기본자료!$G$2:$G$1001,$AB133)&lt;1000000,INDEX(기본자료!$G$2:$G$1001,$AB133),IF(AND(INDEX(기본자료!$G$2:$G$1001,$AB133)&gt;=10000101,INT(MOD(INDEX(기본자료!$G$2:$G$1001,$AB133),10000)/100)&gt;=1,INT(MOD(INDEX(기본자료!$G$2:$G$1001,$AB133),10000)/100)&lt;=12,MOD(INDEX(기본자료!$G$2:$G$1001,$AB133),100)&gt;=1,MOD(INDEX(기본자료!$G$2:$G$1001,$AB133),100)&lt;=31),DATE(INT(INDEX(기본자료!$G$2:$G$1001,$AB133)/10000),INT(MOD(INDEX(기본자료!$G$2:$G$1001,$AB133),10000)/100),MOD(INDEX(기본자료!$G$2:$G$1001,$AB133),100)),INDEX(기본자료!$G$2:$G$1001,$AB133)&amp;"")))))</f>
        <v/>
      </c>
      <c r="J133" s="10">
        <f>IF($AB133="","",IF(INDEX(기본자료!$H$2:$H$1001,$AB133)="","",INDEX(기본자료!$H$2:$H$1001,$AB133)))</f>
        <v/>
      </c>
      <c r="K133" s="10">
        <f>IF($AB133="","",IF(INDEX(기본자료!$I$2:$I$1001,$AB133)="","",INDEX(기본자료!$I$2:$I$1001,$AB133)))</f>
        <v/>
      </c>
      <c r="L133" s="10">
        <f>IF($AB133="","",IF(INDEX(기본자료!$A$2:$A$1001,$AB133)="","",INDEX(기본자료!$A$2:$A$1001,$AB133)))</f>
        <v/>
      </c>
      <c r="M133" s="15" t="n"/>
      <c r="N133" s="10">
        <f>IF($B133="","",IF(AND($U133="파견중",$Q133&lt;&gt;""),$Q133,IF(AND($AD133&lt;&gt;"",LEFT($AD133,1)&lt;&gt;"⚠"),LEFT($AD133,FIND(" ",$AD133)-1),IF($H133="","",IF(RIGHT($H133,2)="병원",$H133,$H133&amp;"병원")))))</f>
        <v/>
      </c>
      <c r="O133" s="10">
        <f>IF($B133="","",IF(AND($U133="파견중",$Q133&lt;&gt;""),IF($R133&lt;&gt;"",$R133,"파견과 미입력"),IF(AND($AD133&lt;&gt;"",LEFT($AD133,1)&lt;&gt;"⚠"),MID($AD133,FIND(" ",$AD133)+1,60),IF($F133="","",IF($F133="인턴","수련교육부(인턴)",$F133)))))</f>
        <v/>
      </c>
      <c r="P133" s="10">
        <f>IF($B133="","",IF($AK133&lt;&gt;"",IF(AND(TODAY()&gt;=INDEX(파견수련계획!$AB$4:$AB$83,$AK133),OR(NOT(ISNUMBER(INDEX(파견수련계획!$AC$4:$AC$83,$AK133))),TODAY()&lt;=INDEX(파견수련계획!$AC$4:$AC$83,$AK133))),"다기관",IF($AF133="","",INDEX(파견수련계획!$T$4:$T$83,$AF133))),IF($AF133="","",INDEX(파견수련계획!$T$4:$T$83,$AF133))))</f>
        <v/>
      </c>
      <c r="Q133" s="10">
        <f>IF($AF133="","",INDEX(파견수련계획!$S$4:$S$83,$AF133))</f>
        <v/>
      </c>
      <c r="R133" s="10">
        <f>IF($AF133="","",INDEX(파견수련계획!$U$4:$U$83,$AF133))</f>
        <v/>
      </c>
      <c r="S133" s="11">
        <f>IF($AF133="","",IF(INDEX(파견수련계획!$H$4:$H$83,$AF133)="","",INDEX(파견수련계획!$H$4:$H$83,$AF133)))</f>
        <v/>
      </c>
      <c r="T133" s="11">
        <f>IF($AF133="","",IF(INDEX(파견수련계획!$I$4:$I$83,$AF133)="","",INDEX(파견수련계획!$I$4:$I$83,$AF133)))</f>
        <v/>
      </c>
      <c r="U133" s="10">
        <f>IF($AF133="","",INDEX(파견수련계획!$X$4:$X$83,$AF133))</f>
        <v/>
      </c>
      <c r="V133" s="17">
        <f>IF($AF133="","",INDEX(파견수련계획!$V$4:$V$83,$AF133))</f>
        <v/>
      </c>
      <c r="W133" s="17">
        <f>IF(AND($U133="파견중",$T133&lt;&gt;""),$T133-TODAY(),"")</f>
        <v/>
      </c>
      <c r="X133" s="17">
        <f>IF(OR($B133="",TRIM($J133&amp;"")=""),"",SUMPRODUCT((파견수련계획!$Q$4:$Q$83=TRIM($J133&amp;""))*파견수련계획!$W$4:$W$83))</f>
        <v/>
      </c>
      <c r="Y133" s="10">
        <f>IF($B133="","",IF($AG133="","",IF(IF(TRIM($J133&amp;"")="",0,SUMPRODUCT((파견수련계획!$Q$4:$Q$83=TRIM($J133&amp;""))*파견수련계획!$AD$4:$AD$83))&gt;0,$AE133,IF(N($X133)&lt;=0,$AG133,IF($AH133+$AI133=DAY(EOMONTH(요약!$B$3,0)),IF(AND($AH133&gt;=요약!$E$3,$AI133&lt;요약!$E$3),"서울병원",IF(AND($AI133&gt;=요약!$E$3,$AH133&lt;요약!$E$3),"구리병원","⚠15일 판정불가(서울 "&amp;$AH133&amp;"일/구리 "&amp;$AI133&amp;"일)")),IF($AJ133="",$AE133,IF(INDEX(파견수련계획!$T$4:$T$83,$AJ133)="통합수련",INDEX(파견수련계획!$S$4:$S$83,$AJ133),$AE133)))))))</f>
        <v/>
      </c>
      <c r="Z133" s="19">
        <f>IF($B133="","",IF($AB133="","기본자료에 없는 사번",IF(COUNTIF($B$2:$B$401,$B133)&gt;1,"중복 사번",IF($AE133="","소속(입사장소) 입력",IF(IF(TRIM($J133&amp;"")="",0,SUMPRODUCT((파견수련계획!$Q$4:$Q$83=TRIM($J133&amp;""))*(파견수련계획!$AA$4:$AA$83&lt;&gt;"")))&gt;0,"파견수련계획 입력오류 확인",IF(LEFT($Y133,1)="⚠","서울·구리 15일 판정 불가(양쪽 모두 이상/미만)",IF(IF($AC133="",0,N(INDEX(인턴근무계획!$T$3:$T$62,$AC133)))&gt;0,"인턴계획 입력오류 확인",IF(AND($AC133&lt;&gt;"",$U133&lt;&gt;"파견중",$N133&lt;&gt;$AE133),"인턴 타지역 근무: 파견 여부 확인","정상"))))))))</f>
        <v/>
      </c>
      <c r="AA133" s="5" t="n"/>
      <c r="AB133" s="10">
        <f>IF($B133="","",IFERROR(MATCH($B133,기본자료!$B$2:$B$1001,0),IFERROR(MATCH($B133&amp;"",기본자료!$B$2:$B$1001,0),IFERROR(MATCH(VALUE($B133),기본자료!$B$2:$B$1001,0),""))))</f>
        <v/>
      </c>
      <c r="AC133" s="10">
        <f>IF($B133="","",IFERROR(MATCH($B133,인턴근무계획!$D$3:$D$62,0),IFERROR(MATCH($B133&amp;"",인턴근무계획!$D$3:$D$62,0),IFERROR(MATCH(VALUE($B133),인턴근무계획!$D$3:$D$62,0),""))))</f>
        <v/>
      </c>
      <c r="AD133" s="10">
        <f>IF(OR($AC133="",인턴현황!$G$3=""),"",INDEX(인턴근무계획!$M$3:$R$62,$AC133,인턴현황!$G$3)&amp;"")</f>
        <v/>
      </c>
      <c r="AE133" s="10">
        <f>IF($B133="","",IF($M133&lt;&gt;"",$M133,IF($AF133&lt;&gt;"",IF(LEFT(INDEX(파견수련계획!$R$4:$R$83,$AF133),1)&lt;&gt;"⚠",INDEX(파견수련계획!$R$4:$R$83,$AF133),IF($H133="","",IF(RIGHT($H133,2)="병원",$H133,$H133&amp;"병원"))),IF($H133="","",IF(RIGHT($H133,2)="병원",$H133,$H133&amp;"병원")))))</f>
        <v/>
      </c>
      <c r="AF133" s="10">
        <f>IF(OR($B133="",TRIM($J133&amp;"")=""),"",IFERROR(MATCH(TRIM($J133&amp;"")&amp;"|파견중",파견수련계획!$Y$4:$Y$83,0),IFERROR(MATCH(TRIM($J133&amp;"")&amp;"|파견예정",파견수련계획!$Y$4:$Y$83,0),IFERROR(MATCH(TRIM($J133&amp;"")&amp;"|파견종료",파견수련계획!$Y$4:$Y$83,0),""))))</f>
        <v/>
      </c>
      <c r="AG133" s="10">
        <f>IF($B133="","",IF(AND(IF(OR($AC133="",인턴현황!$K$2=""),"",INDEX(인턴근무계획!$M$3:$R$62,$AC133,인턴현황!$K$2)&amp;"")&lt;&gt;"",LEFT(IF(OR($AC133="",인턴현황!$K$2=""),"",INDEX(인턴근무계획!$M$3:$R$62,$AC133,인턴현황!$K$2)&amp;""),1)&lt;&gt;"⚠"),LEFT(IF(OR($AC133="",인턴현황!$K$2=""),"",INDEX(인턴근무계획!$M$3:$R$62,$AC133,인턴현황!$K$2)&amp;""),FIND(" ",IF(OR($AC133="",인턴현황!$K$2=""),"",INDEX(인턴근무계획!$M$3:$R$62,$AC133,인턴현황!$K$2)&amp;""))-1),$AE133))</f>
        <v/>
      </c>
      <c r="AH133" s="17">
        <f>IF($B133="","",IF(TRIM($J133&amp;"")="",0,SUMPRODUCT((파견수련계획!$Q$4:$Q$83=TRIM($J133&amp;""))*(파견수련계획!$S$4:$S$83="서울병원")*파견수련계획!$W$4:$W$83))+IF($AG133="서울병원",MAX(0,DAY(EOMONTH(요약!$B$3,0))-N($X133)),0))</f>
        <v/>
      </c>
      <c r="AI133" s="17">
        <f>IF($B133="","",IF(TRIM($J133&amp;"")="",0,SUMPRODUCT((파견수련계획!$Q$4:$Q$83=TRIM($J133&amp;""))*(파견수련계획!$S$4:$S$83="구리병원")*파견수련계획!$W$4:$W$83))+IF($AG133="구리병원",MAX(0,DAY(EOMONTH(요약!$B$3,0))-N($X133)),0))</f>
        <v/>
      </c>
      <c r="AJ133" s="10">
        <f>IF(OR($B133="",TRIM($J133&amp;"")=""),"",IFERROR(MATCH(TRIM($J133&amp;"")&amp;"|월",파견수련계획!$Z$4:$Z$83,0),""))</f>
        <v/>
      </c>
      <c r="AK133" s="10">
        <f>IF(OR($B133="",TRIM($J133&amp;"")=""),"",IFERROR(MATCH(TRIM($J133&amp;"")&amp;"|다기관",파견수련계획!$AE$4:$AE$83,0),""))</f>
        <v/>
      </c>
      <c r="AL133" s="10">
        <f>IF($AK133="","","다기관 "&amp;TEXT(INDEX(파견수련계획!$AB$4:$AB$83,$AK133),"yyyy-mm-dd")&amp;"~"&amp;IF(ISNUMBER(INDEX(파견수련계획!$AC$4:$AC$83,$AK133)),TEXT(INDEX(파견수련계획!$AC$4:$AC$83,$AK133),"yyyy-mm-dd"),""))</f>
        <v/>
      </c>
    </row>
    <row r="134">
      <c r="A134" s="10">
        <f>IF(B134="","",ROW()-1)</f>
        <v/>
      </c>
      <c r="B134" s="18" t="n"/>
      <c r="C134" s="10">
        <f>IF($AB134="","",IF(INDEX(기본자료!$C$2:$C$1001,$AB134)="","",INDEX(기본자료!$C$2:$C$1001,$AB134)))</f>
        <v/>
      </c>
      <c r="D134" s="10">
        <f>IF($AB134="","",IF(INDEX(기본자료!$J$2:$J$1001,$AB134)="","",INDEX(기본자료!$J$2:$J$1001,$AB134)))</f>
        <v/>
      </c>
      <c r="E134" s="11">
        <f>IF($AB134="","",IF(INDEX(기본자료!$K$2:$K$1001,$AB134)="","",IF(NOT(ISNUMBER(INDEX(기본자료!$K$2:$K$1001,$AB134))),INDEX(기본자료!$K$2:$K$1001,$AB134),IF(INDEX(기본자료!$K$2:$K$1001,$AB134)&lt;1000000,INDEX(기본자료!$K$2:$K$1001,$AB134),IF(AND(INDEX(기본자료!$K$2:$K$1001,$AB134)&gt;=10000101,INT(MOD(INDEX(기본자료!$K$2:$K$1001,$AB134),10000)/100)&gt;=1,INT(MOD(INDEX(기본자료!$K$2:$K$1001,$AB134),10000)/100)&lt;=12,MOD(INDEX(기본자료!$K$2:$K$1001,$AB134),100)&gt;=1,MOD(INDEX(기본자료!$K$2:$K$1001,$AB134),100)&lt;=31),DATE(INT(INDEX(기본자료!$K$2:$K$1001,$AB134)/10000),INT(MOD(INDEX(기본자료!$K$2:$K$1001,$AB134),10000)/100),MOD(INDEX(기본자료!$K$2:$K$1001,$AB134),100)),INDEX(기본자료!$K$2:$K$1001,$AB134)&amp;"")))))</f>
        <v/>
      </c>
      <c r="F134" s="10">
        <f>IF($AB134="","",IF(INDEX(기본자료!$D$2:$D$1001,$AB134)="","",INDEX(기본자료!$D$2:$D$1001,$AB134)))</f>
        <v/>
      </c>
      <c r="G134" s="10">
        <f>IF($AB134="","",IF(INDEX(기본자료!$E$2:$E$1001,$AB134)="","",INDEX(기본자료!$E$2:$E$1001,$AB134)))</f>
        <v/>
      </c>
      <c r="H134" s="10">
        <f>IF($AB134="","",IF(INDEX(기본자료!$F$2:$F$1001,$AB134)="","",INDEX(기본자료!$F$2:$F$1001,$AB134)))</f>
        <v/>
      </c>
      <c r="I134" s="11">
        <f>IF($AB134="","",IF(INDEX(기본자료!$G$2:$G$1001,$AB134)="","",IF(NOT(ISNUMBER(INDEX(기본자료!$G$2:$G$1001,$AB134))),INDEX(기본자료!$G$2:$G$1001,$AB134),IF(INDEX(기본자료!$G$2:$G$1001,$AB134)&lt;1000000,INDEX(기본자료!$G$2:$G$1001,$AB134),IF(AND(INDEX(기본자료!$G$2:$G$1001,$AB134)&gt;=10000101,INT(MOD(INDEX(기본자료!$G$2:$G$1001,$AB134),10000)/100)&gt;=1,INT(MOD(INDEX(기본자료!$G$2:$G$1001,$AB134),10000)/100)&lt;=12,MOD(INDEX(기본자료!$G$2:$G$1001,$AB134),100)&gt;=1,MOD(INDEX(기본자료!$G$2:$G$1001,$AB134),100)&lt;=31),DATE(INT(INDEX(기본자료!$G$2:$G$1001,$AB134)/10000),INT(MOD(INDEX(기본자료!$G$2:$G$1001,$AB134),10000)/100),MOD(INDEX(기본자료!$G$2:$G$1001,$AB134),100)),INDEX(기본자료!$G$2:$G$1001,$AB134)&amp;"")))))</f>
        <v/>
      </c>
      <c r="J134" s="10">
        <f>IF($AB134="","",IF(INDEX(기본자료!$H$2:$H$1001,$AB134)="","",INDEX(기본자료!$H$2:$H$1001,$AB134)))</f>
        <v/>
      </c>
      <c r="K134" s="10">
        <f>IF($AB134="","",IF(INDEX(기본자료!$I$2:$I$1001,$AB134)="","",INDEX(기본자료!$I$2:$I$1001,$AB134)))</f>
        <v/>
      </c>
      <c r="L134" s="10">
        <f>IF($AB134="","",IF(INDEX(기본자료!$A$2:$A$1001,$AB134)="","",INDEX(기본자료!$A$2:$A$1001,$AB134)))</f>
        <v/>
      </c>
      <c r="M134" s="15" t="n"/>
      <c r="N134" s="10">
        <f>IF($B134="","",IF(AND($U134="파견중",$Q134&lt;&gt;""),$Q134,IF(AND($AD134&lt;&gt;"",LEFT($AD134,1)&lt;&gt;"⚠"),LEFT($AD134,FIND(" ",$AD134)-1),IF($H134="","",IF(RIGHT($H134,2)="병원",$H134,$H134&amp;"병원")))))</f>
        <v/>
      </c>
      <c r="O134" s="10">
        <f>IF($B134="","",IF(AND($U134="파견중",$Q134&lt;&gt;""),IF($R134&lt;&gt;"",$R134,"파견과 미입력"),IF(AND($AD134&lt;&gt;"",LEFT($AD134,1)&lt;&gt;"⚠"),MID($AD134,FIND(" ",$AD134)+1,60),IF($F134="","",IF($F134="인턴","수련교육부(인턴)",$F134)))))</f>
        <v/>
      </c>
      <c r="P134" s="10">
        <f>IF($B134="","",IF($AK134&lt;&gt;"",IF(AND(TODAY()&gt;=INDEX(파견수련계획!$AB$4:$AB$83,$AK134),OR(NOT(ISNUMBER(INDEX(파견수련계획!$AC$4:$AC$83,$AK134))),TODAY()&lt;=INDEX(파견수련계획!$AC$4:$AC$83,$AK134))),"다기관",IF($AF134="","",INDEX(파견수련계획!$T$4:$T$83,$AF134))),IF($AF134="","",INDEX(파견수련계획!$T$4:$T$83,$AF134))))</f>
        <v/>
      </c>
      <c r="Q134" s="10">
        <f>IF($AF134="","",INDEX(파견수련계획!$S$4:$S$83,$AF134))</f>
        <v/>
      </c>
      <c r="R134" s="10">
        <f>IF($AF134="","",INDEX(파견수련계획!$U$4:$U$83,$AF134))</f>
        <v/>
      </c>
      <c r="S134" s="11">
        <f>IF($AF134="","",IF(INDEX(파견수련계획!$H$4:$H$83,$AF134)="","",INDEX(파견수련계획!$H$4:$H$83,$AF134)))</f>
        <v/>
      </c>
      <c r="T134" s="11">
        <f>IF($AF134="","",IF(INDEX(파견수련계획!$I$4:$I$83,$AF134)="","",INDEX(파견수련계획!$I$4:$I$83,$AF134)))</f>
        <v/>
      </c>
      <c r="U134" s="10">
        <f>IF($AF134="","",INDEX(파견수련계획!$X$4:$X$83,$AF134))</f>
        <v/>
      </c>
      <c r="V134" s="17">
        <f>IF($AF134="","",INDEX(파견수련계획!$V$4:$V$83,$AF134))</f>
        <v/>
      </c>
      <c r="W134" s="17">
        <f>IF(AND($U134="파견중",$T134&lt;&gt;""),$T134-TODAY(),"")</f>
        <v/>
      </c>
      <c r="X134" s="17">
        <f>IF(OR($B134="",TRIM($J134&amp;"")=""),"",SUMPRODUCT((파견수련계획!$Q$4:$Q$83=TRIM($J134&amp;""))*파견수련계획!$W$4:$W$83))</f>
        <v/>
      </c>
      <c r="Y134" s="10">
        <f>IF($B134="","",IF($AG134="","",IF(IF(TRIM($J134&amp;"")="",0,SUMPRODUCT((파견수련계획!$Q$4:$Q$83=TRIM($J134&amp;""))*파견수련계획!$AD$4:$AD$83))&gt;0,$AE134,IF(N($X134)&lt;=0,$AG134,IF($AH134+$AI134=DAY(EOMONTH(요약!$B$3,0)),IF(AND($AH134&gt;=요약!$E$3,$AI134&lt;요약!$E$3),"서울병원",IF(AND($AI134&gt;=요약!$E$3,$AH134&lt;요약!$E$3),"구리병원","⚠15일 판정불가(서울 "&amp;$AH134&amp;"일/구리 "&amp;$AI134&amp;"일)")),IF($AJ134="",$AE134,IF(INDEX(파견수련계획!$T$4:$T$83,$AJ134)="통합수련",INDEX(파견수련계획!$S$4:$S$83,$AJ134),$AE134)))))))</f>
        <v/>
      </c>
      <c r="Z134" s="19">
        <f>IF($B134="","",IF($AB134="","기본자료에 없는 사번",IF(COUNTIF($B$2:$B$401,$B134)&gt;1,"중복 사번",IF($AE134="","소속(입사장소) 입력",IF(IF(TRIM($J134&amp;"")="",0,SUMPRODUCT((파견수련계획!$Q$4:$Q$83=TRIM($J134&amp;""))*(파견수련계획!$AA$4:$AA$83&lt;&gt;"")))&gt;0,"파견수련계획 입력오류 확인",IF(LEFT($Y134,1)="⚠","서울·구리 15일 판정 불가(양쪽 모두 이상/미만)",IF(IF($AC134="",0,N(INDEX(인턴근무계획!$T$3:$T$62,$AC134)))&gt;0,"인턴계획 입력오류 확인",IF(AND($AC134&lt;&gt;"",$U134&lt;&gt;"파견중",$N134&lt;&gt;$AE134),"인턴 타지역 근무: 파견 여부 확인","정상"))))))))</f>
        <v/>
      </c>
      <c r="AA134" s="5" t="n"/>
      <c r="AB134" s="10">
        <f>IF($B134="","",IFERROR(MATCH($B134,기본자료!$B$2:$B$1001,0),IFERROR(MATCH($B134&amp;"",기본자료!$B$2:$B$1001,0),IFERROR(MATCH(VALUE($B134),기본자료!$B$2:$B$1001,0),""))))</f>
        <v/>
      </c>
      <c r="AC134" s="10">
        <f>IF($B134="","",IFERROR(MATCH($B134,인턴근무계획!$D$3:$D$62,0),IFERROR(MATCH($B134&amp;"",인턴근무계획!$D$3:$D$62,0),IFERROR(MATCH(VALUE($B134),인턴근무계획!$D$3:$D$62,0),""))))</f>
        <v/>
      </c>
      <c r="AD134" s="10">
        <f>IF(OR($AC134="",인턴현황!$G$3=""),"",INDEX(인턴근무계획!$M$3:$R$62,$AC134,인턴현황!$G$3)&amp;"")</f>
        <v/>
      </c>
      <c r="AE134" s="10">
        <f>IF($B134="","",IF($M134&lt;&gt;"",$M134,IF($AF134&lt;&gt;"",IF(LEFT(INDEX(파견수련계획!$R$4:$R$83,$AF134),1)&lt;&gt;"⚠",INDEX(파견수련계획!$R$4:$R$83,$AF134),IF($H134="","",IF(RIGHT($H134,2)="병원",$H134,$H134&amp;"병원"))),IF($H134="","",IF(RIGHT($H134,2)="병원",$H134,$H134&amp;"병원")))))</f>
        <v/>
      </c>
      <c r="AF134" s="10">
        <f>IF(OR($B134="",TRIM($J134&amp;"")=""),"",IFERROR(MATCH(TRIM($J134&amp;"")&amp;"|파견중",파견수련계획!$Y$4:$Y$83,0),IFERROR(MATCH(TRIM($J134&amp;"")&amp;"|파견예정",파견수련계획!$Y$4:$Y$83,0),IFERROR(MATCH(TRIM($J134&amp;"")&amp;"|파견종료",파견수련계획!$Y$4:$Y$83,0),""))))</f>
        <v/>
      </c>
      <c r="AG134" s="10">
        <f>IF($B134="","",IF(AND(IF(OR($AC134="",인턴현황!$K$2=""),"",INDEX(인턴근무계획!$M$3:$R$62,$AC134,인턴현황!$K$2)&amp;"")&lt;&gt;"",LEFT(IF(OR($AC134="",인턴현황!$K$2=""),"",INDEX(인턴근무계획!$M$3:$R$62,$AC134,인턴현황!$K$2)&amp;""),1)&lt;&gt;"⚠"),LEFT(IF(OR($AC134="",인턴현황!$K$2=""),"",INDEX(인턴근무계획!$M$3:$R$62,$AC134,인턴현황!$K$2)&amp;""),FIND(" ",IF(OR($AC134="",인턴현황!$K$2=""),"",INDEX(인턴근무계획!$M$3:$R$62,$AC134,인턴현황!$K$2)&amp;""))-1),$AE134))</f>
        <v/>
      </c>
      <c r="AH134" s="17">
        <f>IF($B134="","",IF(TRIM($J134&amp;"")="",0,SUMPRODUCT((파견수련계획!$Q$4:$Q$83=TRIM($J134&amp;""))*(파견수련계획!$S$4:$S$83="서울병원")*파견수련계획!$W$4:$W$83))+IF($AG134="서울병원",MAX(0,DAY(EOMONTH(요약!$B$3,0))-N($X134)),0))</f>
        <v/>
      </c>
      <c r="AI134" s="17">
        <f>IF($B134="","",IF(TRIM($J134&amp;"")="",0,SUMPRODUCT((파견수련계획!$Q$4:$Q$83=TRIM($J134&amp;""))*(파견수련계획!$S$4:$S$83="구리병원")*파견수련계획!$W$4:$W$83))+IF($AG134="구리병원",MAX(0,DAY(EOMONTH(요약!$B$3,0))-N($X134)),0))</f>
        <v/>
      </c>
      <c r="AJ134" s="10">
        <f>IF(OR($B134="",TRIM($J134&amp;"")=""),"",IFERROR(MATCH(TRIM($J134&amp;"")&amp;"|월",파견수련계획!$Z$4:$Z$83,0),""))</f>
        <v/>
      </c>
      <c r="AK134" s="10">
        <f>IF(OR($B134="",TRIM($J134&amp;"")=""),"",IFERROR(MATCH(TRIM($J134&amp;"")&amp;"|다기관",파견수련계획!$AE$4:$AE$83,0),""))</f>
        <v/>
      </c>
      <c r="AL134" s="10">
        <f>IF($AK134="","","다기관 "&amp;TEXT(INDEX(파견수련계획!$AB$4:$AB$83,$AK134),"yyyy-mm-dd")&amp;"~"&amp;IF(ISNUMBER(INDEX(파견수련계획!$AC$4:$AC$83,$AK134)),TEXT(INDEX(파견수련계획!$AC$4:$AC$83,$AK134),"yyyy-mm-dd"),""))</f>
        <v/>
      </c>
    </row>
    <row r="135">
      <c r="A135" s="10">
        <f>IF(B135="","",ROW()-1)</f>
        <v/>
      </c>
      <c r="B135" s="18" t="n"/>
      <c r="C135" s="10">
        <f>IF($AB135="","",IF(INDEX(기본자료!$C$2:$C$1001,$AB135)="","",INDEX(기본자료!$C$2:$C$1001,$AB135)))</f>
        <v/>
      </c>
      <c r="D135" s="10">
        <f>IF($AB135="","",IF(INDEX(기본자료!$J$2:$J$1001,$AB135)="","",INDEX(기본자료!$J$2:$J$1001,$AB135)))</f>
        <v/>
      </c>
      <c r="E135" s="11">
        <f>IF($AB135="","",IF(INDEX(기본자료!$K$2:$K$1001,$AB135)="","",IF(NOT(ISNUMBER(INDEX(기본자료!$K$2:$K$1001,$AB135))),INDEX(기본자료!$K$2:$K$1001,$AB135),IF(INDEX(기본자료!$K$2:$K$1001,$AB135)&lt;1000000,INDEX(기본자료!$K$2:$K$1001,$AB135),IF(AND(INDEX(기본자료!$K$2:$K$1001,$AB135)&gt;=10000101,INT(MOD(INDEX(기본자료!$K$2:$K$1001,$AB135),10000)/100)&gt;=1,INT(MOD(INDEX(기본자료!$K$2:$K$1001,$AB135),10000)/100)&lt;=12,MOD(INDEX(기본자료!$K$2:$K$1001,$AB135),100)&gt;=1,MOD(INDEX(기본자료!$K$2:$K$1001,$AB135),100)&lt;=31),DATE(INT(INDEX(기본자료!$K$2:$K$1001,$AB135)/10000),INT(MOD(INDEX(기본자료!$K$2:$K$1001,$AB135),10000)/100),MOD(INDEX(기본자료!$K$2:$K$1001,$AB135),100)),INDEX(기본자료!$K$2:$K$1001,$AB135)&amp;"")))))</f>
        <v/>
      </c>
      <c r="F135" s="10">
        <f>IF($AB135="","",IF(INDEX(기본자료!$D$2:$D$1001,$AB135)="","",INDEX(기본자료!$D$2:$D$1001,$AB135)))</f>
        <v/>
      </c>
      <c r="G135" s="10">
        <f>IF($AB135="","",IF(INDEX(기본자료!$E$2:$E$1001,$AB135)="","",INDEX(기본자료!$E$2:$E$1001,$AB135)))</f>
        <v/>
      </c>
      <c r="H135" s="10">
        <f>IF($AB135="","",IF(INDEX(기본자료!$F$2:$F$1001,$AB135)="","",INDEX(기본자료!$F$2:$F$1001,$AB135)))</f>
        <v/>
      </c>
      <c r="I135" s="11">
        <f>IF($AB135="","",IF(INDEX(기본자료!$G$2:$G$1001,$AB135)="","",IF(NOT(ISNUMBER(INDEX(기본자료!$G$2:$G$1001,$AB135))),INDEX(기본자료!$G$2:$G$1001,$AB135),IF(INDEX(기본자료!$G$2:$G$1001,$AB135)&lt;1000000,INDEX(기본자료!$G$2:$G$1001,$AB135),IF(AND(INDEX(기본자료!$G$2:$G$1001,$AB135)&gt;=10000101,INT(MOD(INDEX(기본자료!$G$2:$G$1001,$AB135),10000)/100)&gt;=1,INT(MOD(INDEX(기본자료!$G$2:$G$1001,$AB135),10000)/100)&lt;=12,MOD(INDEX(기본자료!$G$2:$G$1001,$AB135),100)&gt;=1,MOD(INDEX(기본자료!$G$2:$G$1001,$AB135),100)&lt;=31),DATE(INT(INDEX(기본자료!$G$2:$G$1001,$AB135)/10000),INT(MOD(INDEX(기본자료!$G$2:$G$1001,$AB135),10000)/100),MOD(INDEX(기본자료!$G$2:$G$1001,$AB135),100)),INDEX(기본자료!$G$2:$G$1001,$AB135)&amp;"")))))</f>
        <v/>
      </c>
      <c r="J135" s="10">
        <f>IF($AB135="","",IF(INDEX(기본자료!$H$2:$H$1001,$AB135)="","",INDEX(기본자료!$H$2:$H$1001,$AB135)))</f>
        <v/>
      </c>
      <c r="K135" s="10">
        <f>IF($AB135="","",IF(INDEX(기본자료!$I$2:$I$1001,$AB135)="","",INDEX(기본자료!$I$2:$I$1001,$AB135)))</f>
        <v/>
      </c>
      <c r="L135" s="10">
        <f>IF($AB135="","",IF(INDEX(기본자료!$A$2:$A$1001,$AB135)="","",INDEX(기본자료!$A$2:$A$1001,$AB135)))</f>
        <v/>
      </c>
      <c r="M135" s="15" t="n"/>
      <c r="N135" s="10">
        <f>IF($B135="","",IF(AND($U135="파견중",$Q135&lt;&gt;""),$Q135,IF(AND($AD135&lt;&gt;"",LEFT($AD135,1)&lt;&gt;"⚠"),LEFT($AD135,FIND(" ",$AD135)-1),IF($H135="","",IF(RIGHT($H135,2)="병원",$H135,$H135&amp;"병원")))))</f>
        <v/>
      </c>
      <c r="O135" s="10">
        <f>IF($B135="","",IF(AND($U135="파견중",$Q135&lt;&gt;""),IF($R135&lt;&gt;"",$R135,"파견과 미입력"),IF(AND($AD135&lt;&gt;"",LEFT($AD135,1)&lt;&gt;"⚠"),MID($AD135,FIND(" ",$AD135)+1,60),IF($F135="","",IF($F135="인턴","수련교육부(인턴)",$F135)))))</f>
        <v/>
      </c>
      <c r="P135" s="10">
        <f>IF($B135="","",IF($AK135&lt;&gt;"",IF(AND(TODAY()&gt;=INDEX(파견수련계획!$AB$4:$AB$83,$AK135),OR(NOT(ISNUMBER(INDEX(파견수련계획!$AC$4:$AC$83,$AK135))),TODAY()&lt;=INDEX(파견수련계획!$AC$4:$AC$83,$AK135))),"다기관",IF($AF135="","",INDEX(파견수련계획!$T$4:$T$83,$AF135))),IF($AF135="","",INDEX(파견수련계획!$T$4:$T$83,$AF135))))</f>
        <v/>
      </c>
      <c r="Q135" s="10">
        <f>IF($AF135="","",INDEX(파견수련계획!$S$4:$S$83,$AF135))</f>
        <v/>
      </c>
      <c r="R135" s="10">
        <f>IF($AF135="","",INDEX(파견수련계획!$U$4:$U$83,$AF135))</f>
        <v/>
      </c>
      <c r="S135" s="11">
        <f>IF($AF135="","",IF(INDEX(파견수련계획!$H$4:$H$83,$AF135)="","",INDEX(파견수련계획!$H$4:$H$83,$AF135)))</f>
        <v/>
      </c>
      <c r="T135" s="11">
        <f>IF($AF135="","",IF(INDEX(파견수련계획!$I$4:$I$83,$AF135)="","",INDEX(파견수련계획!$I$4:$I$83,$AF135)))</f>
        <v/>
      </c>
      <c r="U135" s="10">
        <f>IF($AF135="","",INDEX(파견수련계획!$X$4:$X$83,$AF135))</f>
        <v/>
      </c>
      <c r="V135" s="17">
        <f>IF($AF135="","",INDEX(파견수련계획!$V$4:$V$83,$AF135))</f>
        <v/>
      </c>
      <c r="W135" s="17">
        <f>IF(AND($U135="파견중",$T135&lt;&gt;""),$T135-TODAY(),"")</f>
        <v/>
      </c>
      <c r="X135" s="17">
        <f>IF(OR($B135="",TRIM($J135&amp;"")=""),"",SUMPRODUCT((파견수련계획!$Q$4:$Q$83=TRIM($J135&amp;""))*파견수련계획!$W$4:$W$83))</f>
        <v/>
      </c>
      <c r="Y135" s="10">
        <f>IF($B135="","",IF($AG135="","",IF(IF(TRIM($J135&amp;"")="",0,SUMPRODUCT((파견수련계획!$Q$4:$Q$83=TRIM($J135&amp;""))*파견수련계획!$AD$4:$AD$83))&gt;0,$AE135,IF(N($X135)&lt;=0,$AG135,IF($AH135+$AI135=DAY(EOMONTH(요약!$B$3,0)),IF(AND($AH135&gt;=요약!$E$3,$AI135&lt;요약!$E$3),"서울병원",IF(AND($AI135&gt;=요약!$E$3,$AH135&lt;요약!$E$3),"구리병원","⚠15일 판정불가(서울 "&amp;$AH135&amp;"일/구리 "&amp;$AI135&amp;"일)")),IF($AJ135="",$AE135,IF(INDEX(파견수련계획!$T$4:$T$83,$AJ135)="통합수련",INDEX(파견수련계획!$S$4:$S$83,$AJ135),$AE135)))))))</f>
        <v/>
      </c>
      <c r="Z135" s="19">
        <f>IF($B135="","",IF($AB135="","기본자료에 없는 사번",IF(COUNTIF($B$2:$B$401,$B135)&gt;1,"중복 사번",IF($AE135="","소속(입사장소) 입력",IF(IF(TRIM($J135&amp;"")="",0,SUMPRODUCT((파견수련계획!$Q$4:$Q$83=TRIM($J135&amp;""))*(파견수련계획!$AA$4:$AA$83&lt;&gt;"")))&gt;0,"파견수련계획 입력오류 확인",IF(LEFT($Y135,1)="⚠","서울·구리 15일 판정 불가(양쪽 모두 이상/미만)",IF(IF($AC135="",0,N(INDEX(인턴근무계획!$T$3:$T$62,$AC135)))&gt;0,"인턴계획 입력오류 확인",IF(AND($AC135&lt;&gt;"",$U135&lt;&gt;"파견중",$N135&lt;&gt;$AE135),"인턴 타지역 근무: 파견 여부 확인","정상"))))))))</f>
        <v/>
      </c>
      <c r="AA135" s="5" t="n"/>
      <c r="AB135" s="10">
        <f>IF($B135="","",IFERROR(MATCH($B135,기본자료!$B$2:$B$1001,0),IFERROR(MATCH($B135&amp;"",기본자료!$B$2:$B$1001,0),IFERROR(MATCH(VALUE($B135),기본자료!$B$2:$B$1001,0),""))))</f>
        <v/>
      </c>
      <c r="AC135" s="10">
        <f>IF($B135="","",IFERROR(MATCH($B135,인턴근무계획!$D$3:$D$62,0),IFERROR(MATCH($B135&amp;"",인턴근무계획!$D$3:$D$62,0),IFERROR(MATCH(VALUE($B135),인턴근무계획!$D$3:$D$62,0),""))))</f>
        <v/>
      </c>
      <c r="AD135" s="10">
        <f>IF(OR($AC135="",인턴현황!$G$3=""),"",INDEX(인턴근무계획!$M$3:$R$62,$AC135,인턴현황!$G$3)&amp;"")</f>
        <v/>
      </c>
      <c r="AE135" s="10">
        <f>IF($B135="","",IF($M135&lt;&gt;"",$M135,IF($AF135&lt;&gt;"",IF(LEFT(INDEX(파견수련계획!$R$4:$R$83,$AF135),1)&lt;&gt;"⚠",INDEX(파견수련계획!$R$4:$R$83,$AF135),IF($H135="","",IF(RIGHT($H135,2)="병원",$H135,$H135&amp;"병원"))),IF($H135="","",IF(RIGHT($H135,2)="병원",$H135,$H135&amp;"병원")))))</f>
        <v/>
      </c>
      <c r="AF135" s="10">
        <f>IF(OR($B135="",TRIM($J135&amp;"")=""),"",IFERROR(MATCH(TRIM($J135&amp;"")&amp;"|파견중",파견수련계획!$Y$4:$Y$83,0),IFERROR(MATCH(TRIM($J135&amp;"")&amp;"|파견예정",파견수련계획!$Y$4:$Y$83,0),IFERROR(MATCH(TRIM($J135&amp;"")&amp;"|파견종료",파견수련계획!$Y$4:$Y$83,0),""))))</f>
        <v/>
      </c>
      <c r="AG135" s="10">
        <f>IF($B135="","",IF(AND(IF(OR($AC135="",인턴현황!$K$2=""),"",INDEX(인턴근무계획!$M$3:$R$62,$AC135,인턴현황!$K$2)&amp;"")&lt;&gt;"",LEFT(IF(OR($AC135="",인턴현황!$K$2=""),"",INDEX(인턴근무계획!$M$3:$R$62,$AC135,인턴현황!$K$2)&amp;""),1)&lt;&gt;"⚠"),LEFT(IF(OR($AC135="",인턴현황!$K$2=""),"",INDEX(인턴근무계획!$M$3:$R$62,$AC135,인턴현황!$K$2)&amp;""),FIND(" ",IF(OR($AC135="",인턴현황!$K$2=""),"",INDEX(인턴근무계획!$M$3:$R$62,$AC135,인턴현황!$K$2)&amp;""))-1),$AE135))</f>
        <v/>
      </c>
      <c r="AH135" s="17">
        <f>IF($B135="","",IF(TRIM($J135&amp;"")="",0,SUMPRODUCT((파견수련계획!$Q$4:$Q$83=TRIM($J135&amp;""))*(파견수련계획!$S$4:$S$83="서울병원")*파견수련계획!$W$4:$W$83))+IF($AG135="서울병원",MAX(0,DAY(EOMONTH(요약!$B$3,0))-N($X135)),0))</f>
        <v/>
      </c>
      <c r="AI135" s="17">
        <f>IF($B135="","",IF(TRIM($J135&amp;"")="",0,SUMPRODUCT((파견수련계획!$Q$4:$Q$83=TRIM($J135&amp;""))*(파견수련계획!$S$4:$S$83="구리병원")*파견수련계획!$W$4:$W$83))+IF($AG135="구리병원",MAX(0,DAY(EOMONTH(요약!$B$3,0))-N($X135)),0))</f>
        <v/>
      </c>
      <c r="AJ135" s="10">
        <f>IF(OR($B135="",TRIM($J135&amp;"")=""),"",IFERROR(MATCH(TRIM($J135&amp;"")&amp;"|월",파견수련계획!$Z$4:$Z$83,0),""))</f>
        <v/>
      </c>
      <c r="AK135" s="10">
        <f>IF(OR($B135="",TRIM($J135&amp;"")=""),"",IFERROR(MATCH(TRIM($J135&amp;"")&amp;"|다기관",파견수련계획!$AE$4:$AE$83,0),""))</f>
        <v/>
      </c>
      <c r="AL135" s="10">
        <f>IF($AK135="","","다기관 "&amp;TEXT(INDEX(파견수련계획!$AB$4:$AB$83,$AK135),"yyyy-mm-dd")&amp;"~"&amp;IF(ISNUMBER(INDEX(파견수련계획!$AC$4:$AC$83,$AK135)),TEXT(INDEX(파견수련계획!$AC$4:$AC$83,$AK135),"yyyy-mm-dd"),""))</f>
        <v/>
      </c>
    </row>
    <row r="136">
      <c r="A136" s="10">
        <f>IF(B136="","",ROW()-1)</f>
        <v/>
      </c>
      <c r="B136" s="18" t="n"/>
      <c r="C136" s="10">
        <f>IF($AB136="","",IF(INDEX(기본자료!$C$2:$C$1001,$AB136)="","",INDEX(기본자료!$C$2:$C$1001,$AB136)))</f>
        <v/>
      </c>
      <c r="D136" s="10">
        <f>IF($AB136="","",IF(INDEX(기본자료!$J$2:$J$1001,$AB136)="","",INDEX(기본자료!$J$2:$J$1001,$AB136)))</f>
        <v/>
      </c>
      <c r="E136" s="11">
        <f>IF($AB136="","",IF(INDEX(기본자료!$K$2:$K$1001,$AB136)="","",IF(NOT(ISNUMBER(INDEX(기본자료!$K$2:$K$1001,$AB136))),INDEX(기본자료!$K$2:$K$1001,$AB136),IF(INDEX(기본자료!$K$2:$K$1001,$AB136)&lt;1000000,INDEX(기본자료!$K$2:$K$1001,$AB136),IF(AND(INDEX(기본자료!$K$2:$K$1001,$AB136)&gt;=10000101,INT(MOD(INDEX(기본자료!$K$2:$K$1001,$AB136),10000)/100)&gt;=1,INT(MOD(INDEX(기본자료!$K$2:$K$1001,$AB136),10000)/100)&lt;=12,MOD(INDEX(기본자료!$K$2:$K$1001,$AB136),100)&gt;=1,MOD(INDEX(기본자료!$K$2:$K$1001,$AB136),100)&lt;=31),DATE(INT(INDEX(기본자료!$K$2:$K$1001,$AB136)/10000),INT(MOD(INDEX(기본자료!$K$2:$K$1001,$AB136),10000)/100),MOD(INDEX(기본자료!$K$2:$K$1001,$AB136),100)),INDEX(기본자료!$K$2:$K$1001,$AB136)&amp;"")))))</f>
        <v/>
      </c>
      <c r="F136" s="10">
        <f>IF($AB136="","",IF(INDEX(기본자료!$D$2:$D$1001,$AB136)="","",INDEX(기본자료!$D$2:$D$1001,$AB136)))</f>
        <v/>
      </c>
      <c r="G136" s="10">
        <f>IF($AB136="","",IF(INDEX(기본자료!$E$2:$E$1001,$AB136)="","",INDEX(기본자료!$E$2:$E$1001,$AB136)))</f>
        <v/>
      </c>
      <c r="H136" s="10">
        <f>IF($AB136="","",IF(INDEX(기본자료!$F$2:$F$1001,$AB136)="","",INDEX(기본자료!$F$2:$F$1001,$AB136)))</f>
        <v/>
      </c>
      <c r="I136" s="11">
        <f>IF($AB136="","",IF(INDEX(기본자료!$G$2:$G$1001,$AB136)="","",IF(NOT(ISNUMBER(INDEX(기본자료!$G$2:$G$1001,$AB136))),INDEX(기본자료!$G$2:$G$1001,$AB136),IF(INDEX(기본자료!$G$2:$G$1001,$AB136)&lt;1000000,INDEX(기본자료!$G$2:$G$1001,$AB136),IF(AND(INDEX(기본자료!$G$2:$G$1001,$AB136)&gt;=10000101,INT(MOD(INDEX(기본자료!$G$2:$G$1001,$AB136),10000)/100)&gt;=1,INT(MOD(INDEX(기본자료!$G$2:$G$1001,$AB136),10000)/100)&lt;=12,MOD(INDEX(기본자료!$G$2:$G$1001,$AB136),100)&gt;=1,MOD(INDEX(기본자료!$G$2:$G$1001,$AB136),100)&lt;=31),DATE(INT(INDEX(기본자료!$G$2:$G$1001,$AB136)/10000),INT(MOD(INDEX(기본자료!$G$2:$G$1001,$AB136),10000)/100),MOD(INDEX(기본자료!$G$2:$G$1001,$AB136),100)),INDEX(기본자료!$G$2:$G$1001,$AB136)&amp;"")))))</f>
        <v/>
      </c>
      <c r="J136" s="10">
        <f>IF($AB136="","",IF(INDEX(기본자료!$H$2:$H$1001,$AB136)="","",INDEX(기본자료!$H$2:$H$1001,$AB136)))</f>
        <v/>
      </c>
      <c r="K136" s="10">
        <f>IF($AB136="","",IF(INDEX(기본자료!$I$2:$I$1001,$AB136)="","",INDEX(기본자료!$I$2:$I$1001,$AB136)))</f>
        <v/>
      </c>
      <c r="L136" s="10">
        <f>IF($AB136="","",IF(INDEX(기본자료!$A$2:$A$1001,$AB136)="","",INDEX(기본자료!$A$2:$A$1001,$AB136)))</f>
        <v/>
      </c>
      <c r="M136" s="15" t="n"/>
      <c r="N136" s="10">
        <f>IF($B136="","",IF(AND($U136="파견중",$Q136&lt;&gt;""),$Q136,IF(AND($AD136&lt;&gt;"",LEFT($AD136,1)&lt;&gt;"⚠"),LEFT($AD136,FIND(" ",$AD136)-1),IF($H136="","",IF(RIGHT($H136,2)="병원",$H136,$H136&amp;"병원")))))</f>
        <v/>
      </c>
      <c r="O136" s="10">
        <f>IF($B136="","",IF(AND($U136="파견중",$Q136&lt;&gt;""),IF($R136&lt;&gt;"",$R136,"파견과 미입력"),IF(AND($AD136&lt;&gt;"",LEFT($AD136,1)&lt;&gt;"⚠"),MID($AD136,FIND(" ",$AD136)+1,60),IF($F136="","",IF($F136="인턴","수련교육부(인턴)",$F136)))))</f>
        <v/>
      </c>
      <c r="P136" s="10">
        <f>IF($B136="","",IF($AK136&lt;&gt;"",IF(AND(TODAY()&gt;=INDEX(파견수련계획!$AB$4:$AB$83,$AK136),OR(NOT(ISNUMBER(INDEX(파견수련계획!$AC$4:$AC$83,$AK136))),TODAY()&lt;=INDEX(파견수련계획!$AC$4:$AC$83,$AK136))),"다기관",IF($AF136="","",INDEX(파견수련계획!$T$4:$T$83,$AF136))),IF($AF136="","",INDEX(파견수련계획!$T$4:$T$83,$AF136))))</f>
        <v/>
      </c>
      <c r="Q136" s="10">
        <f>IF($AF136="","",INDEX(파견수련계획!$S$4:$S$83,$AF136))</f>
        <v/>
      </c>
      <c r="R136" s="10">
        <f>IF($AF136="","",INDEX(파견수련계획!$U$4:$U$83,$AF136))</f>
        <v/>
      </c>
      <c r="S136" s="11">
        <f>IF($AF136="","",IF(INDEX(파견수련계획!$H$4:$H$83,$AF136)="","",INDEX(파견수련계획!$H$4:$H$83,$AF136)))</f>
        <v/>
      </c>
      <c r="T136" s="11">
        <f>IF($AF136="","",IF(INDEX(파견수련계획!$I$4:$I$83,$AF136)="","",INDEX(파견수련계획!$I$4:$I$83,$AF136)))</f>
        <v/>
      </c>
      <c r="U136" s="10">
        <f>IF($AF136="","",INDEX(파견수련계획!$X$4:$X$83,$AF136))</f>
        <v/>
      </c>
      <c r="V136" s="17">
        <f>IF($AF136="","",INDEX(파견수련계획!$V$4:$V$83,$AF136))</f>
        <v/>
      </c>
      <c r="W136" s="17">
        <f>IF(AND($U136="파견중",$T136&lt;&gt;""),$T136-TODAY(),"")</f>
        <v/>
      </c>
      <c r="X136" s="17">
        <f>IF(OR($B136="",TRIM($J136&amp;"")=""),"",SUMPRODUCT((파견수련계획!$Q$4:$Q$83=TRIM($J136&amp;""))*파견수련계획!$W$4:$W$83))</f>
        <v/>
      </c>
      <c r="Y136" s="10">
        <f>IF($B136="","",IF($AG136="","",IF(IF(TRIM($J136&amp;"")="",0,SUMPRODUCT((파견수련계획!$Q$4:$Q$83=TRIM($J136&amp;""))*파견수련계획!$AD$4:$AD$83))&gt;0,$AE136,IF(N($X136)&lt;=0,$AG136,IF($AH136+$AI136=DAY(EOMONTH(요약!$B$3,0)),IF(AND($AH136&gt;=요약!$E$3,$AI136&lt;요약!$E$3),"서울병원",IF(AND($AI136&gt;=요약!$E$3,$AH136&lt;요약!$E$3),"구리병원","⚠15일 판정불가(서울 "&amp;$AH136&amp;"일/구리 "&amp;$AI136&amp;"일)")),IF($AJ136="",$AE136,IF(INDEX(파견수련계획!$T$4:$T$83,$AJ136)="통합수련",INDEX(파견수련계획!$S$4:$S$83,$AJ136),$AE136)))))))</f>
        <v/>
      </c>
      <c r="Z136" s="19">
        <f>IF($B136="","",IF($AB136="","기본자료에 없는 사번",IF(COUNTIF($B$2:$B$401,$B136)&gt;1,"중복 사번",IF($AE136="","소속(입사장소) 입력",IF(IF(TRIM($J136&amp;"")="",0,SUMPRODUCT((파견수련계획!$Q$4:$Q$83=TRIM($J136&amp;""))*(파견수련계획!$AA$4:$AA$83&lt;&gt;"")))&gt;0,"파견수련계획 입력오류 확인",IF(LEFT($Y136,1)="⚠","서울·구리 15일 판정 불가(양쪽 모두 이상/미만)",IF(IF($AC136="",0,N(INDEX(인턴근무계획!$T$3:$T$62,$AC136)))&gt;0,"인턴계획 입력오류 확인",IF(AND($AC136&lt;&gt;"",$U136&lt;&gt;"파견중",$N136&lt;&gt;$AE136),"인턴 타지역 근무: 파견 여부 확인","정상"))))))))</f>
        <v/>
      </c>
      <c r="AA136" s="5" t="n"/>
      <c r="AB136" s="10">
        <f>IF($B136="","",IFERROR(MATCH($B136,기본자료!$B$2:$B$1001,0),IFERROR(MATCH($B136&amp;"",기본자료!$B$2:$B$1001,0),IFERROR(MATCH(VALUE($B136),기본자료!$B$2:$B$1001,0),""))))</f>
        <v/>
      </c>
      <c r="AC136" s="10">
        <f>IF($B136="","",IFERROR(MATCH($B136,인턴근무계획!$D$3:$D$62,0),IFERROR(MATCH($B136&amp;"",인턴근무계획!$D$3:$D$62,0),IFERROR(MATCH(VALUE($B136),인턴근무계획!$D$3:$D$62,0),""))))</f>
        <v/>
      </c>
      <c r="AD136" s="10">
        <f>IF(OR($AC136="",인턴현황!$G$3=""),"",INDEX(인턴근무계획!$M$3:$R$62,$AC136,인턴현황!$G$3)&amp;"")</f>
        <v/>
      </c>
      <c r="AE136" s="10">
        <f>IF($B136="","",IF($M136&lt;&gt;"",$M136,IF($AF136&lt;&gt;"",IF(LEFT(INDEX(파견수련계획!$R$4:$R$83,$AF136),1)&lt;&gt;"⚠",INDEX(파견수련계획!$R$4:$R$83,$AF136),IF($H136="","",IF(RIGHT($H136,2)="병원",$H136,$H136&amp;"병원"))),IF($H136="","",IF(RIGHT($H136,2)="병원",$H136,$H136&amp;"병원")))))</f>
        <v/>
      </c>
      <c r="AF136" s="10">
        <f>IF(OR($B136="",TRIM($J136&amp;"")=""),"",IFERROR(MATCH(TRIM($J136&amp;"")&amp;"|파견중",파견수련계획!$Y$4:$Y$83,0),IFERROR(MATCH(TRIM($J136&amp;"")&amp;"|파견예정",파견수련계획!$Y$4:$Y$83,0),IFERROR(MATCH(TRIM($J136&amp;"")&amp;"|파견종료",파견수련계획!$Y$4:$Y$83,0),""))))</f>
        <v/>
      </c>
      <c r="AG136" s="10">
        <f>IF($B136="","",IF(AND(IF(OR($AC136="",인턴현황!$K$2=""),"",INDEX(인턴근무계획!$M$3:$R$62,$AC136,인턴현황!$K$2)&amp;"")&lt;&gt;"",LEFT(IF(OR($AC136="",인턴현황!$K$2=""),"",INDEX(인턴근무계획!$M$3:$R$62,$AC136,인턴현황!$K$2)&amp;""),1)&lt;&gt;"⚠"),LEFT(IF(OR($AC136="",인턴현황!$K$2=""),"",INDEX(인턴근무계획!$M$3:$R$62,$AC136,인턴현황!$K$2)&amp;""),FIND(" ",IF(OR($AC136="",인턴현황!$K$2=""),"",INDEX(인턴근무계획!$M$3:$R$62,$AC136,인턴현황!$K$2)&amp;""))-1),$AE136))</f>
        <v/>
      </c>
      <c r="AH136" s="17">
        <f>IF($B136="","",IF(TRIM($J136&amp;"")="",0,SUMPRODUCT((파견수련계획!$Q$4:$Q$83=TRIM($J136&amp;""))*(파견수련계획!$S$4:$S$83="서울병원")*파견수련계획!$W$4:$W$83))+IF($AG136="서울병원",MAX(0,DAY(EOMONTH(요약!$B$3,0))-N($X136)),0))</f>
        <v/>
      </c>
      <c r="AI136" s="17">
        <f>IF($B136="","",IF(TRIM($J136&amp;"")="",0,SUMPRODUCT((파견수련계획!$Q$4:$Q$83=TRIM($J136&amp;""))*(파견수련계획!$S$4:$S$83="구리병원")*파견수련계획!$W$4:$W$83))+IF($AG136="구리병원",MAX(0,DAY(EOMONTH(요약!$B$3,0))-N($X136)),0))</f>
        <v/>
      </c>
      <c r="AJ136" s="10">
        <f>IF(OR($B136="",TRIM($J136&amp;"")=""),"",IFERROR(MATCH(TRIM($J136&amp;"")&amp;"|월",파견수련계획!$Z$4:$Z$83,0),""))</f>
        <v/>
      </c>
      <c r="AK136" s="10">
        <f>IF(OR($B136="",TRIM($J136&amp;"")=""),"",IFERROR(MATCH(TRIM($J136&amp;"")&amp;"|다기관",파견수련계획!$AE$4:$AE$83,0),""))</f>
        <v/>
      </c>
      <c r="AL136" s="10">
        <f>IF($AK136="","","다기관 "&amp;TEXT(INDEX(파견수련계획!$AB$4:$AB$83,$AK136),"yyyy-mm-dd")&amp;"~"&amp;IF(ISNUMBER(INDEX(파견수련계획!$AC$4:$AC$83,$AK136)),TEXT(INDEX(파견수련계획!$AC$4:$AC$83,$AK136),"yyyy-mm-dd"),""))</f>
        <v/>
      </c>
    </row>
    <row r="137">
      <c r="A137" s="10">
        <f>IF(B137="","",ROW()-1)</f>
        <v/>
      </c>
      <c r="B137" s="18" t="n"/>
      <c r="C137" s="10">
        <f>IF($AB137="","",IF(INDEX(기본자료!$C$2:$C$1001,$AB137)="","",INDEX(기본자료!$C$2:$C$1001,$AB137)))</f>
        <v/>
      </c>
      <c r="D137" s="10">
        <f>IF($AB137="","",IF(INDEX(기본자료!$J$2:$J$1001,$AB137)="","",INDEX(기본자료!$J$2:$J$1001,$AB137)))</f>
        <v/>
      </c>
      <c r="E137" s="11">
        <f>IF($AB137="","",IF(INDEX(기본자료!$K$2:$K$1001,$AB137)="","",IF(NOT(ISNUMBER(INDEX(기본자료!$K$2:$K$1001,$AB137))),INDEX(기본자료!$K$2:$K$1001,$AB137),IF(INDEX(기본자료!$K$2:$K$1001,$AB137)&lt;1000000,INDEX(기본자료!$K$2:$K$1001,$AB137),IF(AND(INDEX(기본자료!$K$2:$K$1001,$AB137)&gt;=10000101,INT(MOD(INDEX(기본자료!$K$2:$K$1001,$AB137),10000)/100)&gt;=1,INT(MOD(INDEX(기본자료!$K$2:$K$1001,$AB137),10000)/100)&lt;=12,MOD(INDEX(기본자료!$K$2:$K$1001,$AB137),100)&gt;=1,MOD(INDEX(기본자료!$K$2:$K$1001,$AB137),100)&lt;=31),DATE(INT(INDEX(기본자료!$K$2:$K$1001,$AB137)/10000),INT(MOD(INDEX(기본자료!$K$2:$K$1001,$AB137),10000)/100),MOD(INDEX(기본자료!$K$2:$K$1001,$AB137),100)),INDEX(기본자료!$K$2:$K$1001,$AB137)&amp;"")))))</f>
        <v/>
      </c>
      <c r="F137" s="10">
        <f>IF($AB137="","",IF(INDEX(기본자료!$D$2:$D$1001,$AB137)="","",INDEX(기본자료!$D$2:$D$1001,$AB137)))</f>
        <v/>
      </c>
      <c r="G137" s="10">
        <f>IF($AB137="","",IF(INDEX(기본자료!$E$2:$E$1001,$AB137)="","",INDEX(기본자료!$E$2:$E$1001,$AB137)))</f>
        <v/>
      </c>
      <c r="H137" s="10">
        <f>IF($AB137="","",IF(INDEX(기본자료!$F$2:$F$1001,$AB137)="","",INDEX(기본자료!$F$2:$F$1001,$AB137)))</f>
        <v/>
      </c>
      <c r="I137" s="11">
        <f>IF($AB137="","",IF(INDEX(기본자료!$G$2:$G$1001,$AB137)="","",IF(NOT(ISNUMBER(INDEX(기본자료!$G$2:$G$1001,$AB137))),INDEX(기본자료!$G$2:$G$1001,$AB137),IF(INDEX(기본자료!$G$2:$G$1001,$AB137)&lt;1000000,INDEX(기본자료!$G$2:$G$1001,$AB137),IF(AND(INDEX(기본자료!$G$2:$G$1001,$AB137)&gt;=10000101,INT(MOD(INDEX(기본자료!$G$2:$G$1001,$AB137),10000)/100)&gt;=1,INT(MOD(INDEX(기본자료!$G$2:$G$1001,$AB137),10000)/100)&lt;=12,MOD(INDEX(기본자료!$G$2:$G$1001,$AB137),100)&gt;=1,MOD(INDEX(기본자료!$G$2:$G$1001,$AB137),100)&lt;=31),DATE(INT(INDEX(기본자료!$G$2:$G$1001,$AB137)/10000),INT(MOD(INDEX(기본자료!$G$2:$G$1001,$AB137),10000)/100),MOD(INDEX(기본자료!$G$2:$G$1001,$AB137),100)),INDEX(기본자료!$G$2:$G$1001,$AB137)&amp;"")))))</f>
        <v/>
      </c>
      <c r="J137" s="10">
        <f>IF($AB137="","",IF(INDEX(기본자료!$H$2:$H$1001,$AB137)="","",INDEX(기본자료!$H$2:$H$1001,$AB137)))</f>
        <v/>
      </c>
      <c r="K137" s="10">
        <f>IF($AB137="","",IF(INDEX(기본자료!$I$2:$I$1001,$AB137)="","",INDEX(기본자료!$I$2:$I$1001,$AB137)))</f>
        <v/>
      </c>
      <c r="L137" s="10">
        <f>IF($AB137="","",IF(INDEX(기본자료!$A$2:$A$1001,$AB137)="","",INDEX(기본자료!$A$2:$A$1001,$AB137)))</f>
        <v/>
      </c>
      <c r="M137" s="15" t="n"/>
      <c r="N137" s="10">
        <f>IF($B137="","",IF(AND($U137="파견중",$Q137&lt;&gt;""),$Q137,IF(AND($AD137&lt;&gt;"",LEFT($AD137,1)&lt;&gt;"⚠"),LEFT($AD137,FIND(" ",$AD137)-1),IF($H137="","",IF(RIGHT($H137,2)="병원",$H137,$H137&amp;"병원")))))</f>
        <v/>
      </c>
      <c r="O137" s="10">
        <f>IF($B137="","",IF(AND($U137="파견중",$Q137&lt;&gt;""),IF($R137&lt;&gt;"",$R137,"파견과 미입력"),IF(AND($AD137&lt;&gt;"",LEFT($AD137,1)&lt;&gt;"⚠"),MID($AD137,FIND(" ",$AD137)+1,60),IF($F137="","",IF($F137="인턴","수련교육부(인턴)",$F137)))))</f>
        <v/>
      </c>
      <c r="P137" s="10">
        <f>IF($B137="","",IF($AK137&lt;&gt;"",IF(AND(TODAY()&gt;=INDEX(파견수련계획!$AB$4:$AB$83,$AK137),OR(NOT(ISNUMBER(INDEX(파견수련계획!$AC$4:$AC$83,$AK137))),TODAY()&lt;=INDEX(파견수련계획!$AC$4:$AC$83,$AK137))),"다기관",IF($AF137="","",INDEX(파견수련계획!$T$4:$T$83,$AF137))),IF($AF137="","",INDEX(파견수련계획!$T$4:$T$83,$AF137))))</f>
        <v/>
      </c>
      <c r="Q137" s="10">
        <f>IF($AF137="","",INDEX(파견수련계획!$S$4:$S$83,$AF137))</f>
        <v/>
      </c>
      <c r="R137" s="10">
        <f>IF($AF137="","",INDEX(파견수련계획!$U$4:$U$83,$AF137))</f>
        <v/>
      </c>
      <c r="S137" s="11">
        <f>IF($AF137="","",IF(INDEX(파견수련계획!$H$4:$H$83,$AF137)="","",INDEX(파견수련계획!$H$4:$H$83,$AF137)))</f>
        <v/>
      </c>
      <c r="T137" s="11">
        <f>IF($AF137="","",IF(INDEX(파견수련계획!$I$4:$I$83,$AF137)="","",INDEX(파견수련계획!$I$4:$I$83,$AF137)))</f>
        <v/>
      </c>
      <c r="U137" s="10">
        <f>IF($AF137="","",INDEX(파견수련계획!$X$4:$X$83,$AF137))</f>
        <v/>
      </c>
      <c r="V137" s="17">
        <f>IF($AF137="","",INDEX(파견수련계획!$V$4:$V$83,$AF137))</f>
        <v/>
      </c>
      <c r="W137" s="17">
        <f>IF(AND($U137="파견중",$T137&lt;&gt;""),$T137-TODAY(),"")</f>
        <v/>
      </c>
      <c r="X137" s="17">
        <f>IF(OR($B137="",TRIM($J137&amp;"")=""),"",SUMPRODUCT((파견수련계획!$Q$4:$Q$83=TRIM($J137&amp;""))*파견수련계획!$W$4:$W$83))</f>
        <v/>
      </c>
      <c r="Y137" s="10">
        <f>IF($B137="","",IF($AG137="","",IF(IF(TRIM($J137&amp;"")="",0,SUMPRODUCT((파견수련계획!$Q$4:$Q$83=TRIM($J137&amp;""))*파견수련계획!$AD$4:$AD$83))&gt;0,$AE137,IF(N($X137)&lt;=0,$AG137,IF($AH137+$AI137=DAY(EOMONTH(요약!$B$3,0)),IF(AND($AH137&gt;=요약!$E$3,$AI137&lt;요약!$E$3),"서울병원",IF(AND($AI137&gt;=요약!$E$3,$AH137&lt;요약!$E$3),"구리병원","⚠15일 판정불가(서울 "&amp;$AH137&amp;"일/구리 "&amp;$AI137&amp;"일)")),IF($AJ137="",$AE137,IF(INDEX(파견수련계획!$T$4:$T$83,$AJ137)="통합수련",INDEX(파견수련계획!$S$4:$S$83,$AJ137),$AE137)))))))</f>
        <v/>
      </c>
      <c r="Z137" s="19">
        <f>IF($B137="","",IF($AB137="","기본자료에 없는 사번",IF(COUNTIF($B$2:$B$401,$B137)&gt;1,"중복 사번",IF($AE137="","소속(입사장소) 입력",IF(IF(TRIM($J137&amp;"")="",0,SUMPRODUCT((파견수련계획!$Q$4:$Q$83=TRIM($J137&amp;""))*(파견수련계획!$AA$4:$AA$83&lt;&gt;"")))&gt;0,"파견수련계획 입력오류 확인",IF(LEFT($Y137,1)="⚠","서울·구리 15일 판정 불가(양쪽 모두 이상/미만)",IF(IF($AC137="",0,N(INDEX(인턴근무계획!$T$3:$T$62,$AC137)))&gt;0,"인턴계획 입력오류 확인",IF(AND($AC137&lt;&gt;"",$U137&lt;&gt;"파견중",$N137&lt;&gt;$AE137),"인턴 타지역 근무: 파견 여부 확인","정상"))))))))</f>
        <v/>
      </c>
      <c r="AA137" s="5" t="n"/>
      <c r="AB137" s="10">
        <f>IF($B137="","",IFERROR(MATCH($B137,기본자료!$B$2:$B$1001,0),IFERROR(MATCH($B137&amp;"",기본자료!$B$2:$B$1001,0),IFERROR(MATCH(VALUE($B137),기본자료!$B$2:$B$1001,0),""))))</f>
        <v/>
      </c>
      <c r="AC137" s="10">
        <f>IF($B137="","",IFERROR(MATCH($B137,인턴근무계획!$D$3:$D$62,0),IFERROR(MATCH($B137&amp;"",인턴근무계획!$D$3:$D$62,0),IFERROR(MATCH(VALUE($B137),인턴근무계획!$D$3:$D$62,0),""))))</f>
        <v/>
      </c>
      <c r="AD137" s="10">
        <f>IF(OR($AC137="",인턴현황!$G$3=""),"",INDEX(인턴근무계획!$M$3:$R$62,$AC137,인턴현황!$G$3)&amp;"")</f>
        <v/>
      </c>
      <c r="AE137" s="10">
        <f>IF($B137="","",IF($M137&lt;&gt;"",$M137,IF($AF137&lt;&gt;"",IF(LEFT(INDEX(파견수련계획!$R$4:$R$83,$AF137),1)&lt;&gt;"⚠",INDEX(파견수련계획!$R$4:$R$83,$AF137),IF($H137="","",IF(RIGHT($H137,2)="병원",$H137,$H137&amp;"병원"))),IF($H137="","",IF(RIGHT($H137,2)="병원",$H137,$H137&amp;"병원")))))</f>
        <v/>
      </c>
      <c r="AF137" s="10">
        <f>IF(OR($B137="",TRIM($J137&amp;"")=""),"",IFERROR(MATCH(TRIM($J137&amp;"")&amp;"|파견중",파견수련계획!$Y$4:$Y$83,0),IFERROR(MATCH(TRIM($J137&amp;"")&amp;"|파견예정",파견수련계획!$Y$4:$Y$83,0),IFERROR(MATCH(TRIM($J137&amp;"")&amp;"|파견종료",파견수련계획!$Y$4:$Y$83,0),""))))</f>
        <v/>
      </c>
      <c r="AG137" s="10">
        <f>IF($B137="","",IF(AND(IF(OR($AC137="",인턴현황!$K$2=""),"",INDEX(인턴근무계획!$M$3:$R$62,$AC137,인턴현황!$K$2)&amp;"")&lt;&gt;"",LEFT(IF(OR($AC137="",인턴현황!$K$2=""),"",INDEX(인턴근무계획!$M$3:$R$62,$AC137,인턴현황!$K$2)&amp;""),1)&lt;&gt;"⚠"),LEFT(IF(OR($AC137="",인턴현황!$K$2=""),"",INDEX(인턴근무계획!$M$3:$R$62,$AC137,인턴현황!$K$2)&amp;""),FIND(" ",IF(OR($AC137="",인턴현황!$K$2=""),"",INDEX(인턴근무계획!$M$3:$R$62,$AC137,인턴현황!$K$2)&amp;""))-1),$AE137))</f>
        <v/>
      </c>
      <c r="AH137" s="17">
        <f>IF($B137="","",IF(TRIM($J137&amp;"")="",0,SUMPRODUCT((파견수련계획!$Q$4:$Q$83=TRIM($J137&amp;""))*(파견수련계획!$S$4:$S$83="서울병원")*파견수련계획!$W$4:$W$83))+IF($AG137="서울병원",MAX(0,DAY(EOMONTH(요약!$B$3,0))-N($X137)),0))</f>
        <v/>
      </c>
      <c r="AI137" s="17">
        <f>IF($B137="","",IF(TRIM($J137&amp;"")="",0,SUMPRODUCT((파견수련계획!$Q$4:$Q$83=TRIM($J137&amp;""))*(파견수련계획!$S$4:$S$83="구리병원")*파견수련계획!$W$4:$W$83))+IF($AG137="구리병원",MAX(0,DAY(EOMONTH(요약!$B$3,0))-N($X137)),0))</f>
        <v/>
      </c>
      <c r="AJ137" s="10">
        <f>IF(OR($B137="",TRIM($J137&amp;"")=""),"",IFERROR(MATCH(TRIM($J137&amp;"")&amp;"|월",파견수련계획!$Z$4:$Z$83,0),""))</f>
        <v/>
      </c>
      <c r="AK137" s="10">
        <f>IF(OR($B137="",TRIM($J137&amp;"")=""),"",IFERROR(MATCH(TRIM($J137&amp;"")&amp;"|다기관",파견수련계획!$AE$4:$AE$83,0),""))</f>
        <v/>
      </c>
      <c r="AL137" s="10">
        <f>IF($AK137="","","다기관 "&amp;TEXT(INDEX(파견수련계획!$AB$4:$AB$83,$AK137),"yyyy-mm-dd")&amp;"~"&amp;IF(ISNUMBER(INDEX(파견수련계획!$AC$4:$AC$83,$AK137)),TEXT(INDEX(파견수련계획!$AC$4:$AC$83,$AK137),"yyyy-mm-dd"),""))</f>
        <v/>
      </c>
    </row>
    <row r="138">
      <c r="A138" s="10">
        <f>IF(B138="","",ROW()-1)</f>
        <v/>
      </c>
      <c r="B138" s="18" t="n"/>
      <c r="C138" s="10">
        <f>IF($AB138="","",IF(INDEX(기본자료!$C$2:$C$1001,$AB138)="","",INDEX(기본자료!$C$2:$C$1001,$AB138)))</f>
        <v/>
      </c>
      <c r="D138" s="10">
        <f>IF($AB138="","",IF(INDEX(기본자료!$J$2:$J$1001,$AB138)="","",INDEX(기본자료!$J$2:$J$1001,$AB138)))</f>
        <v/>
      </c>
      <c r="E138" s="11">
        <f>IF($AB138="","",IF(INDEX(기본자료!$K$2:$K$1001,$AB138)="","",IF(NOT(ISNUMBER(INDEX(기본자료!$K$2:$K$1001,$AB138))),INDEX(기본자료!$K$2:$K$1001,$AB138),IF(INDEX(기본자료!$K$2:$K$1001,$AB138)&lt;1000000,INDEX(기본자료!$K$2:$K$1001,$AB138),IF(AND(INDEX(기본자료!$K$2:$K$1001,$AB138)&gt;=10000101,INT(MOD(INDEX(기본자료!$K$2:$K$1001,$AB138),10000)/100)&gt;=1,INT(MOD(INDEX(기본자료!$K$2:$K$1001,$AB138),10000)/100)&lt;=12,MOD(INDEX(기본자료!$K$2:$K$1001,$AB138),100)&gt;=1,MOD(INDEX(기본자료!$K$2:$K$1001,$AB138),100)&lt;=31),DATE(INT(INDEX(기본자료!$K$2:$K$1001,$AB138)/10000),INT(MOD(INDEX(기본자료!$K$2:$K$1001,$AB138),10000)/100),MOD(INDEX(기본자료!$K$2:$K$1001,$AB138),100)),INDEX(기본자료!$K$2:$K$1001,$AB138)&amp;"")))))</f>
        <v/>
      </c>
      <c r="F138" s="10">
        <f>IF($AB138="","",IF(INDEX(기본자료!$D$2:$D$1001,$AB138)="","",INDEX(기본자료!$D$2:$D$1001,$AB138)))</f>
        <v/>
      </c>
      <c r="G138" s="10">
        <f>IF($AB138="","",IF(INDEX(기본자료!$E$2:$E$1001,$AB138)="","",INDEX(기본자료!$E$2:$E$1001,$AB138)))</f>
        <v/>
      </c>
      <c r="H138" s="10">
        <f>IF($AB138="","",IF(INDEX(기본자료!$F$2:$F$1001,$AB138)="","",INDEX(기본자료!$F$2:$F$1001,$AB138)))</f>
        <v/>
      </c>
      <c r="I138" s="11">
        <f>IF($AB138="","",IF(INDEX(기본자료!$G$2:$G$1001,$AB138)="","",IF(NOT(ISNUMBER(INDEX(기본자료!$G$2:$G$1001,$AB138))),INDEX(기본자료!$G$2:$G$1001,$AB138),IF(INDEX(기본자료!$G$2:$G$1001,$AB138)&lt;1000000,INDEX(기본자료!$G$2:$G$1001,$AB138),IF(AND(INDEX(기본자료!$G$2:$G$1001,$AB138)&gt;=10000101,INT(MOD(INDEX(기본자료!$G$2:$G$1001,$AB138),10000)/100)&gt;=1,INT(MOD(INDEX(기본자료!$G$2:$G$1001,$AB138),10000)/100)&lt;=12,MOD(INDEX(기본자료!$G$2:$G$1001,$AB138),100)&gt;=1,MOD(INDEX(기본자료!$G$2:$G$1001,$AB138),100)&lt;=31),DATE(INT(INDEX(기본자료!$G$2:$G$1001,$AB138)/10000),INT(MOD(INDEX(기본자료!$G$2:$G$1001,$AB138),10000)/100),MOD(INDEX(기본자료!$G$2:$G$1001,$AB138),100)),INDEX(기본자료!$G$2:$G$1001,$AB138)&amp;"")))))</f>
        <v/>
      </c>
      <c r="J138" s="10">
        <f>IF($AB138="","",IF(INDEX(기본자료!$H$2:$H$1001,$AB138)="","",INDEX(기본자료!$H$2:$H$1001,$AB138)))</f>
        <v/>
      </c>
      <c r="K138" s="10">
        <f>IF($AB138="","",IF(INDEX(기본자료!$I$2:$I$1001,$AB138)="","",INDEX(기본자료!$I$2:$I$1001,$AB138)))</f>
        <v/>
      </c>
      <c r="L138" s="10">
        <f>IF($AB138="","",IF(INDEX(기본자료!$A$2:$A$1001,$AB138)="","",INDEX(기본자료!$A$2:$A$1001,$AB138)))</f>
        <v/>
      </c>
      <c r="M138" s="15" t="n"/>
      <c r="N138" s="10">
        <f>IF($B138="","",IF(AND($U138="파견중",$Q138&lt;&gt;""),$Q138,IF(AND($AD138&lt;&gt;"",LEFT($AD138,1)&lt;&gt;"⚠"),LEFT($AD138,FIND(" ",$AD138)-1),IF($H138="","",IF(RIGHT($H138,2)="병원",$H138,$H138&amp;"병원")))))</f>
        <v/>
      </c>
      <c r="O138" s="10">
        <f>IF($B138="","",IF(AND($U138="파견중",$Q138&lt;&gt;""),IF($R138&lt;&gt;"",$R138,"파견과 미입력"),IF(AND($AD138&lt;&gt;"",LEFT($AD138,1)&lt;&gt;"⚠"),MID($AD138,FIND(" ",$AD138)+1,60),IF($F138="","",IF($F138="인턴","수련교육부(인턴)",$F138)))))</f>
        <v/>
      </c>
      <c r="P138" s="10">
        <f>IF($B138="","",IF($AK138&lt;&gt;"",IF(AND(TODAY()&gt;=INDEX(파견수련계획!$AB$4:$AB$83,$AK138),OR(NOT(ISNUMBER(INDEX(파견수련계획!$AC$4:$AC$83,$AK138))),TODAY()&lt;=INDEX(파견수련계획!$AC$4:$AC$83,$AK138))),"다기관",IF($AF138="","",INDEX(파견수련계획!$T$4:$T$83,$AF138))),IF($AF138="","",INDEX(파견수련계획!$T$4:$T$83,$AF138))))</f>
        <v/>
      </c>
      <c r="Q138" s="10">
        <f>IF($AF138="","",INDEX(파견수련계획!$S$4:$S$83,$AF138))</f>
        <v/>
      </c>
      <c r="R138" s="10">
        <f>IF($AF138="","",INDEX(파견수련계획!$U$4:$U$83,$AF138))</f>
        <v/>
      </c>
      <c r="S138" s="11">
        <f>IF($AF138="","",IF(INDEX(파견수련계획!$H$4:$H$83,$AF138)="","",INDEX(파견수련계획!$H$4:$H$83,$AF138)))</f>
        <v/>
      </c>
      <c r="T138" s="11">
        <f>IF($AF138="","",IF(INDEX(파견수련계획!$I$4:$I$83,$AF138)="","",INDEX(파견수련계획!$I$4:$I$83,$AF138)))</f>
        <v/>
      </c>
      <c r="U138" s="10">
        <f>IF($AF138="","",INDEX(파견수련계획!$X$4:$X$83,$AF138))</f>
        <v/>
      </c>
      <c r="V138" s="17">
        <f>IF($AF138="","",INDEX(파견수련계획!$V$4:$V$83,$AF138))</f>
        <v/>
      </c>
      <c r="W138" s="17">
        <f>IF(AND($U138="파견중",$T138&lt;&gt;""),$T138-TODAY(),"")</f>
        <v/>
      </c>
      <c r="X138" s="17">
        <f>IF(OR($B138="",TRIM($J138&amp;"")=""),"",SUMPRODUCT((파견수련계획!$Q$4:$Q$83=TRIM($J138&amp;""))*파견수련계획!$W$4:$W$83))</f>
        <v/>
      </c>
      <c r="Y138" s="10">
        <f>IF($B138="","",IF($AG138="","",IF(IF(TRIM($J138&amp;"")="",0,SUMPRODUCT((파견수련계획!$Q$4:$Q$83=TRIM($J138&amp;""))*파견수련계획!$AD$4:$AD$83))&gt;0,$AE138,IF(N($X138)&lt;=0,$AG138,IF($AH138+$AI138=DAY(EOMONTH(요약!$B$3,0)),IF(AND($AH138&gt;=요약!$E$3,$AI138&lt;요약!$E$3),"서울병원",IF(AND($AI138&gt;=요약!$E$3,$AH138&lt;요약!$E$3),"구리병원","⚠15일 판정불가(서울 "&amp;$AH138&amp;"일/구리 "&amp;$AI138&amp;"일)")),IF($AJ138="",$AE138,IF(INDEX(파견수련계획!$T$4:$T$83,$AJ138)="통합수련",INDEX(파견수련계획!$S$4:$S$83,$AJ138),$AE138)))))))</f>
        <v/>
      </c>
      <c r="Z138" s="19">
        <f>IF($B138="","",IF($AB138="","기본자료에 없는 사번",IF(COUNTIF($B$2:$B$401,$B138)&gt;1,"중복 사번",IF($AE138="","소속(입사장소) 입력",IF(IF(TRIM($J138&amp;"")="",0,SUMPRODUCT((파견수련계획!$Q$4:$Q$83=TRIM($J138&amp;""))*(파견수련계획!$AA$4:$AA$83&lt;&gt;"")))&gt;0,"파견수련계획 입력오류 확인",IF(LEFT($Y138,1)="⚠","서울·구리 15일 판정 불가(양쪽 모두 이상/미만)",IF(IF($AC138="",0,N(INDEX(인턴근무계획!$T$3:$T$62,$AC138)))&gt;0,"인턴계획 입력오류 확인",IF(AND($AC138&lt;&gt;"",$U138&lt;&gt;"파견중",$N138&lt;&gt;$AE138),"인턴 타지역 근무: 파견 여부 확인","정상"))))))))</f>
        <v/>
      </c>
      <c r="AA138" s="5" t="n"/>
      <c r="AB138" s="10">
        <f>IF($B138="","",IFERROR(MATCH($B138,기본자료!$B$2:$B$1001,0),IFERROR(MATCH($B138&amp;"",기본자료!$B$2:$B$1001,0),IFERROR(MATCH(VALUE($B138),기본자료!$B$2:$B$1001,0),""))))</f>
        <v/>
      </c>
      <c r="AC138" s="10">
        <f>IF($B138="","",IFERROR(MATCH($B138,인턴근무계획!$D$3:$D$62,0),IFERROR(MATCH($B138&amp;"",인턴근무계획!$D$3:$D$62,0),IFERROR(MATCH(VALUE($B138),인턴근무계획!$D$3:$D$62,0),""))))</f>
        <v/>
      </c>
      <c r="AD138" s="10">
        <f>IF(OR($AC138="",인턴현황!$G$3=""),"",INDEX(인턴근무계획!$M$3:$R$62,$AC138,인턴현황!$G$3)&amp;"")</f>
        <v/>
      </c>
      <c r="AE138" s="10">
        <f>IF($B138="","",IF($M138&lt;&gt;"",$M138,IF($AF138&lt;&gt;"",IF(LEFT(INDEX(파견수련계획!$R$4:$R$83,$AF138),1)&lt;&gt;"⚠",INDEX(파견수련계획!$R$4:$R$83,$AF138),IF($H138="","",IF(RIGHT($H138,2)="병원",$H138,$H138&amp;"병원"))),IF($H138="","",IF(RIGHT($H138,2)="병원",$H138,$H138&amp;"병원")))))</f>
        <v/>
      </c>
      <c r="AF138" s="10">
        <f>IF(OR($B138="",TRIM($J138&amp;"")=""),"",IFERROR(MATCH(TRIM($J138&amp;"")&amp;"|파견중",파견수련계획!$Y$4:$Y$83,0),IFERROR(MATCH(TRIM($J138&amp;"")&amp;"|파견예정",파견수련계획!$Y$4:$Y$83,0),IFERROR(MATCH(TRIM($J138&amp;"")&amp;"|파견종료",파견수련계획!$Y$4:$Y$83,0),""))))</f>
        <v/>
      </c>
      <c r="AG138" s="10">
        <f>IF($B138="","",IF(AND(IF(OR($AC138="",인턴현황!$K$2=""),"",INDEX(인턴근무계획!$M$3:$R$62,$AC138,인턴현황!$K$2)&amp;"")&lt;&gt;"",LEFT(IF(OR($AC138="",인턴현황!$K$2=""),"",INDEX(인턴근무계획!$M$3:$R$62,$AC138,인턴현황!$K$2)&amp;""),1)&lt;&gt;"⚠"),LEFT(IF(OR($AC138="",인턴현황!$K$2=""),"",INDEX(인턴근무계획!$M$3:$R$62,$AC138,인턴현황!$K$2)&amp;""),FIND(" ",IF(OR($AC138="",인턴현황!$K$2=""),"",INDEX(인턴근무계획!$M$3:$R$62,$AC138,인턴현황!$K$2)&amp;""))-1),$AE138))</f>
        <v/>
      </c>
      <c r="AH138" s="17">
        <f>IF($B138="","",IF(TRIM($J138&amp;"")="",0,SUMPRODUCT((파견수련계획!$Q$4:$Q$83=TRIM($J138&amp;""))*(파견수련계획!$S$4:$S$83="서울병원")*파견수련계획!$W$4:$W$83))+IF($AG138="서울병원",MAX(0,DAY(EOMONTH(요약!$B$3,0))-N($X138)),0))</f>
        <v/>
      </c>
      <c r="AI138" s="17">
        <f>IF($B138="","",IF(TRIM($J138&amp;"")="",0,SUMPRODUCT((파견수련계획!$Q$4:$Q$83=TRIM($J138&amp;""))*(파견수련계획!$S$4:$S$83="구리병원")*파견수련계획!$W$4:$W$83))+IF($AG138="구리병원",MAX(0,DAY(EOMONTH(요약!$B$3,0))-N($X138)),0))</f>
        <v/>
      </c>
      <c r="AJ138" s="10">
        <f>IF(OR($B138="",TRIM($J138&amp;"")=""),"",IFERROR(MATCH(TRIM($J138&amp;"")&amp;"|월",파견수련계획!$Z$4:$Z$83,0),""))</f>
        <v/>
      </c>
      <c r="AK138" s="10">
        <f>IF(OR($B138="",TRIM($J138&amp;"")=""),"",IFERROR(MATCH(TRIM($J138&amp;"")&amp;"|다기관",파견수련계획!$AE$4:$AE$83,0),""))</f>
        <v/>
      </c>
      <c r="AL138" s="10">
        <f>IF($AK138="","","다기관 "&amp;TEXT(INDEX(파견수련계획!$AB$4:$AB$83,$AK138),"yyyy-mm-dd")&amp;"~"&amp;IF(ISNUMBER(INDEX(파견수련계획!$AC$4:$AC$83,$AK138)),TEXT(INDEX(파견수련계획!$AC$4:$AC$83,$AK138),"yyyy-mm-dd"),""))</f>
        <v/>
      </c>
    </row>
    <row r="139">
      <c r="A139" s="10">
        <f>IF(B139="","",ROW()-1)</f>
        <v/>
      </c>
      <c r="B139" s="18" t="n"/>
      <c r="C139" s="10">
        <f>IF($AB139="","",IF(INDEX(기본자료!$C$2:$C$1001,$AB139)="","",INDEX(기본자료!$C$2:$C$1001,$AB139)))</f>
        <v/>
      </c>
      <c r="D139" s="10">
        <f>IF($AB139="","",IF(INDEX(기본자료!$J$2:$J$1001,$AB139)="","",INDEX(기본자료!$J$2:$J$1001,$AB139)))</f>
        <v/>
      </c>
      <c r="E139" s="11">
        <f>IF($AB139="","",IF(INDEX(기본자료!$K$2:$K$1001,$AB139)="","",IF(NOT(ISNUMBER(INDEX(기본자료!$K$2:$K$1001,$AB139))),INDEX(기본자료!$K$2:$K$1001,$AB139),IF(INDEX(기본자료!$K$2:$K$1001,$AB139)&lt;1000000,INDEX(기본자료!$K$2:$K$1001,$AB139),IF(AND(INDEX(기본자료!$K$2:$K$1001,$AB139)&gt;=10000101,INT(MOD(INDEX(기본자료!$K$2:$K$1001,$AB139),10000)/100)&gt;=1,INT(MOD(INDEX(기본자료!$K$2:$K$1001,$AB139),10000)/100)&lt;=12,MOD(INDEX(기본자료!$K$2:$K$1001,$AB139),100)&gt;=1,MOD(INDEX(기본자료!$K$2:$K$1001,$AB139),100)&lt;=31),DATE(INT(INDEX(기본자료!$K$2:$K$1001,$AB139)/10000),INT(MOD(INDEX(기본자료!$K$2:$K$1001,$AB139),10000)/100),MOD(INDEX(기본자료!$K$2:$K$1001,$AB139),100)),INDEX(기본자료!$K$2:$K$1001,$AB139)&amp;"")))))</f>
        <v/>
      </c>
      <c r="F139" s="10">
        <f>IF($AB139="","",IF(INDEX(기본자료!$D$2:$D$1001,$AB139)="","",INDEX(기본자료!$D$2:$D$1001,$AB139)))</f>
        <v/>
      </c>
      <c r="G139" s="10">
        <f>IF($AB139="","",IF(INDEX(기본자료!$E$2:$E$1001,$AB139)="","",INDEX(기본자료!$E$2:$E$1001,$AB139)))</f>
        <v/>
      </c>
      <c r="H139" s="10">
        <f>IF($AB139="","",IF(INDEX(기본자료!$F$2:$F$1001,$AB139)="","",INDEX(기본자료!$F$2:$F$1001,$AB139)))</f>
        <v/>
      </c>
      <c r="I139" s="11">
        <f>IF($AB139="","",IF(INDEX(기본자료!$G$2:$G$1001,$AB139)="","",IF(NOT(ISNUMBER(INDEX(기본자료!$G$2:$G$1001,$AB139))),INDEX(기본자료!$G$2:$G$1001,$AB139),IF(INDEX(기본자료!$G$2:$G$1001,$AB139)&lt;1000000,INDEX(기본자료!$G$2:$G$1001,$AB139),IF(AND(INDEX(기본자료!$G$2:$G$1001,$AB139)&gt;=10000101,INT(MOD(INDEX(기본자료!$G$2:$G$1001,$AB139),10000)/100)&gt;=1,INT(MOD(INDEX(기본자료!$G$2:$G$1001,$AB139),10000)/100)&lt;=12,MOD(INDEX(기본자료!$G$2:$G$1001,$AB139),100)&gt;=1,MOD(INDEX(기본자료!$G$2:$G$1001,$AB139),100)&lt;=31),DATE(INT(INDEX(기본자료!$G$2:$G$1001,$AB139)/10000),INT(MOD(INDEX(기본자료!$G$2:$G$1001,$AB139),10000)/100),MOD(INDEX(기본자료!$G$2:$G$1001,$AB139),100)),INDEX(기본자료!$G$2:$G$1001,$AB139)&amp;"")))))</f>
        <v/>
      </c>
      <c r="J139" s="10">
        <f>IF($AB139="","",IF(INDEX(기본자료!$H$2:$H$1001,$AB139)="","",INDEX(기본자료!$H$2:$H$1001,$AB139)))</f>
        <v/>
      </c>
      <c r="K139" s="10">
        <f>IF($AB139="","",IF(INDEX(기본자료!$I$2:$I$1001,$AB139)="","",INDEX(기본자료!$I$2:$I$1001,$AB139)))</f>
        <v/>
      </c>
      <c r="L139" s="10">
        <f>IF($AB139="","",IF(INDEX(기본자료!$A$2:$A$1001,$AB139)="","",INDEX(기본자료!$A$2:$A$1001,$AB139)))</f>
        <v/>
      </c>
      <c r="M139" s="15" t="n"/>
      <c r="N139" s="10">
        <f>IF($B139="","",IF(AND($U139="파견중",$Q139&lt;&gt;""),$Q139,IF(AND($AD139&lt;&gt;"",LEFT($AD139,1)&lt;&gt;"⚠"),LEFT($AD139,FIND(" ",$AD139)-1),IF($H139="","",IF(RIGHT($H139,2)="병원",$H139,$H139&amp;"병원")))))</f>
        <v/>
      </c>
      <c r="O139" s="10">
        <f>IF($B139="","",IF(AND($U139="파견중",$Q139&lt;&gt;""),IF($R139&lt;&gt;"",$R139,"파견과 미입력"),IF(AND($AD139&lt;&gt;"",LEFT($AD139,1)&lt;&gt;"⚠"),MID($AD139,FIND(" ",$AD139)+1,60),IF($F139="","",IF($F139="인턴","수련교육부(인턴)",$F139)))))</f>
        <v/>
      </c>
      <c r="P139" s="10">
        <f>IF($B139="","",IF($AK139&lt;&gt;"",IF(AND(TODAY()&gt;=INDEX(파견수련계획!$AB$4:$AB$83,$AK139),OR(NOT(ISNUMBER(INDEX(파견수련계획!$AC$4:$AC$83,$AK139))),TODAY()&lt;=INDEX(파견수련계획!$AC$4:$AC$83,$AK139))),"다기관",IF($AF139="","",INDEX(파견수련계획!$T$4:$T$83,$AF139))),IF($AF139="","",INDEX(파견수련계획!$T$4:$T$83,$AF139))))</f>
        <v/>
      </c>
      <c r="Q139" s="10">
        <f>IF($AF139="","",INDEX(파견수련계획!$S$4:$S$83,$AF139))</f>
        <v/>
      </c>
      <c r="R139" s="10">
        <f>IF($AF139="","",INDEX(파견수련계획!$U$4:$U$83,$AF139))</f>
        <v/>
      </c>
      <c r="S139" s="11">
        <f>IF($AF139="","",IF(INDEX(파견수련계획!$H$4:$H$83,$AF139)="","",INDEX(파견수련계획!$H$4:$H$83,$AF139)))</f>
        <v/>
      </c>
      <c r="T139" s="11">
        <f>IF($AF139="","",IF(INDEX(파견수련계획!$I$4:$I$83,$AF139)="","",INDEX(파견수련계획!$I$4:$I$83,$AF139)))</f>
        <v/>
      </c>
      <c r="U139" s="10">
        <f>IF($AF139="","",INDEX(파견수련계획!$X$4:$X$83,$AF139))</f>
        <v/>
      </c>
      <c r="V139" s="17">
        <f>IF($AF139="","",INDEX(파견수련계획!$V$4:$V$83,$AF139))</f>
        <v/>
      </c>
      <c r="W139" s="17">
        <f>IF(AND($U139="파견중",$T139&lt;&gt;""),$T139-TODAY(),"")</f>
        <v/>
      </c>
      <c r="X139" s="17">
        <f>IF(OR($B139="",TRIM($J139&amp;"")=""),"",SUMPRODUCT((파견수련계획!$Q$4:$Q$83=TRIM($J139&amp;""))*파견수련계획!$W$4:$W$83))</f>
        <v/>
      </c>
      <c r="Y139" s="10">
        <f>IF($B139="","",IF($AG139="","",IF(IF(TRIM($J139&amp;"")="",0,SUMPRODUCT((파견수련계획!$Q$4:$Q$83=TRIM($J139&amp;""))*파견수련계획!$AD$4:$AD$83))&gt;0,$AE139,IF(N($X139)&lt;=0,$AG139,IF($AH139+$AI139=DAY(EOMONTH(요약!$B$3,0)),IF(AND($AH139&gt;=요약!$E$3,$AI139&lt;요약!$E$3),"서울병원",IF(AND($AI139&gt;=요약!$E$3,$AH139&lt;요약!$E$3),"구리병원","⚠15일 판정불가(서울 "&amp;$AH139&amp;"일/구리 "&amp;$AI139&amp;"일)")),IF($AJ139="",$AE139,IF(INDEX(파견수련계획!$T$4:$T$83,$AJ139)="통합수련",INDEX(파견수련계획!$S$4:$S$83,$AJ139),$AE139)))))))</f>
        <v/>
      </c>
      <c r="Z139" s="19">
        <f>IF($B139="","",IF($AB139="","기본자료에 없는 사번",IF(COUNTIF($B$2:$B$401,$B139)&gt;1,"중복 사번",IF($AE139="","소속(입사장소) 입력",IF(IF(TRIM($J139&amp;"")="",0,SUMPRODUCT((파견수련계획!$Q$4:$Q$83=TRIM($J139&amp;""))*(파견수련계획!$AA$4:$AA$83&lt;&gt;"")))&gt;0,"파견수련계획 입력오류 확인",IF(LEFT($Y139,1)="⚠","서울·구리 15일 판정 불가(양쪽 모두 이상/미만)",IF(IF($AC139="",0,N(INDEX(인턴근무계획!$T$3:$T$62,$AC139)))&gt;0,"인턴계획 입력오류 확인",IF(AND($AC139&lt;&gt;"",$U139&lt;&gt;"파견중",$N139&lt;&gt;$AE139),"인턴 타지역 근무: 파견 여부 확인","정상"))))))))</f>
        <v/>
      </c>
      <c r="AA139" s="5" t="n"/>
      <c r="AB139" s="10">
        <f>IF($B139="","",IFERROR(MATCH($B139,기본자료!$B$2:$B$1001,0),IFERROR(MATCH($B139&amp;"",기본자료!$B$2:$B$1001,0),IFERROR(MATCH(VALUE($B139),기본자료!$B$2:$B$1001,0),""))))</f>
        <v/>
      </c>
      <c r="AC139" s="10">
        <f>IF($B139="","",IFERROR(MATCH($B139,인턴근무계획!$D$3:$D$62,0),IFERROR(MATCH($B139&amp;"",인턴근무계획!$D$3:$D$62,0),IFERROR(MATCH(VALUE($B139),인턴근무계획!$D$3:$D$62,0),""))))</f>
        <v/>
      </c>
      <c r="AD139" s="10">
        <f>IF(OR($AC139="",인턴현황!$G$3=""),"",INDEX(인턴근무계획!$M$3:$R$62,$AC139,인턴현황!$G$3)&amp;"")</f>
        <v/>
      </c>
      <c r="AE139" s="10">
        <f>IF($B139="","",IF($M139&lt;&gt;"",$M139,IF($AF139&lt;&gt;"",IF(LEFT(INDEX(파견수련계획!$R$4:$R$83,$AF139),1)&lt;&gt;"⚠",INDEX(파견수련계획!$R$4:$R$83,$AF139),IF($H139="","",IF(RIGHT($H139,2)="병원",$H139,$H139&amp;"병원"))),IF($H139="","",IF(RIGHT($H139,2)="병원",$H139,$H139&amp;"병원")))))</f>
        <v/>
      </c>
      <c r="AF139" s="10">
        <f>IF(OR($B139="",TRIM($J139&amp;"")=""),"",IFERROR(MATCH(TRIM($J139&amp;"")&amp;"|파견중",파견수련계획!$Y$4:$Y$83,0),IFERROR(MATCH(TRIM($J139&amp;"")&amp;"|파견예정",파견수련계획!$Y$4:$Y$83,0),IFERROR(MATCH(TRIM($J139&amp;"")&amp;"|파견종료",파견수련계획!$Y$4:$Y$83,0),""))))</f>
        <v/>
      </c>
      <c r="AG139" s="10">
        <f>IF($B139="","",IF(AND(IF(OR($AC139="",인턴현황!$K$2=""),"",INDEX(인턴근무계획!$M$3:$R$62,$AC139,인턴현황!$K$2)&amp;"")&lt;&gt;"",LEFT(IF(OR($AC139="",인턴현황!$K$2=""),"",INDEX(인턴근무계획!$M$3:$R$62,$AC139,인턴현황!$K$2)&amp;""),1)&lt;&gt;"⚠"),LEFT(IF(OR($AC139="",인턴현황!$K$2=""),"",INDEX(인턴근무계획!$M$3:$R$62,$AC139,인턴현황!$K$2)&amp;""),FIND(" ",IF(OR($AC139="",인턴현황!$K$2=""),"",INDEX(인턴근무계획!$M$3:$R$62,$AC139,인턴현황!$K$2)&amp;""))-1),$AE139))</f>
        <v/>
      </c>
      <c r="AH139" s="17">
        <f>IF($B139="","",IF(TRIM($J139&amp;"")="",0,SUMPRODUCT((파견수련계획!$Q$4:$Q$83=TRIM($J139&amp;""))*(파견수련계획!$S$4:$S$83="서울병원")*파견수련계획!$W$4:$W$83))+IF($AG139="서울병원",MAX(0,DAY(EOMONTH(요약!$B$3,0))-N($X139)),0))</f>
        <v/>
      </c>
      <c r="AI139" s="17">
        <f>IF($B139="","",IF(TRIM($J139&amp;"")="",0,SUMPRODUCT((파견수련계획!$Q$4:$Q$83=TRIM($J139&amp;""))*(파견수련계획!$S$4:$S$83="구리병원")*파견수련계획!$W$4:$W$83))+IF($AG139="구리병원",MAX(0,DAY(EOMONTH(요약!$B$3,0))-N($X139)),0))</f>
        <v/>
      </c>
      <c r="AJ139" s="10">
        <f>IF(OR($B139="",TRIM($J139&amp;"")=""),"",IFERROR(MATCH(TRIM($J139&amp;"")&amp;"|월",파견수련계획!$Z$4:$Z$83,0),""))</f>
        <v/>
      </c>
      <c r="AK139" s="10">
        <f>IF(OR($B139="",TRIM($J139&amp;"")=""),"",IFERROR(MATCH(TRIM($J139&amp;"")&amp;"|다기관",파견수련계획!$AE$4:$AE$83,0),""))</f>
        <v/>
      </c>
      <c r="AL139" s="10">
        <f>IF($AK139="","","다기관 "&amp;TEXT(INDEX(파견수련계획!$AB$4:$AB$83,$AK139),"yyyy-mm-dd")&amp;"~"&amp;IF(ISNUMBER(INDEX(파견수련계획!$AC$4:$AC$83,$AK139)),TEXT(INDEX(파견수련계획!$AC$4:$AC$83,$AK139),"yyyy-mm-dd"),""))</f>
        <v/>
      </c>
    </row>
    <row r="140">
      <c r="A140" s="10">
        <f>IF(B140="","",ROW()-1)</f>
        <v/>
      </c>
      <c r="B140" s="18" t="n"/>
      <c r="C140" s="10">
        <f>IF($AB140="","",IF(INDEX(기본자료!$C$2:$C$1001,$AB140)="","",INDEX(기본자료!$C$2:$C$1001,$AB140)))</f>
        <v/>
      </c>
      <c r="D140" s="10">
        <f>IF($AB140="","",IF(INDEX(기본자료!$J$2:$J$1001,$AB140)="","",INDEX(기본자료!$J$2:$J$1001,$AB140)))</f>
        <v/>
      </c>
      <c r="E140" s="11">
        <f>IF($AB140="","",IF(INDEX(기본자료!$K$2:$K$1001,$AB140)="","",IF(NOT(ISNUMBER(INDEX(기본자료!$K$2:$K$1001,$AB140))),INDEX(기본자료!$K$2:$K$1001,$AB140),IF(INDEX(기본자료!$K$2:$K$1001,$AB140)&lt;1000000,INDEX(기본자료!$K$2:$K$1001,$AB140),IF(AND(INDEX(기본자료!$K$2:$K$1001,$AB140)&gt;=10000101,INT(MOD(INDEX(기본자료!$K$2:$K$1001,$AB140),10000)/100)&gt;=1,INT(MOD(INDEX(기본자료!$K$2:$K$1001,$AB140),10000)/100)&lt;=12,MOD(INDEX(기본자료!$K$2:$K$1001,$AB140),100)&gt;=1,MOD(INDEX(기본자료!$K$2:$K$1001,$AB140),100)&lt;=31),DATE(INT(INDEX(기본자료!$K$2:$K$1001,$AB140)/10000),INT(MOD(INDEX(기본자료!$K$2:$K$1001,$AB140),10000)/100),MOD(INDEX(기본자료!$K$2:$K$1001,$AB140),100)),INDEX(기본자료!$K$2:$K$1001,$AB140)&amp;"")))))</f>
        <v/>
      </c>
      <c r="F140" s="10">
        <f>IF($AB140="","",IF(INDEX(기본자료!$D$2:$D$1001,$AB140)="","",INDEX(기본자료!$D$2:$D$1001,$AB140)))</f>
        <v/>
      </c>
      <c r="G140" s="10">
        <f>IF($AB140="","",IF(INDEX(기본자료!$E$2:$E$1001,$AB140)="","",INDEX(기본자료!$E$2:$E$1001,$AB140)))</f>
        <v/>
      </c>
      <c r="H140" s="10">
        <f>IF($AB140="","",IF(INDEX(기본자료!$F$2:$F$1001,$AB140)="","",INDEX(기본자료!$F$2:$F$1001,$AB140)))</f>
        <v/>
      </c>
      <c r="I140" s="11">
        <f>IF($AB140="","",IF(INDEX(기본자료!$G$2:$G$1001,$AB140)="","",IF(NOT(ISNUMBER(INDEX(기본자료!$G$2:$G$1001,$AB140))),INDEX(기본자료!$G$2:$G$1001,$AB140),IF(INDEX(기본자료!$G$2:$G$1001,$AB140)&lt;1000000,INDEX(기본자료!$G$2:$G$1001,$AB140),IF(AND(INDEX(기본자료!$G$2:$G$1001,$AB140)&gt;=10000101,INT(MOD(INDEX(기본자료!$G$2:$G$1001,$AB140),10000)/100)&gt;=1,INT(MOD(INDEX(기본자료!$G$2:$G$1001,$AB140),10000)/100)&lt;=12,MOD(INDEX(기본자료!$G$2:$G$1001,$AB140),100)&gt;=1,MOD(INDEX(기본자료!$G$2:$G$1001,$AB140),100)&lt;=31),DATE(INT(INDEX(기본자료!$G$2:$G$1001,$AB140)/10000),INT(MOD(INDEX(기본자료!$G$2:$G$1001,$AB140),10000)/100),MOD(INDEX(기본자료!$G$2:$G$1001,$AB140),100)),INDEX(기본자료!$G$2:$G$1001,$AB140)&amp;"")))))</f>
        <v/>
      </c>
      <c r="J140" s="10">
        <f>IF($AB140="","",IF(INDEX(기본자료!$H$2:$H$1001,$AB140)="","",INDEX(기본자료!$H$2:$H$1001,$AB140)))</f>
        <v/>
      </c>
      <c r="K140" s="10">
        <f>IF($AB140="","",IF(INDEX(기본자료!$I$2:$I$1001,$AB140)="","",INDEX(기본자료!$I$2:$I$1001,$AB140)))</f>
        <v/>
      </c>
      <c r="L140" s="10">
        <f>IF($AB140="","",IF(INDEX(기본자료!$A$2:$A$1001,$AB140)="","",INDEX(기본자료!$A$2:$A$1001,$AB140)))</f>
        <v/>
      </c>
      <c r="M140" s="15" t="n"/>
      <c r="N140" s="10">
        <f>IF($B140="","",IF(AND($U140="파견중",$Q140&lt;&gt;""),$Q140,IF(AND($AD140&lt;&gt;"",LEFT($AD140,1)&lt;&gt;"⚠"),LEFT($AD140,FIND(" ",$AD140)-1),IF($H140="","",IF(RIGHT($H140,2)="병원",$H140,$H140&amp;"병원")))))</f>
        <v/>
      </c>
      <c r="O140" s="10">
        <f>IF($B140="","",IF(AND($U140="파견중",$Q140&lt;&gt;""),IF($R140&lt;&gt;"",$R140,"파견과 미입력"),IF(AND($AD140&lt;&gt;"",LEFT($AD140,1)&lt;&gt;"⚠"),MID($AD140,FIND(" ",$AD140)+1,60),IF($F140="","",IF($F140="인턴","수련교육부(인턴)",$F140)))))</f>
        <v/>
      </c>
      <c r="P140" s="10">
        <f>IF($B140="","",IF($AK140&lt;&gt;"",IF(AND(TODAY()&gt;=INDEX(파견수련계획!$AB$4:$AB$83,$AK140),OR(NOT(ISNUMBER(INDEX(파견수련계획!$AC$4:$AC$83,$AK140))),TODAY()&lt;=INDEX(파견수련계획!$AC$4:$AC$83,$AK140))),"다기관",IF($AF140="","",INDEX(파견수련계획!$T$4:$T$83,$AF140))),IF($AF140="","",INDEX(파견수련계획!$T$4:$T$83,$AF140))))</f>
        <v/>
      </c>
      <c r="Q140" s="10">
        <f>IF($AF140="","",INDEX(파견수련계획!$S$4:$S$83,$AF140))</f>
        <v/>
      </c>
      <c r="R140" s="10">
        <f>IF($AF140="","",INDEX(파견수련계획!$U$4:$U$83,$AF140))</f>
        <v/>
      </c>
      <c r="S140" s="11">
        <f>IF($AF140="","",IF(INDEX(파견수련계획!$H$4:$H$83,$AF140)="","",INDEX(파견수련계획!$H$4:$H$83,$AF140)))</f>
        <v/>
      </c>
      <c r="T140" s="11">
        <f>IF($AF140="","",IF(INDEX(파견수련계획!$I$4:$I$83,$AF140)="","",INDEX(파견수련계획!$I$4:$I$83,$AF140)))</f>
        <v/>
      </c>
      <c r="U140" s="10">
        <f>IF($AF140="","",INDEX(파견수련계획!$X$4:$X$83,$AF140))</f>
        <v/>
      </c>
      <c r="V140" s="17">
        <f>IF($AF140="","",INDEX(파견수련계획!$V$4:$V$83,$AF140))</f>
        <v/>
      </c>
      <c r="W140" s="17">
        <f>IF(AND($U140="파견중",$T140&lt;&gt;""),$T140-TODAY(),"")</f>
        <v/>
      </c>
      <c r="X140" s="17">
        <f>IF(OR($B140="",TRIM($J140&amp;"")=""),"",SUMPRODUCT((파견수련계획!$Q$4:$Q$83=TRIM($J140&amp;""))*파견수련계획!$W$4:$W$83))</f>
        <v/>
      </c>
      <c r="Y140" s="10">
        <f>IF($B140="","",IF($AG140="","",IF(IF(TRIM($J140&amp;"")="",0,SUMPRODUCT((파견수련계획!$Q$4:$Q$83=TRIM($J140&amp;""))*파견수련계획!$AD$4:$AD$83))&gt;0,$AE140,IF(N($X140)&lt;=0,$AG140,IF($AH140+$AI140=DAY(EOMONTH(요약!$B$3,0)),IF(AND($AH140&gt;=요약!$E$3,$AI140&lt;요약!$E$3),"서울병원",IF(AND($AI140&gt;=요약!$E$3,$AH140&lt;요약!$E$3),"구리병원","⚠15일 판정불가(서울 "&amp;$AH140&amp;"일/구리 "&amp;$AI140&amp;"일)")),IF($AJ140="",$AE140,IF(INDEX(파견수련계획!$T$4:$T$83,$AJ140)="통합수련",INDEX(파견수련계획!$S$4:$S$83,$AJ140),$AE140)))))))</f>
        <v/>
      </c>
      <c r="Z140" s="19">
        <f>IF($B140="","",IF($AB140="","기본자료에 없는 사번",IF(COUNTIF($B$2:$B$401,$B140)&gt;1,"중복 사번",IF($AE140="","소속(입사장소) 입력",IF(IF(TRIM($J140&amp;"")="",0,SUMPRODUCT((파견수련계획!$Q$4:$Q$83=TRIM($J140&amp;""))*(파견수련계획!$AA$4:$AA$83&lt;&gt;"")))&gt;0,"파견수련계획 입력오류 확인",IF(LEFT($Y140,1)="⚠","서울·구리 15일 판정 불가(양쪽 모두 이상/미만)",IF(IF($AC140="",0,N(INDEX(인턴근무계획!$T$3:$T$62,$AC140)))&gt;0,"인턴계획 입력오류 확인",IF(AND($AC140&lt;&gt;"",$U140&lt;&gt;"파견중",$N140&lt;&gt;$AE140),"인턴 타지역 근무: 파견 여부 확인","정상"))))))))</f>
        <v/>
      </c>
      <c r="AA140" s="5" t="n"/>
      <c r="AB140" s="10">
        <f>IF($B140="","",IFERROR(MATCH($B140,기본자료!$B$2:$B$1001,0),IFERROR(MATCH($B140&amp;"",기본자료!$B$2:$B$1001,0),IFERROR(MATCH(VALUE($B140),기본자료!$B$2:$B$1001,0),""))))</f>
        <v/>
      </c>
      <c r="AC140" s="10">
        <f>IF($B140="","",IFERROR(MATCH($B140,인턴근무계획!$D$3:$D$62,0),IFERROR(MATCH($B140&amp;"",인턴근무계획!$D$3:$D$62,0),IFERROR(MATCH(VALUE($B140),인턴근무계획!$D$3:$D$62,0),""))))</f>
        <v/>
      </c>
      <c r="AD140" s="10">
        <f>IF(OR($AC140="",인턴현황!$G$3=""),"",INDEX(인턴근무계획!$M$3:$R$62,$AC140,인턴현황!$G$3)&amp;"")</f>
        <v/>
      </c>
      <c r="AE140" s="10">
        <f>IF($B140="","",IF($M140&lt;&gt;"",$M140,IF($AF140&lt;&gt;"",IF(LEFT(INDEX(파견수련계획!$R$4:$R$83,$AF140),1)&lt;&gt;"⚠",INDEX(파견수련계획!$R$4:$R$83,$AF140),IF($H140="","",IF(RIGHT($H140,2)="병원",$H140,$H140&amp;"병원"))),IF($H140="","",IF(RIGHT($H140,2)="병원",$H140,$H140&amp;"병원")))))</f>
        <v/>
      </c>
      <c r="AF140" s="10">
        <f>IF(OR($B140="",TRIM($J140&amp;"")=""),"",IFERROR(MATCH(TRIM($J140&amp;"")&amp;"|파견중",파견수련계획!$Y$4:$Y$83,0),IFERROR(MATCH(TRIM($J140&amp;"")&amp;"|파견예정",파견수련계획!$Y$4:$Y$83,0),IFERROR(MATCH(TRIM($J140&amp;"")&amp;"|파견종료",파견수련계획!$Y$4:$Y$83,0),""))))</f>
        <v/>
      </c>
      <c r="AG140" s="10">
        <f>IF($B140="","",IF(AND(IF(OR($AC140="",인턴현황!$K$2=""),"",INDEX(인턴근무계획!$M$3:$R$62,$AC140,인턴현황!$K$2)&amp;"")&lt;&gt;"",LEFT(IF(OR($AC140="",인턴현황!$K$2=""),"",INDEX(인턴근무계획!$M$3:$R$62,$AC140,인턴현황!$K$2)&amp;""),1)&lt;&gt;"⚠"),LEFT(IF(OR($AC140="",인턴현황!$K$2=""),"",INDEX(인턴근무계획!$M$3:$R$62,$AC140,인턴현황!$K$2)&amp;""),FIND(" ",IF(OR($AC140="",인턴현황!$K$2=""),"",INDEX(인턴근무계획!$M$3:$R$62,$AC140,인턴현황!$K$2)&amp;""))-1),$AE140))</f>
        <v/>
      </c>
      <c r="AH140" s="17">
        <f>IF($B140="","",IF(TRIM($J140&amp;"")="",0,SUMPRODUCT((파견수련계획!$Q$4:$Q$83=TRIM($J140&amp;""))*(파견수련계획!$S$4:$S$83="서울병원")*파견수련계획!$W$4:$W$83))+IF($AG140="서울병원",MAX(0,DAY(EOMONTH(요약!$B$3,0))-N($X140)),0))</f>
        <v/>
      </c>
      <c r="AI140" s="17">
        <f>IF($B140="","",IF(TRIM($J140&amp;"")="",0,SUMPRODUCT((파견수련계획!$Q$4:$Q$83=TRIM($J140&amp;""))*(파견수련계획!$S$4:$S$83="구리병원")*파견수련계획!$W$4:$W$83))+IF($AG140="구리병원",MAX(0,DAY(EOMONTH(요약!$B$3,0))-N($X140)),0))</f>
        <v/>
      </c>
      <c r="AJ140" s="10">
        <f>IF(OR($B140="",TRIM($J140&amp;"")=""),"",IFERROR(MATCH(TRIM($J140&amp;"")&amp;"|월",파견수련계획!$Z$4:$Z$83,0),""))</f>
        <v/>
      </c>
      <c r="AK140" s="10">
        <f>IF(OR($B140="",TRIM($J140&amp;"")=""),"",IFERROR(MATCH(TRIM($J140&amp;"")&amp;"|다기관",파견수련계획!$AE$4:$AE$83,0),""))</f>
        <v/>
      </c>
      <c r="AL140" s="10">
        <f>IF($AK140="","","다기관 "&amp;TEXT(INDEX(파견수련계획!$AB$4:$AB$83,$AK140),"yyyy-mm-dd")&amp;"~"&amp;IF(ISNUMBER(INDEX(파견수련계획!$AC$4:$AC$83,$AK140)),TEXT(INDEX(파견수련계획!$AC$4:$AC$83,$AK140),"yyyy-mm-dd"),""))</f>
        <v/>
      </c>
    </row>
    <row r="141">
      <c r="A141" s="10">
        <f>IF(B141="","",ROW()-1)</f>
        <v/>
      </c>
      <c r="B141" s="18" t="n"/>
      <c r="C141" s="10">
        <f>IF($AB141="","",IF(INDEX(기본자료!$C$2:$C$1001,$AB141)="","",INDEX(기본자료!$C$2:$C$1001,$AB141)))</f>
        <v/>
      </c>
      <c r="D141" s="10">
        <f>IF($AB141="","",IF(INDEX(기본자료!$J$2:$J$1001,$AB141)="","",INDEX(기본자료!$J$2:$J$1001,$AB141)))</f>
        <v/>
      </c>
      <c r="E141" s="11">
        <f>IF($AB141="","",IF(INDEX(기본자료!$K$2:$K$1001,$AB141)="","",IF(NOT(ISNUMBER(INDEX(기본자료!$K$2:$K$1001,$AB141))),INDEX(기본자료!$K$2:$K$1001,$AB141),IF(INDEX(기본자료!$K$2:$K$1001,$AB141)&lt;1000000,INDEX(기본자료!$K$2:$K$1001,$AB141),IF(AND(INDEX(기본자료!$K$2:$K$1001,$AB141)&gt;=10000101,INT(MOD(INDEX(기본자료!$K$2:$K$1001,$AB141),10000)/100)&gt;=1,INT(MOD(INDEX(기본자료!$K$2:$K$1001,$AB141),10000)/100)&lt;=12,MOD(INDEX(기본자료!$K$2:$K$1001,$AB141),100)&gt;=1,MOD(INDEX(기본자료!$K$2:$K$1001,$AB141),100)&lt;=31),DATE(INT(INDEX(기본자료!$K$2:$K$1001,$AB141)/10000),INT(MOD(INDEX(기본자료!$K$2:$K$1001,$AB141),10000)/100),MOD(INDEX(기본자료!$K$2:$K$1001,$AB141),100)),INDEX(기본자료!$K$2:$K$1001,$AB141)&amp;"")))))</f>
        <v/>
      </c>
      <c r="F141" s="10">
        <f>IF($AB141="","",IF(INDEX(기본자료!$D$2:$D$1001,$AB141)="","",INDEX(기본자료!$D$2:$D$1001,$AB141)))</f>
        <v/>
      </c>
      <c r="G141" s="10">
        <f>IF($AB141="","",IF(INDEX(기본자료!$E$2:$E$1001,$AB141)="","",INDEX(기본자료!$E$2:$E$1001,$AB141)))</f>
        <v/>
      </c>
      <c r="H141" s="10">
        <f>IF($AB141="","",IF(INDEX(기본자료!$F$2:$F$1001,$AB141)="","",INDEX(기본자료!$F$2:$F$1001,$AB141)))</f>
        <v/>
      </c>
      <c r="I141" s="11">
        <f>IF($AB141="","",IF(INDEX(기본자료!$G$2:$G$1001,$AB141)="","",IF(NOT(ISNUMBER(INDEX(기본자료!$G$2:$G$1001,$AB141))),INDEX(기본자료!$G$2:$G$1001,$AB141),IF(INDEX(기본자료!$G$2:$G$1001,$AB141)&lt;1000000,INDEX(기본자료!$G$2:$G$1001,$AB141),IF(AND(INDEX(기본자료!$G$2:$G$1001,$AB141)&gt;=10000101,INT(MOD(INDEX(기본자료!$G$2:$G$1001,$AB141),10000)/100)&gt;=1,INT(MOD(INDEX(기본자료!$G$2:$G$1001,$AB141),10000)/100)&lt;=12,MOD(INDEX(기본자료!$G$2:$G$1001,$AB141),100)&gt;=1,MOD(INDEX(기본자료!$G$2:$G$1001,$AB141),100)&lt;=31),DATE(INT(INDEX(기본자료!$G$2:$G$1001,$AB141)/10000),INT(MOD(INDEX(기본자료!$G$2:$G$1001,$AB141),10000)/100),MOD(INDEX(기본자료!$G$2:$G$1001,$AB141),100)),INDEX(기본자료!$G$2:$G$1001,$AB141)&amp;"")))))</f>
        <v/>
      </c>
      <c r="J141" s="10">
        <f>IF($AB141="","",IF(INDEX(기본자료!$H$2:$H$1001,$AB141)="","",INDEX(기본자료!$H$2:$H$1001,$AB141)))</f>
        <v/>
      </c>
      <c r="K141" s="10">
        <f>IF($AB141="","",IF(INDEX(기본자료!$I$2:$I$1001,$AB141)="","",INDEX(기본자료!$I$2:$I$1001,$AB141)))</f>
        <v/>
      </c>
      <c r="L141" s="10">
        <f>IF($AB141="","",IF(INDEX(기본자료!$A$2:$A$1001,$AB141)="","",INDEX(기본자료!$A$2:$A$1001,$AB141)))</f>
        <v/>
      </c>
      <c r="M141" s="15" t="n"/>
      <c r="N141" s="10">
        <f>IF($B141="","",IF(AND($U141="파견중",$Q141&lt;&gt;""),$Q141,IF(AND($AD141&lt;&gt;"",LEFT($AD141,1)&lt;&gt;"⚠"),LEFT($AD141,FIND(" ",$AD141)-1),IF($H141="","",IF(RIGHT($H141,2)="병원",$H141,$H141&amp;"병원")))))</f>
        <v/>
      </c>
      <c r="O141" s="10">
        <f>IF($B141="","",IF(AND($U141="파견중",$Q141&lt;&gt;""),IF($R141&lt;&gt;"",$R141,"파견과 미입력"),IF(AND($AD141&lt;&gt;"",LEFT($AD141,1)&lt;&gt;"⚠"),MID($AD141,FIND(" ",$AD141)+1,60),IF($F141="","",IF($F141="인턴","수련교육부(인턴)",$F141)))))</f>
        <v/>
      </c>
      <c r="P141" s="10">
        <f>IF($B141="","",IF($AK141&lt;&gt;"",IF(AND(TODAY()&gt;=INDEX(파견수련계획!$AB$4:$AB$83,$AK141),OR(NOT(ISNUMBER(INDEX(파견수련계획!$AC$4:$AC$83,$AK141))),TODAY()&lt;=INDEX(파견수련계획!$AC$4:$AC$83,$AK141))),"다기관",IF($AF141="","",INDEX(파견수련계획!$T$4:$T$83,$AF141))),IF($AF141="","",INDEX(파견수련계획!$T$4:$T$83,$AF141))))</f>
        <v/>
      </c>
      <c r="Q141" s="10">
        <f>IF($AF141="","",INDEX(파견수련계획!$S$4:$S$83,$AF141))</f>
        <v/>
      </c>
      <c r="R141" s="10">
        <f>IF($AF141="","",INDEX(파견수련계획!$U$4:$U$83,$AF141))</f>
        <v/>
      </c>
      <c r="S141" s="11">
        <f>IF($AF141="","",IF(INDEX(파견수련계획!$H$4:$H$83,$AF141)="","",INDEX(파견수련계획!$H$4:$H$83,$AF141)))</f>
        <v/>
      </c>
      <c r="T141" s="11">
        <f>IF($AF141="","",IF(INDEX(파견수련계획!$I$4:$I$83,$AF141)="","",INDEX(파견수련계획!$I$4:$I$83,$AF141)))</f>
        <v/>
      </c>
      <c r="U141" s="10">
        <f>IF($AF141="","",INDEX(파견수련계획!$X$4:$X$83,$AF141))</f>
        <v/>
      </c>
      <c r="V141" s="17">
        <f>IF($AF141="","",INDEX(파견수련계획!$V$4:$V$83,$AF141))</f>
        <v/>
      </c>
      <c r="W141" s="17">
        <f>IF(AND($U141="파견중",$T141&lt;&gt;""),$T141-TODAY(),"")</f>
        <v/>
      </c>
      <c r="X141" s="17">
        <f>IF(OR($B141="",TRIM($J141&amp;"")=""),"",SUMPRODUCT((파견수련계획!$Q$4:$Q$83=TRIM($J141&amp;""))*파견수련계획!$W$4:$W$83))</f>
        <v/>
      </c>
      <c r="Y141" s="10">
        <f>IF($B141="","",IF($AG141="","",IF(IF(TRIM($J141&amp;"")="",0,SUMPRODUCT((파견수련계획!$Q$4:$Q$83=TRIM($J141&amp;""))*파견수련계획!$AD$4:$AD$83))&gt;0,$AE141,IF(N($X141)&lt;=0,$AG141,IF($AH141+$AI141=DAY(EOMONTH(요약!$B$3,0)),IF(AND($AH141&gt;=요약!$E$3,$AI141&lt;요약!$E$3),"서울병원",IF(AND($AI141&gt;=요약!$E$3,$AH141&lt;요약!$E$3),"구리병원","⚠15일 판정불가(서울 "&amp;$AH141&amp;"일/구리 "&amp;$AI141&amp;"일)")),IF($AJ141="",$AE141,IF(INDEX(파견수련계획!$T$4:$T$83,$AJ141)="통합수련",INDEX(파견수련계획!$S$4:$S$83,$AJ141),$AE141)))))))</f>
        <v/>
      </c>
      <c r="Z141" s="19">
        <f>IF($B141="","",IF($AB141="","기본자료에 없는 사번",IF(COUNTIF($B$2:$B$401,$B141)&gt;1,"중복 사번",IF($AE141="","소속(입사장소) 입력",IF(IF(TRIM($J141&amp;"")="",0,SUMPRODUCT((파견수련계획!$Q$4:$Q$83=TRIM($J141&amp;""))*(파견수련계획!$AA$4:$AA$83&lt;&gt;"")))&gt;0,"파견수련계획 입력오류 확인",IF(LEFT($Y141,1)="⚠","서울·구리 15일 판정 불가(양쪽 모두 이상/미만)",IF(IF($AC141="",0,N(INDEX(인턴근무계획!$T$3:$T$62,$AC141)))&gt;0,"인턴계획 입력오류 확인",IF(AND($AC141&lt;&gt;"",$U141&lt;&gt;"파견중",$N141&lt;&gt;$AE141),"인턴 타지역 근무: 파견 여부 확인","정상"))))))))</f>
        <v/>
      </c>
      <c r="AA141" s="5" t="n"/>
      <c r="AB141" s="10">
        <f>IF($B141="","",IFERROR(MATCH($B141,기본자료!$B$2:$B$1001,0),IFERROR(MATCH($B141&amp;"",기본자료!$B$2:$B$1001,0),IFERROR(MATCH(VALUE($B141),기본자료!$B$2:$B$1001,0),""))))</f>
        <v/>
      </c>
      <c r="AC141" s="10">
        <f>IF($B141="","",IFERROR(MATCH($B141,인턴근무계획!$D$3:$D$62,0),IFERROR(MATCH($B141&amp;"",인턴근무계획!$D$3:$D$62,0),IFERROR(MATCH(VALUE($B141),인턴근무계획!$D$3:$D$62,0),""))))</f>
        <v/>
      </c>
      <c r="AD141" s="10">
        <f>IF(OR($AC141="",인턴현황!$G$3=""),"",INDEX(인턴근무계획!$M$3:$R$62,$AC141,인턴현황!$G$3)&amp;"")</f>
        <v/>
      </c>
      <c r="AE141" s="10">
        <f>IF($B141="","",IF($M141&lt;&gt;"",$M141,IF($AF141&lt;&gt;"",IF(LEFT(INDEX(파견수련계획!$R$4:$R$83,$AF141),1)&lt;&gt;"⚠",INDEX(파견수련계획!$R$4:$R$83,$AF141),IF($H141="","",IF(RIGHT($H141,2)="병원",$H141,$H141&amp;"병원"))),IF($H141="","",IF(RIGHT($H141,2)="병원",$H141,$H141&amp;"병원")))))</f>
        <v/>
      </c>
      <c r="AF141" s="10">
        <f>IF(OR($B141="",TRIM($J141&amp;"")=""),"",IFERROR(MATCH(TRIM($J141&amp;"")&amp;"|파견중",파견수련계획!$Y$4:$Y$83,0),IFERROR(MATCH(TRIM($J141&amp;"")&amp;"|파견예정",파견수련계획!$Y$4:$Y$83,0),IFERROR(MATCH(TRIM($J141&amp;"")&amp;"|파견종료",파견수련계획!$Y$4:$Y$83,0),""))))</f>
        <v/>
      </c>
      <c r="AG141" s="10">
        <f>IF($B141="","",IF(AND(IF(OR($AC141="",인턴현황!$K$2=""),"",INDEX(인턴근무계획!$M$3:$R$62,$AC141,인턴현황!$K$2)&amp;"")&lt;&gt;"",LEFT(IF(OR($AC141="",인턴현황!$K$2=""),"",INDEX(인턴근무계획!$M$3:$R$62,$AC141,인턴현황!$K$2)&amp;""),1)&lt;&gt;"⚠"),LEFT(IF(OR($AC141="",인턴현황!$K$2=""),"",INDEX(인턴근무계획!$M$3:$R$62,$AC141,인턴현황!$K$2)&amp;""),FIND(" ",IF(OR($AC141="",인턴현황!$K$2=""),"",INDEX(인턴근무계획!$M$3:$R$62,$AC141,인턴현황!$K$2)&amp;""))-1),$AE141))</f>
        <v/>
      </c>
      <c r="AH141" s="17">
        <f>IF($B141="","",IF(TRIM($J141&amp;"")="",0,SUMPRODUCT((파견수련계획!$Q$4:$Q$83=TRIM($J141&amp;""))*(파견수련계획!$S$4:$S$83="서울병원")*파견수련계획!$W$4:$W$83))+IF($AG141="서울병원",MAX(0,DAY(EOMONTH(요약!$B$3,0))-N($X141)),0))</f>
        <v/>
      </c>
      <c r="AI141" s="17">
        <f>IF($B141="","",IF(TRIM($J141&amp;"")="",0,SUMPRODUCT((파견수련계획!$Q$4:$Q$83=TRIM($J141&amp;""))*(파견수련계획!$S$4:$S$83="구리병원")*파견수련계획!$W$4:$W$83))+IF($AG141="구리병원",MAX(0,DAY(EOMONTH(요약!$B$3,0))-N($X141)),0))</f>
        <v/>
      </c>
      <c r="AJ141" s="10">
        <f>IF(OR($B141="",TRIM($J141&amp;"")=""),"",IFERROR(MATCH(TRIM($J141&amp;"")&amp;"|월",파견수련계획!$Z$4:$Z$83,0),""))</f>
        <v/>
      </c>
      <c r="AK141" s="10">
        <f>IF(OR($B141="",TRIM($J141&amp;"")=""),"",IFERROR(MATCH(TRIM($J141&amp;"")&amp;"|다기관",파견수련계획!$AE$4:$AE$83,0),""))</f>
        <v/>
      </c>
      <c r="AL141" s="10">
        <f>IF($AK141="","","다기관 "&amp;TEXT(INDEX(파견수련계획!$AB$4:$AB$83,$AK141),"yyyy-mm-dd")&amp;"~"&amp;IF(ISNUMBER(INDEX(파견수련계획!$AC$4:$AC$83,$AK141)),TEXT(INDEX(파견수련계획!$AC$4:$AC$83,$AK141),"yyyy-mm-dd"),""))</f>
        <v/>
      </c>
    </row>
    <row r="142">
      <c r="A142" s="10">
        <f>IF(B142="","",ROW()-1)</f>
        <v/>
      </c>
      <c r="B142" s="18" t="n"/>
      <c r="C142" s="10">
        <f>IF($AB142="","",IF(INDEX(기본자료!$C$2:$C$1001,$AB142)="","",INDEX(기본자료!$C$2:$C$1001,$AB142)))</f>
        <v/>
      </c>
      <c r="D142" s="10">
        <f>IF($AB142="","",IF(INDEX(기본자료!$J$2:$J$1001,$AB142)="","",INDEX(기본자료!$J$2:$J$1001,$AB142)))</f>
        <v/>
      </c>
      <c r="E142" s="11">
        <f>IF($AB142="","",IF(INDEX(기본자료!$K$2:$K$1001,$AB142)="","",IF(NOT(ISNUMBER(INDEX(기본자료!$K$2:$K$1001,$AB142))),INDEX(기본자료!$K$2:$K$1001,$AB142),IF(INDEX(기본자료!$K$2:$K$1001,$AB142)&lt;1000000,INDEX(기본자료!$K$2:$K$1001,$AB142),IF(AND(INDEX(기본자료!$K$2:$K$1001,$AB142)&gt;=10000101,INT(MOD(INDEX(기본자료!$K$2:$K$1001,$AB142),10000)/100)&gt;=1,INT(MOD(INDEX(기본자료!$K$2:$K$1001,$AB142),10000)/100)&lt;=12,MOD(INDEX(기본자료!$K$2:$K$1001,$AB142),100)&gt;=1,MOD(INDEX(기본자료!$K$2:$K$1001,$AB142),100)&lt;=31),DATE(INT(INDEX(기본자료!$K$2:$K$1001,$AB142)/10000),INT(MOD(INDEX(기본자료!$K$2:$K$1001,$AB142),10000)/100),MOD(INDEX(기본자료!$K$2:$K$1001,$AB142),100)),INDEX(기본자료!$K$2:$K$1001,$AB142)&amp;"")))))</f>
        <v/>
      </c>
      <c r="F142" s="10">
        <f>IF($AB142="","",IF(INDEX(기본자료!$D$2:$D$1001,$AB142)="","",INDEX(기본자료!$D$2:$D$1001,$AB142)))</f>
        <v/>
      </c>
      <c r="G142" s="10">
        <f>IF($AB142="","",IF(INDEX(기본자료!$E$2:$E$1001,$AB142)="","",INDEX(기본자료!$E$2:$E$1001,$AB142)))</f>
        <v/>
      </c>
      <c r="H142" s="10">
        <f>IF($AB142="","",IF(INDEX(기본자료!$F$2:$F$1001,$AB142)="","",INDEX(기본자료!$F$2:$F$1001,$AB142)))</f>
        <v/>
      </c>
      <c r="I142" s="11">
        <f>IF($AB142="","",IF(INDEX(기본자료!$G$2:$G$1001,$AB142)="","",IF(NOT(ISNUMBER(INDEX(기본자료!$G$2:$G$1001,$AB142))),INDEX(기본자료!$G$2:$G$1001,$AB142),IF(INDEX(기본자료!$G$2:$G$1001,$AB142)&lt;1000000,INDEX(기본자료!$G$2:$G$1001,$AB142),IF(AND(INDEX(기본자료!$G$2:$G$1001,$AB142)&gt;=10000101,INT(MOD(INDEX(기본자료!$G$2:$G$1001,$AB142),10000)/100)&gt;=1,INT(MOD(INDEX(기본자료!$G$2:$G$1001,$AB142),10000)/100)&lt;=12,MOD(INDEX(기본자료!$G$2:$G$1001,$AB142),100)&gt;=1,MOD(INDEX(기본자료!$G$2:$G$1001,$AB142),100)&lt;=31),DATE(INT(INDEX(기본자료!$G$2:$G$1001,$AB142)/10000),INT(MOD(INDEX(기본자료!$G$2:$G$1001,$AB142),10000)/100),MOD(INDEX(기본자료!$G$2:$G$1001,$AB142),100)),INDEX(기본자료!$G$2:$G$1001,$AB142)&amp;"")))))</f>
        <v/>
      </c>
      <c r="J142" s="10">
        <f>IF($AB142="","",IF(INDEX(기본자료!$H$2:$H$1001,$AB142)="","",INDEX(기본자료!$H$2:$H$1001,$AB142)))</f>
        <v/>
      </c>
      <c r="K142" s="10">
        <f>IF($AB142="","",IF(INDEX(기본자료!$I$2:$I$1001,$AB142)="","",INDEX(기본자료!$I$2:$I$1001,$AB142)))</f>
        <v/>
      </c>
      <c r="L142" s="10">
        <f>IF($AB142="","",IF(INDEX(기본자료!$A$2:$A$1001,$AB142)="","",INDEX(기본자료!$A$2:$A$1001,$AB142)))</f>
        <v/>
      </c>
      <c r="M142" s="15" t="n"/>
      <c r="N142" s="10">
        <f>IF($B142="","",IF(AND($U142="파견중",$Q142&lt;&gt;""),$Q142,IF(AND($AD142&lt;&gt;"",LEFT($AD142,1)&lt;&gt;"⚠"),LEFT($AD142,FIND(" ",$AD142)-1),IF($H142="","",IF(RIGHT($H142,2)="병원",$H142,$H142&amp;"병원")))))</f>
        <v/>
      </c>
      <c r="O142" s="10">
        <f>IF($B142="","",IF(AND($U142="파견중",$Q142&lt;&gt;""),IF($R142&lt;&gt;"",$R142,"파견과 미입력"),IF(AND($AD142&lt;&gt;"",LEFT($AD142,1)&lt;&gt;"⚠"),MID($AD142,FIND(" ",$AD142)+1,60),IF($F142="","",IF($F142="인턴","수련교육부(인턴)",$F142)))))</f>
        <v/>
      </c>
      <c r="P142" s="10">
        <f>IF($B142="","",IF($AK142&lt;&gt;"",IF(AND(TODAY()&gt;=INDEX(파견수련계획!$AB$4:$AB$83,$AK142),OR(NOT(ISNUMBER(INDEX(파견수련계획!$AC$4:$AC$83,$AK142))),TODAY()&lt;=INDEX(파견수련계획!$AC$4:$AC$83,$AK142))),"다기관",IF($AF142="","",INDEX(파견수련계획!$T$4:$T$83,$AF142))),IF($AF142="","",INDEX(파견수련계획!$T$4:$T$83,$AF142))))</f>
        <v/>
      </c>
      <c r="Q142" s="10">
        <f>IF($AF142="","",INDEX(파견수련계획!$S$4:$S$83,$AF142))</f>
        <v/>
      </c>
      <c r="R142" s="10">
        <f>IF($AF142="","",INDEX(파견수련계획!$U$4:$U$83,$AF142))</f>
        <v/>
      </c>
      <c r="S142" s="11">
        <f>IF($AF142="","",IF(INDEX(파견수련계획!$H$4:$H$83,$AF142)="","",INDEX(파견수련계획!$H$4:$H$83,$AF142)))</f>
        <v/>
      </c>
      <c r="T142" s="11">
        <f>IF($AF142="","",IF(INDEX(파견수련계획!$I$4:$I$83,$AF142)="","",INDEX(파견수련계획!$I$4:$I$83,$AF142)))</f>
        <v/>
      </c>
      <c r="U142" s="10">
        <f>IF($AF142="","",INDEX(파견수련계획!$X$4:$X$83,$AF142))</f>
        <v/>
      </c>
      <c r="V142" s="17">
        <f>IF($AF142="","",INDEX(파견수련계획!$V$4:$V$83,$AF142))</f>
        <v/>
      </c>
      <c r="W142" s="17">
        <f>IF(AND($U142="파견중",$T142&lt;&gt;""),$T142-TODAY(),"")</f>
        <v/>
      </c>
      <c r="X142" s="17">
        <f>IF(OR($B142="",TRIM($J142&amp;"")=""),"",SUMPRODUCT((파견수련계획!$Q$4:$Q$83=TRIM($J142&amp;""))*파견수련계획!$W$4:$W$83))</f>
        <v/>
      </c>
      <c r="Y142" s="10">
        <f>IF($B142="","",IF($AG142="","",IF(IF(TRIM($J142&amp;"")="",0,SUMPRODUCT((파견수련계획!$Q$4:$Q$83=TRIM($J142&amp;""))*파견수련계획!$AD$4:$AD$83))&gt;0,$AE142,IF(N($X142)&lt;=0,$AG142,IF($AH142+$AI142=DAY(EOMONTH(요약!$B$3,0)),IF(AND($AH142&gt;=요약!$E$3,$AI142&lt;요약!$E$3),"서울병원",IF(AND($AI142&gt;=요약!$E$3,$AH142&lt;요약!$E$3),"구리병원","⚠15일 판정불가(서울 "&amp;$AH142&amp;"일/구리 "&amp;$AI142&amp;"일)")),IF($AJ142="",$AE142,IF(INDEX(파견수련계획!$T$4:$T$83,$AJ142)="통합수련",INDEX(파견수련계획!$S$4:$S$83,$AJ142),$AE142)))))))</f>
        <v/>
      </c>
      <c r="Z142" s="19">
        <f>IF($B142="","",IF($AB142="","기본자료에 없는 사번",IF(COUNTIF($B$2:$B$401,$B142)&gt;1,"중복 사번",IF($AE142="","소속(입사장소) 입력",IF(IF(TRIM($J142&amp;"")="",0,SUMPRODUCT((파견수련계획!$Q$4:$Q$83=TRIM($J142&amp;""))*(파견수련계획!$AA$4:$AA$83&lt;&gt;"")))&gt;0,"파견수련계획 입력오류 확인",IF(LEFT($Y142,1)="⚠","서울·구리 15일 판정 불가(양쪽 모두 이상/미만)",IF(IF($AC142="",0,N(INDEX(인턴근무계획!$T$3:$T$62,$AC142)))&gt;0,"인턴계획 입력오류 확인",IF(AND($AC142&lt;&gt;"",$U142&lt;&gt;"파견중",$N142&lt;&gt;$AE142),"인턴 타지역 근무: 파견 여부 확인","정상"))))))))</f>
        <v/>
      </c>
      <c r="AA142" s="5" t="n"/>
      <c r="AB142" s="10">
        <f>IF($B142="","",IFERROR(MATCH($B142,기본자료!$B$2:$B$1001,0),IFERROR(MATCH($B142&amp;"",기본자료!$B$2:$B$1001,0),IFERROR(MATCH(VALUE($B142),기본자료!$B$2:$B$1001,0),""))))</f>
        <v/>
      </c>
      <c r="AC142" s="10">
        <f>IF($B142="","",IFERROR(MATCH($B142,인턴근무계획!$D$3:$D$62,0),IFERROR(MATCH($B142&amp;"",인턴근무계획!$D$3:$D$62,0),IFERROR(MATCH(VALUE($B142),인턴근무계획!$D$3:$D$62,0),""))))</f>
        <v/>
      </c>
      <c r="AD142" s="10">
        <f>IF(OR($AC142="",인턴현황!$G$3=""),"",INDEX(인턴근무계획!$M$3:$R$62,$AC142,인턴현황!$G$3)&amp;"")</f>
        <v/>
      </c>
      <c r="AE142" s="10">
        <f>IF($B142="","",IF($M142&lt;&gt;"",$M142,IF($AF142&lt;&gt;"",IF(LEFT(INDEX(파견수련계획!$R$4:$R$83,$AF142),1)&lt;&gt;"⚠",INDEX(파견수련계획!$R$4:$R$83,$AF142),IF($H142="","",IF(RIGHT($H142,2)="병원",$H142,$H142&amp;"병원"))),IF($H142="","",IF(RIGHT($H142,2)="병원",$H142,$H142&amp;"병원")))))</f>
        <v/>
      </c>
      <c r="AF142" s="10">
        <f>IF(OR($B142="",TRIM($J142&amp;"")=""),"",IFERROR(MATCH(TRIM($J142&amp;"")&amp;"|파견중",파견수련계획!$Y$4:$Y$83,0),IFERROR(MATCH(TRIM($J142&amp;"")&amp;"|파견예정",파견수련계획!$Y$4:$Y$83,0),IFERROR(MATCH(TRIM($J142&amp;"")&amp;"|파견종료",파견수련계획!$Y$4:$Y$83,0),""))))</f>
        <v/>
      </c>
      <c r="AG142" s="10">
        <f>IF($B142="","",IF(AND(IF(OR($AC142="",인턴현황!$K$2=""),"",INDEX(인턴근무계획!$M$3:$R$62,$AC142,인턴현황!$K$2)&amp;"")&lt;&gt;"",LEFT(IF(OR($AC142="",인턴현황!$K$2=""),"",INDEX(인턴근무계획!$M$3:$R$62,$AC142,인턴현황!$K$2)&amp;""),1)&lt;&gt;"⚠"),LEFT(IF(OR($AC142="",인턴현황!$K$2=""),"",INDEX(인턴근무계획!$M$3:$R$62,$AC142,인턴현황!$K$2)&amp;""),FIND(" ",IF(OR($AC142="",인턴현황!$K$2=""),"",INDEX(인턴근무계획!$M$3:$R$62,$AC142,인턴현황!$K$2)&amp;""))-1),$AE142))</f>
        <v/>
      </c>
      <c r="AH142" s="17">
        <f>IF($B142="","",IF(TRIM($J142&amp;"")="",0,SUMPRODUCT((파견수련계획!$Q$4:$Q$83=TRIM($J142&amp;""))*(파견수련계획!$S$4:$S$83="서울병원")*파견수련계획!$W$4:$W$83))+IF($AG142="서울병원",MAX(0,DAY(EOMONTH(요약!$B$3,0))-N($X142)),0))</f>
        <v/>
      </c>
      <c r="AI142" s="17">
        <f>IF($B142="","",IF(TRIM($J142&amp;"")="",0,SUMPRODUCT((파견수련계획!$Q$4:$Q$83=TRIM($J142&amp;""))*(파견수련계획!$S$4:$S$83="구리병원")*파견수련계획!$W$4:$W$83))+IF($AG142="구리병원",MAX(0,DAY(EOMONTH(요약!$B$3,0))-N($X142)),0))</f>
        <v/>
      </c>
      <c r="AJ142" s="10">
        <f>IF(OR($B142="",TRIM($J142&amp;"")=""),"",IFERROR(MATCH(TRIM($J142&amp;"")&amp;"|월",파견수련계획!$Z$4:$Z$83,0),""))</f>
        <v/>
      </c>
      <c r="AK142" s="10">
        <f>IF(OR($B142="",TRIM($J142&amp;"")=""),"",IFERROR(MATCH(TRIM($J142&amp;"")&amp;"|다기관",파견수련계획!$AE$4:$AE$83,0),""))</f>
        <v/>
      </c>
      <c r="AL142" s="10">
        <f>IF($AK142="","","다기관 "&amp;TEXT(INDEX(파견수련계획!$AB$4:$AB$83,$AK142),"yyyy-mm-dd")&amp;"~"&amp;IF(ISNUMBER(INDEX(파견수련계획!$AC$4:$AC$83,$AK142)),TEXT(INDEX(파견수련계획!$AC$4:$AC$83,$AK142),"yyyy-mm-dd"),""))</f>
        <v/>
      </c>
    </row>
    <row r="143">
      <c r="A143" s="10">
        <f>IF(B143="","",ROW()-1)</f>
        <v/>
      </c>
      <c r="B143" s="18" t="n"/>
      <c r="C143" s="10">
        <f>IF($AB143="","",IF(INDEX(기본자료!$C$2:$C$1001,$AB143)="","",INDEX(기본자료!$C$2:$C$1001,$AB143)))</f>
        <v/>
      </c>
      <c r="D143" s="10">
        <f>IF($AB143="","",IF(INDEX(기본자료!$J$2:$J$1001,$AB143)="","",INDEX(기본자료!$J$2:$J$1001,$AB143)))</f>
        <v/>
      </c>
      <c r="E143" s="11">
        <f>IF($AB143="","",IF(INDEX(기본자료!$K$2:$K$1001,$AB143)="","",IF(NOT(ISNUMBER(INDEX(기본자료!$K$2:$K$1001,$AB143))),INDEX(기본자료!$K$2:$K$1001,$AB143),IF(INDEX(기본자료!$K$2:$K$1001,$AB143)&lt;1000000,INDEX(기본자료!$K$2:$K$1001,$AB143),IF(AND(INDEX(기본자료!$K$2:$K$1001,$AB143)&gt;=10000101,INT(MOD(INDEX(기본자료!$K$2:$K$1001,$AB143),10000)/100)&gt;=1,INT(MOD(INDEX(기본자료!$K$2:$K$1001,$AB143),10000)/100)&lt;=12,MOD(INDEX(기본자료!$K$2:$K$1001,$AB143),100)&gt;=1,MOD(INDEX(기본자료!$K$2:$K$1001,$AB143),100)&lt;=31),DATE(INT(INDEX(기본자료!$K$2:$K$1001,$AB143)/10000),INT(MOD(INDEX(기본자료!$K$2:$K$1001,$AB143),10000)/100),MOD(INDEX(기본자료!$K$2:$K$1001,$AB143),100)),INDEX(기본자료!$K$2:$K$1001,$AB143)&amp;"")))))</f>
        <v/>
      </c>
      <c r="F143" s="10">
        <f>IF($AB143="","",IF(INDEX(기본자료!$D$2:$D$1001,$AB143)="","",INDEX(기본자료!$D$2:$D$1001,$AB143)))</f>
        <v/>
      </c>
      <c r="G143" s="10">
        <f>IF($AB143="","",IF(INDEX(기본자료!$E$2:$E$1001,$AB143)="","",INDEX(기본자료!$E$2:$E$1001,$AB143)))</f>
        <v/>
      </c>
      <c r="H143" s="10">
        <f>IF($AB143="","",IF(INDEX(기본자료!$F$2:$F$1001,$AB143)="","",INDEX(기본자료!$F$2:$F$1001,$AB143)))</f>
        <v/>
      </c>
      <c r="I143" s="11">
        <f>IF($AB143="","",IF(INDEX(기본자료!$G$2:$G$1001,$AB143)="","",IF(NOT(ISNUMBER(INDEX(기본자료!$G$2:$G$1001,$AB143))),INDEX(기본자료!$G$2:$G$1001,$AB143),IF(INDEX(기본자료!$G$2:$G$1001,$AB143)&lt;1000000,INDEX(기본자료!$G$2:$G$1001,$AB143),IF(AND(INDEX(기본자료!$G$2:$G$1001,$AB143)&gt;=10000101,INT(MOD(INDEX(기본자료!$G$2:$G$1001,$AB143),10000)/100)&gt;=1,INT(MOD(INDEX(기본자료!$G$2:$G$1001,$AB143),10000)/100)&lt;=12,MOD(INDEX(기본자료!$G$2:$G$1001,$AB143),100)&gt;=1,MOD(INDEX(기본자료!$G$2:$G$1001,$AB143),100)&lt;=31),DATE(INT(INDEX(기본자료!$G$2:$G$1001,$AB143)/10000),INT(MOD(INDEX(기본자료!$G$2:$G$1001,$AB143),10000)/100),MOD(INDEX(기본자료!$G$2:$G$1001,$AB143),100)),INDEX(기본자료!$G$2:$G$1001,$AB143)&amp;"")))))</f>
        <v/>
      </c>
      <c r="J143" s="10">
        <f>IF($AB143="","",IF(INDEX(기본자료!$H$2:$H$1001,$AB143)="","",INDEX(기본자료!$H$2:$H$1001,$AB143)))</f>
        <v/>
      </c>
      <c r="K143" s="10">
        <f>IF($AB143="","",IF(INDEX(기본자료!$I$2:$I$1001,$AB143)="","",INDEX(기본자료!$I$2:$I$1001,$AB143)))</f>
        <v/>
      </c>
      <c r="L143" s="10">
        <f>IF($AB143="","",IF(INDEX(기본자료!$A$2:$A$1001,$AB143)="","",INDEX(기본자료!$A$2:$A$1001,$AB143)))</f>
        <v/>
      </c>
      <c r="M143" s="15" t="n"/>
      <c r="N143" s="10">
        <f>IF($B143="","",IF(AND($U143="파견중",$Q143&lt;&gt;""),$Q143,IF(AND($AD143&lt;&gt;"",LEFT($AD143,1)&lt;&gt;"⚠"),LEFT($AD143,FIND(" ",$AD143)-1),IF($H143="","",IF(RIGHT($H143,2)="병원",$H143,$H143&amp;"병원")))))</f>
        <v/>
      </c>
      <c r="O143" s="10">
        <f>IF($B143="","",IF(AND($U143="파견중",$Q143&lt;&gt;""),IF($R143&lt;&gt;"",$R143,"파견과 미입력"),IF(AND($AD143&lt;&gt;"",LEFT($AD143,1)&lt;&gt;"⚠"),MID($AD143,FIND(" ",$AD143)+1,60),IF($F143="","",IF($F143="인턴","수련교육부(인턴)",$F143)))))</f>
        <v/>
      </c>
      <c r="P143" s="10">
        <f>IF($B143="","",IF($AK143&lt;&gt;"",IF(AND(TODAY()&gt;=INDEX(파견수련계획!$AB$4:$AB$83,$AK143),OR(NOT(ISNUMBER(INDEX(파견수련계획!$AC$4:$AC$83,$AK143))),TODAY()&lt;=INDEX(파견수련계획!$AC$4:$AC$83,$AK143))),"다기관",IF($AF143="","",INDEX(파견수련계획!$T$4:$T$83,$AF143))),IF($AF143="","",INDEX(파견수련계획!$T$4:$T$83,$AF143))))</f>
        <v/>
      </c>
      <c r="Q143" s="10">
        <f>IF($AF143="","",INDEX(파견수련계획!$S$4:$S$83,$AF143))</f>
        <v/>
      </c>
      <c r="R143" s="10">
        <f>IF($AF143="","",INDEX(파견수련계획!$U$4:$U$83,$AF143))</f>
        <v/>
      </c>
      <c r="S143" s="11">
        <f>IF($AF143="","",IF(INDEX(파견수련계획!$H$4:$H$83,$AF143)="","",INDEX(파견수련계획!$H$4:$H$83,$AF143)))</f>
        <v/>
      </c>
      <c r="T143" s="11">
        <f>IF($AF143="","",IF(INDEX(파견수련계획!$I$4:$I$83,$AF143)="","",INDEX(파견수련계획!$I$4:$I$83,$AF143)))</f>
        <v/>
      </c>
      <c r="U143" s="10">
        <f>IF($AF143="","",INDEX(파견수련계획!$X$4:$X$83,$AF143))</f>
        <v/>
      </c>
      <c r="V143" s="17">
        <f>IF($AF143="","",INDEX(파견수련계획!$V$4:$V$83,$AF143))</f>
        <v/>
      </c>
      <c r="W143" s="17">
        <f>IF(AND($U143="파견중",$T143&lt;&gt;""),$T143-TODAY(),"")</f>
        <v/>
      </c>
      <c r="X143" s="17">
        <f>IF(OR($B143="",TRIM($J143&amp;"")=""),"",SUMPRODUCT((파견수련계획!$Q$4:$Q$83=TRIM($J143&amp;""))*파견수련계획!$W$4:$W$83))</f>
        <v/>
      </c>
      <c r="Y143" s="10">
        <f>IF($B143="","",IF($AG143="","",IF(IF(TRIM($J143&amp;"")="",0,SUMPRODUCT((파견수련계획!$Q$4:$Q$83=TRIM($J143&amp;""))*파견수련계획!$AD$4:$AD$83))&gt;0,$AE143,IF(N($X143)&lt;=0,$AG143,IF($AH143+$AI143=DAY(EOMONTH(요약!$B$3,0)),IF(AND($AH143&gt;=요약!$E$3,$AI143&lt;요약!$E$3),"서울병원",IF(AND($AI143&gt;=요약!$E$3,$AH143&lt;요약!$E$3),"구리병원","⚠15일 판정불가(서울 "&amp;$AH143&amp;"일/구리 "&amp;$AI143&amp;"일)")),IF($AJ143="",$AE143,IF(INDEX(파견수련계획!$T$4:$T$83,$AJ143)="통합수련",INDEX(파견수련계획!$S$4:$S$83,$AJ143),$AE143)))))))</f>
        <v/>
      </c>
      <c r="Z143" s="19">
        <f>IF($B143="","",IF($AB143="","기본자료에 없는 사번",IF(COUNTIF($B$2:$B$401,$B143)&gt;1,"중복 사번",IF($AE143="","소속(입사장소) 입력",IF(IF(TRIM($J143&amp;"")="",0,SUMPRODUCT((파견수련계획!$Q$4:$Q$83=TRIM($J143&amp;""))*(파견수련계획!$AA$4:$AA$83&lt;&gt;"")))&gt;0,"파견수련계획 입력오류 확인",IF(LEFT($Y143,1)="⚠","서울·구리 15일 판정 불가(양쪽 모두 이상/미만)",IF(IF($AC143="",0,N(INDEX(인턴근무계획!$T$3:$T$62,$AC143)))&gt;0,"인턴계획 입력오류 확인",IF(AND($AC143&lt;&gt;"",$U143&lt;&gt;"파견중",$N143&lt;&gt;$AE143),"인턴 타지역 근무: 파견 여부 확인","정상"))))))))</f>
        <v/>
      </c>
      <c r="AA143" s="5" t="n"/>
      <c r="AB143" s="10">
        <f>IF($B143="","",IFERROR(MATCH($B143,기본자료!$B$2:$B$1001,0),IFERROR(MATCH($B143&amp;"",기본자료!$B$2:$B$1001,0),IFERROR(MATCH(VALUE($B143),기본자료!$B$2:$B$1001,0),""))))</f>
        <v/>
      </c>
      <c r="AC143" s="10">
        <f>IF($B143="","",IFERROR(MATCH($B143,인턴근무계획!$D$3:$D$62,0),IFERROR(MATCH($B143&amp;"",인턴근무계획!$D$3:$D$62,0),IFERROR(MATCH(VALUE($B143),인턴근무계획!$D$3:$D$62,0),""))))</f>
        <v/>
      </c>
      <c r="AD143" s="10">
        <f>IF(OR($AC143="",인턴현황!$G$3=""),"",INDEX(인턴근무계획!$M$3:$R$62,$AC143,인턴현황!$G$3)&amp;"")</f>
        <v/>
      </c>
      <c r="AE143" s="10">
        <f>IF($B143="","",IF($M143&lt;&gt;"",$M143,IF($AF143&lt;&gt;"",IF(LEFT(INDEX(파견수련계획!$R$4:$R$83,$AF143),1)&lt;&gt;"⚠",INDEX(파견수련계획!$R$4:$R$83,$AF143),IF($H143="","",IF(RIGHT($H143,2)="병원",$H143,$H143&amp;"병원"))),IF($H143="","",IF(RIGHT($H143,2)="병원",$H143,$H143&amp;"병원")))))</f>
        <v/>
      </c>
      <c r="AF143" s="10">
        <f>IF(OR($B143="",TRIM($J143&amp;"")=""),"",IFERROR(MATCH(TRIM($J143&amp;"")&amp;"|파견중",파견수련계획!$Y$4:$Y$83,0),IFERROR(MATCH(TRIM($J143&amp;"")&amp;"|파견예정",파견수련계획!$Y$4:$Y$83,0),IFERROR(MATCH(TRIM($J143&amp;"")&amp;"|파견종료",파견수련계획!$Y$4:$Y$83,0),""))))</f>
        <v/>
      </c>
      <c r="AG143" s="10">
        <f>IF($B143="","",IF(AND(IF(OR($AC143="",인턴현황!$K$2=""),"",INDEX(인턴근무계획!$M$3:$R$62,$AC143,인턴현황!$K$2)&amp;"")&lt;&gt;"",LEFT(IF(OR($AC143="",인턴현황!$K$2=""),"",INDEX(인턴근무계획!$M$3:$R$62,$AC143,인턴현황!$K$2)&amp;""),1)&lt;&gt;"⚠"),LEFT(IF(OR($AC143="",인턴현황!$K$2=""),"",INDEX(인턴근무계획!$M$3:$R$62,$AC143,인턴현황!$K$2)&amp;""),FIND(" ",IF(OR($AC143="",인턴현황!$K$2=""),"",INDEX(인턴근무계획!$M$3:$R$62,$AC143,인턴현황!$K$2)&amp;""))-1),$AE143))</f>
        <v/>
      </c>
      <c r="AH143" s="17">
        <f>IF($B143="","",IF(TRIM($J143&amp;"")="",0,SUMPRODUCT((파견수련계획!$Q$4:$Q$83=TRIM($J143&amp;""))*(파견수련계획!$S$4:$S$83="서울병원")*파견수련계획!$W$4:$W$83))+IF($AG143="서울병원",MAX(0,DAY(EOMONTH(요약!$B$3,0))-N($X143)),0))</f>
        <v/>
      </c>
      <c r="AI143" s="17">
        <f>IF($B143="","",IF(TRIM($J143&amp;"")="",0,SUMPRODUCT((파견수련계획!$Q$4:$Q$83=TRIM($J143&amp;""))*(파견수련계획!$S$4:$S$83="구리병원")*파견수련계획!$W$4:$W$83))+IF($AG143="구리병원",MAX(0,DAY(EOMONTH(요약!$B$3,0))-N($X143)),0))</f>
        <v/>
      </c>
      <c r="AJ143" s="10">
        <f>IF(OR($B143="",TRIM($J143&amp;"")=""),"",IFERROR(MATCH(TRIM($J143&amp;"")&amp;"|월",파견수련계획!$Z$4:$Z$83,0),""))</f>
        <v/>
      </c>
      <c r="AK143" s="10">
        <f>IF(OR($B143="",TRIM($J143&amp;"")=""),"",IFERROR(MATCH(TRIM($J143&amp;"")&amp;"|다기관",파견수련계획!$AE$4:$AE$83,0),""))</f>
        <v/>
      </c>
      <c r="AL143" s="10">
        <f>IF($AK143="","","다기관 "&amp;TEXT(INDEX(파견수련계획!$AB$4:$AB$83,$AK143),"yyyy-mm-dd")&amp;"~"&amp;IF(ISNUMBER(INDEX(파견수련계획!$AC$4:$AC$83,$AK143)),TEXT(INDEX(파견수련계획!$AC$4:$AC$83,$AK143),"yyyy-mm-dd"),""))</f>
        <v/>
      </c>
    </row>
    <row r="144">
      <c r="A144" s="10">
        <f>IF(B144="","",ROW()-1)</f>
        <v/>
      </c>
      <c r="B144" s="18" t="n"/>
      <c r="C144" s="10">
        <f>IF($AB144="","",IF(INDEX(기본자료!$C$2:$C$1001,$AB144)="","",INDEX(기본자료!$C$2:$C$1001,$AB144)))</f>
        <v/>
      </c>
      <c r="D144" s="10">
        <f>IF($AB144="","",IF(INDEX(기본자료!$J$2:$J$1001,$AB144)="","",INDEX(기본자료!$J$2:$J$1001,$AB144)))</f>
        <v/>
      </c>
      <c r="E144" s="11">
        <f>IF($AB144="","",IF(INDEX(기본자료!$K$2:$K$1001,$AB144)="","",IF(NOT(ISNUMBER(INDEX(기본자료!$K$2:$K$1001,$AB144))),INDEX(기본자료!$K$2:$K$1001,$AB144),IF(INDEX(기본자료!$K$2:$K$1001,$AB144)&lt;1000000,INDEX(기본자료!$K$2:$K$1001,$AB144),IF(AND(INDEX(기본자료!$K$2:$K$1001,$AB144)&gt;=10000101,INT(MOD(INDEX(기본자료!$K$2:$K$1001,$AB144),10000)/100)&gt;=1,INT(MOD(INDEX(기본자료!$K$2:$K$1001,$AB144),10000)/100)&lt;=12,MOD(INDEX(기본자료!$K$2:$K$1001,$AB144),100)&gt;=1,MOD(INDEX(기본자료!$K$2:$K$1001,$AB144),100)&lt;=31),DATE(INT(INDEX(기본자료!$K$2:$K$1001,$AB144)/10000),INT(MOD(INDEX(기본자료!$K$2:$K$1001,$AB144),10000)/100),MOD(INDEX(기본자료!$K$2:$K$1001,$AB144),100)),INDEX(기본자료!$K$2:$K$1001,$AB144)&amp;"")))))</f>
        <v/>
      </c>
      <c r="F144" s="10">
        <f>IF($AB144="","",IF(INDEX(기본자료!$D$2:$D$1001,$AB144)="","",INDEX(기본자료!$D$2:$D$1001,$AB144)))</f>
        <v/>
      </c>
      <c r="G144" s="10">
        <f>IF($AB144="","",IF(INDEX(기본자료!$E$2:$E$1001,$AB144)="","",INDEX(기본자료!$E$2:$E$1001,$AB144)))</f>
        <v/>
      </c>
      <c r="H144" s="10">
        <f>IF($AB144="","",IF(INDEX(기본자료!$F$2:$F$1001,$AB144)="","",INDEX(기본자료!$F$2:$F$1001,$AB144)))</f>
        <v/>
      </c>
      <c r="I144" s="11">
        <f>IF($AB144="","",IF(INDEX(기본자료!$G$2:$G$1001,$AB144)="","",IF(NOT(ISNUMBER(INDEX(기본자료!$G$2:$G$1001,$AB144))),INDEX(기본자료!$G$2:$G$1001,$AB144),IF(INDEX(기본자료!$G$2:$G$1001,$AB144)&lt;1000000,INDEX(기본자료!$G$2:$G$1001,$AB144),IF(AND(INDEX(기본자료!$G$2:$G$1001,$AB144)&gt;=10000101,INT(MOD(INDEX(기본자료!$G$2:$G$1001,$AB144),10000)/100)&gt;=1,INT(MOD(INDEX(기본자료!$G$2:$G$1001,$AB144),10000)/100)&lt;=12,MOD(INDEX(기본자료!$G$2:$G$1001,$AB144),100)&gt;=1,MOD(INDEX(기본자료!$G$2:$G$1001,$AB144),100)&lt;=31),DATE(INT(INDEX(기본자료!$G$2:$G$1001,$AB144)/10000),INT(MOD(INDEX(기본자료!$G$2:$G$1001,$AB144),10000)/100),MOD(INDEX(기본자료!$G$2:$G$1001,$AB144),100)),INDEX(기본자료!$G$2:$G$1001,$AB144)&amp;"")))))</f>
        <v/>
      </c>
      <c r="J144" s="10">
        <f>IF($AB144="","",IF(INDEX(기본자료!$H$2:$H$1001,$AB144)="","",INDEX(기본자료!$H$2:$H$1001,$AB144)))</f>
        <v/>
      </c>
      <c r="K144" s="10">
        <f>IF($AB144="","",IF(INDEX(기본자료!$I$2:$I$1001,$AB144)="","",INDEX(기본자료!$I$2:$I$1001,$AB144)))</f>
        <v/>
      </c>
      <c r="L144" s="10">
        <f>IF($AB144="","",IF(INDEX(기본자료!$A$2:$A$1001,$AB144)="","",INDEX(기본자료!$A$2:$A$1001,$AB144)))</f>
        <v/>
      </c>
      <c r="M144" s="15" t="n"/>
      <c r="N144" s="10">
        <f>IF($B144="","",IF(AND($U144="파견중",$Q144&lt;&gt;""),$Q144,IF(AND($AD144&lt;&gt;"",LEFT($AD144,1)&lt;&gt;"⚠"),LEFT($AD144,FIND(" ",$AD144)-1),IF($H144="","",IF(RIGHT($H144,2)="병원",$H144,$H144&amp;"병원")))))</f>
        <v/>
      </c>
      <c r="O144" s="10">
        <f>IF($B144="","",IF(AND($U144="파견중",$Q144&lt;&gt;""),IF($R144&lt;&gt;"",$R144,"파견과 미입력"),IF(AND($AD144&lt;&gt;"",LEFT($AD144,1)&lt;&gt;"⚠"),MID($AD144,FIND(" ",$AD144)+1,60),IF($F144="","",IF($F144="인턴","수련교육부(인턴)",$F144)))))</f>
        <v/>
      </c>
      <c r="P144" s="10">
        <f>IF($B144="","",IF($AK144&lt;&gt;"",IF(AND(TODAY()&gt;=INDEX(파견수련계획!$AB$4:$AB$83,$AK144),OR(NOT(ISNUMBER(INDEX(파견수련계획!$AC$4:$AC$83,$AK144))),TODAY()&lt;=INDEX(파견수련계획!$AC$4:$AC$83,$AK144))),"다기관",IF($AF144="","",INDEX(파견수련계획!$T$4:$T$83,$AF144))),IF($AF144="","",INDEX(파견수련계획!$T$4:$T$83,$AF144))))</f>
        <v/>
      </c>
      <c r="Q144" s="10">
        <f>IF($AF144="","",INDEX(파견수련계획!$S$4:$S$83,$AF144))</f>
        <v/>
      </c>
      <c r="R144" s="10">
        <f>IF($AF144="","",INDEX(파견수련계획!$U$4:$U$83,$AF144))</f>
        <v/>
      </c>
      <c r="S144" s="11">
        <f>IF($AF144="","",IF(INDEX(파견수련계획!$H$4:$H$83,$AF144)="","",INDEX(파견수련계획!$H$4:$H$83,$AF144)))</f>
        <v/>
      </c>
      <c r="T144" s="11">
        <f>IF($AF144="","",IF(INDEX(파견수련계획!$I$4:$I$83,$AF144)="","",INDEX(파견수련계획!$I$4:$I$83,$AF144)))</f>
        <v/>
      </c>
      <c r="U144" s="10">
        <f>IF($AF144="","",INDEX(파견수련계획!$X$4:$X$83,$AF144))</f>
        <v/>
      </c>
      <c r="V144" s="17">
        <f>IF($AF144="","",INDEX(파견수련계획!$V$4:$V$83,$AF144))</f>
        <v/>
      </c>
      <c r="W144" s="17">
        <f>IF(AND($U144="파견중",$T144&lt;&gt;""),$T144-TODAY(),"")</f>
        <v/>
      </c>
      <c r="X144" s="17">
        <f>IF(OR($B144="",TRIM($J144&amp;"")=""),"",SUMPRODUCT((파견수련계획!$Q$4:$Q$83=TRIM($J144&amp;""))*파견수련계획!$W$4:$W$83))</f>
        <v/>
      </c>
      <c r="Y144" s="10">
        <f>IF($B144="","",IF($AG144="","",IF(IF(TRIM($J144&amp;"")="",0,SUMPRODUCT((파견수련계획!$Q$4:$Q$83=TRIM($J144&amp;""))*파견수련계획!$AD$4:$AD$83))&gt;0,$AE144,IF(N($X144)&lt;=0,$AG144,IF($AH144+$AI144=DAY(EOMONTH(요약!$B$3,0)),IF(AND($AH144&gt;=요약!$E$3,$AI144&lt;요약!$E$3),"서울병원",IF(AND($AI144&gt;=요약!$E$3,$AH144&lt;요약!$E$3),"구리병원","⚠15일 판정불가(서울 "&amp;$AH144&amp;"일/구리 "&amp;$AI144&amp;"일)")),IF($AJ144="",$AE144,IF(INDEX(파견수련계획!$T$4:$T$83,$AJ144)="통합수련",INDEX(파견수련계획!$S$4:$S$83,$AJ144),$AE144)))))))</f>
        <v/>
      </c>
      <c r="Z144" s="19">
        <f>IF($B144="","",IF($AB144="","기본자료에 없는 사번",IF(COUNTIF($B$2:$B$401,$B144)&gt;1,"중복 사번",IF($AE144="","소속(입사장소) 입력",IF(IF(TRIM($J144&amp;"")="",0,SUMPRODUCT((파견수련계획!$Q$4:$Q$83=TRIM($J144&amp;""))*(파견수련계획!$AA$4:$AA$83&lt;&gt;"")))&gt;0,"파견수련계획 입력오류 확인",IF(LEFT($Y144,1)="⚠","서울·구리 15일 판정 불가(양쪽 모두 이상/미만)",IF(IF($AC144="",0,N(INDEX(인턴근무계획!$T$3:$T$62,$AC144)))&gt;0,"인턴계획 입력오류 확인",IF(AND($AC144&lt;&gt;"",$U144&lt;&gt;"파견중",$N144&lt;&gt;$AE144),"인턴 타지역 근무: 파견 여부 확인","정상"))))))))</f>
        <v/>
      </c>
      <c r="AA144" s="5" t="n"/>
      <c r="AB144" s="10">
        <f>IF($B144="","",IFERROR(MATCH($B144,기본자료!$B$2:$B$1001,0),IFERROR(MATCH($B144&amp;"",기본자료!$B$2:$B$1001,0),IFERROR(MATCH(VALUE($B144),기본자료!$B$2:$B$1001,0),""))))</f>
        <v/>
      </c>
      <c r="AC144" s="10">
        <f>IF($B144="","",IFERROR(MATCH($B144,인턴근무계획!$D$3:$D$62,0),IFERROR(MATCH($B144&amp;"",인턴근무계획!$D$3:$D$62,0),IFERROR(MATCH(VALUE($B144),인턴근무계획!$D$3:$D$62,0),""))))</f>
        <v/>
      </c>
      <c r="AD144" s="10">
        <f>IF(OR($AC144="",인턴현황!$G$3=""),"",INDEX(인턴근무계획!$M$3:$R$62,$AC144,인턴현황!$G$3)&amp;"")</f>
        <v/>
      </c>
      <c r="AE144" s="10">
        <f>IF($B144="","",IF($M144&lt;&gt;"",$M144,IF($AF144&lt;&gt;"",IF(LEFT(INDEX(파견수련계획!$R$4:$R$83,$AF144),1)&lt;&gt;"⚠",INDEX(파견수련계획!$R$4:$R$83,$AF144),IF($H144="","",IF(RIGHT($H144,2)="병원",$H144,$H144&amp;"병원"))),IF($H144="","",IF(RIGHT($H144,2)="병원",$H144,$H144&amp;"병원")))))</f>
        <v/>
      </c>
      <c r="AF144" s="10">
        <f>IF(OR($B144="",TRIM($J144&amp;"")=""),"",IFERROR(MATCH(TRIM($J144&amp;"")&amp;"|파견중",파견수련계획!$Y$4:$Y$83,0),IFERROR(MATCH(TRIM($J144&amp;"")&amp;"|파견예정",파견수련계획!$Y$4:$Y$83,0),IFERROR(MATCH(TRIM($J144&amp;"")&amp;"|파견종료",파견수련계획!$Y$4:$Y$83,0),""))))</f>
        <v/>
      </c>
      <c r="AG144" s="10">
        <f>IF($B144="","",IF(AND(IF(OR($AC144="",인턴현황!$K$2=""),"",INDEX(인턴근무계획!$M$3:$R$62,$AC144,인턴현황!$K$2)&amp;"")&lt;&gt;"",LEFT(IF(OR($AC144="",인턴현황!$K$2=""),"",INDEX(인턴근무계획!$M$3:$R$62,$AC144,인턴현황!$K$2)&amp;""),1)&lt;&gt;"⚠"),LEFT(IF(OR($AC144="",인턴현황!$K$2=""),"",INDEX(인턴근무계획!$M$3:$R$62,$AC144,인턴현황!$K$2)&amp;""),FIND(" ",IF(OR($AC144="",인턴현황!$K$2=""),"",INDEX(인턴근무계획!$M$3:$R$62,$AC144,인턴현황!$K$2)&amp;""))-1),$AE144))</f>
        <v/>
      </c>
      <c r="AH144" s="17">
        <f>IF($B144="","",IF(TRIM($J144&amp;"")="",0,SUMPRODUCT((파견수련계획!$Q$4:$Q$83=TRIM($J144&amp;""))*(파견수련계획!$S$4:$S$83="서울병원")*파견수련계획!$W$4:$W$83))+IF($AG144="서울병원",MAX(0,DAY(EOMONTH(요약!$B$3,0))-N($X144)),0))</f>
        <v/>
      </c>
      <c r="AI144" s="17">
        <f>IF($B144="","",IF(TRIM($J144&amp;"")="",0,SUMPRODUCT((파견수련계획!$Q$4:$Q$83=TRIM($J144&amp;""))*(파견수련계획!$S$4:$S$83="구리병원")*파견수련계획!$W$4:$W$83))+IF($AG144="구리병원",MAX(0,DAY(EOMONTH(요약!$B$3,0))-N($X144)),0))</f>
        <v/>
      </c>
      <c r="AJ144" s="10">
        <f>IF(OR($B144="",TRIM($J144&amp;"")=""),"",IFERROR(MATCH(TRIM($J144&amp;"")&amp;"|월",파견수련계획!$Z$4:$Z$83,0),""))</f>
        <v/>
      </c>
      <c r="AK144" s="10">
        <f>IF(OR($B144="",TRIM($J144&amp;"")=""),"",IFERROR(MATCH(TRIM($J144&amp;"")&amp;"|다기관",파견수련계획!$AE$4:$AE$83,0),""))</f>
        <v/>
      </c>
      <c r="AL144" s="10">
        <f>IF($AK144="","","다기관 "&amp;TEXT(INDEX(파견수련계획!$AB$4:$AB$83,$AK144),"yyyy-mm-dd")&amp;"~"&amp;IF(ISNUMBER(INDEX(파견수련계획!$AC$4:$AC$83,$AK144)),TEXT(INDEX(파견수련계획!$AC$4:$AC$83,$AK144),"yyyy-mm-dd"),""))</f>
        <v/>
      </c>
    </row>
    <row r="145">
      <c r="A145" s="10">
        <f>IF(B145="","",ROW()-1)</f>
        <v/>
      </c>
      <c r="B145" s="18" t="n"/>
      <c r="C145" s="10">
        <f>IF($AB145="","",IF(INDEX(기본자료!$C$2:$C$1001,$AB145)="","",INDEX(기본자료!$C$2:$C$1001,$AB145)))</f>
        <v/>
      </c>
      <c r="D145" s="10">
        <f>IF($AB145="","",IF(INDEX(기본자료!$J$2:$J$1001,$AB145)="","",INDEX(기본자료!$J$2:$J$1001,$AB145)))</f>
        <v/>
      </c>
      <c r="E145" s="11">
        <f>IF($AB145="","",IF(INDEX(기본자료!$K$2:$K$1001,$AB145)="","",IF(NOT(ISNUMBER(INDEX(기본자료!$K$2:$K$1001,$AB145))),INDEX(기본자료!$K$2:$K$1001,$AB145),IF(INDEX(기본자료!$K$2:$K$1001,$AB145)&lt;1000000,INDEX(기본자료!$K$2:$K$1001,$AB145),IF(AND(INDEX(기본자료!$K$2:$K$1001,$AB145)&gt;=10000101,INT(MOD(INDEX(기본자료!$K$2:$K$1001,$AB145),10000)/100)&gt;=1,INT(MOD(INDEX(기본자료!$K$2:$K$1001,$AB145),10000)/100)&lt;=12,MOD(INDEX(기본자료!$K$2:$K$1001,$AB145),100)&gt;=1,MOD(INDEX(기본자료!$K$2:$K$1001,$AB145),100)&lt;=31),DATE(INT(INDEX(기본자료!$K$2:$K$1001,$AB145)/10000),INT(MOD(INDEX(기본자료!$K$2:$K$1001,$AB145),10000)/100),MOD(INDEX(기본자료!$K$2:$K$1001,$AB145),100)),INDEX(기본자료!$K$2:$K$1001,$AB145)&amp;"")))))</f>
        <v/>
      </c>
      <c r="F145" s="10">
        <f>IF($AB145="","",IF(INDEX(기본자료!$D$2:$D$1001,$AB145)="","",INDEX(기본자료!$D$2:$D$1001,$AB145)))</f>
        <v/>
      </c>
      <c r="G145" s="10">
        <f>IF($AB145="","",IF(INDEX(기본자료!$E$2:$E$1001,$AB145)="","",INDEX(기본자료!$E$2:$E$1001,$AB145)))</f>
        <v/>
      </c>
      <c r="H145" s="10">
        <f>IF($AB145="","",IF(INDEX(기본자료!$F$2:$F$1001,$AB145)="","",INDEX(기본자료!$F$2:$F$1001,$AB145)))</f>
        <v/>
      </c>
      <c r="I145" s="11">
        <f>IF($AB145="","",IF(INDEX(기본자료!$G$2:$G$1001,$AB145)="","",IF(NOT(ISNUMBER(INDEX(기본자료!$G$2:$G$1001,$AB145))),INDEX(기본자료!$G$2:$G$1001,$AB145),IF(INDEX(기본자료!$G$2:$G$1001,$AB145)&lt;1000000,INDEX(기본자료!$G$2:$G$1001,$AB145),IF(AND(INDEX(기본자료!$G$2:$G$1001,$AB145)&gt;=10000101,INT(MOD(INDEX(기본자료!$G$2:$G$1001,$AB145),10000)/100)&gt;=1,INT(MOD(INDEX(기본자료!$G$2:$G$1001,$AB145),10000)/100)&lt;=12,MOD(INDEX(기본자료!$G$2:$G$1001,$AB145),100)&gt;=1,MOD(INDEX(기본자료!$G$2:$G$1001,$AB145),100)&lt;=31),DATE(INT(INDEX(기본자료!$G$2:$G$1001,$AB145)/10000),INT(MOD(INDEX(기본자료!$G$2:$G$1001,$AB145),10000)/100),MOD(INDEX(기본자료!$G$2:$G$1001,$AB145),100)),INDEX(기본자료!$G$2:$G$1001,$AB145)&amp;"")))))</f>
        <v/>
      </c>
      <c r="J145" s="10">
        <f>IF($AB145="","",IF(INDEX(기본자료!$H$2:$H$1001,$AB145)="","",INDEX(기본자료!$H$2:$H$1001,$AB145)))</f>
        <v/>
      </c>
      <c r="K145" s="10">
        <f>IF($AB145="","",IF(INDEX(기본자료!$I$2:$I$1001,$AB145)="","",INDEX(기본자료!$I$2:$I$1001,$AB145)))</f>
        <v/>
      </c>
      <c r="L145" s="10">
        <f>IF($AB145="","",IF(INDEX(기본자료!$A$2:$A$1001,$AB145)="","",INDEX(기본자료!$A$2:$A$1001,$AB145)))</f>
        <v/>
      </c>
      <c r="M145" s="15" t="n"/>
      <c r="N145" s="10">
        <f>IF($B145="","",IF(AND($U145="파견중",$Q145&lt;&gt;""),$Q145,IF(AND($AD145&lt;&gt;"",LEFT($AD145,1)&lt;&gt;"⚠"),LEFT($AD145,FIND(" ",$AD145)-1),IF($H145="","",IF(RIGHT($H145,2)="병원",$H145,$H145&amp;"병원")))))</f>
        <v/>
      </c>
      <c r="O145" s="10">
        <f>IF($B145="","",IF(AND($U145="파견중",$Q145&lt;&gt;""),IF($R145&lt;&gt;"",$R145,"파견과 미입력"),IF(AND($AD145&lt;&gt;"",LEFT($AD145,1)&lt;&gt;"⚠"),MID($AD145,FIND(" ",$AD145)+1,60),IF($F145="","",IF($F145="인턴","수련교육부(인턴)",$F145)))))</f>
        <v/>
      </c>
      <c r="P145" s="10">
        <f>IF($B145="","",IF($AK145&lt;&gt;"",IF(AND(TODAY()&gt;=INDEX(파견수련계획!$AB$4:$AB$83,$AK145),OR(NOT(ISNUMBER(INDEX(파견수련계획!$AC$4:$AC$83,$AK145))),TODAY()&lt;=INDEX(파견수련계획!$AC$4:$AC$83,$AK145))),"다기관",IF($AF145="","",INDEX(파견수련계획!$T$4:$T$83,$AF145))),IF($AF145="","",INDEX(파견수련계획!$T$4:$T$83,$AF145))))</f>
        <v/>
      </c>
      <c r="Q145" s="10">
        <f>IF($AF145="","",INDEX(파견수련계획!$S$4:$S$83,$AF145))</f>
        <v/>
      </c>
      <c r="R145" s="10">
        <f>IF($AF145="","",INDEX(파견수련계획!$U$4:$U$83,$AF145))</f>
        <v/>
      </c>
      <c r="S145" s="11">
        <f>IF($AF145="","",IF(INDEX(파견수련계획!$H$4:$H$83,$AF145)="","",INDEX(파견수련계획!$H$4:$H$83,$AF145)))</f>
        <v/>
      </c>
      <c r="T145" s="11">
        <f>IF($AF145="","",IF(INDEX(파견수련계획!$I$4:$I$83,$AF145)="","",INDEX(파견수련계획!$I$4:$I$83,$AF145)))</f>
        <v/>
      </c>
      <c r="U145" s="10">
        <f>IF($AF145="","",INDEX(파견수련계획!$X$4:$X$83,$AF145))</f>
        <v/>
      </c>
      <c r="V145" s="17">
        <f>IF($AF145="","",INDEX(파견수련계획!$V$4:$V$83,$AF145))</f>
        <v/>
      </c>
      <c r="W145" s="17">
        <f>IF(AND($U145="파견중",$T145&lt;&gt;""),$T145-TODAY(),"")</f>
        <v/>
      </c>
      <c r="X145" s="17">
        <f>IF(OR($B145="",TRIM($J145&amp;"")=""),"",SUMPRODUCT((파견수련계획!$Q$4:$Q$83=TRIM($J145&amp;""))*파견수련계획!$W$4:$W$83))</f>
        <v/>
      </c>
      <c r="Y145" s="10">
        <f>IF($B145="","",IF($AG145="","",IF(IF(TRIM($J145&amp;"")="",0,SUMPRODUCT((파견수련계획!$Q$4:$Q$83=TRIM($J145&amp;""))*파견수련계획!$AD$4:$AD$83))&gt;0,$AE145,IF(N($X145)&lt;=0,$AG145,IF($AH145+$AI145=DAY(EOMONTH(요약!$B$3,0)),IF(AND($AH145&gt;=요약!$E$3,$AI145&lt;요약!$E$3),"서울병원",IF(AND($AI145&gt;=요약!$E$3,$AH145&lt;요약!$E$3),"구리병원","⚠15일 판정불가(서울 "&amp;$AH145&amp;"일/구리 "&amp;$AI145&amp;"일)")),IF($AJ145="",$AE145,IF(INDEX(파견수련계획!$T$4:$T$83,$AJ145)="통합수련",INDEX(파견수련계획!$S$4:$S$83,$AJ145),$AE145)))))))</f>
        <v/>
      </c>
      <c r="Z145" s="19">
        <f>IF($B145="","",IF($AB145="","기본자료에 없는 사번",IF(COUNTIF($B$2:$B$401,$B145)&gt;1,"중복 사번",IF($AE145="","소속(입사장소) 입력",IF(IF(TRIM($J145&amp;"")="",0,SUMPRODUCT((파견수련계획!$Q$4:$Q$83=TRIM($J145&amp;""))*(파견수련계획!$AA$4:$AA$83&lt;&gt;"")))&gt;0,"파견수련계획 입력오류 확인",IF(LEFT($Y145,1)="⚠","서울·구리 15일 판정 불가(양쪽 모두 이상/미만)",IF(IF($AC145="",0,N(INDEX(인턴근무계획!$T$3:$T$62,$AC145)))&gt;0,"인턴계획 입력오류 확인",IF(AND($AC145&lt;&gt;"",$U145&lt;&gt;"파견중",$N145&lt;&gt;$AE145),"인턴 타지역 근무: 파견 여부 확인","정상"))))))))</f>
        <v/>
      </c>
      <c r="AA145" s="5" t="n"/>
      <c r="AB145" s="10">
        <f>IF($B145="","",IFERROR(MATCH($B145,기본자료!$B$2:$B$1001,0),IFERROR(MATCH($B145&amp;"",기본자료!$B$2:$B$1001,0),IFERROR(MATCH(VALUE($B145),기본자료!$B$2:$B$1001,0),""))))</f>
        <v/>
      </c>
      <c r="AC145" s="10">
        <f>IF($B145="","",IFERROR(MATCH($B145,인턴근무계획!$D$3:$D$62,0),IFERROR(MATCH($B145&amp;"",인턴근무계획!$D$3:$D$62,0),IFERROR(MATCH(VALUE($B145),인턴근무계획!$D$3:$D$62,0),""))))</f>
        <v/>
      </c>
      <c r="AD145" s="10">
        <f>IF(OR($AC145="",인턴현황!$G$3=""),"",INDEX(인턴근무계획!$M$3:$R$62,$AC145,인턴현황!$G$3)&amp;"")</f>
        <v/>
      </c>
      <c r="AE145" s="10">
        <f>IF($B145="","",IF($M145&lt;&gt;"",$M145,IF($AF145&lt;&gt;"",IF(LEFT(INDEX(파견수련계획!$R$4:$R$83,$AF145),1)&lt;&gt;"⚠",INDEX(파견수련계획!$R$4:$R$83,$AF145),IF($H145="","",IF(RIGHT($H145,2)="병원",$H145,$H145&amp;"병원"))),IF($H145="","",IF(RIGHT($H145,2)="병원",$H145,$H145&amp;"병원")))))</f>
        <v/>
      </c>
      <c r="AF145" s="10">
        <f>IF(OR($B145="",TRIM($J145&amp;"")=""),"",IFERROR(MATCH(TRIM($J145&amp;"")&amp;"|파견중",파견수련계획!$Y$4:$Y$83,0),IFERROR(MATCH(TRIM($J145&amp;"")&amp;"|파견예정",파견수련계획!$Y$4:$Y$83,0),IFERROR(MATCH(TRIM($J145&amp;"")&amp;"|파견종료",파견수련계획!$Y$4:$Y$83,0),""))))</f>
        <v/>
      </c>
      <c r="AG145" s="10">
        <f>IF($B145="","",IF(AND(IF(OR($AC145="",인턴현황!$K$2=""),"",INDEX(인턴근무계획!$M$3:$R$62,$AC145,인턴현황!$K$2)&amp;"")&lt;&gt;"",LEFT(IF(OR($AC145="",인턴현황!$K$2=""),"",INDEX(인턴근무계획!$M$3:$R$62,$AC145,인턴현황!$K$2)&amp;""),1)&lt;&gt;"⚠"),LEFT(IF(OR($AC145="",인턴현황!$K$2=""),"",INDEX(인턴근무계획!$M$3:$R$62,$AC145,인턴현황!$K$2)&amp;""),FIND(" ",IF(OR($AC145="",인턴현황!$K$2=""),"",INDEX(인턴근무계획!$M$3:$R$62,$AC145,인턴현황!$K$2)&amp;""))-1),$AE145))</f>
        <v/>
      </c>
      <c r="AH145" s="17">
        <f>IF($B145="","",IF(TRIM($J145&amp;"")="",0,SUMPRODUCT((파견수련계획!$Q$4:$Q$83=TRIM($J145&amp;""))*(파견수련계획!$S$4:$S$83="서울병원")*파견수련계획!$W$4:$W$83))+IF($AG145="서울병원",MAX(0,DAY(EOMONTH(요약!$B$3,0))-N($X145)),0))</f>
        <v/>
      </c>
      <c r="AI145" s="17">
        <f>IF($B145="","",IF(TRIM($J145&amp;"")="",0,SUMPRODUCT((파견수련계획!$Q$4:$Q$83=TRIM($J145&amp;""))*(파견수련계획!$S$4:$S$83="구리병원")*파견수련계획!$W$4:$W$83))+IF($AG145="구리병원",MAX(0,DAY(EOMONTH(요약!$B$3,0))-N($X145)),0))</f>
        <v/>
      </c>
      <c r="AJ145" s="10">
        <f>IF(OR($B145="",TRIM($J145&amp;"")=""),"",IFERROR(MATCH(TRIM($J145&amp;"")&amp;"|월",파견수련계획!$Z$4:$Z$83,0),""))</f>
        <v/>
      </c>
      <c r="AK145" s="10">
        <f>IF(OR($B145="",TRIM($J145&amp;"")=""),"",IFERROR(MATCH(TRIM($J145&amp;"")&amp;"|다기관",파견수련계획!$AE$4:$AE$83,0),""))</f>
        <v/>
      </c>
      <c r="AL145" s="10">
        <f>IF($AK145="","","다기관 "&amp;TEXT(INDEX(파견수련계획!$AB$4:$AB$83,$AK145),"yyyy-mm-dd")&amp;"~"&amp;IF(ISNUMBER(INDEX(파견수련계획!$AC$4:$AC$83,$AK145)),TEXT(INDEX(파견수련계획!$AC$4:$AC$83,$AK145),"yyyy-mm-dd"),""))</f>
        <v/>
      </c>
    </row>
    <row r="146">
      <c r="A146" s="10">
        <f>IF(B146="","",ROW()-1)</f>
        <v/>
      </c>
      <c r="B146" s="18" t="n"/>
      <c r="C146" s="10">
        <f>IF($AB146="","",IF(INDEX(기본자료!$C$2:$C$1001,$AB146)="","",INDEX(기본자료!$C$2:$C$1001,$AB146)))</f>
        <v/>
      </c>
      <c r="D146" s="10">
        <f>IF($AB146="","",IF(INDEX(기본자료!$J$2:$J$1001,$AB146)="","",INDEX(기본자료!$J$2:$J$1001,$AB146)))</f>
        <v/>
      </c>
      <c r="E146" s="11">
        <f>IF($AB146="","",IF(INDEX(기본자료!$K$2:$K$1001,$AB146)="","",IF(NOT(ISNUMBER(INDEX(기본자료!$K$2:$K$1001,$AB146))),INDEX(기본자료!$K$2:$K$1001,$AB146),IF(INDEX(기본자료!$K$2:$K$1001,$AB146)&lt;1000000,INDEX(기본자료!$K$2:$K$1001,$AB146),IF(AND(INDEX(기본자료!$K$2:$K$1001,$AB146)&gt;=10000101,INT(MOD(INDEX(기본자료!$K$2:$K$1001,$AB146),10000)/100)&gt;=1,INT(MOD(INDEX(기본자료!$K$2:$K$1001,$AB146),10000)/100)&lt;=12,MOD(INDEX(기본자료!$K$2:$K$1001,$AB146),100)&gt;=1,MOD(INDEX(기본자료!$K$2:$K$1001,$AB146),100)&lt;=31),DATE(INT(INDEX(기본자료!$K$2:$K$1001,$AB146)/10000),INT(MOD(INDEX(기본자료!$K$2:$K$1001,$AB146),10000)/100),MOD(INDEX(기본자료!$K$2:$K$1001,$AB146),100)),INDEX(기본자료!$K$2:$K$1001,$AB146)&amp;"")))))</f>
        <v/>
      </c>
      <c r="F146" s="10">
        <f>IF($AB146="","",IF(INDEX(기본자료!$D$2:$D$1001,$AB146)="","",INDEX(기본자료!$D$2:$D$1001,$AB146)))</f>
        <v/>
      </c>
      <c r="G146" s="10">
        <f>IF($AB146="","",IF(INDEX(기본자료!$E$2:$E$1001,$AB146)="","",INDEX(기본자료!$E$2:$E$1001,$AB146)))</f>
        <v/>
      </c>
      <c r="H146" s="10">
        <f>IF($AB146="","",IF(INDEX(기본자료!$F$2:$F$1001,$AB146)="","",INDEX(기본자료!$F$2:$F$1001,$AB146)))</f>
        <v/>
      </c>
      <c r="I146" s="11">
        <f>IF($AB146="","",IF(INDEX(기본자료!$G$2:$G$1001,$AB146)="","",IF(NOT(ISNUMBER(INDEX(기본자료!$G$2:$G$1001,$AB146))),INDEX(기본자료!$G$2:$G$1001,$AB146),IF(INDEX(기본자료!$G$2:$G$1001,$AB146)&lt;1000000,INDEX(기본자료!$G$2:$G$1001,$AB146),IF(AND(INDEX(기본자료!$G$2:$G$1001,$AB146)&gt;=10000101,INT(MOD(INDEX(기본자료!$G$2:$G$1001,$AB146),10000)/100)&gt;=1,INT(MOD(INDEX(기본자료!$G$2:$G$1001,$AB146),10000)/100)&lt;=12,MOD(INDEX(기본자료!$G$2:$G$1001,$AB146),100)&gt;=1,MOD(INDEX(기본자료!$G$2:$G$1001,$AB146),100)&lt;=31),DATE(INT(INDEX(기본자료!$G$2:$G$1001,$AB146)/10000),INT(MOD(INDEX(기본자료!$G$2:$G$1001,$AB146),10000)/100),MOD(INDEX(기본자료!$G$2:$G$1001,$AB146),100)),INDEX(기본자료!$G$2:$G$1001,$AB146)&amp;"")))))</f>
        <v/>
      </c>
      <c r="J146" s="10">
        <f>IF($AB146="","",IF(INDEX(기본자료!$H$2:$H$1001,$AB146)="","",INDEX(기본자료!$H$2:$H$1001,$AB146)))</f>
        <v/>
      </c>
      <c r="K146" s="10">
        <f>IF($AB146="","",IF(INDEX(기본자료!$I$2:$I$1001,$AB146)="","",INDEX(기본자료!$I$2:$I$1001,$AB146)))</f>
        <v/>
      </c>
      <c r="L146" s="10">
        <f>IF($AB146="","",IF(INDEX(기본자료!$A$2:$A$1001,$AB146)="","",INDEX(기본자료!$A$2:$A$1001,$AB146)))</f>
        <v/>
      </c>
      <c r="M146" s="15" t="n"/>
      <c r="N146" s="10">
        <f>IF($B146="","",IF(AND($U146="파견중",$Q146&lt;&gt;""),$Q146,IF(AND($AD146&lt;&gt;"",LEFT($AD146,1)&lt;&gt;"⚠"),LEFT($AD146,FIND(" ",$AD146)-1),IF($H146="","",IF(RIGHT($H146,2)="병원",$H146,$H146&amp;"병원")))))</f>
        <v/>
      </c>
      <c r="O146" s="10">
        <f>IF($B146="","",IF(AND($U146="파견중",$Q146&lt;&gt;""),IF($R146&lt;&gt;"",$R146,"파견과 미입력"),IF(AND($AD146&lt;&gt;"",LEFT($AD146,1)&lt;&gt;"⚠"),MID($AD146,FIND(" ",$AD146)+1,60),IF($F146="","",IF($F146="인턴","수련교육부(인턴)",$F146)))))</f>
        <v/>
      </c>
      <c r="P146" s="10">
        <f>IF($B146="","",IF($AK146&lt;&gt;"",IF(AND(TODAY()&gt;=INDEX(파견수련계획!$AB$4:$AB$83,$AK146),OR(NOT(ISNUMBER(INDEX(파견수련계획!$AC$4:$AC$83,$AK146))),TODAY()&lt;=INDEX(파견수련계획!$AC$4:$AC$83,$AK146))),"다기관",IF($AF146="","",INDEX(파견수련계획!$T$4:$T$83,$AF146))),IF($AF146="","",INDEX(파견수련계획!$T$4:$T$83,$AF146))))</f>
        <v/>
      </c>
      <c r="Q146" s="10">
        <f>IF($AF146="","",INDEX(파견수련계획!$S$4:$S$83,$AF146))</f>
        <v/>
      </c>
      <c r="R146" s="10">
        <f>IF($AF146="","",INDEX(파견수련계획!$U$4:$U$83,$AF146))</f>
        <v/>
      </c>
      <c r="S146" s="11">
        <f>IF($AF146="","",IF(INDEX(파견수련계획!$H$4:$H$83,$AF146)="","",INDEX(파견수련계획!$H$4:$H$83,$AF146)))</f>
        <v/>
      </c>
      <c r="T146" s="11">
        <f>IF($AF146="","",IF(INDEX(파견수련계획!$I$4:$I$83,$AF146)="","",INDEX(파견수련계획!$I$4:$I$83,$AF146)))</f>
        <v/>
      </c>
      <c r="U146" s="10">
        <f>IF($AF146="","",INDEX(파견수련계획!$X$4:$X$83,$AF146))</f>
        <v/>
      </c>
      <c r="V146" s="17">
        <f>IF($AF146="","",INDEX(파견수련계획!$V$4:$V$83,$AF146))</f>
        <v/>
      </c>
      <c r="W146" s="17">
        <f>IF(AND($U146="파견중",$T146&lt;&gt;""),$T146-TODAY(),"")</f>
        <v/>
      </c>
      <c r="X146" s="17">
        <f>IF(OR($B146="",TRIM($J146&amp;"")=""),"",SUMPRODUCT((파견수련계획!$Q$4:$Q$83=TRIM($J146&amp;""))*파견수련계획!$W$4:$W$83))</f>
        <v/>
      </c>
      <c r="Y146" s="10">
        <f>IF($B146="","",IF($AG146="","",IF(IF(TRIM($J146&amp;"")="",0,SUMPRODUCT((파견수련계획!$Q$4:$Q$83=TRIM($J146&amp;""))*파견수련계획!$AD$4:$AD$83))&gt;0,$AE146,IF(N($X146)&lt;=0,$AG146,IF($AH146+$AI146=DAY(EOMONTH(요약!$B$3,0)),IF(AND($AH146&gt;=요약!$E$3,$AI146&lt;요약!$E$3),"서울병원",IF(AND($AI146&gt;=요약!$E$3,$AH146&lt;요약!$E$3),"구리병원","⚠15일 판정불가(서울 "&amp;$AH146&amp;"일/구리 "&amp;$AI146&amp;"일)")),IF($AJ146="",$AE146,IF(INDEX(파견수련계획!$T$4:$T$83,$AJ146)="통합수련",INDEX(파견수련계획!$S$4:$S$83,$AJ146),$AE146)))))))</f>
        <v/>
      </c>
      <c r="Z146" s="19">
        <f>IF($B146="","",IF($AB146="","기본자료에 없는 사번",IF(COUNTIF($B$2:$B$401,$B146)&gt;1,"중복 사번",IF($AE146="","소속(입사장소) 입력",IF(IF(TRIM($J146&amp;"")="",0,SUMPRODUCT((파견수련계획!$Q$4:$Q$83=TRIM($J146&amp;""))*(파견수련계획!$AA$4:$AA$83&lt;&gt;"")))&gt;0,"파견수련계획 입력오류 확인",IF(LEFT($Y146,1)="⚠","서울·구리 15일 판정 불가(양쪽 모두 이상/미만)",IF(IF($AC146="",0,N(INDEX(인턴근무계획!$T$3:$T$62,$AC146)))&gt;0,"인턴계획 입력오류 확인",IF(AND($AC146&lt;&gt;"",$U146&lt;&gt;"파견중",$N146&lt;&gt;$AE146),"인턴 타지역 근무: 파견 여부 확인","정상"))))))))</f>
        <v/>
      </c>
      <c r="AA146" s="5" t="n"/>
      <c r="AB146" s="10">
        <f>IF($B146="","",IFERROR(MATCH($B146,기본자료!$B$2:$B$1001,0),IFERROR(MATCH($B146&amp;"",기본자료!$B$2:$B$1001,0),IFERROR(MATCH(VALUE($B146),기본자료!$B$2:$B$1001,0),""))))</f>
        <v/>
      </c>
      <c r="AC146" s="10">
        <f>IF($B146="","",IFERROR(MATCH($B146,인턴근무계획!$D$3:$D$62,0),IFERROR(MATCH($B146&amp;"",인턴근무계획!$D$3:$D$62,0),IFERROR(MATCH(VALUE($B146),인턴근무계획!$D$3:$D$62,0),""))))</f>
        <v/>
      </c>
      <c r="AD146" s="10">
        <f>IF(OR($AC146="",인턴현황!$G$3=""),"",INDEX(인턴근무계획!$M$3:$R$62,$AC146,인턴현황!$G$3)&amp;"")</f>
        <v/>
      </c>
      <c r="AE146" s="10">
        <f>IF($B146="","",IF($M146&lt;&gt;"",$M146,IF($AF146&lt;&gt;"",IF(LEFT(INDEX(파견수련계획!$R$4:$R$83,$AF146),1)&lt;&gt;"⚠",INDEX(파견수련계획!$R$4:$R$83,$AF146),IF($H146="","",IF(RIGHT($H146,2)="병원",$H146,$H146&amp;"병원"))),IF($H146="","",IF(RIGHT($H146,2)="병원",$H146,$H146&amp;"병원")))))</f>
        <v/>
      </c>
      <c r="AF146" s="10">
        <f>IF(OR($B146="",TRIM($J146&amp;"")=""),"",IFERROR(MATCH(TRIM($J146&amp;"")&amp;"|파견중",파견수련계획!$Y$4:$Y$83,0),IFERROR(MATCH(TRIM($J146&amp;"")&amp;"|파견예정",파견수련계획!$Y$4:$Y$83,0),IFERROR(MATCH(TRIM($J146&amp;"")&amp;"|파견종료",파견수련계획!$Y$4:$Y$83,0),""))))</f>
        <v/>
      </c>
      <c r="AG146" s="10">
        <f>IF($B146="","",IF(AND(IF(OR($AC146="",인턴현황!$K$2=""),"",INDEX(인턴근무계획!$M$3:$R$62,$AC146,인턴현황!$K$2)&amp;"")&lt;&gt;"",LEFT(IF(OR($AC146="",인턴현황!$K$2=""),"",INDEX(인턴근무계획!$M$3:$R$62,$AC146,인턴현황!$K$2)&amp;""),1)&lt;&gt;"⚠"),LEFT(IF(OR($AC146="",인턴현황!$K$2=""),"",INDEX(인턴근무계획!$M$3:$R$62,$AC146,인턴현황!$K$2)&amp;""),FIND(" ",IF(OR($AC146="",인턴현황!$K$2=""),"",INDEX(인턴근무계획!$M$3:$R$62,$AC146,인턴현황!$K$2)&amp;""))-1),$AE146))</f>
        <v/>
      </c>
      <c r="AH146" s="17">
        <f>IF($B146="","",IF(TRIM($J146&amp;"")="",0,SUMPRODUCT((파견수련계획!$Q$4:$Q$83=TRIM($J146&amp;""))*(파견수련계획!$S$4:$S$83="서울병원")*파견수련계획!$W$4:$W$83))+IF($AG146="서울병원",MAX(0,DAY(EOMONTH(요약!$B$3,0))-N($X146)),0))</f>
        <v/>
      </c>
      <c r="AI146" s="17">
        <f>IF($B146="","",IF(TRIM($J146&amp;"")="",0,SUMPRODUCT((파견수련계획!$Q$4:$Q$83=TRIM($J146&amp;""))*(파견수련계획!$S$4:$S$83="구리병원")*파견수련계획!$W$4:$W$83))+IF($AG146="구리병원",MAX(0,DAY(EOMONTH(요약!$B$3,0))-N($X146)),0))</f>
        <v/>
      </c>
      <c r="AJ146" s="10">
        <f>IF(OR($B146="",TRIM($J146&amp;"")=""),"",IFERROR(MATCH(TRIM($J146&amp;"")&amp;"|월",파견수련계획!$Z$4:$Z$83,0),""))</f>
        <v/>
      </c>
      <c r="AK146" s="10">
        <f>IF(OR($B146="",TRIM($J146&amp;"")=""),"",IFERROR(MATCH(TRIM($J146&amp;"")&amp;"|다기관",파견수련계획!$AE$4:$AE$83,0),""))</f>
        <v/>
      </c>
      <c r="AL146" s="10">
        <f>IF($AK146="","","다기관 "&amp;TEXT(INDEX(파견수련계획!$AB$4:$AB$83,$AK146),"yyyy-mm-dd")&amp;"~"&amp;IF(ISNUMBER(INDEX(파견수련계획!$AC$4:$AC$83,$AK146)),TEXT(INDEX(파견수련계획!$AC$4:$AC$83,$AK146),"yyyy-mm-dd"),""))</f>
        <v/>
      </c>
    </row>
    <row r="147">
      <c r="A147" s="10">
        <f>IF(B147="","",ROW()-1)</f>
        <v/>
      </c>
      <c r="B147" s="18" t="n"/>
      <c r="C147" s="10">
        <f>IF($AB147="","",IF(INDEX(기본자료!$C$2:$C$1001,$AB147)="","",INDEX(기본자료!$C$2:$C$1001,$AB147)))</f>
        <v/>
      </c>
      <c r="D147" s="10">
        <f>IF($AB147="","",IF(INDEX(기본자료!$J$2:$J$1001,$AB147)="","",INDEX(기본자료!$J$2:$J$1001,$AB147)))</f>
        <v/>
      </c>
      <c r="E147" s="11">
        <f>IF($AB147="","",IF(INDEX(기본자료!$K$2:$K$1001,$AB147)="","",IF(NOT(ISNUMBER(INDEX(기본자료!$K$2:$K$1001,$AB147))),INDEX(기본자료!$K$2:$K$1001,$AB147),IF(INDEX(기본자료!$K$2:$K$1001,$AB147)&lt;1000000,INDEX(기본자료!$K$2:$K$1001,$AB147),IF(AND(INDEX(기본자료!$K$2:$K$1001,$AB147)&gt;=10000101,INT(MOD(INDEX(기본자료!$K$2:$K$1001,$AB147),10000)/100)&gt;=1,INT(MOD(INDEX(기본자료!$K$2:$K$1001,$AB147),10000)/100)&lt;=12,MOD(INDEX(기본자료!$K$2:$K$1001,$AB147),100)&gt;=1,MOD(INDEX(기본자료!$K$2:$K$1001,$AB147),100)&lt;=31),DATE(INT(INDEX(기본자료!$K$2:$K$1001,$AB147)/10000),INT(MOD(INDEX(기본자료!$K$2:$K$1001,$AB147),10000)/100),MOD(INDEX(기본자료!$K$2:$K$1001,$AB147),100)),INDEX(기본자료!$K$2:$K$1001,$AB147)&amp;"")))))</f>
        <v/>
      </c>
      <c r="F147" s="10">
        <f>IF($AB147="","",IF(INDEX(기본자료!$D$2:$D$1001,$AB147)="","",INDEX(기본자료!$D$2:$D$1001,$AB147)))</f>
        <v/>
      </c>
      <c r="G147" s="10">
        <f>IF($AB147="","",IF(INDEX(기본자료!$E$2:$E$1001,$AB147)="","",INDEX(기본자료!$E$2:$E$1001,$AB147)))</f>
        <v/>
      </c>
      <c r="H147" s="10">
        <f>IF($AB147="","",IF(INDEX(기본자료!$F$2:$F$1001,$AB147)="","",INDEX(기본자료!$F$2:$F$1001,$AB147)))</f>
        <v/>
      </c>
      <c r="I147" s="11">
        <f>IF($AB147="","",IF(INDEX(기본자료!$G$2:$G$1001,$AB147)="","",IF(NOT(ISNUMBER(INDEX(기본자료!$G$2:$G$1001,$AB147))),INDEX(기본자료!$G$2:$G$1001,$AB147),IF(INDEX(기본자료!$G$2:$G$1001,$AB147)&lt;1000000,INDEX(기본자료!$G$2:$G$1001,$AB147),IF(AND(INDEX(기본자료!$G$2:$G$1001,$AB147)&gt;=10000101,INT(MOD(INDEX(기본자료!$G$2:$G$1001,$AB147),10000)/100)&gt;=1,INT(MOD(INDEX(기본자료!$G$2:$G$1001,$AB147),10000)/100)&lt;=12,MOD(INDEX(기본자료!$G$2:$G$1001,$AB147),100)&gt;=1,MOD(INDEX(기본자료!$G$2:$G$1001,$AB147),100)&lt;=31),DATE(INT(INDEX(기본자료!$G$2:$G$1001,$AB147)/10000),INT(MOD(INDEX(기본자료!$G$2:$G$1001,$AB147),10000)/100),MOD(INDEX(기본자료!$G$2:$G$1001,$AB147),100)),INDEX(기본자료!$G$2:$G$1001,$AB147)&amp;"")))))</f>
        <v/>
      </c>
      <c r="J147" s="10">
        <f>IF($AB147="","",IF(INDEX(기본자료!$H$2:$H$1001,$AB147)="","",INDEX(기본자료!$H$2:$H$1001,$AB147)))</f>
        <v/>
      </c>
      <c r="K147" s="10">
        <f>IF($AB147="","",IF(INDEX(기본자료!$I$2:$I$1001,$AB147)="","",INDEX(기본자료!$I$2:$I$1001,$AB147)))</f>
        <v/>
      </c>
      <c r="L147" s="10">
        <f>IF($AB147="","",IF(INDEX(기본자료!$A$2:$A$1001,$AB147)="","",INDEX(기본자료!$A$2:$A$1001,$AB147)))</f>
        <v/>
      </c>
      <c r="M147" s="15" t="n"/>
      <c r="N147" s="10">
        <f>IF($B147="","",IF(AND($U147="파견중",$Q147&lt;&gt;""),$Q147,IF(AND($AD147&lt;&gt;"",LEFT($AD147,1)&lt;&gt;"⚠"),LEFT($AD147,FIND(" ",$AD147)-1),IF($H147="","",IF(RIGHT($H147,2)="병원",$H147,$H147&amp;"병원")))))</f>
        <v/>
      </c>
      <c r="O147" s="10">
        <f>IF($B147="","",IF(AND($U147="파견중",$Q147&lt;&gt;""),IF($R147&lt;&gt;"",$R147,"파견과 미입력"),IF(AND($AD147&lt;&gt;"",LEFT($AD147,1)&lt;&gt;"⚠"),MID($AD147,FIND(" ",$AD147)+1,60),IF($F147="","",IF($F147="인턴","수련교육부(인턴)",$F147)))))</f>
        <v/>
      </c>
      <c r="P147" s="10">
        <f>IF($B147="","",IF($AK147&lt;&gt;"",IF(AND(TODAY()&gt;=INDEX(파견수련계획!$AB$4:$AB$83,$AK147),OR(NOT(ISNUMBER(INDEX(파견수련계획!$AC$4:$AC$83,$AK147))),TODAY()&lt;=INDEX(파견수련계획!$AC$4:$AC$83,$AK147))),"다기관",IF($AF147="","",INDEX(파견수련계획!$T$4:$T$83,$AF147))),IF($AF147="","",INDEX(파견수련계획!$T$4:$T$83,$AF147))))</f>
        <v/>
      </c>
      <c r="Q147" s="10">
        <f>IF($AF147="","",INDEX(파견수련계획!$S$4:$S$83,$AF147))</f>
        <v/>
      </c>
      <c r="R147" s="10">
        <f>IF($AF147="","",INDEX(파견수련계획!$U$4:$U$83,$AF147))</f>
        <v/>
      </c>
      <c r="S147" s="11">
        <f>IF($AF147="","",IF(INDEX(파견수련계획!$H$4:$H$83,$AF147)="","",INDEX(파견수련계획!$H$4:$H$83,$AF147)))</f>
        <v/>
      </c>
      <c r="T147" s="11">
        <f>IF($AF147="","",IF(INDEX(파견수련계획!$I$4:$I$83,$AF147)="","",INDEX(파견수련계획!$I$4:$I$83,$AF147)))</f>
        <v/>
      </c>
      <c r="U147" s="10">
        <f>IF($AF147="","",INDEX(파견수련계획!$X$4:$X$83,$AF147))</f>
        <v/>
      </c>
      <c r="V147" s="17">
        <f>IF($AF147="","",INDEX(파견수련계획!$V$4:$V$83,$AF147))</f>
        <v/>
      </c>
      <c r="W147" s="17">
        <f>IF(AND($U147="파견중",$T147&lt;&gt;""),$T147-TODAY(),"")</f>
        <v/>
      </c>
      <c r="X147" s="17">
        <f>IF(OR($B147="",TRIM($J147&amp;"")=""),"",SUMPRODUCT((파견수련계획!$Q$4:$Q$83=TRIM($J147&amp;""))*파견수련계획!$W$4:$W$83))</f>
        <v/>
      </c>
      <c r="Y147" s="10">
        <f>IF($B147="","",IF($AG147="","",IF(IF(TRIM($J147&amp;"")="",0,SUMPRODUCT((파견수련계획!$Q$4:$Q$83=TRIM($J147&amp;""))*파견수련계획!$AD$4:$AD$83))&gt;0,$AE147,IF(N($X147)&lt;=0,$AG147,IF($AH147+$AI147=DAY(EOMONTH(요약!$B$3,0)),IF(AND($AH147&gt;=요약!$E$3,$AI147&lt;요약!$E$3),"서울병원",IF(AND($AI147&gt;=요약!$E$3,$AH147&lt;요약!$E$3),"구리병원","⚠15일 판정불가(서울 "&amp;$AH147&amp;"일/구리 "&amp;$AI147&amp;"일)")),IF($AJ147="",$AE147,IF(INDEX(파견수련계획!$T$4:$T$83,$AJ147)="통합수련",INDEX(파견수련계획!$S$4:$S$83,$AJ147),$AE147)))))))</f>
        <v/>
      </c>
      <c r="Z147" s="19">
        <f>IF($B147="","",IF($AB147="","기본자료에 없는 사번",IF(COUNTIF($B$2:$B$401,$B147)&gt;1,"중복 사번",IF($AE147="","소속(입사장소) 입력",IF(IF(TRIM($J147&amp;"")="",0,SUMPRODUCT((파견수련계획!$Q$4:$Q$83=TRIM($J147&amp;""))*(파견수련계획!$AA$4:$AA$83&lt;&gt;"")))&gt;0,"파견수련계획 입력오류 확인",IF(LEFT($Y147,1)="⚠","서울·구리 15일 판정 불가(양쪽 모두 이상/미만)",IF(IF($AC147="",0,N(INDEX(인턴근무계획!$T$3:$T$62,$AC147)))&gt;0,"인턴계획 입력오류 확인",IF(AND($AC147&lt;&gt;"",$U147&lt;&gt;"파견중",$N147&lt;&gt;$AE147),"인턴 타지역 근무: 파견 여부 확인","정상"))))))))</f>
        <v/>
      </c>
      <c r="AA147" s="5" t="n"/>
      <c r="AB147" s="10">
        <f>IF($B147="","",IFERROR(MATCH($B147,기본자료!$B$2:$B$1001,0),IFERROR(MATCH($B147&amp;"",기본자료!$B$2:$B$1001,0),IFERROR(MATCH(VALUE($B147),기본자료!$B$2:$B$1001,0),""))))</f>
        <v/>
      </c>
      <c r="AC147" s="10">
        <f>IF($B147="","",IFERROR(MATCH($B147,인턴근무계획!$D$3:$D$62,0),IFERROR(MATCH($B147&amp;"",인턴근무계획!$D$3:$D$62,0),IFERROR(MATCH(VALUE($B147),인턴근무계획!$D$3:$D$62,0),""))))</f>
        <v/>
      </c>
      <c r="AD147" s="10">
        <f>IF(OR($AC147="",인턴현황!$G$3=""),"",INDEX(인턴근무계획!$M$3:$R$62,$AC147,인턴현황!$G$3)&amp;"")</f>
        <v/>
      </c>
      <c r="AE147" s="10">
        <f>IF($B147="","",IF($M147&lt;&gt;"",$M147,IF($AF147&lt;&gt;"",IF(LEFT(INDEX(파견수련계획!$R$4:$R$83,$AF147),1)&lt;&gt;"⚠",INDEX(파견수련계획!$R$4:$R$83,$AF147),IF($H147="","",IF(RIGHT($H147,2)="병원",$H147,$H147&amp;"병원"))),IF($H147="","",IF(RIGHT($H147,2)="병원",$H147,$H147&amp;"병원")))))</f>
        <v/>
      </c>
      <c r="AF147" s="10">
        <f>IF(OR($B147="",TRIM($J147&amp;"")=""),"",IFERROR(MATCH(TRIM($J147&amp;"")&amp;"|파견중",파견수련계획!$Y$4:$Y$83,0),IFERROR(MATCH(TRIM($J147&amp;"")&amp;"|파견예정",파견수련계획!$Y$4:$Y$83,0),IFERROR(MATCH(TRIM($J147&amp;"")&amp;"|파견종료",파견수련계획!$Y$4:$Y$83,0),""))))</f>
        <v/>
      </c>
      <c r="AG147" s="10">
        <f>IF($B147="","",IF(AND(IF(OR($AC147="",인턴현황!$K$2=""),"",INDEX(인턴근무계획!$M$3:$R$62,$AC147,인턴현황!$K$2)&amp;"")&lt;&gt;"",LEFT(IF(OR($AC147="",인턴현황!$K$2=""),"",INDEX(인턴근무계획!$M$3:$R$62,$AC147,인턴현황!$K$2)&amp;""),1)&lt;&gt;"⚠"),LEFT(IF(OR($AC147="",인턴현황!$K$2=""),"",INDEX(인턴근무계획!$M$3:$R$62,$AC147,인턴현황!$K$2)&amp;""),FIND(" ",IF(OR($AC147="",인턴현황!$K$2=""),"",INDEX(인턴근무계획!$M$3:$R$62,$AC147,인턴현황!$K$2)&amp;""))-1),$AE147))</f>
        <v/>
      </c>
      <c r="AH147" s="17">
        <f>IF($B147="","",IF(TRIM($J147&amp;"")="",0,SUMPRODUCT((파견수련계획!$Q$4:$Q$83=TRIM($J147&amp;""))*(파견수련계획!$S$4:$S$83="서울병원")*파견수련계획!$W$4:$W$83))+IF($AG147="서울병원",MAX(0,DAY(EOMONTH(요약!$B$3,0))-N($X147)),0))</f>
        <v/>
      </c>
      <c r="AI147" s="17">
        <f>IF($B147="","",IF(TRIM($J147&amp;"")="",0,SUMPRODUCT((파견수련계획!$Q$4:$Q$83=TRIM($J147&amp;""))*(파견수련계획!$S$4:$S$83="구리병원")*파견수련계획!$W$4:$W$83))+IF($AG147="구리병원",MAX(0,DAY(EOMONTH(요약!$B$3,0))-N($X147)),0))</f>
        <v/>
      </c>
      <c r="AJ147" s="10">
        <f>IF(OR($B147="",TRIM($J147&amp;"")=""),"",IFERROR(MATCH(TRIM($J147&amp;"")&amp;"|월",파견수련계획!$Z$4:$Z$83,0),""))</f>
        <v/>
      </c>
      <c r="AK147" s="10">
        <f>IF(OR($B147="",TRIM($J147&amp;"")=""),"",IFERROR(MATCH(TRIM($J147&amp;"")&amp;"|다기관",파견수련계획!$AE$4:$AE$83,0),""))</f>
        <v/>
      </c>
      <c r="AL147" s="10">
        <f>IF($AK147="","","다기관 "&amp;TEXT(INDEX(파견수련계획!$AB$4:$AB$83,$AK147),"yyyy-mm-dd")&amp;"~"&amp;IF(ISNUMBER(INDEX(파견수련계획!$AC$4:$AC$83,$AK147)),TEXT(INDEX(파견수련계획!$AC$4:$AC$83,$AK147),"yyyy-mm-dd"),""))</f>
        <v/>
      </c>
    </row>
    <row r="148">
      <c r="A148" s="10">
        <f>IF(B148="","",ROW()-1)</f>
        <v/>
      </c>
      <c r="B148" s="18" t="n"/>
      <c r="C148" s="10">
        <f>IF($AB148="","",IF(INDEX(기본자료!$C$2:$C$1001,$AB148)="","",INDEX(기본자료!$C$2:$C$1001,$AB148)))</f>
        <v/>
      </c>
      <c r="D148" s="10">
        <f>IF($AB148="","",IF(INDEX(기본자료!$J$2:$J$1001,$AB148)="","",INDEX(기본자료!$J$2:$J$1001,$AB148)))</f>
        <v/>
      </c>
      <c r="E148" s="11">
        <f>IF($AB148="","",IF(INDEX(기본자료!$K$2:$K$1001,$AB148)="","",IF(NOT(ISNUMBER(INDEX(기본자료!$K$2:$K$1001,$AB148))),INDEX(기본자료!$K$2:$K$1001,$AB148),IF(INDEX(기본자료!$K$2:$K$1001,$AB148)&lt;1000000,INDEX(기본자료!$K$2:$K$1001,$AB148),IF(AND(INDEX(기본자료!$K$2:$K$1001,$AB148)&gt;=10000101,INT(MOD(INDEX(기본자료!$K$2:$K$1001,$AB148),10000)/100)&gt;=1,INT(MOD(INDEX(기본자료!$K$2:$K$1001,$AB148),10000)/100)&lt;=12,MOD(INDEX(기본자료!$K$2:$K$1001,$AB148),100)&gt;=1,MOD(INDEX(기본자료!$K$2:$K$1001,$AB148),100)&lt;=31),DATE(INT(INDEX(기본자료!$K$2:$K$1001,$AB148)/10000),INT(MOD(INDEX(기본자료!$K$2:$K$1001,$AB148),10000)/100),MOD(INDEX(기본자료!$K$2:$K$1001,$AB148),100)),INDEX(기본자료!$K$2:$K$1001,$AB148)&amp;"")))))</f>
        <v/>
      </c>
      <c r="F148" s="10">
        <f>IF($AB148="","",IF(INDEX(기본자료!$D$2:$D$1001,$AB148)="","",INDEX(기본자료!$D$2:$D$1001,$AB148)))</f>
        <v/>
      </c>
      <c r="G148" s="10">
        <f>IF($AB148="","",IF(INDEX(기본자료!$E$2:$E$1001,$AB148)="","",INDEX(기본자료!$E$2:$E$1001,$AB148)))</f>
        <v/>
      </c>
      <c r="H148" s="10">
        <f>IF($AB148="","",IF(INDEX(기본자료!$F$2:$F$1001,$AB148)="","",INDEX(기본자료!$F$2:$F$1001,$AB148)))</f>
        <v/>
      </c>
      <c r="I148" s="11">
        <f>IF($AB148="","",IF(INDEX(기본자료!$G$2:$G$1001,$AB148)="","",IF(NOT(ISNUMBER(INDEX(기본자료!$G$2:$G$1001,$AB148))),INDEX(기본자료!$G$2:$G$1001,$AB148),IF(INDEX(기본자료!$G$2:$G$1001,$AB148)&lt;1000000,INDEX(기본자료!$G$2:$G$1001,$AB148),IF(AND(INDEX(기본자료!$G$2:$G$1001,$AB148)&gt;=10000101,INT(MOD(INDEX(기본자료!$G$2:$G$1001,$AB148),10000)/100)&gt;=1,INT(MOD(INDEX(기본자료!$G$2:$G$1001,$AB148),10000)/100)&lt;=12,MOD(INDEX(기본자료!$G$2:$G$1001,$AB148),100)&gt;=1,MOD(INDEX(기본자료!$G$2:$G$1001,$AB148),100)&lt;=31),DATE(INT(INDEX(기본자료!$G$2:$G$1001,$AB148)/10000),INT(MOD(INDEX(기본자료!$G$2:$G$1001,$AB148),10000)/100),MOD(INDEX(기본자료!$G$2:$G$1001,$AB148),100)),INDEX(기본자료!$G$2:$G$1001,$AB148)&amp;"")))))</f>
        <v/>
      </c>
      <c r="J148" s="10">
        <f>IF($AB148="","",IF(INDEX(기본자료!$H$2:$H$1001,$AB148)="","",INDEX(기본자료!$H$2:$H$1001,$AB148)))</f>
        <v/>
      </c>
      <c r="K148" s="10">
        <f>IF($AB148="","",IF(INDEX(기본자료!$I$2:$I$1001,$AB148)="","",INDEX(기본자료!$I$2:$I$1001,$AB148)))</f>
        <v/>
      </c>
      <c r="L148" s="10">
        <f>IF($AB148="","",IF(INDEX(기본자료!$A$2:$A$1001,$AB148)="","",INDEX(기본자료!$A$2:$A$1001,$AB148)))</f>
        <v/>
      </c>
      <c r="M148" s="15" t="n"/>
      <c r="N148" s="10">
        <f>IF($B148="","",IF(AND($U148="파견중",$Q148&lt;&gt;""),$Q148,IF(AND($AD148&lt;&gt;"",LEFT($AD148,1)&lt;&gt;"⚠"),LEFT($AD148,FIND(" ",$AD148)-1),IF($H148="","",IF(RIGHT($H148,2)="병원",$H148,$H148&amp;"병원")))))</f>
        <v/>
      </c>
      <c r="O148" s="10">
        <f>IF($B148="","",IF(AND($U148="파견중",$Q148&lt;&gt;""),IF($R148&lt;&gt;"",$R148,"파견과 미입력"),IF(AND($AD148&lt;&gt;"",LEFT($AD148,1)&lt;&gt;"⚠"),MID($AD148,FIND(" ",$AD148)+1,60),IF($F148="","",IF($F148="인턴","수련교육부(인턴)",$F148)))))</f>
        <v/>
      </c>
      <c r="P148" s="10">
        <f>IF($B148="","",IF($AK148&lt;&gt;"",IF(AND(TODAY()&gt;=INDEX(파견수련계획!$AB$4:$AB$83,$AK148),OR(NOT(ISNUMBER(INDEX(파견수련계획!$AC$4:$AC$83,$AK148))),TODAY()&lt;=INDEX(파견수련계획!$AC$4:$AC$83,$AK148))),"다기관",IF($AF148="","",INDEX(파견수련계획!$T$4:$T$83,$AF148))),IF($AF148="","",INDEX(파견수련계획!$T$4:$T$83,$AF148))))</f>
        <v/>
      </c>
      <c r="Q148" s="10">
        <f>IF($AF148="","",INDEX(파견수련계획!$S$4:$S$83,$AF148))</f>
        <v/>
      </c>
      <c r="R148" s="10">
        <f>IF($AF148="","",INDEX(파견수련계획!$U$4:$U$83,$AF148))</f>
        <v/>
      </c>
      <c r="S148" s="11">
        <f>IF($AF148="","",IF(INDEX(파견수련계획!$H$4:$H$83,$AF148)="","",INDEX(파견수련계획!$H$4:$H$83,$AF148)))</f>
        <v/>
      </c>
      <c r="T148" s="11">
        <f>IF($AF148="","",IF(INDEX(파견수련계획!$I$4:$I$83,$AF148)="","",INDEX(파견수련계획!$I$4:$I$83,$AF148)))</f>
        <v/>
      </c>
      <c r="U148" s="10">
        <f>IF($AF148="","",INDEX(파견수련계획!$X$4:$X$83,$AF148))</f>
        <v/>
      </c>
      <c r="V148" s="17">
        <f>IF($AF148="","",INDEX(파견수련계획!$V$4:$V$83,$AF148))</f>
        <v/>
      </c>
      <c r="W148" s="17">
        <f>IF(AND($U148="파견중",$T148&lt;&gt;""),$T148-TODAY(),"")</f>
        <v/>
      </c>
      <c r="X148" s="17">
        <f>IF(OR($B148="",TRIM($J148&amp;"")=""),"",SUMPRODUCT((파견수련계획!$Q$4:$Q$83=TRIM($J148&amp;""))*파견수련계획!$W$4:$W$83))</f>
        <v/>
      </c>
      <c r="Y148" s="10">
        <f>IF($B148="","",IF($AG148="","",IF(IF(TRIM($J148&amp;"")="",0,SUMPRODUCT((파견수련계획!$Q$4:$Q$83=TRIM($J148&amp;""))*파견수련계획!$AD$4:$AD$83))&gt;0,$AE148,IF(N($X148)&lt;=0,$AG148,IF($AH148+$AI148=DAY(EOMONTH(요약!$B$3,0)),IF(AND($AH148&gt;=요약!$E$3,$AI148&lt;요약!$E$3),"서울병원",IF(AND($AI148&gt;=요약!$E$3,$AH148&lt;요약!$E$3),"구리병원","⚠15일 판정불가(서울 "&amp;$AH148&amp;"일/구리 "&amp;$AI148&amp;"일)")),IF($AJ148="",$AE148,IF(INDEX(파견수련계획!$T$4:$T$83,$AJ148)="통합수련",INDEX(파견수련계획!$S$4:$S$83,$AJ148),$AE148)))))))</f>
        <v/>
      </c>
      <c r="Z148" s="19">
        <f>IF($B148="","",IF($AB148="","기본자료에 없는 사번",IF(COUNTIF($B$2:$B$401,$B148)&gt;1,"중복 사번",IF($AE148="","소속(입사장소) 입력",IF(IF(TRIM($J148&amp;"")="",0,SUMPRODUCT((파견수련계획!$Q$4:$Q$83=TRIM($J148&amp;""))*(파견수련계획!$AA$4:$AA$83&lt;&gt;"")))&gt;0,"파견수련계획 입력오류 확인",IF(LEFT($Y148,1)="⚠","서울·구리 15일 판정 불가(양쪽 모두 이상/미만)",IF(IF($AC148="",0,N(INDEX(인턴근무계획!$T$3:$T$62,$AC148)))&gt;0,"인턴계획 입력오류 확인",IF(AND($AC148&lt;&gt;"",$U148&lt;&gt;"파견중",$N148&lt;&gt;$AE148),"인턴 타지역 근무: 파견 여부 확인","정상"))))))))</f>
        <v/>
      </c>
      <c r="AA148" s="5" t="n"/>
      <c r="AB148" s="10">
        <f>IF($B148="","",IFERROR(MATCH($B148,기본자료!$B$2:$B$1001,0),IFERROR(MATCH($B148&amp;"",기본자료!$B$2:$B$1001,0),IFERROR(MATCH(VALUE($B148),기본자료!$B$2:$B$1001,0),""))))</f>
        <v/>
      </c>
      <c r="AC148" s="10">
        <f>IF($B148="","",IFERROR(MATCH($B148,인턴근무계획!$D$3:$D$62,0),IFERROR(MATCH($B148&amp;"",인턴근무계획!$D$3:$D$62,0),IFERROR(MATCH(VALUE($B148),인턴근무계획!$D$3:$D$62,0),""))))</f>
        <v/>
      </c>
      <c r="AD148" s="10">
        <f>IF(OR($AC148="",인턴현황!$G$3=""),"",INDEX(인턴근무계획!$M$3:$R$62,$AC148,인턴현황!$G$3)&amp;"")</f>
        <v/>
      </c>
      <c r="AE148" s="10">
        <f>IF($B148="","",IF($M148&lt;&gt;"",$M148,IF($AF148&lt;&gt;"",IF(LEFT(INDEX(파견수련계획!$R$4:$R$83,$AF148),1)&lt;&gt;"⚠",INDEX(파견수련계획!$R$4:$R$83,$AF148),IF($H148="","",IF(RIGHT($H148,2)="병원",$H148,$H148&amp;"병원"))),IF($H148="","",IF(RIGHT($H148,2)="병원",$H148,$H148&amp;"병원")))))</f>
        <v/>
      </c>
      <c r="AF148" s="10">
        <f>IF(OR($B148="",TRIM($J148&amp;"")=""),"",IFERROR(MATCH(TRIM($J148&amp;"")&amp;"|파견중",파견수련계획!$Y$4:$Y$83,0),IFERROR(MATCH(TRIM($J148&amp;"")&amp;"|파견예정",파견수련계획!$Y$4:$Y$83,0),IFERROR(MATCH(TRIM($J148&amp;"")&amp;"|파견종료",파견수련계획!$Y$4:$Y$83,0),""))))</f>
        <v/>
      </c>
      <c r="AG148" s="10">
        <f>IF($B148="","",IF(AND(IF(OR($AC148="",인턴현황!$K$2=""),"",INDEX(인턴근무계획!$M$3:$R$62,$AC148,인턴현황!$K$2)&amp;"")&lt;&gt;"",LEFT(IF(OR($AC148="",인턴현황!$K$2=""),"",INDEX(인턴근무계획!$M$3:$R$62,$AC148,인턴현황!$K$2)&amp;""),1)&lt;&gt;"⚠"),LEFT(IF(OR($AC148="",인턴현황!$K$2=""),"",INDEX(인턴근무계획!$M$3:$R$62,$AC148,인턴현황!$K$2)&amp;""),FIND(" ",IF(OR($AC148="",인턴현황!$K$2=""),"",INDEX(인턴근무계획!$M$3:$R$62,$AC148,인턴현황!$K$2)&amp;""))-1),$AE148))</f>
        <v/>
      </c>
      <c r="AH148" s="17">
        <f>IF($B148="","",IF(TRIM($J148&amp;"")="",0,SUMPRODUCT((파견수련계획!$Q$4:$Q$83=TRIM($J148&amp;""))*(파견수련계획!$S$4:$S$83="서울병원")*파견수련계획!$W$4:$W$83))+IF($AG148="서울병원",MAX(0,DAY(EOMONTH(요약!$B$3,0))-N($X148)),0))</f>
        <v/>
      </c>
      <c r="AI148" s="17">
        <f>IF($B148="","",IF(TRIM($J148&amp;"")="",0,SUMPRODUCT((파견수련계획!$Q$4:$Q$83=TRIM($J148&amp;""))*(파견수련계획!$S$4:$S$83="구리병원")*파견수련계획!$W$4:$W$83))+IF($AG148="구리병원",MAX(0,DAY(EOMONTH(요약!$B$3,0))-N($X148)),0))</f>
        <v/>
      </c>
      <c r="AJ148" s="10">
        <f>IF(OR($B148="",TRIM($J148&amp;"")=""),"",IFERROR(MATCH(TRIM($J148&amp;"")&amp;"|월",파견수련계획!$Z$4:$Z$83,0),""))</f>
        <v/>
      </c>
      <c r="AK148" s="10">
        <f>IF(OR($B148="",TRIM($J148&amp;"")=""),"",IFERROR(MATCH(TRIM($J148&amp;"")&amp;"|다기관",파견수련계획!$AE$4:$AE$83,0),""))</f>
        <v/>
      </c>
      <c r="AL148" s="10">
        <f>IF($AK148="","","다기관 "&amp;TEXT(INDEX(파견수련계획!$AB$4:$AB$83,$AK148),"yyyy-mm-dd")&amp;"~"&amp;IF(ISNUMBER(INDEX(파견수련계획!$AC$4:$AC$83,$AK148)),TEXT(INDEX(파견수련계획!$AC$4:$AC$83,$AK148),"yyyy-mm-dd"),""))</f>
        <v/>
      </c>
    </row>
    <row r="149">
      <c r="A149" s="10">
        <f>IF(B149="","",ROW()-1)</f>
        <v/>
      </c>
      <c r="B149" s="18" t="n"/>
      <c r="C149" s="10">
        <f>IF($AB149="","",IF(INDEX(기본자료!$C$2:$C$1001,$AB149)="","",INDEX(기본자료!$C$2:$C$1001,$AB149)))</f>
        <v/>
      </c>
      <c r="D149" s="10">
        <f>IF($AB149="","",IF(INDEX(기본자료!$J$2:$J$1001,$AB149)="","",INDEX(기본자료!$J$2:$J$1001,$AB149)))</f>
        <v/>
      </c>
      <c r="E149" s="11">
        <f>IF($AB149="","",IF(INDEX(기본자료!$K$2:$K$1001,$AB149)="","",IF(NOT(ISNUMBER(INDEX(기본자료!$K$2:$K$1001,$AB149))),INDEX(기본자료!$K$2:$K$1001,$AB149),IF(INDEX(기본자료!$K$2:$K$1001,$AB149)&lt;1000000,INDEX(기본자료!$K$2:$K$1001,$AB149),IF(AND(INDEX(기본자료!$K$2:$K$1001,$AB149)&gt;=10000101,INT(MOD(INDEX(기본자료!$K$2:$K$1001,$AB149),10000)/100)&gt;=1,INT(MOD(INDEX(기본자료!$K$2:$K$1001,$AB149),10000)/100)&lt;=12,MOD(INDEX(기본자료!$K$2:$K$1001,$AB149),100)&gt;=1,MOD(INDEX(기본자료!$K$2:$K$1001,$AB149),100)&lt;=31),DATE(INT(INDEX(기본자료!$K$2:$K$1001,$AB149)/10000),INT(MOD(INDEX(기본자료!$K$2:$K$1001,$AB149),10000)/100),MOD(INDEX(기본자료!$K$2:$K$1001,$AB149),100)),INDEX(기본자료!$K$2:$K$1001,$AB149)&amp;"")))))</f>
        <v/>
      </c>
      <c r="F149" s="10">
        <f>IF($AB149="","",IF(INDEX(기본자료!$D$2:$D$1001,$AB149)="","",INDEX(기본자료!$D$2:$D$1001,$AB149)))</f>
        <v/>
      </c>
      <c r="G149" s="10">
        <f>IF($AB149="","",IF(INDEX(기본자료!$E$2:$E$1001,$AB149)="","",INDEX(기본자료!$E$2:$E$1001,$AB149)))</f>
        <v/>
      </c>
      <c r="H149" s="10">
        <f>IF($AB149="","",IF(INDEX(기본자료!$F$2:$F$1001,$AB149)="","",INDEX(기본자료!$F$2:$F$1001,$AB149)))</f>
        <v/>
      </c>
      <c r="I149" s="11">
        <f>IF($AB149="","",IF(INDEX(기본자료!$G$2:$G$1001,$AB149)="","",IF(NOT(ISNUMBER(INDEX(기본자료!$G$2:$G$1001,$AB149))),INDEX(기본자료!$G$2:$G$1001,$AB149),IF(INDEX(기본자료!$G$2:$G$1001,$AB149)&lt;1000000,INDEX(기본자료!$G$2:$G$1001,$AB149),IF(AND(INDEX(기본자료!$G$2:$G$1001,$AB149)&gt;=10000101,INT(MOD(INDEX(기본자료!$G$2:$G$1001,$AB149),10000)/100)&gt;=1,INT(MOD(INDEX(기본자료!$G$2:$G$1001,$AB149),10000)/100)&lt;=12,MOD(INDEX(기본자료!$G$2:$G$1001,$AB149),100)&gt;=1,MOD(INDEX(기본자료!$G$2:$G$1001,$AB149),100)&lt;=31),DATE(INT(INDEX(기본자료!$G$2:$G$1001,$AB149)/10000),INT(MOD(INDEX(기본자료!$G$2:$G$1001,$AB149),10000)/100),MOD(INDEX(기본자료!$G$2:$G$1001,$AB149),100)),INDEX(기본자료!$G$2:$G$1001,$AB149)&amp;"")))))</f>
        <v/>
      </c>
      <c r="J149" s="10">
        <f>IF($AB149="","",IF(INDEX(기본자료!$H$2:$H$1001,$AB149)="","",INDEX(기본자료!$H$2:$H$1001,$AB149)))</f>
        <v/>
      </c>
      <c r="K149" s="10">
        <f>IF($AB149="","",IF(INDEX(기본자료!$I$2:$I$1001,$AB149)="","",INDEX(기본자료!$I$2:$I$1001,$AB149)))</f>
        <v/>
      </c>
      <c r="L149" s="10">
        <f>IF($AB149="","",IF(INDEX(기본자료!$A$2:$A$1001,$AB149)="","",INDEX(기본자료!$A$2:$A$1001,$AB149)))</f>
        <v/>
      </c>
      <c r="M149" s="15" t="n"/>
      <c r="N149" s="10">
        <f>IF($B149="","",IF(AND($U149="파견중",$Q149&lt;&gt;""),$Q149,IF(AND($AD149&lt;&gt;"",LEFT($AD149,1)&lt;&gt;"⚠"),LEFT($AD149,FIND(" ",$AD149)-1),IF($H149="","",IF(RIGHT($H149,2)="병원",$H149,$H149&amp;"병원")))))</f>
        <v/>
      </c>
      <c r="O149" s="10">
        <f>IF($B149="","",IF(AND($U149="파견중",$Q149&lt;&gt;""),IF($R149&lt;&gt;"",$R149,"파견과 미입력"),IF(AND($AD149&lt;&gt;"",LEFT($AD149,1)&lt;&gt;"⚠"),MID($AD149,FIND(" ",$AD149)+1,60),IF($F149="","",IF($F149="인턴","수련교육부(인턴)",$F149)))))</f>
        <v/>
      </c>
      <c r="P149" s="10">
        <f>IF($B149="","",IF($AK149&lt;&gt;"",IF(AND(TODAY()&gt;=INDEX(파견수련계획!$AB$4:$AB$83,$AK149),OR(NOT(ISNUMBER(INDEX(파견수련계획!$AC$4:$AC$83,$AK149))),TODAY()&lt;=INDEX(파견수련계획!$AC$4:$AC$83,$AK149))),"다기관",IF($AF149="","",INDEX(파견수련계획!$T$4:$T$83,$AF149))),IF($AF149="","",INDEX(파견수련계획!$T$4:$T$83,$AF149))))</f>
        <v/>
      </c>
      <c r="Q149" s="10">
        <f>IF($AF149="","",INDEX(파견수련계획!$S$4:$S$83,$AF149))</f>
        <v/>
      </c>
      <c r="R149" s="10">
        <f>IF($AF149="","",INDEX(파견수련계획!$U$4:$U$83,$AF149))</f>
        <v/>
      </c>
      <c r="S149" s="11">
        <f>IF($AF149="","",IF(INDEX(파견수련계획!$H$4:$H$83,$AF149)="","",INDEX(파견수련계획!$H$4:$H$83,$AF149)))</f>
        <v/>
      </c>
      <c r="T149" s="11">
        <f>IF($AF149="","",IF(INDEX(파견수련계획!$I$4:$I$83,$AF149)="","",INDEX(파견수련계획!$I$4:$I$83,$AF149)))</f>
        <v/>
      </c>
      <c r="U149" s="10">
        <f>IF($AF149="","",INDEX(파견수련계획!$X$4:$X$83,$AF149))</f>
        <v/>
      </c>
      <c r="V149" s="17">
        <f>IF($AF149="","",INDEX(파견수련계획!$V$4:$V$83,$AF149))</f>
        <v/>
      </c>
      <c r="W149" s="17">
        <f>IF(AND($U149="파견중",$T149&lt;&gt;""),$T149-TODAY(),"")</f>
        <v/>
      </c>
      <c r="X149" s="17">
        <f>IF(OR($B149="",TRIM($J149&amp;"")=""),"",SUMPRODUCT((파견수련계획!$Q$4:$Q$83=TRIM($J149&amp;""))*파견수련계획!$W$4:$W$83))</f>
        <v/>
      </c>
      <c r="Y149" s="10">
        <f>IF($B149="","",IF($AG149="","",IF(IF(TRIM($J149&amp;"")="",0,SUMPRODUCT((파견수련계획!$Q$4:$Q$83=TRIM($J149&amp;""))*파견수련계획!$AD$4:$AD$83))&gt;0,$AE149,IF(N($X149)&lt;=0,$AG149,IF($AH149+$AI149=DAY(EOMONTH(요약!$B$3,0)),IF(AND($AH149&gt;=요약!$E$3,$AI149&lt;요약!$E$3),"서울병원",IF(AND($AI149&gt;=요약!$E$3,$AH149&lt;요약!$E$3),"구리병원","⚠15일 판정불가(서울 "&amp;$AH149&amp;"일/구리 "&amp;$AI149&amp;"일)")),IF($AJ149="",$AE149,IF(INDEX(파견수련계획!$T$4:$T$83,$AJ149)="통합수련",INDEX(파견수련계획!$S$4:$S$83,$AJ149),$AE149)))))))</f>
        <v/>
      </c>
      <c r="Z149" s="19">
        <f>IF($B149="","",IF($AB149="","기본자료에 없는 사번",IF(COUNTIF($B$2:$B$401,$B149)&gt;1,"중복 사번",IF($AE149="","소속(입사장소) 입력",IF(IF(TRIM($J149&amp;"")="",0,SUMPRODUCT((파견수련계획!$Q$4:$Q$83=TRIM($J149&amp;""))*(파견수련계획!$AA$4:$AA$83&lt;&gt;"")))&gt;0,"파견수련계획 입력오류 확인",IF(LEFT($Y149,1)="⚠","서울·구리 15일 판정 불가(양쪽 모두 이상/미만)",IF(IF($AC149="",0,N(INDEX(인턴근무계획!$T$3:$T$62,$AC149)))&gt;0,"인턴계획 입력오류 확인",IF(AND($AC149&lt;&gt;"",$U149&lt;&gt;"파견중",$N149&lt;&gt;$AE149),"인턴 타지역 근무: 파견 여부 확인","정상"))))))))</f>
        <v/>
      </c>
      <c r="AA149" s="5" t="n"/>
      <c r="AB149" s="10">
        <f>IF($B149="","",IFERROR(MATCH($B149,기본자료!$B$2:$B$1001,0),IFERROR(MATCH($B149&amp;"",기본자료!$B$2:$B$1001,0),IFERROR(MATCH(VALUE($B149),기본자료!$B$2:$B$1001,0),""))))</f>
        <v/>
      </c>
      <c r="AC149" s="10">
        <f>IF($B149="","",IFERROR(MATCH($B149,인턴근무계획!$D$3:$D$62,0),IFERROR(MATCH($B149&amp;"",인턴근무계획!$D$3:$D$62,0),IFERROR(MATCH(VALUE($B149),인턴근무계획!$D$3:$D$62,0),""))))</f>
        <v/>
      </c>
      <c r="AD149" s="10">
        <f>IF(OR($AC149="",인턴현황!$G$3=""),"",INDEX(인턴근무계획!$M$3:$R$62,$AC149,인턴현황!$G$3)&amp;"")</f>
        <v/>
      </c>
      <c r="AE149" s="10">
        <f>IF($B149="","",IF($M149&lt;&gt;"",$M149,IF($AF149&lt;&gt;"",IF(LEFT(INDEX(파견수련계획!$R$4:$R$83,$AF149),1)&lt;&gt;"⚠",INDEX(파견수련계획!$R$4:$R$83,$AF149),IF($H149="","",IF(RIGHT($H149,2)="병원",$H149,$H149&amp;"병원"))),IF($H149="","",IF(RIGHT($H149,2)="병원",$H149,$H149&amp;"병원")))))</f>
        <v/>
      </c>
      <c r="AF149" s="10">
        <f>IF(OR($B149="",TRIM($J149&amp;"")=""),"",IFERROR(MATCH(TRIM($J149&amp;"")&amp;"|파견중",파견수련계획!$Y$4:$Y$83,0),IFERROR(MATCH(TRIM($J149&amp;"")&amp;"|파견예정",파견수련계획!$Y$4:$Y$83,0),IFERROR(MATCH(TRIM($J149&amp;"")&amp;"|파견종료",파견수련계획!$Y$4:$Y$83,0),""))))</f>
        <v/>
      </c>
      <c r="AG149" s="10">
        <f>IF($B149="","",IF(AND(IF(OR($AC149="",인턴현황!$K$2=""),"",INDEX(인턴근무계획!$M$3:$R$62,$AC149,인턴현황!$K$2)&amp;"")&lt;&gt;"",LEFT(IF(OR($AC149="",인턴현황!$K$2=""),"",INDEX(인턴근무계획!$M$3:$R$62,$AC149,인턴현황!$K$2)&amp;""),1)&lt;&gt;"⚠"),LEFT(IF(OR($AC149="",인턴현황!$K$2=""),"",INDEX(인턴근무계획!$M$3:$R$62,$AC149,인턴현황!$K$2)&amp;""),FIND(" ",IF(OR($AC149="",인턴현황!$K$2=""),"",INDEX(인턴근무계획!$M$3:$R$62,$AC149,인턴현황!$K$2)&amp;""))-1),$AE149))</f>
        <v/>
      </c>
      <c r="AH149" s="17">
        <f>IF($B149="","",IF(TRIM($J149&amp;"")="",0,SUMPRODUCT((파견수련계획!$Q$4:$Q$83=TRIM($J149&amp;""))*(파견수련계획!$S$4:$S$83="서울병원")*파견수련계획!$W$4:$W$83))+IF($AG149="서울병원",MAX(0,DAY(EOMONTH(요약!$B$3,0))-N($X149)),0))</f>
        <v/>
      </c>
      <c r="AI149" s="17">
        <f>IF($B149="","",IF(TRIM($J149&amp;"")="",0,SUMPRODUCT((파견수련계획!$Q$4:$Q$83=TRIM($J149&amp;""))*(파견수련계획!$S$4:$S$83="구리병원")*파견수련계획!$W$4:$W$83))+IF($AG149="구리병원",MAX(0,DAY(EOMONTH(요약!$B$3,0))-N($X149)),0))</f>
        <v/>
      </c>
      <c r="AJ149" s="10">
        <f>IF(OR($B149="",TRIM($J149&amp;"")=""),"",IFERROR(MATCH(TRIM($J149&amp;"")&amp;"|월",파견수련계획!$Z$4:$Z$83,0),""))</f>
        <v/>
      </c>
      <c r="AK149" s="10">
        <f>IF(OR($B149="",TRIM($J149&amp;"")=""),"",IFERROR(MATCH(TRIM($J149&amp;"")&amp;"|다기관",파견수련계획!$AE$4:$AE$83,0),""))</f>
        <v/>
      </c>
      <c r="AL149" s="10">
        <f>IF($AK149="","","다기관 "&amp;TEXT(INDEX(파견수련계획!$AB$4:$AB$83,$AK149),"yyyy-mm-dd")&amp;"~"&amp;IF(ISNUMBER(INDEX(파견수련계획!$AC$4:$AC$83,$AK149)),TEXT(INDEX(파견수련계획!$AC$4:$AC$83,$AK149),"yyyy-mm-dd"),""))</f>
        <v/>
      </c>
    </row>
    <row r="150">
      <c r="A150" s="10">
        <f>IF(B150="","",ROW()-1)</f>
        <v/>
      </c>
      <c r="B150" s="18" t="n"/>
      <c r="C150" s="10">
        <f>IF($AB150="","",IF(INDEX(기본자료!$C$2:$C$1001,$AB150)="","",INDEX(기본자료!$C$2:$C$1001,$AB150)))</f>
        <v/>
      </c>
      <c r="D150" s="10">
        <f>IF($AB150="","",IF(INDEX(기본자료!$J$2:$J$1001,$AB150)="","",INDEX(기본자료!$J$2:$J$1001,$AB150)))</f>
        <v/>
      </c>
      <c r="E150" s="11">
        <f>IF($AB150="","",IF(INDEX(기본자료!$K$2:$K$1001,$AB150)="","",IF(NOT(ISNUMBER(INDEX(기본자료!$K$2:$K$1001,$AB150))),INDEX(기본자료!$K$2:$K$1001,$AB150),IF(INDEX(기본자료!$K$2:$K$1001,$AB150)&lt;1000000,INDEX(기본자료!$K$2:$K$1001,$AB150),IF(AND(INDEX(기본자료!$K$2:$K$1001,$AB150)&gt;=10000101,INT(MOD(INDEX(기본자료!$K$2:$K$1001,$AB150),10000)/100)&gt;=1,INT(MOD(INDEX(기본자료!$K$2:$K$1001,$AB150),10000)/100)&lt;=12,MOD(INDEX(기본자료!$K$2:$K$1001,$AB150),100)&gt;=1,MOD(INDEX(기본자료!$K$2:$K$1001,$AB150),100)&lt;=31),DATE(INT(INDEX(기본자료!$K$2:$K$1001,$AB150)/10000),INT(MOD(INDEX(기본자료!$K$2:$K$1001,$AB150),10000)/100),MOD(INDEX(기본자료!$K$2:$K$1001,$AB150),100)),INDEX(기본자료!$K$2:$K$1001,$AB150)&amp;"")))))</f>
        <v/>
      </c>
      <c r="F150" s="10">
        <f>IF($AB150="","",IF(INDEX(기본자료!$D$2:$D$1001,$AB150)="","",INDEX(기본자료!$D$2:$D$1001,$AB150)))</f>
        <v/>
      </c>
      <c r="G150" s="10">
        <f>IF($AB150="","",IF(INDEX(기본자료!$E$2:$E$1001,$AB150)="","",INDEX(기본자료!$E$2:$E$1001,$AB150)))</f>
        <v/>
      </c>
      <c r="H150" s="10">
        <f>IF($AB150="","",IF(INDEX(기본자료!$F$2:$F$1001,$AB150)="","",INDEX(기본자료!$F$2:$F$1001,$AB150)))</f>
        <v/>
      </c>
      <c r="I150" s="11">
        <f>IF($AB150="","",IF(INDEX(기본자료!$G$2:$G$1001,$AB150)="","",IF(NOT(ISNUMBER(INDEX(기본자료!$G$2:$G$1001,$AB150))),INDEX(기본자료!$G$2:$G$1001,$AB150),IF(INDEX(기본자료!$G$2:$G$1001,$AB150)&lt;1000000,INDEX(기본자료!$G$2:$G$1001,$AB150),IF(AND(INDEX(기본자료!$G$2:$G$1001,$AB150)&gt;=10000101,INT(MOD(INDEX(기본자료!$G$2:$G$1001,$AB150),10000)/100)&gt;=1,INT(MOD(INDEX(기본자료!$G$2:$G$1001,$AB150),10000)/100)&lt;=12,MOD(INDEX(기본자료!$G$2:$G$1001,$AB150),100)&gt;=1,MOD(INDEX(기본자료!$G$2:$G$1001,$AB150),100)&lt;=31),DATE(INT(INDEX(기본자료!$G$2:$G$1001,$AB150)/10000),INT(MOD(INDEX(기본자료!$G$2:$G$1001,$AB150),10000)/100),MOD(INDEX(기본자료!$G$2:$G$1001,$AB150),100)),INDEX(기본자료!$G$2:$G$1001,$AB150)&amp;"")))))</f>
        <v/>
      </c>
      <c r="J150" s="10">
        <f>IF($AB150="","",IF(INDEX(기본자료!$H$2:$H$1001,$AB150)="","",INDEX(기본자료!$H$2:$H$1001,$AB150)))</f>
        <v/>
      </c>
      <c r="K150" s="10">
        <f>IF($AB150="","",IF(INDEX(기본자료!$I$2:$I$1001,$AB150)="","",INDEX(기본자료!$I$2:$I$1001,$AB150)))</f>
        <v/>
      </c>
      <c r="L150" s="10">
        <f>IF($AB150="","",IF(INDEX(기본자료!$A$2:$A$1001,$AB150)="","",INDEX(기본자료!$A$2:$A$1001,$AB150)))</f>
        <v/>
      </c>
      <c r="M150" s="15" t="n"/>
      <c r="N150" s="10">
        <f>IF($B150="","",IF(AND($U150="파견중",$Q150&lt;&gt;""),$Q150,IF(AND($AD150&lt;&gt;"",LEFT($AD150,1)&lt;&gt;"⚠"),LEFT($AD150,FIND(" ",$AD150)-1),IF($H150="","",IF(RIGHT($H150,2)="병원",$H150,$H150&amp;"병원")))))</f>
        <v/>
      </c>
      <c r="O150" s="10">
        <f>IF($B150="","",IF(AND($U150="파견중",$Q150&lt;&gt;""),IF($R150&lt;&gt;"",$R150,"파견과 미입력"),IF(AND($AD150&lt;&gt;"",LEFT($AD150,1)&lt;&gt;"⚠"),MID($AD150,FIND(" ",$AD150)+1,60),IF($F150="","",IF($F150="인턴","수련교육부(인턴)",$F150)))))</f>
        <v/>
      </c>
      <c r="P150" s="10">
        <f>IF($B150="","",IF($AK150&lt;&gt;"",IF(AND(TODAY()&gt;=INDEX(파견수련계획!$AB$4:$AB$83,$AK150),OR(NOT(ISNUMBER(INDEX(파견수련계획!$AC$4:$AC$83,$AK150))),TODAY()&lt;=INDEX(파견수련계획!$AC$4:$AC$83,$AK150))),"다기관",IF($AF150="","",INDEX(파견수련계획!$T$4:$T$83,$AF150))),IF($AF150="","",INDEX(파견수련계획!$T$4:$T$83,$AF150))))</f>
        <v/>
      </c>
      <c r="Q150" s="10">
        <f>IF($AF150="","",INDEX(파견수련계획!$S$4:$S$83,$AF150))</f>
        <v/>
      </c>
      <c r="R150" s="10">
        <f>IF($AF150="","",INDEX(파견수련계획!$U$4:$U$83,$AF150))</f>
        <v/>
      </c>
      <c r="S150" s="11">
        <f>IF($AF150="","",IF(INDEX(파견수련계획!$H$4:$H$83,$AF150)="","",INDEX(파견수련계획!$H$4:$H$83,$AF150)))</f>
        <v/>
      </c>
      <c r="T150" s="11">
        <f>IF($AF150="","",IF(INDEX(파견수련계획!$I$4:$I$83,$AF150)="","",INDEX(파견수련계획!$I$4:$I$83,$AF150)))</f>
        <v/>
      </c>
      <c r="U150" s="10">
        <f>IF($AF150="","",INDEX(파견수련계획!$X$4:$X$83,$AF150))</f>
        <v/>
      </c>
      <c r="V150" s="17">
        <f>IF($AF150="","",INDEX(파견수련계획!$V$4:$V$83,$AF150))</f>
        <v/>
      </c>
      <c r="W150" s="17">
        <f>IF(AND($U150="파견중",$T150&lt;&gt;""),$T150-TODAY(),"")</f>
        <v/>
      </c>
      <c r="X150" s="17">
        <f>IF(OR($B150="",TRIM($J150&amp;"")=""),"",SUMPRODUCT((파견수련계획!$Q$4:$Q$83=TRIM($J150&amp;""))*파견수련계획!$W$4:$W$83))</f>
        <v/>
      </c>
      <c r="Y150" s="10">
        <f>IF($B150="","",IF($AG150="","",IF(IF(TRIM($J150&amp;"")="",0,SUMPRODUCT((파견수련계획!$Q$4:$Q$83=TRIM($J150&amp;""))*파견수련계획!$AD$4:$AD$83))&gt;0,$AE150,IF(N($X150)&lt;=0,$AG150,IF($AH150+$AI150=DAY(EOMONTH(요약!$B$3,0)),IF(AND($AH150&gt;=요약!$E$3,$AI150&lt;요약!$E$3),"서울병원",IF(AND($AI150&gt;=요약!$E$3,$AH150&lt;요약!$E$3),"구리병원","⚠15일 판정불가(서울 "&amp;$AH150&amp;"일/구리 "&amp;$AI150&amp;"일)")),IF($AJ150="",$AE150,IF(INDEX(파견수련계획!$T$4:$T$83,$AJ150)="통합수련",INDEX(파견수련계획!$S$4:$S$83,$AJ150),$AE150)))))))</f>
        <v/>
      </c>
      <c r="Z150" s="19">
        <f>IF($B150="","",IF($AB150="","기본자료에 없는 사번",IF(COUNTIF($B$2:$B$401,$B150)&gt;1,"중복 사번",IF($AE150="","소속(입사장소) 입력",IF(IF(TRIM($J150&amp;"")="",0,SUMPRODUCT((파견수련계획!$Q$4:$Q$83=TRIM($J150&amp;""))*(파견수련계획!$AA$4:$AA$83&lt;&gt;"")))&gt;0,"파견수련계획 입력오류 확인",IF(LEFT($Y150,1)="⚠","서울·구리 15일 판정 불가(양쪽 모두 이상/미만)",IF(IF($AC150="",0,N(INDEX(인턴근무계획!$T$3:$T$62,$AC150)))&gt;0,"인턴계획 입력오류 확인",IF(AND($AC150&lt;&gt;"",$U150&lt;&gt;"파견중",$N150&lt;&gt;$AE150),"인턴 타지역 근무: 파견 여부 확인","정상"))))))))</f>
        <v/>
      </c>
      <c r="AA150" s="5" t="n"/>
      <c r="AB150" s="10">
        <f>IF($B150="","",IFERROR(MATCH($B150,기본자료!$B$2:$B$1001,0),IFERROR(MATCH($B150&amp;"",기본자료!$B$2:$B$1001,0),IFERROR(MATCH(VALUE($B150),기본자료!$B$2:$B$1001,0),""))))</f>
        <v/>
      </c>
      <c r="AC150" s="10">
        <f>IF($B150="","",IFERROR(MATCH($B150,인턴근무계획!$D$3:$D$62,0),IFERROR(MATCH($B150&amp;"",인턴근무계획!$D$3:$D$62,0),IFERROR(MATCH(VALUE($B150),인턴근무계획!$D$3:$D$62,0),""))))</f>
        <v/>
      </c>
      <c r="AD150" s="10">
        <f>IF(OR($AC150="",인턴현황!$G$3=""),"",INDEX(인턴근무계획!$M$3:$R$62,$AC150,인턴현황!$G$3)&amp;"")</f>
        <v/>
      </c>
      <c r="AE150" s="10">
        <f>IF($B150="","",IF($M150&lt;&gt;"",$M150,IF($AF150&lt;&gt;"",IF(LEFT(INDEX(파견수련계획!$R$4:$R$83,$AF150),1)&lt;&gt;"⚠",INDEX(파견수련계획!$R$4:$R$83,$AF150),IF($H150="","",IF(RIGHT($H150,2)="병원",$H150,$H150&amp;"병원"))),IF($H150="","",IF(RIGHT($H150,2)="병원",$H150,$H150&amp;"병원")))))</f>
        <v/>
      </c>
      <c r="AF150" s="10">
        <f>IF(OR($B150="",TRIM($J150&amp;"")=""),"",IFERROR(MATCH(TRIM($J150&amp;"")&amp;"|파견중",파견수련계획!$Y$4:$Y$83,0),IFERROR(MATCH(TRIM($J150&amp;"")&amp;"|파견예정",파견수련계획!$Y$4:$Y$83,0),IFERROR(MATCH(TRIM($J150&amp;"")&amp;"|파견종료",파견수련계획!$Y$4:$Y$83,0),""))))</f>
        <v/>
      </c>
      <c r="AG150" s="10">
        <f>IF($B150="","",IF(AND(IF(OR($AC150="",인턴현황!$K$2=""),"",INDEX(인턴근무계획!$M$3:$R$62,$AC150,인턴현황!$K$2)&amp;"")&lt;&gt;"",LEFT(IF(OR($AC150="",인턴현황!$K$2=""),"",INDEX(인턴근무계획!$M$3:$R$62,$AC150,인턴현황!$K$2)&amp;""),1)&lt;&gt;"⚠"),LEFT(IF(OR($AC150="",인턴현황!$K$2=""),"",INDEX(인턴근무계획!$M$3:$R$62,$AC150,인턴현황!$K$2)&amp;""),FIND(" ",IF(OR($AC150="",인턴현황!$K$2=""),"",INDEX(인턴근무계획!$M$3:$R$62,$AC150,인턴현황!$K$2)&amp;""))-1),$AE150))</f>
        <v/>
      </c>
      <c r="AH150" s="17">
        <f>IF($B150="","",IF(TRIM($J150&amp;"")="",0,SUMPRODUCT((파견수련계획!$Q$4:$Q$83=TRIM($J150&amp;""))*(파견수련계획!$S$4:$S$83="서울병원")*파견수련계획!$W$4:$W$83))+IF($AG150="서울병원",MAX(0,DAY(EOMONTH(요약!$B$3,0))-N($X150)),0))</f>
        <v/>
      </c>
      <c r="AI150" s="17">
        <f>IF($B150="","",IF(TRIM($J150&amp;"")="",0,SUMPRODUCT((파견수련계획!$Q$4:$Q$83=TRIM($J150&amp;""))*(파견수련계획!$S$4:$S$83="구리병원")*파견수련계획!$W$4:$W$83))+IF($AG150="구리병원",MAX(0,DAY(EOMONTH(요약!$B$3,0))-N($X150)),0))</f>
        <v/>
      </c>
      <c r="AJ150" s="10">
        <f>IF(OR($B150="",TRIM($J150&amp;"")=""),"",IFERROR(MATCH(TRIM($J150&amp;"")&amp;"|월",파견수련계획!$Z$4:$Z$83,0),""))</f>
        <v/>
      </c>
      <c r="AK150" s="10">
        <f>IF(OR($B150="",TRIM($J150&amp;"")=""),"",IFERROR(MATCH(TRIM($J150&amp;"")&amp;"|다기관",파견수련계획!$AE$4:$AE$83,0),""))</f>
        <v/>
      </c>
      <c r="AL150" s="10">
        <f>IF($AK150="","","다기관 "&amp;TEXT(INDEX(파견수련계획!$AB$4:$AB$83,$AK150),"yyyy-mm-dd")&amp;"~"&amp;IF(ISNUMBER(INDEX(파견수련계획!$AC$4:$AC$83,$AK150)),TEXT(INDEX(파견수련계획!$AC$4:$AC$83,$AK150),"yyyy-mm-dd"),""))</f>
        <v/>
      </c>
    </row>
    <row r="151">
      <c r="A151" s="10">
        <f>IF(B151="","",ROW()-1)</f>
        <v/>
      </c>
      <c r="B151" s="18" t="n"/>
      <c r="C151" s="10">
        <f>IF($AB151="","",IF(INDEX(기본자료!$C$2:$C$1001,$AB151)="","",INDEX(기본자료!$C$2:$C$1001,$AB151)))</f>
        <v/>
      </c>
      <c r="D151" s="10">
        <f>IF($AB151="","",IF(INDEX(기본자료!$J$2:$J$1001,$AB151)="","",INDEX(기본자료!$J$2:$J$1001,$AB151)))</f>
        <v/>
      </c>
      <c r="E151" s="11">
        <f>IF($AB151="","",IF(INDEX(기본자료!$K$2:$K$1001,$AB151)="","",IF(NOT(ISNUMBER(INDEX(기본자료!$K$2:$K$1001,$AB151))),INDEX(기본자료!$K$2:$K$1001,$AB151),IF(INDEX(기본자료!$K$2:$K$1001,$AB151)&lt;1000000,INDEX(기본자료!$K$2:$K$1001,$AB151),IF(AND(INDEX(기본자료!$K$2:$K$1001,$AB151)&gt;=10000101,INT(MOD(INDEX(기본자료!$K$2:$K$1001,$AB151),10000)/100)&gt;=1,INT(MOD(INDEX(기본자료!$K$2:$K$1001,$AB151),10000)/100)&lt;=12,MOD(INDEX(기본자료!$K$2:$K$1001,$AB151),100)&gt;=1,MOD(INDEX(기본자료!$K$2:$K$1001,$AB151),100)&lt;=31),DATE(INT(INDEX(기본자료!$K$2:$K$1001,$AB151)/10000),INT(MOD(INDEX(기본자료!$K$2:$K$1001,$AB151),10000)/100),MOD(INDEX(기본자료!$K$2:$K$1001,$AB151),100)),INDEX(기본자료!$K$2:$K$1001,$AB151)&amp;"")))))</f>
        <v/>
      </c>
      <c r="F151" s="10">
        <f>IF($AB151="","",IF(INDEX(기본자료!$D$2:$D$1001,$AB151)="","",INDEX(기본자료!$D$2:$D$1001,$AB151)))</f>
        <v/>
      </c>
      <c r="G151" s="10">
        <f>IF($AB151="","",IF(INDEX(기본자료!$E$2:$E$1001,$AB151)="","",INDEX(기본자료!$E$2:$E$1001,$AB151)))</f>
        <v/>
      </c>
      <c r="H151" s="10">
        <f>IF($AB151="","",IF(INDEX(기본자료!$F$2:$F$1001,$AB151)="","",INDEX(기본자료!$F$2:$F$1001,$AB151)))</f>
        <v/>
      </c>
      <c r="I151" s="11">
        <f>IF($AB151="","",IF(INDEX(기본자료!$G$2:$G$1001,$AB151)="","",IF(NOT(ISNUMBER(INDEX(기본자료!$G$2:$G$1001,$AB151))),INDEX(기본자료!$G$2:$G$1001,$AB151),IF(INDEX(기본자료!$G$2:$G$1001,$AB151)&lt;1000000,INDEX(기본자료!$G$2:$G$1001,$AB151),IF(AND(INDEX(기본자료!$G$2:$G$1001,$AB151)&gt;=10000101,INT(MOD(INDEX(기본자료!$G$2:$G$1001,$AB151),10000)/100)&gt;=1,INT(MOD(INDEX(기본자료!$G$2:$G$1001,$AB151),10000)/100)&lt;=12,MOD(INDEX(기본자료!$G$2:$G$1001,$AB151),100)&gt;=1,MOD(INDEX(기본자료!$G$2:$G$1001,$AB151),100)&lt;=31),DATE(INT(INDEX(기본자료!$G$2:$G$1001,$AB151)/10000),INT(MOD(INDEX(기본자료!$G$2:$G$1001,$AB151),10000)/100),MOD(INDEX(기본자료!$G$2:$G$1001,$AB151),100)),INDEX(기본자료!$G$2:$G$1001,$AB151)&amp;"")))))</f>
        <v/>
      </c>
      <c r="J151" s="10">
        <f>IF($AB151="","",IF(INDEX(기본자료!$H$2:$H$1001,$AB151)="","",INDEX(기본자료!$H$2:$H$1001,$AB151)))</f>
        <v/>
      </c>
      <c r="K151" s="10">
        <f>IF($AB151="","",IF(INDEX(기본자료!$I$2:$I$1001,$AB151)="","",INDEX(기본자료!$I$2:$I$1001,$AB151)))</f>
        <v/>
      </c>
      <c r="L151" s="10">
        <f>IF($AB151="","",IF(INDEX(기본자료!$A$2:$A$1001,$AB151)="","",INDEX(기본자료!$A$2:$A$1001,$AB151)))</f>
        <v/>
      </c>
      <c r="M151" s="15" t="n"/>
      <c r="N151" s="10">
        <f>IF($B151="","",IF(AND($U151="파견중",$Q151&lt;&gt;""),$Q151,IF(AND($AD151&lt;&gt;"",LEFT($AD151,1)&lt;&gt;"⚠"),LEFT($AD151,FIND(" ",$AD151)-1),IF($H151="","",IF(RIGHT($H151,2)="병원",$H151,$H151&amp;"병원")))))</f>
        <v/>
      </c>
      <c r="O151" s="10">
        <f>IF($B151="","",IF(AND($U151="파견중",$Q151&lt;&gt;""),IF($R151&lt;&gt;"",$R151,"파견과 미입력"),IF(AND($AD151&lt;&gt;"",LEFT($AD151,1)&lt;&gt;"⚠"),MID($AD151,FIND(" ",$AD151)+1,60),IF($F151="","",IF($F151="인턴","수련교육부(인턴)",$F151)))))</f>
        <v/>
      </c>
      <c r="P151" s="10">
        <f>IF($B151="","",IF($AK151&lt;&gt;"",IF(AND(TODAY()&gt;=INDEX(파견수련계획!$AB$4:$AB$83,$AK151),OR(NOT(ISNUMBER(INDEX(파견수련계획!$AC$4:$AC$83,$AK151))),TODAY()&lt;=INDEX(파견수련계획!$AC$4:$AC$83,$AK151))),"다기관",IF($AF151="","",INDEX(파견수련계획!$T$4:$T$83,$AF151))),IF($AF151="","",INDEX(파견수련계획!$T$4:$T$83,$AF151))))</f>
        <v/>
      </c>
      <c r="Q151" s="10">
        <f>IF($AF151="","",INDEX(파견수련계획!$S$4:$S$83,$AF151))</f>
        <v/>
      </c>
      <c r="R151" s="10">
        <f>IF($AF151="","",INDEX(파견수련계획!$U$4:$U$83,$AF151))</f>
        <v/>
      </c>
      <c r="S151" s="11">
        <f>IF($AF151="","",IF(INDEX(파견수련계획!$H$4:$H$83,$AF151)="","",INDEX(파견수련계획!$H$4:$H$83,$AF151)))</f>
        <v/>
      </c>
      <c r="T151" s="11">
        <f>IF($AF151="","",IF(INDEX(파견수련계획!$I$4:$I$83,$AF151)="","",INDEX(파견수련계획!$I$4:$I$83,$AF151)))</f>
        <v/>
      </c>
      <c r="U151" s="10">
        <f>IF($AF151="","",INDEX(파견수련계획!$X$4:$X$83,$AF151))</f>
        <v/>
      </c>
      <c r="V151" s="17">
        <f>IF($AF151="","",INDEX(파견수련계획!$V$4:$V$83,$AF151))</f>
        <v/>
      </c>
      <c r="W151" s="17">
        <f>IF(AND($U151="파견중",$T151&lt;&gt;""),$T151-TODAY(),"")</f>
        <v/>
      </c>
      <c r="X151" s="17">
        <f>IF(OR($B151="",TRIM($J151&amp;"")=""),"",SUMPRODUCT((파견수련계획!$Q$4:$Q$83=TRIM($J151&amp;""))*파견수련계획!$W$4:$W$83))</f>
        <v/>
      </c>
      <c r="Y151" s="10">
        <f>IF($B151="","",IF($AG151="","",IF(IF(TRIM($J151&amp;"")="",0,SUMPRODUCT((파견수련계획!$Q$4:$Q$83=TRIM($J151&amp;""))*파견수련계획!$AD$4:$AD$83))&gt;0,$AE151,IF(N($X151)&lt;=0,$AG151,IF($AH151+$AI151=DAY(EOMONTH(요약!$B$3,0)),IF(AND($AH151&gt;=요약!$E$3,$AI151&lt;요약!$E$3),"서울병원",IF(AND($AI151&gt;=요약!$E$3,$AH151&lt;요약!$E$3),"구리병원","⚠15일 판정불가(서울 "&amp;$AH151&amp;"일/구리 "&amp;$AI151&amp;"일)")),IF($AJ151="",$AE151,IF(INDEX(파견수련계획!$T$4:$T$83,$AJ151)="통합수련",INDEX(파견수련계획!$S$4:$S$83,$AJ151),$AE151)))))))</f>
        <v/>
      </c>
      <c r="Z151" s="19">
        <f>IF($B151="","",IF($AB151="","기본자료에 없는 사번",IF(COUNTIF($B$2:$B$401,$B151)&gt;1,"중복 사번",IF($AE151="","소속(입사장소) 입력",IF(IF(TRIM($J151&amp;"")="",0,SUMPRODUCT((파견수련계획!$Q$4:$Q$83=TRIM($J151&amp;""))*(파견수련계획!$AA$4:$AA$83&lt;&gt;"")))&gt;0,"파견수련계획 입력오류 확인",IF(LEFT($Y151,1)="⚠","서울·구리 15일 판정 불가(양쪽 모두 이상/미만)",IF(IF($AC151="",0,N(INDEX(인턴근무계획!$T$3:$T$62,$AC151)))&gt;0,"인턴계획 입력오류 확인",IF(AND($AC151&lt;&gt;"",$U151&lt;&gt;"파견중",$N151&lt;&gt;$AE151),"인턴 타지역 근무: 파견 여부 확인","정상"))))))))</f>
        <v/>
      </c>
      <c r="AA151" s="5" t="n"/>
      <c r="AB151" s="10">
        <f>IF($B151="","",IFERROR(MATCH($B151,기본자료!$B$2:$B$1001,0),IFERROR(MATCH($B151&amp;"",기본자료!$B$2:$B$1001,0),IFERROR(MATCH(VALUE($B151),기본자료!$B$2:$B$1001,0),""))))</f>
        <v/>
      </c>
      <c r="AC151" s="10">
        <f>IF($B151="","",IFERROR(MATCH($B151,인턴근무계획!$D$3:$D$62,0),IFERROR(MATCH($B151&amp;"",인턴근무계획!$D$3:$D$62,0),IFERROR(MATCH(VALUE($B151),인턴근무계획!$D$3:$D$62,0),""))))</f>
        <v/>
      </c>
      <c r="AD151" s="10">
        <f>IF(OR($AC151="",인턴현황!$G$3=""),"",INDEX(인턴근무계획!$M$3:$R$62,$AC151,인턴현황!$G$3)&amp;"")</f>
        <v/>
      </c>
      <c r="AE151" s="10">
        <f>IF($B151="","",IF($M151&lt;&gt;"",$M151,IF($AF151&lt;&gt;"",IF(LEFT(INDEX(파견수련계획!$R$4:$R$83,$AF151),1)&lt;&gt;"⚠",INDEX(파견수련계획!$R$4:$R$83,$AF151),IF($H151="","",IF(RIGHT($H151,2)="병원",$H151,$H151&amp;"병원"))),IF($H151="","",IF(RIGHT($H151,2)="병원",$H151,$H151&amp;"병원")))))</f>
        <v/>
      </c>
      <c r="AF151" s="10">
        <f>IF(OR($B151="",TRIM($J151&amp;"")=""),"",IFERROR(MATCH(TRIM($J151&amp;"")&amp;"|파견중",파견수련계획!$Y$4:$Y$83,0),IFERROR(MATCH(TRIM($J151&amp;"")&amp;"|파견예정",파견수련계획!$Y$4:$Y$83,0),IFERROR(MATCH(TRIM($J151&amp;"")&amp;"|파견종료",파견수련계획!$Y$4:$Y$83,0),""))))</f>
        <v/>
      </c>
      <c r="AG151" s="10">
        <f>IF($B151="","",IF(AND(IF(OR($AC151="",인턴현황!$K$2=""),"",INDEX(인턴근무계획!$M$3:$R$62,$AC151,인턴현황!$K$2)&amp;"")&lt;&gt;"",LEFT(IF(OR($AC151="",인턴현황!$K$2=""),"",INDEX(인턴근무계획!$M$3:$R$62,$AC151,인턴현황!$K$2)&amp;""),1)&lt;&gt;"⚠"),LEFT(IF(OR($AC151="",인턴현황!$K$2=""),"",INDEX(인턴근무계획!$M$3:$R$62,$AC151,인턴현황!$K$2)&amp;""),FIND(" ",IF(OR($AC151="",인턴현황!$K$2=""),"",INDEX(인턴근무계획!$M$3:$R$62,$AC151,인턴현황!$K$2)&amp;""))-1),$AE151))</f>
        <v/>
      </c>
      <c r="AH151" s="17">
        <f>IF($B151="","",IF(TRIM($J151&amp;"")="",0,SUMPRODUCT((파견수련계획!$Q$4:$Q$83=TRIM($J151&amp;""))*(파견수련계획!$S$4:$S$83="서울병원")*파견수련계획!$W$4:$W$83))+IF($AG151="서울병원",MAX(0,DAY(EOMONTH(요약!$B$3,0))-N($X151)),0))</f>
        <v/>
      </c>
      <c r="AI151" s="17">
        <f>IF($B151="","",IF(TRIM($J151&amp;"")="",0,SUMPRODUCT((파견수련계획!$Q$4:$Q$83=TRIM($J151&amp;""))*(파견수련계획!$S$4:$S$83="구리병원")*파견수련계획!$W$4:$W$83))+IF($AG151="구리병원",MAX(0,DAY(EOMONTH(요약!$B$3,0))-N($X151)),0))</f>
        <v/>
      </c>
      <c r="AJ151" s="10">
        <f>IF(OR($B151="",TRIM($J151&amp;"")=""),"",IFERROR(MATCH(TRIM($J151&amp;"")&amp;"|월",파견수련계획!$Z$4:$Z$83,0),""))</f>
        <v/>
      </c>
      <c r="AK151" s="10">
        <f>IF(OR($B151="",TRIM($J151&amp;"")=""),"",IFERROR(MATCH(TRIM($J151&amp;"")&amp;"|다기관",파견수련계획!$AE$4:$AE$83,0),""))</f>
        <v/>
      </c>
      <c r="AL151" s="10">
        <f>IF($AK151="","","다기관 "&amp;TEXT(INDEX(파견수련계획!$AB$4:$AB$83,$AK151),"yyyy-mm-dd")&amp;"~"&amp;IF(ISNUMBER(INDEX(파견수련계획!$AC$4:$AC$83,$AK151)),TEXT(INDEX(파견수련계획!$AC$4:$AC$83,$AK151),"yyyy-mm-dd"),""))</f>
        <v/>
      </c>
    </row>
    <row r="152">
      <c r="A152" s="10">
        <f>IF(B152="","",ROW()-1)</f>
        <v/>
      </c>
      <c r="B152" s="18" t="n"/>
      <c r="C152" s="10">
        <f>IF($AB152="","",IF(INDEX(기본자료!$C$2:$C$1001,$AB152)="","",INDEX(기본자료!$C$2:$C$1001,$AB152)))</f>
        <v/>
      </c>
      <c r="D152" s="10">
        <f>IF($AB152="","",IF(INDEX(기본자료!$J$2:$J$1001,$AB152)="","",INDEX(기본자료!$J$2:$J$1001,$AB152)))</f>
        <v/>
      </c>
      <c r="E152" s="11">
        <f>IF($AB152="","",IF(INDEX(기본자료!$K$2:$K$1001,$AB152)="","",IF(NOT(ISNUMBER(INDEX(기본자료!$K$2:$K$1001,$AB152))),INDEX(기본자료!$K$2:$K$1001,$AB152),IF(INDEX(기본자료!$K$2:$K$1001,$AB152)&lt;1000000,INDEX(기본자료!$K$2:$K$1001,$AB152),IF(AND(INDEX(기본자료!$K$2:$K$1001,$AB152)&gt;=10000101,INT(MOD(INDEX(기본자료!$K$2:$K$1001,$AB152),10000)/100)&gt;=1,INT(MOD(INDEX(기본자료!$K$2:$K$1001,$AB152),10000)/100)&lt;=12,MOD(INDEX(기본자료!$K$2:$K$1001,$AB152),100)&gt;=1,MOD(INDEX(기본자료!$K$2:$K$1001,$AB152),100)&lt;=31),DATE(INT(INDEX(기본자료!$K$2:$K$1001,$AB152)/10000),INT(MOD(INDEX(기본자료!$K$2:$K$1001,$AB152),10000)/100),MOD(INDEX(기본자료!$K$2:$K$1001,$AB152),100)),INDEX(기본자료!$K$2:$K$1001,$AB152)&amp;"")))))</f>
        <v/>
      </c>
      <c r="F152" s="10">
        <f>IF($AB152="","",IF(INDEX(기본자료!$D$2:$D$1001,$AB152)="","",INDEX(기본자료!$D$2:$D$1001,$AB152)))</f>
        <v/>
      </c>
      <c r="G152" s="10">
        <f>IF($AB152="","",IF(INDEX(기본자료!$E$2:$E$1001,$AB152)="","",INDEX(기본자료!$E$2:$E$1001,$AB152)))</f>
        <v/>
      </c>
      <c r="H152" s="10">
        <f>IF($AB152="","",IF(INDEX(기본자료!$F$2:$F$1001,$AB152)="","",INDEX(기본자료!$F$2:$F$1001,$AB152)))</f>
        <v/>
      </c>
      <c r="I152" s="11">
        <f>IF($AB152="","",IF(INDEX(기본자료!$G$2:$G$1001,$AB152)="","",IF(NOT(ISNUMBER(INDEX(기본자료!$G$2:$G$1001,$AB152))),INDEX(기본자료!$G$2:$G$1001,$AB152),IF(INDEX(기본자료!$G$2:$G$1001,$AB152)&lt;1000000,INDEX(기본자료!$G$2:$G$1001,$AB152),IF(AND(INDEX(기본자료!$G$2:$G$1001,$AB152)&gt;=10000101,INT(MOD(INDEX(기본자료!$G$2:$G$1001,$AB152),10000)/100)&gt;=1,INT(MOD(INDEX(기본자료!$G$2:$G$1001,$AB152),10000)/100)&lt;=12,MOD(INDEX(기본자료!$G$2:$G$1001,$AB152),100)&gt;=1,MOD(INDEX(기본자료!$G$2:$G$1001,$AB152),100)&lt;=31),DATE(INT(INDEX(기본자료!$G$2:$G$1001,$AB152)/10000),INT(MOD(INDEX(기본자료!$G$2:$G$1001,$AB152),10000)/100),MOD(INDEX(기본자료!$G$2:$G$1001,$AB152),100)),INDEX(기본자료!$G$2:$G$1001,$AB152)&amp;"")))))</f>
        <v/>
      </c>
      <c r="J152" s="10">
        <f>IF($AB152="","",IF(INDEX(기본자료!$H$2:$H$1001,$AB152)="","",INDEX(기본자료!$H$2:$H$1001,$AB152)))</f>
        <v/>
      </c>
      <c r="K152" s="10">
        <f>IF($AB152="","",IF(INDEX(기본자료!$I$2:$I$1001,$AB152)="","",INDEX(기본자료!$I$2:$I$1001,$AB152)))</f>
        <v/>
      </c>
      <c r="L152" s="10">
        <f>IF($AB152="","",IF(INDEX(기본자료!$A$2:$A$1001,$AB152)="","",INDEX(기본자료!$A$2:$A$1001,$AB152)))</f>
        <v/>
      </c>
      <c r="M152" s="15" t="n"/>
      <c r="N152" s="10">
        <f>IF($B152="","",IF(AND($U152="파견중",$Q152&lt;&gt;""),$Q152,IF(AND($AD152&lt;&gt;"",LEFT($AD152,1)&lt;&gt;"⚠"),LEFT($AD152,FIND(" ",$AD152)-1),IF($H152="","",IF(RIGHT($H152,2)="병원",$H152,$H152&amp;"병원")))))</f>
        <v/>
      </c>
      <c r="O152" s="10">
        <f>IF($B152="","",IF(AND($U152="파견중",$Q152&lt;&gt;""),IF($R152&lt;&gt;"",$R152,"파견과 미입력"),IF(AND($AD152&lt;&gt;"",LEFT($AD152,1)&lt;&gt;"⚠"),MID($AD152,FIND(" ",$AD152)+1,60),IF($F152="","",IF($F152="인턴","수련교육부(인턴)",$F152)))))</f>
        <v/>
      </c>
      <c r="P152" s="10">
        <f>IF($B152="","",IF($AK152&lt;&gt;"",IF(AND(TODAY()&gt;=INDEX(파견수련계획!$AB$4:$AB$83,$AK152),OR(NOT(ISNUMBER(INDEX(파견수련계획!$AC$4:$AC$83,$AK152))),TODAY()&lt;=INDEX(파견수련계획!$AC$4:$AC$83,$AK152))),"다기관",IF($AF152="","",INDEX(파견수련계획!$T$4:$T$83,$AF152))),IF($AF152="","",INDEX(파견수련계획!$T$4:$T$83,$AF152))))</f>
        <v/>
      </c>
      <c r="Q152" s="10">
        <f>IF($AF152="","",INDEX(파견수련계획!$S$4:$S$83,$AF152))</f>
        <v/>
      </c>
      <c r="R152" s="10">
        <f>IF($AF152="","",INDEX(파견수련계획!$U$4:$U$83,$AF152))</f>
        <v/>
      </c>
      <c r="S152" s="11">
        <f>IF($AF152="","",IF(INDEX(파견수련계획!$H$4:$H$83,$AF152)="","",INDEX(파견수련계획!$H$4:$H$83,$AF152)))</f>
        <v/>
      </c>
      <c r="T152" s="11">
        <f>IF($AF152="","",IF(INDEX(파견수련계획!$I$4:$I$83,$AF152)="","",INDEX(파견수련계획!$I$4:$I$83,$AF152)))</f>
        <v/>
      </c>
      <c r="U152" s="10">
        <f>IF($AF152="","",INDEX(파견수련계획!$X$4:$X$83,$AF152))</f>
        <v/>
      </c>
      <c r="V152" s="17">
        <f>IF($AF152="","",INDEX(파견수련계획!$V$4:$V$83,$AF152))</f>
        <v/>
      </c>
      <c r="W152" s="17">
        <f>IF(AND($U152="파견중",$T152&lt;&gt;""),$T152-TODAY(),"")</f>
        <v/>
      </c>
      <c r="X152" s="17">
        <f>IF(OR($B152="",TRIM($J152&amp;"")=""),"",SUMPRODUCT((파견수련계획!$Q$4:$Q$83=TRIM($J152&amp;""))*파견수련계획!$W$4:$W$83))</f>
        <v/>
      </c>
      <c r="Y152" s="10">
        <f>IF($B152="","",IF($AG152="","",IF(IF(TRIM($J152&amp;"")="",0,SUMPRODUCT((파견수련계획!$Q$4:$Q$83=TRIM($J152&amp;""))*파견수련계획!$AD$4:$AD$83))&gt;0,$AE152,IF(N($X152)&lt;=0,$AG152,IF($AH152+$AI152=DAY(EOMONTH(요약!$B$3,0)),IF(AND($AH152&gt;=요약!$E$3,$AI152&lt;요약!$E$3),"서울병원",IF(AND($AI152&gt;=요약!$E$3,$AH152&lt;요약!$E$3),"구리병원","⚠15일 판정불가(서울 "&amp;$AH152&amp;"일/구리 "&amp;$AI152&amp;"일)")),IF($AJ152="",$AE152,IF(INDEX(파견수련계획!$T$4:$T$83,$AJ152)="통합수련",INDEX(파견수련계획!$S$4:$S$83,$AJ152),$AE152)))))))</f>
        <v/>
      </c>
      <c r="Z152" s="19">
        <f>IF($B152="","",IF($AB152="","기본자료에 없는 사번",IF(COUNTIF($B$2:$B$401,$B152)&gt;1,"중복 사번",IF($AE152="","소속(입사장소) 입력",IF(IF(TRIM($J152&amp;"")="",0,SUMPRODUCT((파견수련계획!$Q$4:$Q$83=TRIM($J152&amp;""))*(파견수련계획!$AA$4:$AA$83&lt;&gt;"")))&gt;0,"파견수련계획 입력오류 확인",IF(LEFT($Y152,1)="⚠","서울·구리 15일 판정 불가(양쪽 모두 이상/미만)",IF(IF($AC152="",0,N(INDEX(인턴근무계획!$T$3:$T$62,$AC152)))&gt;0,"인턴계획 입력오류 확인",IF(AND($AC152&lt;&gt;"",$U152&lt;&gt;"파견중",$N152&lt;&gt;$AE152),"인턴 타지역 근무: 파견 여부 확인","정상"))))))))</f>
        <v/>
      </c>
      <c r="AA152" s="5" t="n"/>
      <c r="AB152" s="10">
        <f>IF($B152="","",IFERROR(MATCH($B152,기본자료!$B$2:$B$1001,0),IFERROR(MATCH($B152&amp;"",기본자료!$B$2:$B$1001,0),IFERROR(MATCH(VALUE($B152),기본자료!$B$2:$B$1001,0),""))))</f>
        <v/>
      </c>
      <c r="AC152" s="10">
        <f>IF($B152="","",IFERROR(MATCH($B152,인턴근무계획!$D$3:$D$62,0),IFERROR(MATCH($B152&amp;"",인턴근무계획!$D$3:$D$62,0),IFERROR(MATCH(VALUE($B152),인턴근무계획!$D$3:$D$62,0),""))))</f>
        <v/>
      </c>
      <c r="AD152" s="10">
        <f>IF(OR($AC152="",인턴현황!$G$3=""),"",INDEX(인턴근무계획!$M$3:$R$62,$AC152,인턴현황!$G$3)&amp;"")</f>
        <v/>
      </c>
      <c r="AE152" s="10">
        <f>IF($B152="","",IF($M152&lt;&gt;"",$M152,IF($AF152&lt;&gt;"",IF(LEFT(INDEX(파견수련계획!$R$4:$R$83,$AF152),1)&lt;&gt;"⚠",INDEX(파견수련계획!$R$4:$R$83,$AF152),IF($H152="","",IF(RIGHT($H152,2)="병원",$H152,$H152&amp;"병원"))),IF($H152="","",IF(RIGHT($H152,2)="병원",$H152,$H152&amp;"병원")))))</f>
        <v/>
      </c>
      <c r="AF152" s="10">
        <f>IF(OR($B152="",TRIM($J152&amp;"")=""),"",IFERROR(MATCH(TRIM($J152&amp;"")&amp;"|파견중",파견수련계획!$Y$4:$Y$83,0),IFERROR(MATCH(TRIM($J152&amp;"")&amp;"|파견예정",파견수련계획!$Y$4:$Y$83,0),IFERROR(MATCH(TRIM($J152&amp;"")&amp;"|파견종료",파견수련계획!$Y$4:$Y$83,0),""))))</f>
        <v/>
      </c>
      <c r="AG152" s="10">
        <f>IF($B152="","",IF(AND(IF(OR($AC152="",인턴현황!$K$2=""),"",INDEX(인턴근무계획!$M$3:$R$62,$AC152,인턴현황!$K$2)&amp;"")&lt;&gt;"",LEFT(IF(OR($AC152="",인턴현황!$K$2=""),"",INDEX(인턴근무계획!$M$3:$R$62,$AC152,인턴현황!$K$2)&amp;""),1)&lt;&gt;"⚠"),LEFT(IF(OR($AC152="",인턴현황!$K$2=""),"",INDEX(인턴근무계획!$M$3:$R$62,$AC152,인턴현황!$K$2)&amp;""),FIND(" ",IF(OR($AC152="",인턴현황!$K$2=""),"",INDEX(인턴근무계획!$M$3:$R$62,$AC152,인턴현황!$K$2)&amp;""))-1),$AE152))</f>
        <v/>
      </c>
      <c r="AH152" s="17">
        <f>IF($B152="","",IF(TRIM($J152&amp;"")="",0,SUMPRODUCT((파견수련계획!$Q$4:$Q$83=TRIM($J152&amp;""))*(파견수련계획!$S$4:$S$83="서울병원")*파견수련계획!$W$4:$W$83))+IF($AG152="서울병원",MAX(0,DAY(EOMONTH(요약!$B$3,0))-N($X152)),0))</f>
        <v/>
      </c>
      <c r="AI152" s="17">
        <f>IF($B152="","",IF(TRIM($J152&amp;"")="",0,SUMPRODUCT((파견수련계획!$Q$4:$Q$83=TRIM($J152&amp;""))*(파견수련계획!$S$4:$S$83="구리병원")*파견수련계획!$W$4:$W$83))+IF($AG152="구리병원",MAX(0,DAY(EOMONTH(요약!$B$3,0))-N($X152)),0))</f>
        <v/>
      </c>
      <c r="AJ152" s="10">
        <f>IF(OR($B152="",TRIM($J152&amp;"")=""),"",IFERROR(MATCH(TRIM($J152&amp;"")&amp;"|월",파견수련계획!$Z$4:$Z$83,0),""))</f>
        <v/>
      </c>
      <c r="AK152" s="10">
        <f>IF(OR($B152="",TRIM($J152&amp;"")=""),"",IFERROR(MATCH(TRIM($J152&amp;"")&amp;"|다기관",파견수련계획!$AE$4:$AE$83,0),""))</f>
        <v/>
      </c>
      <c r="AL152" s="10">
        <f>IF($AK152="","","다기관 "&amp;TEXT(INDEX(파견수련계획!$AB$4:$AB$83,$AK152),"yyyy-mm-dd")&amp;"~"&amp;IF(ISNUMBER(INDEX(파견수련계획!$AC$4:$AC$83,$AK152)),TEXT(INDEX(파견수련계획!$AC$4:$AC$83,$AK152),"yyyy-mm-dd"),""))</f>
        <v/>
      </c>
    </row>
    <row r="153">
      <c r="A153" s="10">
        <f>IF(B153="","",ROW()-1)</f>
        <v/>
      </c>
      <c r="B153" s="18" t="n"/>
      <c r="C153" s="10">
        <f>IF($AB153="","",IF(INDEX(기본자료!$C$2:$C$1001,$AB153)="","",INDEX(기본자료!$C$2:$C$1001,$AB153)))</f>
        <v/>
      </c>
      <c r="D153" s="10">
        <f>IF($AB153="","",IF(INDEX(기본자료!$J$2:$J$1001,$AB153)="","",INDEX(기본자료!$J$2:$J$1001,$AB153)))</f>
        <v/>
      </c>
      <c r="E153" s="11">
        <f>IF($AB153="","",IF(INDEX(기본자료!$K$2:$K$1001,$AB153)="","",IF(NOT(ISNUMBER(INDEX(기본자료!$K$2:$K$1001,$AB153))),INDEX(기본자료!$K$2:$K$1001,$AB153),IF(INDEX(기본자료!$K$2:$K$1001,$AB153)&lt;1000000,INDEX(기본자료!$K$2:$K$1001,$AB153),IF(AND(INDEX(기본자료!$K$2:$K$1001,$AB153)&gt;=10000101,INT(MOD(INDEX(기본자료!$K$2:$K$1001,$AB153),10000)/100)&gt;=1,INT(MOD(INDEX(기본자료!$K$2:$K$1001,$AB153),10000)/100)&lt;=12,MOD(INDEX(기본자료!$K$2:$K$1001,$AB153),100)&gt;=1,MOD(INDEX(기본자료!$K$2:$K$1001,$AB153),100)&lt;=31),DATE(INT(INDEX(기본자료!$K$2:$K$1001,$AB153)/10000),INT(MOD(INDEX(기본자료!$K$2:$K$1001,$AB153),10000)/100),MOD(INDEX(기본자료!$K$2:$K$1001,$AB153),100)),INDEX(기본자료!$K$2:$K$1001,$AB153)&amp;"")))))</f>
        <v/>
      </c>
      <c r="F153" s="10">
        <f>IF($AB153="","",IF(INDEX(기본자료!$D$2:$D$1001,$AB153)="","",INDEX(기본자료!$D$2:$D$1001,$AB153)))</f>
        <v/>
      </c>
      <c r="G153" s="10">
        <f>IF($AB153="","",IF(INDEX(기본자료!$E$2:$E$1001,$AB153)="","",INDEX(기본자료!$E$2:$E$1001,$AB153)))</f>
        <v/>
      </c>
      <c r="H153" s="10">
        <f>IF($AB153="","",IF(INDEX(기본자료!$F$2:$F$1001,$AB153)="","",INDEX(기본자료!$F$2:$F$1001,$AB153)))</f>
        <v/>
      </c>
      <c r="I153" s="11">
        <f>IF($AB153="","",IF(INDEX(기본자료!$G$2:$G$1001,$AB153)="","",IF(NOT(ISNUMBER(INDEX(기본자료!$G$2:$G$1001,$AB153))),INDEX(기본자료!$G$2:$G$1001,$AB153),IF(INDEX(기본자료!$G$2:$G$1001,$AB153)&lt;1000000,INDEX(기본자료!$G$2:$G$1001,$AB153),IF(AND(INDEX(기본자료!$G$2:$G$1001,$AB153)&gt;=10000101,INT(MOD(INDEX(기본자료!$G$2:$G$1001,$AB153),10000)/100)&gt;=1,INT(MOD(INDEX(기본자료!$G$2:$G$1001,$AB153),10000)/100)&lt;=12,MOD(INDEX(기본자료!$G$2:$G$1001,$AB153),100)&gt;=1,MOD(INDEX(기본자료!$G$2:$G$1001,$AB153),100)&lt;=31),DATE(INT(INDEX(기본자료!$G$2:$G$1001,$AB153)/10000),INT(MOD(INDEX(기본자료!$G$2:$G$1001,$AB153),10000)/100),MOD(INDEX(기본자료!$G$2:$G$1001,$AB153),100)),INDEX(기본자료!$G$2:$G$1001,$AB153)&amp;"")))))</f>
        <v/>
      </c>
      <c r="J153" s="10">
        <f>IF($AB153="","",IF(INDEX(기본자료!$H$2:$H$1001,$AB153)="","",INDEX(기본자료!$H$2:$H$1001,$AB153)))</f>
        <v/>
      </c>
      <c r="K153" s="10">
        <f>IF($AB153="","",IF(INDEX(기본자료!$I$2:$I$1001,$AB153)="","",INDEX(기본자료!$I$2:$I$1001,$AB153)))</f>
        <v/>
      </c>
      <c r="L153" s="10">
        <f>IF($AB153="","",IF(INDEX(기본자료!$A$2:$A$1001,$AB153)="","",INDEX(기본자료!$A$2:$A$1001,$AB153)))</f>
        <v/>
      </c>
      <c r="M153" s="15" t="n"/>
      <c r="N153" s="10">
        <f>IF($B153="","",IF(AND($U153="파견중",$Q153&lt;&gt;""),$Q153,IF(AND($AD153&lt;&gt;"",LEFT($AD153,1)&lt;&gt;"⚠"),LEFT($AD153,FIND(" ",$AD153)-1),IF($H153="","",IF(RIGHT($H153,2)="병원",$H153,$H153&amp;"병원")))))</f>
        <v/>
      </c>
      <c r="O153" s="10">
        <f>IF($B153="","",IF(AND($U153="파견중",$Q153&lt;&gt;""),IF($R153&lt;&gt;"",$R153,"파견과 미입력"),IF(AND($AD153&lt;&gt;"",LEFT($AD153,1)&lt;&gt;"⚠"),MID($AD153,FIND(" ",$AD153)+1,60),IF($F153="","",IF($F153="인턴","수련교육부(인턴)",$F153)))))</f>
        <v/>
      </c>
      <c r="P153" s="10">
        <f>IF($B153="","",IF($AK153&lt;&gt;"",IF(AND(TODAY()&gt;=INDEX(파견수련계획!$AB$4:$AB$83,$AK153),OR(NOT(ISNUMBER(INDEX(파견수련계획!$AC$4:$AC$83,$AK153))),TODAY()&lt;=INDEX(파견수련계획!$AC$4:$AC$83,$AK153))),"다기관",IF($AF153="","",INDEX(파견수련계획!$T$4:$T$83,$AF153))),IF($AF153="","",INDEX(파견수련계획!$T$4:$T$83,$AF153))))</f>
        <v/>
      </c>
      <c r="Q153" s="10">
        <f>IF($AF153="","",INDEX(파견수련계획!$S$4:$S$83,$AF153))</f>
        <v/>
      </c>
      <c r="R153" s="10">
        <f>IF($AF153="","",INDEX(파견수련계획!$U$4:$U$83,$AF153))</f>
        <v/>
      </c>
      <c r="S153" s="11">
        <f>IF($AF153="","",IF(INDEX(파견수련계획!$H$4:$H$83,$AF153)="","",INDEX(파견수련계획!$H$4:$H$83,$AF153)))</f>
        <v/>
      </c>
      <c r="T153" s="11">
        <f>IF($AF153="","",IF(INDEX(파견수련계획!$I$4:$I$83,$AF153)="","",INDEX(파견수련계획!$I$4:$I$83,$AF153)))</f>
        <v/>
      </c>
      <c r="U153" s="10">
        <f>IF($AF153="","",INDEX(파견수련계획!$X$4:$X$83,$AF153))</f>
        <v/>
      </c>
      <c r="V153" s="17">
        <f>IF($AF153="","",INDEX(파견수련계획!$V$4:$V$83,$AF153))</f>
        <v/>
      </c>
      <c r="W153" s="17">
        <f>IF(AND($U153="파견중",$T153&lt;&gt;""),$T153-TODAY(),"")</f>
        <v/>
      </c>
      <c r="X153" s="17">
        <f>IF(OR($B153="",TRIM($J153&amp;"")=""),"",SUMPRODUCT((파견수련계획!$Q$4:$Q$83=TRIM($J153&amp;""))*파견수련계획!$W$4:$W$83))</f>
        <v/>
      </c>
      <c r="Y153" s="10">
        <f>IF($B153="","",IF($AG153="","",IF(IF(TRIM($J153&amp;"")="",0,SUMPRODUCT((파견수련계획!$Q$4:$Q$83=TRIM($J153&amp;""))*파견수련계획!$AD$4:$AD$83))&gt;0,$AE153,IF(N($X153)&lt;=0,$AG153,IF($AH153+$AI153=DAY(EOMONTH(요약!$B$3,0)),IF(AND($AH153&gt;=요약!$E$3,$AI153&lt;요약!$E$3),"서울병원",IF(AND($AI153&gt;=요약!$E$3,$AH153&lt;요약!$E$3),"구리병원","⚠15일 판정불가(서울 "&amp;$AH153&amp;"일/구리 "&amp;$AI153&amp;"일)")),IF($AJ153="",$AE153,IF(INDEX(파견수련계획!$T$4:$T$83,$AJ153)="통합수련",INDEX(파견수련계획!$S$4:$S$83,$AJ153),$AE153)))))))</f>
        <v/>
      </c>
      <c r="Z153" s="19">
        <f>IF($B153="","",IF($AB153="","기본자료에 없는 사번",IF(COUNTIF($B$2:$B$401,$B153)&gt;1,"중복 사번",IF($AE153="","소속(입사장소) 입력",IF(IF(TRIM($J153&amp;"")="",0,SUMPRODUCT((파견수련계획!$Q$4:$Q$83=TRIM($J153&amp;""))*(파견수련계획!$AA$4:$AA$83&lt;&gt;"")))&gt;0,"파견수련계획 입력오류 확인",IF(LEFT($Y153,1)="⚠","서울·구리 15일 판정 불가(양쪽 모두 이상/미만)",IF(IF($AC153="",0,N(INDEX(인턴근무계획!$T$3:$T$62,$AC153)))&gt;0,"인턴계획 입력오류 확인",IF(AND($AC153&lt;&gt;"",$U153&lt;&gt;"파견중",$N153&lt;&gt;$AE153),"인턴 타지역 근무: 파견 여부 확인","정상"))))))))</f>
        <v/>
      </c>
      <c r="AA153" s="5" t="n"/>
      <c r="AB153" s="10">
        <f>IF($B153="","",IFERROR(MATCH($B153,기본자료!$B$2:$B$1001,0),IFERROR(MATCH($B153&amp;"",기본자료!$B$2:$B$1001,0),IFERROR(MATCH(VALUE($B153),기본자료!$B$2:$B$1001,0),""))))</f>
        <v/>
      </c>
      <c r="AC153" s="10">
        <f>IF($B153="","",IFERROR(MATCH($B153,인턴근무계획!$D$3:$D$62,0),IFERROR(MATCH($B153&amp;"",인턴근무계획!$D$3:$D$62,0),IFERROR(MATCH(VALUE($B153),인턴근무계획!$D$3:$D$62,0),""))))</f>
        <v/>
      </c>
      <c r="AD153" s="10">
        <f>IF(OR($AC153="",인턴현황!$G$3=""),"",INDEX(인턴근무계획!$M$3:$R$62,$AC153,인턴현황!$G$3)&amp;"")</f>
        <v/>
      </c>
      <c r="AE153" s="10">
        <f>IF($B153="","",IF($M153&lt;&gt;"",$M153,IF($AF153&lt;&gt;"",IF(LEFT(INDEX(파견수련계획!$R$4:$R$83,$AF153),1)&lt;&gt;"⚠",INDEX(파견수련계획!$R$4:$R$83,$AF153),IF($H153="","",IF(RIGHT($H153,2)="병원",$H153,$H153&amp;"병원"))),IF($H153="","",IF(RIGHT($H153,2)="병원",$H153,$H153&amp;"병원")))))</f>
        <v/>
      </c>
      <c r="AF153" s="10">
        <f>IF(OR($B153="",TRIM($J153&amp;"")=""),"",IFERROR(MATCH(TRIM($J153&amp;"")&amp;"|파견중",파견수련계획!$Y$4:$Y$83,0),IFERROR(MATCH(TRIM($J153&amp;"")&amp;"|파견예정",파견수련계획!$Y$4:$Y$83,0),IFERROR(MATCH(TRIM($J153&amp;"")&amp;"|파견종료",파견수련계획!$Y$4:$Y$83,0),""))))</f>
        <v/>
      </c>
      <c r="AG153" s="10">
        <f>IF($B153="","",IF(AND(IF(OR($AC153="",인턴현황!$K$2=""),"",INDEX(인턴근무계획!$M$3:$R$62,$AC153,인턴현황!$K$2)&amp;"")&lt;&gt;"",LEFT(IF(OR($AC153="",인턴현황!$K$2=""),"",INDEX(인턴근무계획!$M$3:$R$62,$AC153,인턴현황!$K$2)&amp;""),1)&lt;&gt;"⚠"),LEFT(IF(OR($AC153="",인턴현황!$K$2=""),"",INDEX(인턴근무계획!$M$3:$R$62,$AC153,인턴현황!$K$2)&amp;""),FIND(" ",IF(OR($AC153="",인턴현황!$K$2=""),"",INDEX(인턴근무계획!$M$3:$R$62,$AC153,인턴현황!$K$2)&amp;""))-1),$AE153))</f>
        <v/>
      </c>
      <c r="AH153" s="17">
        <f>IF($B153="","",IF(TRIM($J153&amp;"")="",0,SUMPRODUCT((파견수련계획!$Q$4:$Q$83=TRIM($J153&amp;""))*(파견수련계획!$S$4:$S$83="서울병원")*파견수련계획!$W$4:$W$83))+IF($AG153="서울병원",MAX(0,DAY(EOMONTH(요약!$B$3,0))-N($X153)),0))</f>
        <v/>
      </c>
      <c r="AI153" s="17">
        <f>IF($B153="","",IF(TRIM($J153&amp;"")="",0,SUMPRODUCT((파견수련계획!$Q$4:$Q$83=TRIM($J153&amp;""))*(파견수련계획!$S$4:$S$83="구리병원")*파견수련계획!$W$4:$W$83))+IF($AG153="구리병원",MAX(0,DAY(EOMONTH(요약!$B$3,0))-N($X153)),0))</f>
        <v/>
      </c>
      <c r="AJ153" s="10">
        <f>IF(OR($B153="",TRIM($J153&amp;"")=""),"",IFERROR(MATCH(TRIM($J153&amp;"")&amp;"|월",파견수련계획!$Z$4:$Z$83,0),""))</f>
        <v/>
      </c>
      <c r="AK153" s="10">
        <f>IF(OR($B153="",TRIM($J153&amp;"")=""),"",IFERROR(MATCH(TRIM($J153&amp;"")&amp;"|다기관",파견수련계획!$AE$4:$AE$83,0),""))</f>
        <v/>
      </c>
      <c r="AL153" s="10">
        <f>IF($AK153="","","다기관 "&amp;TEXT(INDEX(파견수련계획!$AB$4:$AB$83,$AK153),"yyyy-mm-dd")&amp;"~"&amp;IF(ISNUMBER(INDEX(파견수련계획!$AC$4:$AC$83,$AK153)),TEXT(INDEX(파견수련계획!$AC$4:$AC$83,$AK153),"yyyy-mm-dd"),""))</f>
        <v/>
      </c>
    </row>
    <row r="154">
      <c r="A154" s="10">
        <f>IF(B154="","",ROW()-1)</f>
        <v/>
      </c>
      <c r="B154" s="18" t="n"/>
      <c r="C154" s="10">
        <f>IF($AB154="","",IF(INDEX(기본자료!$C$2:$C$1001,$AB154)="","",INDEX(기본자료!$C$2:$C$1001,$AB154)))</f>
        <v/>
      </c>
      <c r="D154" s="10">
        <f>IF($AB154="","",IF(INDEX(기본자료!$J$2:$J$1001,$AB154)="","",INDEX(기본자료!$J$2:$J$1001,$AB154)))</f>
        <v/>
      </c>
      <c r="E154" s="11">
        <f>IF($AB154="","",IF(INDEX(기본자료!$K$2:$K$1001,$AB154)="","",IF(NOT(ISNUMBER(INDEX(기본자료!$K$2:$K$1001,$AB154))),INDEX(기본자료!$K$2:$K$1001,$AB154),IF(INDEX(기본자료!$K$2:$K$1001,$AB154)&lt;1000000,INDEX(기본자료!$K$2:$K$1001,$AB154),IF(AND(INDEX(기본자료!$K$2:$K$1001,$AB154)&gt;=10000101,INT(MOD(INDEX(기본자료!$K$2:$K$1001,$AB154),10000)/100)&gt;=1,INT(MOD(INDEX(기본자료!$K$2:$K$1001,$AB154),10000)/100)&lt;=12,MOD(INDEX(기본자료!$K$2:$K$1001,$AB154),100)&gt;=1,MOD(INDEX(기본자료!$K$2:$K$1001,$AB154),100)&lt;=31),DATE(INT(INDEX(기본자료!$K$2:$K$1001,$AB154)/10000),INT(MOD(INDEX(기본자료!$K$2:$K$1001,$AB154),10000)/100),MOD(INDEX(기본자료!$K$2:$K$1001,$AB154),100)),INDEX(기본자료!$K$2:$K$1001,$AB154)&amp;"")))))</f>
        <v/>
      </c>
      <c r="F154" s="10">
        <f>IF($AB154="","",IF(INDEX(기본자료!$D$2:$D$1001,$AB154)="","",INDEX(기본자료!$D$2:$D$1001,$AB154)))</f>
        <v/>
      </c>
      <c r="G154" s="10">
        <f>IF($AB154="","",IF(INDEX(기본자료!$E$2:$E$1001,$AB154)="","",INDEX(기본자료!$E$2:$E$1001,$AB154)))</f>
        <v/>
      </c>
      <c r="H154" s="10">
        <f>IF($AB154="","",IF(INDEX(기본자료!$F$2:$F$1001,$AB154)="","",INDEX(기본자료!$F$2:$F$1001,$AB154)))</f>
        <v/>
      </c>
      <c r="I154" s="11">
        <f>IF($AB154="","",IF(INDEX(기본자료!$G$2:$G$1001,$AB154)="","",IF(NOT(ISNUMBER(INDEX(기본자료!$G$2:$G$1001,$AB154))),INDEX(기본자료!$G$2:$G$1001,$AB154),IF(INDEX(기본자료!$G$2:$G$1001,$AB154)&lt;1000000,INDEX(기본자료!$G$2:$G$1001,$AB154),IF(AND(INDEX(기본자료!$G$2:$G$1001,$AB154)&gt;=10000101,INT(MOD(INDEX(기본자료!$G$2:$G$1001,$AB154),10000)/100)&gt;=1,INT(MOD(INDEX(기본자료!$G$2:$G$1001,$AB154),10000)/100)&lt;=12,MOD(INDEX(기본자료!$G$2:$G$1001,$AB154),100)&gt;=1,MOD(INDEX(기본자료!$G$2:$G$1001,$AB154),100)&lt;=31),DATE(INT(INDEX(기본자료!$G$2:$G$1001,$AB154)/10000),INT(MOD(INDEX(기본자료!$G$2:$G$1001,$AB154),10000)/100),MOD(INDEX(기본자료!$G$2:$G$1001,$AB154),100)),INDEX(기본자료!$G$2:$G$1001,$AB154)&amp;"")))))</f>
        <v/>
      </c>
      <c r="J154" s="10">
        <f>IF($AB154="","",IF(INDEX(기본자료!$H$2:$H$1001,$AB154)="","",INDEX(기본자료!$H$2:$H$1001,$AB154)))</f>
        <v/>
      </c>
      <c r="K154" s="10">
        <f>IF($AB154="","",IF(INDEX(기본자료!$I$2:$I$1001,$AB154)="","",INDEX(기본자료!$I$2:$I$1001,$AB154)))</f>
        <v/>
      </c>
      <c r="L154" s="10">
        <f>IF($AB154="","",IF(INDEX(기본자료!$A$2:$A$1001,$AB154)="","",INDEX(기본자료!$A$2:$A$1001,$AB154)))</f>
        <v/>
      </c>
      <c r="M154" s="15" t="n"/>
      <c r="N154" s="10">
        <f>IF($B154="","",IF(AND($U154="파견중",$Q154&lt;&gt;""),$Q154,IF(AND($AD154&lt;&gt;"",LEFT($AD154,1)&lt;&gt;"⚠"),LEFT($AD154,FIND(" ",$AD154)-1),IF($H154="","",IF(RIGHT($H154,2)="병원",$H154,$H154&amp;"병원")))))</f>
        <v/>
      </c>
      <c r="O154" s="10">
        <f>IF($B154="","",IF(AND($U154="파견중",$Q154&lt;&gt;""),IF($R154&lt;&gt;"",$R154,"파견과 미입력"),IF(AND($AD154&lt;&gt;"",LEFT($AD154,1)&lt;&gt;"⚠"),MID($AD154,FIND(" ",$AD154)+1,60),IF($F154="","",IF($F154="인턴","수련교육부(인턴)",$F154)))))</f>
        <v/>
      </c>
      <c r="P154" s="10">
        <f>IF($B154="","",IF($AK154&lt;&gt;"",IF(AND(TODAY()&gt;=INDEX(파견수련계획!$AB$4:$AB$83,$AK154),OR(NOT(ISNUMBER(INDEX(파견수련계획!$AC$4:$AC$83,$AK154))),TODAY()&lt;=INDEX(파견수련계획!$AC$4:$AC$83,$AK154))),"다기관",IF($AF154="","",INDEX(파견수련계획!$T$4:$T$83,$AF154))),IF($AF154="","",INDEX(파견수련계획!$T$4:$T$83,$AF154))))</f>
        <v/>
      </c>
      <c r="Q154" s="10">
        <f>IF($AF154="","",INDEX(파견수련계획!$S$4:$S$83,$AF154))</f>
        <v/>
      </c>
      <c r="R154" s="10">
        <f>IF($AF154="","",INDEX(파견수련계획!$U$4:$U$83,$AF154))</f>
        <v/>
      </c>
      <c r="S154" s="11">
        <f>IF($AF154="","",IF(INDEX(파견수련계획!$H$4:$H$83,$AF154)="","",INDEX(파견수련계획!$H$4:$H$83,$AF154)))</f>
        <v/>
      </c>
      <c r="T154" s="11">
        <f>IF($AF154="","",IF(INDEX(파견수련계획!$I$4:$I$83,$AF154)="","",INDEX(파견수련계획!$I$4:$I$83,$AF154)))</f>
        <v/>
      </c>
      <c r="U154" s="10">
        <f>IF($AF154="","",INDEX(파견수련계획!$X$4:$X$83,$AF154))</f>
        <v/>
      </c>
      <c r="V154" s="17">
        <f>IF($AF154="","",INDEX(파견수련계획!$V$4:$V$83,$AF154))</f>
        <v/>
      </c>
      <c r="W154" s="17">
        <f>IF(AND($U154="파견중",$T154&lt;&gt;""),$T154-TODAY(),"")</f>
        <v/>
      </c>
      <c r="X154" s="17">
        <f>IF(OR($B154="",TRIM($J154&amp;"")=""),"",SUMPRODUCT((파견수련계획!$Q$4:$Q$83=TRIM($J154&amp;""))*파견수련계획!$W$4:$W$83))</f>
        <v/>
      </c>
      <c r="Y154" s="10">
        <f>IF($B154="","",IF($AG154="","",IF(IF(TRIM($J154&amp;"")="",0,SUMPRODUCT((파견수련계획!$Q$4:$Q$83=TRIM($J154&amp;""))*파견수련계획!$AD$4:$AD$83))&gt;0,$AE154,IF(N($X154)&lt;=0,$AG154,IF($AH154+$AI154=DAY(EOMONTH(요약!$B$3,0)),IF(AND($AH154&gt;=요약!$E$3,$AI154&lt;요약!$E$3),"서울병원",IF(AND($AI154&gt;=요약!$E$3,$AH154&lt;요약!$E$3),"구리병원","⚠15일 판정불가(서울 "&amp;$AH154&amp;"일/구리 "&amp;$AI154&amp;"일)")),IF($AJ154="",$AE154,IF(INDEX(파견수련계획!$T$4:$T$83,$AJ154)="통합수련",INDEX(파견수련계획!$S$4:$S$83,$AJ154),$AE154)))))))</f>
        <v/>
      </c>
      <c r="Z154" s="19">
        <f>IF($B154="","",IF($AB154="","기본자료에 없는 사번",IF(COUNTIF($B$2:$B$401,$B154)&gt;1,"중복 사번",IF($AE154="","소속(입사장소) 입력",IF(IF(TRIM($J154&amp;"")="",0,SUMPRODUCT((파견수련계획!$Q$4:$Q$83=TRIM($J154&amp;""))*(파견수련계획!$AA$4:$AA$83&lt;&gt;"")))&gt;0,"파견수련계획 입력오류 확인",IF(LEFT($Y154,1)="⚠","서울·구리 15일 판정 불가(양쪽 모두 이상/미만)",IF(IF($AC154="",0,N(INDEX(인턴근무계획!$T$3:$T$62,$AC154)))&gt;0,"인턴계획 입력오류 확인",IF(AND($AC154&lt;&gt;"",$U154&lt;&gt;"파견중",$N154&lt;&gt;$AE154),"인턴 타지역 근무: 파견 여부 확인","정상"))))))))</f>
        <v/>
      </c>
      <c r="AA154" s="5" t="n"/>
      <c r="AB154" s="10">
        <f>IF($B154="","",IFERROR(MATCH($B154,기본자료!$B$2:$B$1001,0),IFERROR(MATCH($B154&amp;"",기본자료!$B$2:$B$1001,0),IFERROR(MATCH(VALUE($B154),기본자료!$B$2:$B$1001,0),""))))</f>
        <v/>
      </c>
      <c r="AC154" s="10">
        <f>IF($B154="","",IFERROR(MATCH($B154,인턴근무계획!$D$3:$D$62,0),IFERROR(MATCH($B154&amp;"",인턴근무계획!$D$3:$D$62,0),IFERROR(MATCH(VALUE($B154),인턴근무계획!$D$3:$D$62,0),""))))</f>
        <v/>
      </c>
      <c r="AD154" s="10">
        <f>IF(OR($AC154="",인턴현황!$G$3=""),"",INDEX(인턴근무계획!$M$3:$R$62,$AC154,인턴현황!$G$3)&amp;"")</f>
        <v/>
      </c>
      <c r="AE154" s="10">
        <f>IF($B154="","",IF($M154&lt;&gt;"",$M154,IF($AF154&lt;&gt;"",IF(LEFT(INDEX(파견수련계획!$R$4:$R$83,$AF154),1)&lt;&gt;"⚠",INDEX(파견수련계획!$R$4:$R$83,$AF154),IF($H154="","",IF(RIGHT($H154,2)="병원",$H154,$H154&amp;"병원"))),IF($H154="","",IF(RIGHT($H154,2)="병원",$H154,$H154&amp;"병원")))))</f>
        <v/>
      </c>
      <c r="AF154" s="10">
        <f>IF(OR($B154="",TRIM($J154&amp;"")=""),"",IFERROR(MATCH(TRIM($J154&amp;"")&amp;"|파견중",파견수련계획!$Y$4:$Y$83,0),IFERROR(MATCH(TRIM($J154&amp;"")&amp;"|파견예정",파견수련계획!$Y$4:$Y$83,0),IFERROR(MATCH(TRIM($J154&amp;"")&amp;"|파견종료",파견수련계획!$Y$4:$Y$83,0),""))))</f>
        <v/>
      </c>
      <c r="AG154" s="10">
        <f>IF($B154="","",IF(AND(IF(OR($AC154="",인턴현황!$K$2=""),"",INDEX(인턴근무계획!$M$3:$R$62,$AC154,인턴현황!$K$2)&amp;"")&lt;&gt;"",LEFT(IF(OR($AC154="",인턴현황!$K$2=""),"",INDEX(인턴근무계획!$M$3:$R$62,$AC154,인턴현황!$K$2)&amp;""),1)&lt;&gt;"⚠"),LEFT(IF(OR($AC154="",인턴현황!$K$2=""),"",INDEX(인턴근무계획!$M$3:$R$62,$AC154,인턴현황!$K$2)&amp;""),FIND(" ",IF(OR($AC154="",인턴현황!$K$2=""),"",INDEX(인턴근무계획!$M$3:$R$62,$AC154,인턴현황!$K$2)&amp;""))-1),$AE154))</f>
        <v/>
      </c>
      <c r="AH154" s="17">
        <f>IF($B154="","",IF(TRIM($J154&amp;"")="",0,SUMPRODUCT((파견수련계획!$Q$4:$Q$83=TRIM($J154&amp;""))*(파견수련계획!$S$4:$S$83="서울병원")*파견수련계획!$W$4:$W$83))+IF($AG154="서울병원",MAX(0,DAY(EOMONTH(요약!$B$3,0))-N($X154)),0))</f>
        <v/>
      </c>
      <c r="AI154" s="17">
        <f>IF($B154="","",IF(TRIM($J154&amp;"")="",0,SUMPRODUCT((파견수련계획!$Q$4:$Q$83=TRIM($J154&amp;""))*(파견수련계획!$S$4:$S$83="구리병원")*파견수련계획!$W$4:$W$83))+IF($AG154="구리병원",MAX(0,DAY(EOMONTH(요약!$B$3,0))-N($X154)),0))</f>
        <v/>
      </c>
      <c r="AJ154" s="10">
        <f>IF(OR($B154="",TRIM($J154&amp;"")=""),"",IFERROR(MATCH(TRIM($J154&amp;"")&amp;"|월",파견수련계획!$Z$4:$Z$83,0),""))</f>
        <v/>
      </c>
      <c r="AK154" s="10">
        <f>IF(OR($B154="",TRIM($J154&amp;"")=""),"",IFERROR(MATCH(TRIM($J154&amp;"")&amp;"|다기관",파견수련계획!$AE$4:$AE$83,0),""))</f>
        <v/>
      </c>
      <c r="AL154" s="10">
        <f>IF($AK154="","","다기관 "&amp;TEXT(INDEX(파견수련계획!$AB$4:$AB$83,$AK154),"yyyy-mm-dd")&amp;"~"&amp;IF(ISNUMBER(INDEX(파견수련계획!$AC$4:$AC$83,$AK154)),TEXT(INDEX(파견수련계획!$AC$4:$AC$83,$AK154),"yyyy-mm-dd"),""))</f>
        <v/>
      </c>
    </row>
    <row r="155">
      <c r="A155" s="10">
        <f>IF(B155="","",ROW()-1)</f>
        <v/>
      </c>
      <c r="B155" s="18" t="n"/>
      <c r="C155" s="10">
        <f>IF($AB155="","",IF(INDEX(기본자료!$C$2:$C$1001,$AB155)="","",INDEX(기본자료!$C$2:$C$1001,$AB155)))</f>
        <v/>
      </c>
      <c r="D155" s="10">
        <f>IF($AB155="","",IF(INDEX(기본자료!$J$2:$J$1001,$AB155)="","",INDEX(기본자료!$J$2:$J$1001,$AB155)))</f>
        <v/>
      </c>
      <c r="E155" s="11">
        <f>IF($AB155="","",IF(INDEX(기본자료!$K$2:$K$1001,$AB155)="","",IF(NOT(ISNUMBER(INDEX(기본자료!$K$2:$K$1001,$AB155))),INDEX(기본자료!$K$2:$K$1001,$AB155),IF(INDEX(기본자료!$K$2:$K$1001,$AB155)&lt;1000000,INDEX(기본자료!$K$2:$K$1001,$AB155),IF(AND(INDEX(기본자료!$K$2:$K$1001,$AB155)&gt;=10000101,INT(MOD(INDEX(기본자료!$K$2:$K$1001,$AB155),10000)/100)&gt;=1,INT(MOD(INDEX(기본자료!$K$2:$K$1001,$AB155),10000)/100)&lt;=12,MOD(INDEX(기본자료!$K$2:$K$1001,$AB155),100)&gt;=1,MOD(INDEX(기본자료!$K$2:$K$1001,$AB155),100)&lt;=31),DATE(INT(INDEX(기본자료!$K$2:$K$1001,$AB155)/10000),INT(MOD(INDEX(기본자료!$K$2:$K$1001,$AB155),10000)/100),MOD(INDEX(기본자료!$K$2:$K$1001,$AB155),100)),INDEX(기본자료!$K$2:$K$1001,$AB155)&amp;"")))))</f>
        <v/>
      </c>
      <c r="F155" s="10">
        <f>IF($AB155="","",IF(INDEX(기본자료!$D$2:$D$1001,$AB155)="","",INDEX(기본자료!$D$2:$D$1001,$AB155)))</f>
        <v/>
      </c>
      <c r="G155" s="10">
        <f>IF($AB155="","",IF(INDEX(기본자료!$E$2:$E$1001,$AB155)="","",INDEX(기본자료!$E$2:$E$1001,$AB155)))</f>
        <v/>
      </c>
      <c r="H155" s="10">
        <f>IF($AB155="","",IF(INDEX(기본자료!$F$2:$F$1001,$AB155)="","",INDEX(기본자료!$F$2:$F$1001,$AB155)))</f>
        <v/>
      </c>
      <c r="I155" s="11">
        <f>IF($AB155="","",IF(INDEX(기본자료!$G$2:$G$1001,$AB155)="","",IF(NOT(ISNUMBER(INDEX(기본자료!$G$2:$G$1001,$AB155))),INDEX(기본자료!$G$2:$G$1001,$AB155),IF(INDEX(기본자료!$G$2:$G$1001,$AB155)&lt;1000000,INDEX(기본자료!$G$2:$G$1001,$AB155),IF(AND(INDEX(기본자료!$G$2:$G$1001,$AB155)&gt;=10000101,INT(MOD(INDEX(기본자료!$G$2:$G$1001,$AB155),10000)/100)&gt;=1,INT(MOD(INDEX(기본자료!$G$2:$G$1001,$AB155),10000)/100)&lt;=12,MOD(INDEX(기본자료!$G$2:$G$1001,$AB155),100)&gt;=1,MOD(INDEX(기본자료!$G$2:$G$1001,$AB155),100)&lt;=31),DATE(INT(INDEX(기본자료!$G$2:$G$1001,$AB155)/10000),INT(MOD(INDEX(기본자료!$G$2:$G$1001,$AB155),10000)/100),MOD(INDEX(기본자료!$G$2:$G$1001,$AB155),100)),INDEX(기본자료!$G$2:$G$1001,$AB155)&amp;"")))))</f>
        <v/>
      </c>
      <c r="J155" s="10">
        <f>IF($AB155="","",IF(INDEX(기본자료!$H$2:$H$1001,$AB155)="","",INDEX(기본자료!$H$2:$H$1001,$AB155)))</f>
        <v/>
      </c>
      <c r="K155" s="10">
        <f>IF($AB155="","",IF(INDEX(기본자료!$I$2:$I$1001,$AB155)="","",INDEX(기본자료!$I$2:$I$1001,$AB155)))</f>
        <v/>
      </c>
      <c r="L155" s="10">
        <f>IF($AB155="","",IF(INDEX(기본자료!$A$2:$A$1001,$AB155)="","",INDEX(기본자료!$A$2:$A$1001,$AB155)))</f>
        <v/>
      </c>
      <c r="M155" s="15" t="n"/>
      <c r="N155" s="10">
        <f>IF($B155="","",IF(AND($U155="파견중",$Q155&lt;&gt;""),$Q155,IF(AND($AD155&lt;&gt;"",LEFT($AD155,1)&lt;&gt;"⚠"),LEFT($AD155,FIND(" ",$AD155)-1),IF($H155="","",IF(RIGHT($H155,2)="병원",$H155,$H155&amp;"병원")))))</f>
        <v/>
      </c>
      <c r="O155" s="10">
        <f>IF($B155="","",IF(AND($U155="파견중",$Q155&lt;&gt;""),IF($R155&lt;&gt;"",$R155,"파견과 미입력"),IF(AND($AD155&lt;&gt;"",LEFT($AD155,1)&lt;&gt;"⚠"),MID($AD155,FIND(" ",$AD155)+1,60),IF($F155="","",IF($F155="인턴","수련교육부(인턴)",$F155)))))</f>
        <v/>
      </c>
      <c r="P155" s="10">
        <f>IF($B155="","",IF($AK155&lt;&gt;"",IF(AND(TODAY()&gt;=INDEX(파견수련계획!$AB$4:$AB$83,$AK155),OR(NOT(ISNUMBER(INDEX(파견수련계획!$AC$4:$AC$83,$AK155))),TODAY()&lt;=INDEX(파견수련계획!$AC$4:$AC$83,$AK155))),"다기관",IF($AF155="","",INDEX(파견수련계획!$T$4:$T$83,$AF155))),IF($AF155="","",INDEX(파견수련계획!$T$4:$T$83,$AF155))))</f>
        <v/>
      </c>
      <c r="Q155" s="10">
        <f>IF($AF155="","",INDEX(파견수련계획!$S$4:$S$83,$AF155))</f>
        <v/>
      </c>
      <c r="R155" s="10">
        <f>IF($AF155="","",INDEX(파견수련계획!$U$4:$U$83,$AF155))</f>
        <v/>
      </c>
      <c r="S155" s="11">
        <f>IF($AF155="","",IF(INDEX(파견수련계획!$H$4:$H$83,$AF155)="","",INDEX(파견수련계획!$H$4:$H$83,$AF155)))</f>
        <v/>
      </c>
      <c r="T155" s="11">
        <f>IF($AF155="","",IF(INDEX(파견수련계획!$I$4:$I$83,$AF155)="","",INDEX(파견수련계획!$I$4:$I$83,$AF155)))</f>
        <v/>
      </c>
      <c r="U155" s="10">
        <f>IF($AF155="","",INDEX(파견수련계획!$X$4:$X$83,$AF155))</f>
        <v/>
      </c>
      <c r="V155" s="17">
        <f>IF($AF155="","",INDEX(파견수련계획!$V$4:$V$83,$AF155))</f>
        <v/>
      </c>
      <c r="W155" s="17">
        <f>IF(AND($U155="파견중",$T155&lt;&gt;""),$T155-TODAY(),"")</f>
        <v/>
      </c>
      <c r="X155" s="17">
        <f>IF(OR($B155="",TRIM($J155&amp;"")=""),"",SUMPRODUCT((파견수련계획!$Q$4:$Q$83=TRIM($J155&amp;""))*파견수련계획!$W$4:$W$83))</f>
        <v/>
      </c>
      <c r="Y155" s="10">
        <f>IF($B155="","",IF($AG155="","",IF(IF(TRIM($J155&amp;"")="",0,SUMPRODUCT((파견수련계획!$Q$4:$Q$83=TRIM($J155&amp;""))*파견수련계획!$AD$4:$AD$83))&gt;0,$AE155,IF(N($X155)&lt;=0,$AG155,IF($AH155+$AI155=DAY(EOMONTH(요약!$B$3,0)),IF(AND($AH155&gt;=요약!$E$3,$AI155&lt;요약!$E$3),"서울병원",IF(AND($AI155&gt;=요약!$E$3,$AH155&lt;요약!$E$3),"구리병원","⚠15일 판정불가(서울 "&amp;$AH155&amp;"일/구리 "&amp;$AI155&amp;"일)")),IF($AJ155="",$AE155,IF(INDEX(파견수련계획!$T$4:$T$83,$AJ155)="통합수련",INDEX(파견수련계획!$S$4:$S$83,$AJ155),$AE155)))))))</f>
        <v/>
      </c>
      <c r="Z155" s="19">
        <f>IF($B155="","",IF($AB155="","기본자료에 없는 사번",IF(COUNTIF($B$2:$B$401,$B155)&gt;1,"중복 사번",IF($AE155="","소속(입사장소) 입력",IF(IF(TRIM($J155&amp;"")="",0,SUMPRODUCT((파견수련계획!$Q$4:$Q$83=TRIM($J155&amp;""))*(파견수련계획!$AA$4:$AA$83&lt;&gt;"")))&gt;0,"파견수련계획 입력오류 확인",IF(LEFT($Y155,1)="⚠","서울·구리 15일 판정 불가(양쪽 모두 이상/미만)",IF(IF($AC155="",0,N(INDEX(인턴근무계획!$T$3:$T$62,$AC155)))&gt;0,"인턴계획 입력오류 확인",IF(AND($AC155&lt;&gt;"",$U155&lt;&gt;"파견중",$N155&lt;&gt;$AE155),"인턴 타지역 근무: 파견 여부 확인","정상"))))))))</f>
        <v/>
      </c>
      <c r="AA155" s="5" t="n"/>
      <c r="AB155" s="10">
        <f>IF($B155="","",IFERROR(MATCH($B155,기본자료!$B$2:$B$1001,0),IFERROR(MATCH($B155&amp;"",기본자료!$B$2:$B$1001,0),IFERROR(MATCH(VALUE($B155),기본자료!$B$2:$B$1001,0),""))))</f>
        <v/>
      </c>
      <c r="AC155" s="10">
        <f>IF($B155="","",IFERROR(MATCH($B155,인턴근무계획!$D$3:$D$62,0),IFERROR(MATCH($B155&amp;"",인턴근무계획!$D$3:$D$62,0),IFERROR(MATCH(VALUE($B155),인턴근무계획!$D$3:$D$62,0),""))))</f>
        <v/>
      </c>
      <c r="AD155" s="10">
        <f>IF(OR($AC155="",인턴현황!$G$3=""),"",INDEX(인턴근무계획!$M$3:$R$62,$AC155,인턴현황!$G$3)&amp;"")</f>
        <v/>
      </c>
      <c r="AE155" s="10">
        <f>IF($B155="","",IF($M155&lt;&gt;"",$M155,IF($AF155&lt;&gt;"",IF(LEFT(INDEX(파견수련계획!$R$4:$R$83,$AF155),1)&lt;&gt;"⚠",INDEX(파견수련계획!$R$4:$R$83,$AF155),IF($H155="","",IF(RIGHT($H155,2)="병원",$H155,$H155&amp;"병원"))),IF($H155="","",IF(RIGHT($H155,2)="병원",$H155,$H155&amp;"병원")))))</f>
        <v/>
      </c>
      <c r="AF155" s="10">
        <f>IF(OR($B155="",TRIM($J155&amp;"")=""),"",IFERROR(MATCH(TRIM($J155&amp;"")&amp;"|파견중",파견수련계획!$Y$4:$Y$83,0),IFERROR(MATCH(TRIM($J155&amp;"")&amp;"|파견예정",파견수련계획!$Y$4:$Y$83,0),IFERROR(MATCH(TRIM($J155&amp;"")&amp;"|파견종료",파견수련계획!$Y$4:$Y$83,0),""))))</f>
        <v/>
      </c>
      <c r="AG155" s="10">
        <f>IF($B155="","",IF(AND(IF(OR($AC155="",인턴현황!$K$2=""),"",INDEX(인턴근무계획!$M$3:$R$62,$AC155,인턴현황!$K$2)&amp;"")&lt;&gt;"",LEFT(IF(OR($AC155="",인턴현황!$K$2=""),"",INDEX(인턴근무계획!$M$3:$R$62,$AC155,인턴현황!$K$2)&amp;""),1)&lt;&gt;"⚠"),LEFT(IF(OR($AC155="",인턴현황!$K$2=""),"",INDEX(인턴근무계획!$M$3:$R$62,$AC155,인턴현황!$K$2)&amp;""),FIND(" ",IF(OR($AC155="",인턴현황!$K$2=""),"",INDEX(인턴근무계획!$M$3:$R$62,$AC155,인턴현황!$K$2)&amp;""))-1),$AE155))</f>
        <v/>
      </c>
      <c r="AH155" s="17">
        <f>IF($B155="","",IF(TRIM($J155&amp;"")="",0,SUMPRODUCT((파견수련계획!$Q$4:$Q$83=TRIM($J155&amp;""))*(파견수련계획!$S$4:$S$83="서울병원")*파견수련계획!$W$4:$W$83))+IF($AG155="서울병원",MAX(0,DAY(EOMONTH(요약!$B$3,0))-N($X155)),0))</f>
        <v/>
      </c>
      <c r="AI155" s="17">
        <f>IF($B155="","",IF(TRIM($J155&amp;"")="",0,SUMPRODUCT((파견수련계획!$Q$4:$Q$83=TRIM($J155&amp;""))*(파견수련계획!$S$4:$S$83="구리병원")*파견수련계획!$W$4:$W$83))+IF($AG155="구리병원",MAX(0,DAY(EOMONTH(요약!$B$3,0))-N($X155)),0))</f>
        <v/>
      </c>
      <c r="AJ155" s="10">
        <f>IF(OR($B155="",TRIM($J155&amp;"")=""),"",IFERROR(MATCH(TRIM($J155&amp;"")&amp;"|월",파견수련계획!$Z$4:$Z$83,0),""))</f>
        <v/>
      </c>
      <c r="AK155" s="10">
        <f>IF(OR($B155="",TRIM($J155&amp;"")=""),"",IFERROR(MATCH(TRIM($J155&amp;"")&amp;"|다기관",파견수련계획!$AE$4:$AE$83,0),""))</f>
        <v/>
      </c>
      <c r="AL155" s="10">
        <f>IF($AK155="","","다기관 "&amp;TEXT(INDEX(파견수련계획!$AB$4:$AB$83,$AK155),"yyyy-mm-dd")&amp;"~"&amp;IF(ISNUMBER(INDEX(파견수련계획!$AC$4:$AC$83,$AK155)),TEXT(INDEX(파견수련계획!$AC$4:$AC$83,$AK155),"yyyy-mm-dd"),""))</f>
        <v/>
      </c>
    </row>
    <row r="156">
      <c r="A156" s="10">
        <f>IF(B156="","",ROW()-1)</f>
        <v/>
      </c>
      <c r="B156" s="18" t="n"/>
      <c r="C156" s="10">
        <f>IF($AB156="","",IF(INDEX(기본자료!$C$2:$C$1001,$AB156)="","",INDEX(기본자료!$C$2:$C$1001,$AB156)))</f>
        <v/>
      </c>
      <c r="D156" s="10">
        <f>IF($AB156="","",IF(INDEX(기본자료!$J$2:$J$1001,$AB156)="","",INDEX(기본자료!$J$2:$J$1001,$AB156)))</f>
        <v/>
      </c>
      <c r="E156" s="11">
        <f>IF($AB156="","",IF(INDEX(기본자료!$K$2:$K$1001,$AB156)="","",IF(NOT(ISNUMBER(INDEX(기본자료!$K$2:$K$1001,$AB156))),INDEX(기본자료!$K$2:$K$1001,$AB156),IF(INDEX(기본자료!$K$2:$K$1001,$AB156)&lt;1000000,INDEX(기본자료!$K$2:$K$1001,$AB156),IF(AND(INDEX(기본자료!$K$2:$K$1001,$AB156)&gt;=10000101,INT(MOD(INDEX(기본자료!$K$2:$K$1001,$AB156),10000)/100)&gt;=1,INT(MOD(INDEX(기본자료!$K$2:$K$1001,$AB156),10000)/100)&lt;=12,MOD(INDEX(기본자료!$K$2:$K$1001,$AB156),100)&gt;=1,MOD(INDEX(기본자료!$K$2:$K$1001,$AB156),100)&lt;=31),DATE(INT(INDEX(기본자료!$K$2:$K$1001,$AB156)/10000),INT(MOD(INDEX(기본자료!$K$2:$K$1001,$AB156),10000)/100),MOD(INDEX(기본자료!$K$2:$K$1001,$AB156),100)),INDEX(기본자료!$K$2:$K$1001,$AB156)&amp;"")))))</f>
        <v/>
      </c>
      <c r="F156" s="10">
        <f>IF($AB156="","",IF(INDEX(기본자료!$D$2:$D$1001,$AB156)="","",INDEX(기본자료!$D$2:$D$1001,$AB156)))</f>
        <v/>
      </c>
      <c r="G156" s="10">
        <f>IF($AB156="","",IF(INDEX(기본자료!$E$2:$E$1001,$AB156)="","",INDEX(기본자료!$E$2:$E$1001,$AB156)))</f>
        <v/>
      </c>
      <c r="H156" s="10">
        <f>IF($AB156="","",IF(INDEX(기본자료!$F$2:$F$1001,$AB156)="","",INDEX(기본자료!$F$2:$F$1001,$AB156)))</f>
        <v/>
      </c>
      <c r="I156" s="11">
        <f>IF($AB156="","",IF(INDEX(기본자료!$G$2:$G$1001,$AB156)="","",IF(NOT(ISNUMBER(INDEX(기본자료!$G$2:$G$1001,$AB156))),INDEX(기본자료!$G$2:$G$1001,$AB156),IF(INDEX(기본자료!$G$2:$G$1001,$AB156)&lt;1000000,INDEX(기본자료!$G$2:$G$1001,$AB156),IF(AND(INDEX(기본자료!$G$2:$G$1001,$AB156)&gt;=10000101,INT(MOD(INDEX(기본자료!$G$2:$G$1001,$AB156),10000)/100)&gt;=1,INT(MOD(INDEX(기본자료!$G$2:$G$1001,$AB156),10000)/100)&lt;=12,MOD(INDEX(기본자료!$G$2:$G$1001,$AB156),100)&gt;=1,MOD(INDEX(기본자료!$G$2:$G$1001,$AB156),100)&lt;=31),DATE(INT(INDEX(기본자료!$G$2:$G$1001,$AB156)/10000),INT(MOD(INDEX(기본자료!$G$2:$G$1001,$AB156),10000)/100),MOD(INDEX(기본자료!$G$2:$G$1001,$AB156),100)),INDEX(기본자료!$G$2:$G$1001,$AB156)&amp;"")))))</f>
        <v/>
      </c>
      <c r="J156" s="10">
        <f>IF($AB156="","",IF(INDEX(기본자료!$H$2:$H$1001,$AB156)="","",INDEX(기본자료!$H$2:$H$1001,$AB156)))</f>
        <v/>
      </c>
      <c r="K156" s="10">
        <f>IF($AB156="","",IF(INDEX(기본자료!$I$2:$I$1001,$AB156)="","",INDEX(기본자료!$I$2:$I$1001,$AB156)))</f>
        <v/>
      </c>
      <c r="L156" s="10">
        <f>IF($AB156="","",IF(INDEX(기본자료!$A$2:$A$1001,$AB156)="","",INDEX(기본자료!$A$2:$A$1001,$AB156)))</f>
        <v/>
      </c>
      <c r="M156" s="15" t="n"/>
      <c r="N156" s="10">
        <f>IF($B156="","",IF(AND($U156="파견중",$Q156&lt;&gt;""),$Q156,IF(AND($AD156&lt;&gt;"",LEFT($AD156,1)&lt;&gt;"⚠"),LEFT($AD156,FIND(" ",$AD156)-1),IF($H156="","",IF(RIGHT($H156,2)="병원",$H156,$H156&amp;"병원")))))</f>
        <v/>
      </c>
      <c r="O156" s="10">
        <f>IF($B156="","",IF(AND($U156="파견중",$Q156&lt;&gt;""),IF($R156&lt;&gt;"",$R156,"파견과 미입력"),IF(AND($AD156&lt;&gt;"",LEFT($AD156,1)&lt;&gt;"⚠"),MID($AD156,FIND(" ",$AD156)+1,60),IF($F156="","",IF($F156="인턴","수련교육부(인턴)",$F156)))))</f>
        <v/>
      </c>
      <c r="P156" s="10">
        <f>IF($B156="","",IF($AK156&lt;&gt;"",IF(AND(TODAY()&gt;=INDEX(파견수련계획!$AB$4:$AB$83,$AK156),OR(NOT(ISNUMBER(INDEX(파견수련계획!$AC$4:$AC$83,$AK156))),TODAY()&lt;=INDEX(파견수련계획!$AC$4:$AC$83,$AK156))),"다기관",IF($AF156="","",INDEX(파견수련계획!$T$4:$T$83,$AF156))),IF($AF156="","",INDEX(파견수련계획!$T$4:$T$83,$AF156))))</f>
        <v/>
      </c>
      <c r="Q156" s="10">
        <f>IF($AF156="","",INDEX(파견수련계획!$S$4:$S$83,$AF156))</f>
        <v/>
      </c>
      <c r="R156" s="10">
        <f>IF($AF156="","",INDEX(파견수련계획!$U$4:$U$83,$AF156))</f>
        <v/>
      </c>
      <c r="S156" s="11">
        <f>IF($AF156="","",IF(INDEX(파견수련계획!$H$4:$H$83,$AF156)="","",INDEX(파견수련계획!$H$4:$H$83,$AF156)))</f>
        <v/>
      </c>
      <c r="T156" s="11">
        <f>IF($AF156="","",IF(INDEX(파견수련계획!$I$4:$I$83,$AF156)="","",INDEX(파견수련계획!$I$4:$I$83,$AF156)))</f>
        <v/>
      </c>
      <c r="U156" s="10">
        <f>IF($AF156="","",INDEX(파견수련계획!$X$4:$X$83,$AF156))</f>
        <v/>
      </c>
      <c r="V156" s="17">
        <f>IF($AF156="","",INDEX(파견수련계획!$V$4:$V$83,$AF156))</f>
        <v/>
      </c>
      <c r="W156" s="17">
        <f>IF(AND($U156="파견중",$T156&lt;&gt;""),$T156-TODAY(),"")</f>
        <v/>
      </c>
      <c r="X156" s="17">
        <f>IF(OR($B156="",TRIM($J156&amp;"")=""),"",SUMPRODUCT((파견수련계획!$Q$4:$Q$83=TRIM($J156&amp;""))*파견수련계획!$W$4:$W$83))</f>
        <v/>
      </c>
      <c r="Y156" s="10">
        <f>IF($B156="","",IF($AG156="","",IF(IF(TRIM($J156&amp;"")="",0,SUMPRODUCT((파견수련계획!$Q$4:$Q$83=TRIM($J156&amp;""))*파견수련계획!$AD$4:$AD$83))&gt;0,$AE156,IF(N($X156)&lt;=0,$AG156,IF($AH156+$AI156=DAY(EOMONTH(요약!$B$3,0)),IF(AND($AH156&gt;=요약!$E$3,$AI156&lt;요약!$E$3),"서울병원",IF(AND($AI156&gt;=요약!$E$3,$AH156&lt;요약!$E$3),"구리병원","⚠15일 판정불가(서울 "&amp;$AH156&amp;"일/구리 "&amp;$AI156&amp;"일)")),IF($AJ156="",$AE156,IF(INDEX(파견수련계획!$T$4:$T$83,$AJ156)="통합수련",INDEX(파견수련계획!$S$4:$S$83,$AJ156),$AE156)))))))</f>
        <v/>
      </c>
      <c r="Z156" s="19">
        <f>IF($B156="","",IF($AB156="","기본자료에 없는 사번",IF(COUNTIF($B$2:$B$401,$B156)&gt;1,"중복 사번",IF($AE156="","소속(입사장소) 입력",IF(IF(TRIM($J156&amp;"")="",0,SUMPRODUCT((파견수련계획!$Q$4:$Q$83=TRIM($J156&amp;""))*(파견수련계획!$AA$4:$AA$83&lt;&gt;"")))&gt;0,"파견수련계획 입력오류 확인",IF(LEFT($Y156,1)="⚠","서울·구리 15일 판정 불가(양쪽 모두 이상/미만)",IF(IF($AC156="",0,N(INDEX(인턴근무계획!$T$3:$T$62,$AC156)))&gt;0,"인턴계획 입력오류 확인",IF(AND($AC156&lt;&gt;"",$U156&lt;&gt;"파견중",$N156&lt;&gt;$AE156),"인턴 타지역 근무: 파견 여부 확인","정상"))))))))</f>
        <v/>
      </c>
      <c r="AA156" s="5" t="n"/>
      <c r="AB156" s="10">
        <f>IF($B156="","",IFERROR(MATCH($B156,기본자료!$B$2:$B$1001,0),IFERROR(MATCH($B156&amp;"",기본자료!$B$2:$B$1001,0),IFERROR(MATCH(VALUE($B156),기본자료!$B$2:$B$1001,0),""))))</f>
        <v/>
      </c>
      <c r="AC156" s="10">
        <f>IF($B156="","",IFERROR(MATCH($B156,인턴근무계획!$D$3:$D$62,0),IFERROR(MATCH($B156&amp;"",인턴근무계획!$D$3:$D$62,0),IFERROR(MATCH(VALUE($B156),인턴근무계획!$D$3:$D$62,0),""))))</f>
        <v/>
      </c>
      <c r="AD156" s="10">
        <f>IF(OR($AC156="",인턴현황!$G$3=""),"",INDEX(인턴근무계획!$M$3:$R$62,$AC156,인턴현황!$G$3)&amp;"")</f>
        <v/>
      </c>
      <c r="AE156" s="10">
        <f>IF($B156="","",IF($M156&lt;&gt;"",$M156,IF($AF156&lt;&gt;"",IF(LEFT(INDEX(파견수련계획!$R$4:$R$83,$AF156),1)&lt;&gt;"⚠",INDEX(파견수련계획!$R$4:$R$83,$AF156),IF($H156="","",IF(RIGHT($H156,2)="병원",$H156,$H156&amp;"병원"))),IF($H156="","",IF(RIGHT($H156,2)="병원",$H156,$H156&amp;"병원")))))</f>
        <v/>
      </c>
      <c r="AF156" s="10">
        <f>IF(OR($B156="",TRIM($J156&amp;"")=""),"",IFERROR(MATCH(TRIM($J156&amp;"")&amp;"|파견중",파견수련계획!$Y$4:$Y$83,0),IFERROR(MATCH(TRIM($J156&amp;"")&amp;"|파견예정",파견수련계획!$Y$4:$Y$83,0),IFERROR(MATCH(TRIM($J156&amp;"")&amp;"|파견종료",파견수련계획!$Y$4:$Y$83,0),""))))</f>
        <v/>
      </c>
      <c r="AG156" s="10">
        <f>IF($B156="","",IF(AND(IF(OR($AC156="",인턴현황!$K$2=""),"",INDEX(인턴근무계획!$M$3:$R$62,$AC156,인턴현황!$K$2)&amp;"")&lt;&gt;"",LEFT(IF(OR($AC156="",인턴현황!$K$2=""),"",INDEX(인턴근무계획!$M$3:$R$62,$AC156,인턴현황!$K$2)&amp;""),1)&lt;&gt;"⚠"),LEFT(IF(OR($AC156="",인턴현황!$K$2=""),"",INDEX(인턴근무계획!$M$3:$R$62,$AC156,인턴현황!$K$2)&amp;""),FIND(" ",IF(OR($AC156="",인턴현황!$K$2=""),"",INDEX(인턴근무계획!$M$3:$R$62,$AC156,인턴현황!$K$2)&amp;""))-1),$AE156))</f>
        <v/>
      </c>
      <c r="AH156" s="17">
        <f>IF($B156="","",IF(TRIM($J156&amp;"")="",0,SUMPRODUCT((파견수련계획!$Q$4:$Q$83=TRIM($J156&amp;""))*(파견수련계획!$S$4:$S$83="서울병원")*파견수련계획!$W$4:$W$83))+IF($AG156="서울병원",MAX(0,DAY(EOMONTH(요약!$B$3,0))-N($X156)),0))</f>
        <v/>
      </c>
      <c r="AI156" s="17">
        <f>IF($B156="","",IF(TRIM($J156&amp;"")="",0,SUMPRODUCT((파견수련계획!$Q$4:$Q$83=TRIM($J156&amp;""))*(파견수련계획!$S$4:$S$83="구리병원")*파견수련계획!$W$4:$W$83))+IF($AG156="구리병원",MAX(0,DAY(EOMONTH(요약!$B$3,0))-N($X156)),0))</f>
        <v/>
      </c>
      <c r="AJ156" s="10">
        <f>IF(OR($B156="",TRIM($J156&amp;"")=""),"",IFERROR(MATCH(TRIM($J156&amp;"")&amp;"|월",파견수련계획!$Z$4:$Z$83,0),""))</f>
        <v/>
      </c>
      <c r="AK156" s="10">
        <f>IF(OR($B156="",TRIM($J156&amp;"")=""),"",IFERROR(MATCH(TRIM($J156&amp;"")&amp;"|다기관",파견수련계획!$AE$4:$AE$83,0),""))</f>
        <v/>
      </c>
      <c r="AL156" s="10">
        <f>IF($AK156="","","다기관 "&amp;TEXT(INDEX(파견수련계획!$AB$4:$AB$83,$AK156),"yyyy-mm-dd")&amp;"~"&amp;IF(ISNUMBER(INDEX(파견수련계획!$AC$4:$AC$83,$AK156)),TEXT(INDEX(파견수련계획!$AC$4:$AC$83,$AK156),"yyyy-mm-dd"),""))</f>
        <v/>
      </c>
    </row>
    <row r="157">
      <c r="A157" s="10">
        <f>IF(B157="","",ROW()-1)</f>
        <v/>
      </c>
      <c r="B157" s="18" t="n"/>
      <c r="C157" s="10">
        <f>IF($AB157="","",IF(INDEX(기본자료!$C$2:$C$1001,$AB157)="","",INDEX(기본자료!$C$2:$C$1001,$AB157)))</f>
        <v/>
      </c>
      <c r="D157" s="10">
        <f>IF($AB157="","",IF(INDEX(기본자료!$J$2:$J$1001,$AB157)="","",INDEX(기본자료!$J$2:$J$1001,$AB157)))</f>
        <v/>
      </c>
      <c r="E157" s="11">
        <f>IF($AB157="","",IF(INDEX(기본자료!$K$2:$K$1001,$AB157)="","",IF(NOT(ISNUMBER(INDEX(기본자료!$K$2:$K$1001,$AB157))),INDEX(기본자료!$K$2:$K$1001,$AB157),IF(INDEX(기본자료!$K$2:$K$1001,$AB157)&lt;1000000,INDEX(기본자료!$K$2:$K$1001,$AB157),IF(AND(INDEX(기본자료!$K$2:$K$1001,$AB157)&gt;=10000101,INT(MOD(INDEX(기본자료!$K$2:$K$1001,$AB157),10000)/100)&gt;=1,INT(MOD(INDEX(기본자료!$K$2:$K$1001,$AB157),10000)/100)&lt;=12,MOD(INDEX(기본자료!$K$2:$K$1001,$AB157),100)&gt;=1,MOD(INDEX(기본자료!$K$2:$K$1001,$AB157),100)&lt;=31),DATE(INT(INDEX(기본자료!$K$2:$K$1001,$AB157)/10000),INT(MOD(INDEX(기본자료!$K$2:$K$1001,$AB157),10000)/100),MOD(INDEX(기본자료!$K$2:$K$1001,$AB157),100)),INDEX(기본자료!$K$2:$K$1001,$AB157)&amp;"")))))</f>
        <v/>
      </c>
      <c r="F157" s="10">
        <f>IF($AB157="","",IF(INDEX(기본자료!$D$2:$D$1001,$AB157)="","",INDEX(기본자료!$D$2:$D$1001,$AB157)))</f>
        <v/>
      </c>
      <c r="G157" s="10">
        <f>IF($AB157="","",IF(INDEX(기본자료!$E$2:$E$1001,$AB157)="","",INDEX(기본자료!$E$2:$E$1001,$AB157)))</f>
        <v/>
      </c>
      <c r="H157" s="10">
        <f>IF($AB157="","",IF(INDEX(기본자료!$F$2:$F$1001,$AB157)="","",INDEX(기본자료!$F$2:$F$1001,$AB157)))</f>
        <v/>
      </c>
      <c r="I157" s="11">
        <f>IF($AB157="","",IF(INDEX(기본자료!$G$2:$G$1001,$AB157)="","",IF(NOT(ISNUMBER(INDEX(기본자료!$G$2:$G$1001,$AB157))),INDEX(기본자료!$G$2:$G$1001,$AB157),IF(INDEX(기본자료!$G$2:$G$1001,$AB157)&lt;1000000,INDEX(기본자료!$G$2:$G$1001,$AB157),IF(AND(INDEX(기본자료!$G$2:$G$1001,$AB157)&gt;=10000101,INT(MOD(INDEX(기본자료!$G$2:$G$1001,$AB157),10000)/100)&gt;=1,INT(MOD(INDEX(기본자료!$G$2:$G$1001,$AB157),10000)/100)&lt;=12,MOD(INDEX(기본자료!$G$2:$G$1001,$AB157),100)&gt;=1,MOD(INDEX(기본자료!$G$2:$G$1001,$AB157),100)&lt;=31),DATE(INT(INDEX(기본자료!$G$2:$G$1001,$AB157)/10000),INT(MOD(INDEX(기본자료!$G$2:$G$1001,$AB157),10000)/100),MOD(INDEX(기본자료!$G$2:$G$1001,$AB157),100)),INDEX(기본자료!$G$2:$G$1001,$AB157)&amp;"")))))</f>
        <v/>
      </c>
      <c r="J157" s="10">
        <f>IF($AB157="","",IF(INDEX(기본자료!$H$2:$H$1001,$AB157)="","",INDEX(기본자료!$H$2:$H$1001,$AB157)))</f>
        <v/>
      </c>
      <c r="K157" s="10">
        <f>IF($AB157="","",IF(INDEX(기본자료!$I$2:$I$1001,$AB157)="","",INDEX(기본자료!$I$2:$I$1001,$AB157)))</f>
        <v/>
      </c>
      <c r="L157" s="10">
        <f>IF($AB157="","",IF(INDEX(기본자료!$A$2:$A$1001,$AB157)="","",INDEX(기본자료!$A$2:$A$1001,$AB157)))</f>
        <v/>
      </c>
      <c r="M157" s="15" t="n"/>
      <c r="N157" s="10">
        <f>IF($B157="","",IF(AND($U157="파견중",$Q157&lt;&gt;""),$Q157,IF(AND($AD157&lt;&gt;"",LEFT($AD157,1)&lt;&gt;"⚠"),LEFT($AD157,FIND(" ",$AD157)-1),IF($H157="","",IF(RIGHT($H157,2)="병원",$H157,$H157&amp;"병원")))))</f>
        <v/>
      </c>
      <c r="O157" s="10">
        <f>IF($B157="","",IF(AND($U157="파견중",$Q157&lt;&gt;""),IF($R157&lt;&gt;"",$R157,"파견과 미입력"),IF(AND($AD157&lt;&gt;"",LEFT($AD157,1)&lt;&gt;"⚠"),MID($AD157,FIND(" ",$AD157)+1,60),IF($F157="","",IF($F157="인턴","수련교육부(인턴)",$F157)))))</f>
        <v/>
      </c>
      <c r="P157" s="10">
        <f>IF($B157="","",IF($AK157&lt;&gt;"",IF(AND(TODAY()&gt;=INDEX(파견수련계획!$AB$4:$AB$83,$AK157),OR(NOT(ISNUMBER(INDEX(파견수련계획!$AC$4:$AC$83,$AK157))),TODAY()&lt;=INDEX(파견수련계획!$AC$4:$AC$83,$AK157))),"다기관",IF($AF157="","",INDEX(파견수련계획!$T$4:$T$83,$AF157))),IF($AF157="","",INDEX(파견수련계획!$T$4:$T$83,$AF157))))</f>
        <v/>
      </c>
      <c r="Q157" s="10">
        <f>IF($AF157="","",INDEX(파견수련계획!$S$4:$S$83,$AF157))</f>
        <v/>
      </c>
      <c r="R157" s="10">
        <f>IF($AF157="","",INDEX(파견수련계획!$U$4:$U$83,$AF157))</f>
        <v/>
      </c>
      <c r="S157" s="11">
        <f>IF($AF157="","",IF(INDEX(파견수련계획!$H$4:$H$83,$AF157)="","",INDEX(파견수련계획!$H$4:$H$83,$AF157)))</f>
        <v/>
      </c>
      <c r="T157" s="11">
        <f>IF($AF157="","",IF(INDEX(파견수련계획!$I$4:$I$83,$AF157)="","",INDEX(파견수련계획!$I$4:$I$83,$AF157)))</f>
        <v/>
      </c>
      <c r="U157" s="10">
        <f>IF($AF157="","",INDEX(파견수련계획!$X$4:$X$83,$AF157))</f>
        <v/>
      </c>
      <c r="V157" s="17">
        <f>IF($AF157="","",INDEX(파견수련계획!$V$4:$V$83,$AF157))</f>
        <v/>
      </c>
      <c r="W157" s="17">
        <f>IF(AND($U157="파견중",$T157&lt;&gt;""),$T157-TODAY(),"")</f>
        <v/>
      </c>
      <c r="X157" s="17">
        <f>IF(OR($B157="",TRIM($J157&amp;"")=""),"",SUMPRODUCT((파견수련계획!$Q$4:$Q$83=TRIM($J157&amp;""))*파견수련계획!$W$4:$W$83))</f>
        <v/>
      </c>
      <c r="Y157" s="10">
        <f>IF($B157="","",IF($AG157="","",IF(IF(TRIM($J157&amp;"")="",0,SUMPRODUCT((파견수련계획!$Q$4:$Q$83=TRIM($J157&amp;""))*파견수련계획!$AD$4:$AD$83))&gt;0,$AE157,IF(N($X157)&lt;=0,$AG157,IF($AH157+$AI157=DAY(EOMONTH(요약!$B$3,0)),IF(AND($AH157&gt;=요약!$E$3,$AI157&lt;요약!$E$3),"서울병원",IF(AND($AI157&gt;=요약!$E$3,$AH157&lt;요약!$E$3),"구리병원","⚠15일 판정불가(서울 "&amp;$AH157&amp;"일/구리 "&amp;$AI157&amp;"일)")),IF($AJ157="",$AE157,IF(INDEX(파견수련계획!$T$4:$T$83,$AJ157)="통합수련",INDEX(파견수련계획!$S$4:$S$83,$AJ157),$AE157)))))))</f>
        <v/>
      </c>
      <c r="Z157" s="19">
        <f>IF($B157="","",IF($AB157="","기본자료에 없는 사번",IF(COUNTIF($B$2:$B$401,$B157)&gt;1,"중복 사번",IF($AE157="","소속(입사장소) 입력",IF(IF(TRIM($J157&amp;"")="",0,SUMPRODUCT((파견수련계획!$Q$4:$Q$83=TRIM($J157&amp;""))*(파견수련계획!$AA$4:$AA$83&lt;&gt;"")))&gt;0,"파견수련계획 입력오류 확인",IF(LEFT($Y157,1)="⚠","서울·구리 15일 판정 불가(양쪽 모두 이상/미만)",IF(IF($AC157="",0,N(INDEX(인턴근무계획!$T$3:$T$62,$AC157)))&gt;0,"인턴계획 입력오류 확인",IF(AND($AC157&lt;&gt;"",$U157&lt;&gt;"파견중",$N157&lt;&gt;$AE157),"인턴 타지역 근무: 파견 여부 확인","정상"))))))))</f>
        <v/>
      </c>
      <c r="AA157" s="5" t="n"/>
      <c r="AB157" s="10">
        <f>IF($B157="","",IFERROR(MATCH($B157,기본자료!$B$2:$B$1001,0),IFERROR(MATCH($B157&amp;"",기본자료!$B$2:$B$1001,0),IFERROR(MATCH(VALUE($B157),기본자료!$B$2:$B$1001,0),""))))</f>
        <v/>
      </c>
      <c r="AC157" s="10">
        <f>IF($B157="","",IFERROR(MATCH($B157,인턴근무계획!$D$3:$D$62,0),IFERROR(MATCH($B157&amp;"",인턴근무계획!$D$3:$D$62,0),IFERROR(MATCH(VALUE($B157),인턴근무계획!$D$3:$D$62,0),""))))</f>
        <v/>
      </c>
      <c r="AD157" s="10">
        <f>IF(OR($AC157="",인턴현황!$G$3=""),"",INDEX(인턴근무계획!$M$3:$R$62,$AC157,인턴현황!$G$3)&amp;"")</f>
        <v/>
      </c>
      <c r="AE157" s="10">
        <f>IF($B157="","",IF($M157&lt;&gt;"",$M157,IF($AF157&lt;&gt;"",IF(LEFT(INDEX(파견수련계획!$R$4:$R$83,$AF157),1)&lt;&gt;"⚠",INDEX(파견수련계획!$R$4:$R$83,$AF157),IF($H157="","",IF(RIGHT($H157,2)="병원",$H157,$H157&amp;"병원"))),IF($H157="","",IF(RIGHT($H157,2)="병원",$H157,$H157&amp;"병원")))))</f>
        <v/>
      </c>
      <c r="AF157" s="10">
        <f>IF(OR($B157="",TRIM($J157&amp;"")=""),"",IFERROR(MATCH(TRIM($J157&amp;"")&amp;"|파견중",파견수련계획!$Y$4:$Y$83,0),IFERROR(MATCH(TRIM($J157&amp;"")&amp;"|파견예정",파견수련계획!$Y$4:$Y$83,0),IFERROR(MATCH(TRIM($J157&amp;"")&amp;"|파견종료",파견수련계획!$Y$4:$Y$83,0),""))))</f>
        <v/>
      </c>
      <c r="AG157" s="10">
        <f>IF($B157="","",IF(AND(IF(OR($AC157="",인턴현황!$K$2=""),"",INDEX(인턴근무계획!$M$3:$R$62,$AC157,인턴현황!$K$2)&amp;"")&lt;&gt;"",LEFT(IF(OR($AC157="",인턴현황!$K$2=""),"",INDEX(인턴근무계획!$M$3:$R$62,$AC157,인턴현황!$K$2)&amp;""),1)&lt;&gt;"⚠"),LEFT(IF(OR($AC157="",인턴현황!$K$2=""),"",INDEX(인턴근무계획!$M$3:$R$62,$AC157,인턴현황!$K$2)&amp;""),FIND(" ",IF(OR($AC157="",인턴현황!$K$2=""),"",INDEX(인턴근무계획!$M$3:$R$62,$AC157,인턴현황!$K$2)&amp;""))-1),$AE157))</f>
        <v/>
      </c>
      <c r="AH157" s="17">
        <f>IF($B157="","",IF(TRIM($J157&amp;"")="",0,SUMPRODUCT((파견수련계획!$Q$4:$Q$83=TRIM($J157&amp;""))*(파견수련계획!$S$4:$S$83="서울병원")*파견수련계획!$W$4:$W$83))+IF($AG157="서울병원",MAX(0,DAY(EOMONTH(요약!$B$3,0))-N($X157)),0))</f>
        <v/>
      </c>
      <c r="AI157" s="17">
        <f>IF($B157="","",IF(TRIM($J157&amp;"")="",0,SUMPRODUCT((파견수련계획!$Q$4:$Q$83=TRIM($J157&amp;""))*(파견수련계획!$S$4:$S$83="구리병원")*파견수련계획!$W$4:$W$83))+IF($AG157="구리병원",MAX(0,DAY(EOMONTH(요약!$B$3,0))-N($X157)),0))</f>
        <v/>
      </c>
      <c r="AJ157" s="10">
        <f>IF(OR($B157="",TRIM($J157&amp;"")=""),"",IFERROR(MATCH(TRIM($J157&amp;"")&amp;"|월",파견수련계획!$Z$4:$Z$83,0),""))</f>
        <v/>
      </c>
      <c r="AK157" s="10">
        <f>IF(OR($B157="",TRIM($J157&amp;"")=""),"",IFERROR(MATCH(TRIM($J157&amp;"")&amp;"|다기관",파견수련계획!$AE$4:$AE$83,0),""))</f>
        <v/>
      </c>
      <c r="AL157" s="10">
        <f>IF($AK157="","","다기관 "&amp;TEXT(INDEX(파견수련계획!$AB$4:$AB$83,$AK157),"yyyy-mm-dd")&amp;"~"&amp;IF(ISNUMBER(INDEX(파견수련계획!$AC$4:$AC$83,$AK157)),TEXT(INDEX(파견수련계획!$AC$4:$AC$83,$AK157),"yyyy-mm-dd"),""))</f>
        <v/>
      </c>
    </row>
    <row r="158">
      <c r="A158" s="10">
        <f>IF(B158="","",ROW()-1)</f>
        <v/>
      </c>
      <c r="B158" s="18" t="n"/>
      <c r="C158" s="10">
        <f>IF($AB158="","",IF(INDEX(기본자료!$C$2:$C$1001,$AB158)="","",INDEX(기본자료!$C$2:$C$1001,$AB158)))</f>
        <v/>
      </c>
      <c r="D158" s="10">
        <f>IF($AB158="","",IF(INDEX(기본자료!$J$2:$J$1001,$AB158)="","",INDEX(기본자료!$J$2:$J$1001,$AB158)))</f>
        <v/>
      </c>
      <c r="E158" s="11">
        <f>IF($AB158="","",IF(INDEX(기본자료!$K$2:$K$1001,$AB158)="","",IF(NOT(ISNUMBER(INDEX(기본자료!$K$2:$K$1001,$AB158))),INDEX(기본자료!$K$2:$K$1001,$AB158),IF(INDEX(기본자료!$K$2:$K$1001,$AB158)&lt;1000000,INDEX(기본자료!$K$2:$K$1001,$AB158),IF(AND(INDEX(기본자료!$K$2:$K$1001,$AB158)&gt;=10000101,INT(MOD(INDEX(기본자료!$K$2:$K$1001,$AB158),10000)/100)&gt;=1,INT(MOD(INDEX(기본자료!$K$2:$K$1001,$AB158),10000)/100)&lt;=12,MOD(INDEX(기본자료!$K$2:$K$1001,$AB158),100)&gt;=1,MOD(INDEX(기본자료!$K$2:$K$1001,$AB158),100)&lt;=31),DATE(INT(INDEX(기본자료!$K$2:$K$1001,$AB158)/10000),INT(MOD(INDEX(기본자료!$K$2:$K$1001,$AB158),10000)/100),MOD(INDEX(기본자료!$K$2:$K$1001,$AB158),100)),INDEX(기본자료!$K$2:$K$1001,$AB158)&amp;"")))))</f>
        <v/>
      </c>
      <c r="F158" s="10">
        <f>IF($AB158="","",IF(INDEX(기본자료!$D$2:$D$1001,$AB158)="","",INDEX(기본자료!$D$2:$D$1001,$AB158)))</f>
        <v/>
      </c>
      <c r="G158" s="10">
        <f>IF($AB158="","",IF(INDEX(기본자료!$E$2:$E$1001,$AB158)="","",INDEX(기본자료!$E$2:$E$1001,$AB158)))</f>
        <v/>
      </c>
      <c r="H158" s="10">
        <f>IF($AB158="","",IF(INDEX(기본자료!$F$2:$F$1001,$AB158)="","",INDEX(기본자료!$F$2:$F$1001,$AB158)))</f>
        <v/>
      </c>
      <c r="I158" s="11">
        <f>IF($AB158="","",IF(INDEX(기본자료!$G$2:$G$1001,$AB158)="","",IF(NOT(ISNUMBER(INDEX(기본자료!$G$2:$G$1001,$AB158))),INDEX(기본자료!$G$2:$G$1001,$AB158),IF(INDEX(기본자료!$G$2:$G$1001,$AB158)&lt;1000000,INDEX(기본자료!$G$2:$G$1001,$AB158),IF(AND(INDEX(기본자료!$G$2:$G$1001,$AB158)&gt;=10000101,INT(MOD(INDEX(기본자료!$G$2:$G$1001,$AB158),10000)/100)&gt;=1,INT(MOD(INDEX(기본자료!$G$2:$G$1001,$AB158),10000)/100)&lt;=12,MOD(INDEX(기본자료!$G$2:$G$1001,$AB158),100)&gt;=1,MOD(INDEX(기본자료!$G$2:$G$1001,$AB158),100)&lt;=31),DATE(INT(INDEX(기본자료!$G$2:$G$1001,$AB158)/10000),INT(MOD(INDEX(기본자료!$G$2:$G$1001,$AB158),10000)/100),MOD(INDEX(기본자료!$G$2:$G$1001,$AB158),100)),INDEX(기본자료!$G$2:$G$1001,$AB158)&amp;"")))))</f>
        <v/>
      </c>
      <c r="J158" s="10">
        <f>IF($AB158="","",IF(INDEX(기본자료!$H$2:$H$1001,$AB158)="","",INDEX(기본자료!$H$2:$H$1001,$AB158)))</f>
        <v/>
      </c>
      <c r="K158" s="10">
        <f>IF($AB158="","",IF(INDEX(기본자료!$I$2:$I$1001,$AB158)="","",INDEX(기본자료!$I$2:$I$1001,$AB158)))</f>
        <v/>
      </c>
      <c r="L158" s="10">
        <f>IF($AB158="","",IF(INDEX(기본자료!$A$2:$A$1001,$AB158)="","",INDEX(기본자료!$A$2:$A$1001,$AB158)))</f>
        <v/>
      </c>
      <c r="M158" s="15" t="n"/>
      <c r="N158" s="10">
        <f>IF($B158="","",IF(AND($U158="파견중",$Q158&lt;&gt;""),$Q158,IF(AND($AD158&lt;&gt;"",LEFT($AD158,1)&lt;&gt;"⚠"),LEFT($AD158,FIND(" ",$AD158)-1),IF($H158="","",IF(RIGHT($H158,2)="병원",$H158,$H158&amp;"병원")))))</f>
        <v/>
      </c>
      <c r="O158" s="10">
        <f>IF($B158="","",IF(AND($U158="파견중",$Q158&lt;&gt;""),IF($R158&lt;&gt;"",$R158,"파견과 미입력"),IF(AND($AD158&lt;&gt;"",LEFT($AD158,1)&lt;&gt;"⚠"),MID($AD158,FIND(" ",$AD158)+1,60),IF($F158="","",IF($F158="인턴","수련교육부(인턴)",$F158)))))</f>
        <v/>
      </c>
      <c r="P158" s="10">
        <f>IF($B158="","",IF($AK158&lt;&gt;"",IF(AND(TODAY()&gt;=INDEX(파견수련계획!$AB$4:$AB$83,$AK158),OR(NOT(ISNUMBER(INDEX(파견수련계획!$AC$4:$AC$83,$AK158))),TODAY()&lt;=INDEX(파견수련계획!$AC$4:$AC$83,$AK158))),"다기관",IF($AF158="","",INDEX(파견수련계획!$T$4:$T$83,$AF158))),IF($AF158="","",INDEX(파견수련계획!$T$4:$T$83,$AF158))))</f>
        <v/>
      </c>
      <c r="Q158" s="10">
        <f>IF($AF158="","",INDEX(파견수련계획!$S$4:$S$83,$AF158))</f>
        <v/>
      </c>
      <c r="R158" s="10">
        <f>IF($AF158="","",INDEX(파견수련계획!$U$4:$U$83,$AF158))</f>
        <v/>
      </c>
      <c r="S158" s="11">
        <f>IF($AF158="","",IF(INDEX(파견수련계획!$H$4:$H$83,$AF158)="","",INDEX(파견수련계획!$H$4:$H$83,$AF158)))</f>
        <v/>
      </c>
      <c r="T158" s="11">
        <f>IF($AF158="","",IF(INDEX(파견수련계획!$I$4:$I$83,$AF158)="","",INDEX(파견수련계획!$I$4:$I$83,$AF158)))</f>
        <v/>
      </c>
      <c r="U158" s="10">
        <f>IF($AF158="","",INDEX(파견수련계획!$X$4:$X$83,$AF158))</f>
        <v/>
      </c>
      <c r="V158" s="17">
        <f>IF($AF158="","",INDEX(파견수련계획!$V$4:$V$83,$AF158))</f>
        <v/>
      </c>
      <c r="W158" s="17">
        <f>IF(AND($U158="파견중",$T158&lt;&gt;""),$T158-TODAY(),"")</f>
        <v/>
      </c>
      <c r="X158" s="17">
        <f>IF(OR($B158="",TRIM($J158&amp;"")=""),"",SUMPRODUCT((파견수련계획!$Q$4:$Q$83=TRIM($J158&amp;""))*파견수련계획!$W$4:$W$83))</f>
        <v/>
      </c>
      <c r="Y158" s="10">
        <f>IF($B158="","",IF($AG158="","",IF(IF(TRIM($J158&amp;"")="",0,SUMPRODUCT((파견수련계획!$Q$4:$Q$83=TRIM($J158&amp;""))*파견수련계획!$AD$4:$AD$83))&gt;0,$AE158,IF(N($X158)&lt;=0,$AG158,IF($AH158+$AI158=DAY(EOMONTH(요약!$B$3,0)),IF(AND($AH158&gt;=요약!$E$3,$AI158&lt;요약!$E$3),"서울병원",IF(AND($AI158&gt;=요약!$E$3,$AH158&lt;요약!$E$3),"구리병원","⚠15일 판정불가(서울 "&amp;$AH158&amp;"일/구리 "&amp;$AI158&amp;"일)")),IF($AJ158="",$AE158,IF(INDEX(파견수련계획!$T$4:$T$83,$AJ158)="통합수련",INDEX(파견수련계획!$S$4:$S$83,$AJ158),$AE158)))))))</f>
        <v/>
      </c>
      <c r="Z158" s="19">
        <f>IF($B158="","",IF($AB158="","기본자료에 없는 사번",IF(COUNTIF($B$2:$B$401,$B158)&gt;1,"중복 사번",IF($AE158="","소속(입사장소) 입력",IF(IF(TRIM($J158&amp;"")="",0,SUMPRODUCT((파견수련계획!$Q$4:$Q$83=TRIM($J158&amp;""))*(파견수련계획!$AA$4:$AA$83&lt;&gt;"")))&gt;0,"파견수련계획 입력오류 확인",IF(LEFT($Y158,1)="⚠","서울·구리 15일 판정 불가(양쪽 모두 이상/미만)",IF(IF($AC158="",0,N(INDEX(인턴근무계획!$T$3:$T$62,$AC158)))&gt;0,"인턴계획 입력오류 확인",IF(AND($AC158&lt;&gt;"",$U158&lt;&gt;"파견중",$N158&lt;&gt;$AE158),"인턴 타지역 근무: 파견 여부 확인","정상"))))))))</f>
        <v/>
      </c>
      <c r="AA158" s="5" t="n"/>
      <c r="AB158" s="10">
        <f>IF($B158="","",IFERROR(MATCH($B158,기본자료!$B$2:$B$1001,0),IFERROR(MATCH($B158&amp;"",기본자료!$B$2:$B$1001,0),IFERROR(MATCH(VALUE($B158),기본자료!$B$2:$B$1001,0),""))))</f>
        <v/>
      </c>
      <c r="AC158" s="10">
        <f>IF($B158="","",IFERROR(MATCH($B158,인턴근무계획!$D$3:$D$62,0),IFERROR(MATCH($B158&amp;"",인턴근무계획!$D$3:$D$62,0),IFERROR(MATCH(VALUE($B158),인턴근무계획!$D$3:$D$62,0),""))))</f>
        <v/>
      </c>
      <c r="AD158" s="10">
        <f>IF(OR($AC158="",인턴현황!$G$3=""),"",INDEX(인턴근무계획!$M$3:$R$62,$AC158,인턴현황!$G$3)&amp;"")</f>
        <v/>
      </c>
      <c r="AE158" s="10">
        <f>IF($B158="","",IF($M158&lt;&gt;"",$M158,IF($AF158&lt;&gt;"",IF(LEFT(INDEX(파견수련계획!$R$4:$R$83,$AF158),1)&lt;&gt;"⚠",INDEX(파견수련계획!$R$4:$R$83,$AF158),IF($H158="","",IF(RIGHT($H158,2)="병원",$H158,$H158&amp;"병원"))),IF($H158="","",IF(RIGHT($H158,2)="병원",$H158,$H158&amp;"병원")))))</f>
        <v/>
      </c>
      <c r="AF158" s="10">
        <f>IF(OR($B158="",TRIM($J158&amp;"")=""),"",IFERROR(MATCH(TRIM($J158&amp;"")&amp;"|파견중",파견수련계획!$Y$4:$Y$83,0),IFERROR(MATCH(TRIM($J158&amp;"")&amp;"|파견예정",파견수련계획!$Y$4:$Y$83,0),IFERROR(MATCH(TRIM($J158&amp;"")&amp;"|파견종료",파견수련계획!$Y$4:$Y$83,0),""))))</f>
        <v/>
      </c>
      <c r="AG158" s="10">
        <f>IF($B158="","",IF(AND(IF(OR($AC158="",인턴현황!$K$2=""),"",INDEX(인턴근무계획!$M$3:$R$62,$AC158,인턴현황!$K$2)&amp;"")&lt;&gt;"",LEFT(IF(OR($AC158="",인턴현황!$K$2=""),"",INDEX(인턴근무계획!$M$3:$R$62,$AC158,인턴현황!$K$2)&amp;""),1)&lt;&gt;"⚠"),LEFT(IF(OR($AC158="",인턴현황!$K$2=""),"",INDEX(인턴근무계획!$M$3:$R$62,$AC158,인턴현황!$K$2)&amp;""),FIND(" ",IF(OR($AC158="",인턴현황!$K$2=""),"",INDEX(인턴근무계획!$M$3:$R$62,$AC158,인턴현황!$K$2)&amp;""))-1),$AE158))</f>
        <v/>
      </c>
      <c r="AH158" s="17">
        <f>IF($B158="","",IF(TRIM($J158&amp;"")="",0,SUMPRODUCT((파견수련계획!$Q$4:$Q$83=TRIM($J158&amp;""))*(파견수련계획!$S$4:$S$83="서울병원")*파견수련계획!$W$4:$W$83))+IF($AG158="서울병원",MAX(0,DAY(EOMONTH(요약!$B$3,0))-N($X158)),0))</f>
        <v/>
      </c>
      <c r="AI158" s="17">
        <f>IF($B158="","",IF(TRIM($J158&amp;"")="",0,SUMPRODUCT((파견수련계획!$Q$4:$Q$83=TRIM($J158&amp;""))*(파견수련계획!$S$4:$S$83="구리병원")*파견수련계획!$W$4:$W$83))+IF($AG158="구리병원",MAX(0,DAY(EOMONTH(요약!$B$3,0))-N($X158)),0))</f>
        <v/>
      </c>
      <c r="AJ158" s="10">
        <f>IF(OR($B158="",TRIM($J158&amp;"")=""),"",IFERROR(MATCH(TRIM($J158&amp;"")&amp;"|월",파견수련계획!$Z$4:$Z$83,0),""))</f>
        <v/>
      </c>
      <c r="AK158" s="10">
        <f>IF(OR($B158="",TRIM($J158&amp;"")=""),"",IFERROR(MATCH(TRIM($J158&amp;"")&amp;"|다기관",파견수련계획!$AE$4:$AE$83,0),""))</f>
        <v/>
      </c>
      <c r="AL158" s="10">
        <f>IF($AK158="","","다기관 "&amp;TEXT(INDEX(파견수련계획!$AB$4:$AB$83,$AK158),"yyyy-mm-dd")&amp;"~"&amp;IF(ISNUMBER(INDEX(파견수련계획!$AC$4:$AC$83,$AK158)),TEXT(INDEX(파견수련계획!$AC$4:$AC$83,$AK158),"yyyy-mm-dd"),""))</f>
        <v/>
      </c>
    </row>
    <row r="159">
      <c r="A159" s="10">
        <f>IF(B159="","",ROW()-1)</f>
        <v/>
      </c>
      <c r="B159" s="18" t="n"/>
      <c r="C159" s="10">
        <f>IF($AB159="","",IF(INDEX(기본자료!$C$2:$C$1001,$AB159)="","",INDEX(기본자료!$C$2:$C$1001,$AB159)))</f>
        <v/>
      </c>
      <c r="D159" s="10">
        <f>IF($AB159="","",IF(INDEX(기본자료!$J$2:$J$1001,$AB159)="","",INDEX(기본자료!$J$2:$J$1001,$AB159)))</f>
        <v/>
      </c>
      <c r="E159" s="11">
        <f>IF($AB159="","",IF(INDEX(기본자료!$K$2:$K$1001,$AB159)="","",IF(NOT(ISNUMBER(INDEX(기본자료!$K$2:$K$1001,$AB159))),INDEX(기본자료!$K$2:$K$1001,$AB159),IF(INDEX(기본자료!$K$2:$K$1001,$AB159)&lt;1000000,INDEX(기본자료!$K$2:$K$1001,$AB159),IF(AND(INDEX(기본자료!$K$2:$K$1001,$AB159)&gt;=10000101,INT(MOD(INDEX(기본자료!$K$2:$K$1001,$AB159),10000)/100)&gt;=1,INT(MOD(INDEX(기본자료!$K$2:$K$1001,$AB159),10000)/100)&lt;=12,MOD(INDEX(기본자료!$K$2:$K$1001,$AB159),100)&gt;=1,MOD(INDEX(기본자료!$K$2:$K$1001,$AB159),100)&lt;=31),DATE(INT(INDEX(기본자료!$K$2:$K$1001,$AB159)/10000),INT(MOD(INDEX(기본자료!$K$2:$K$1001,$AB159),10000)/100),MOD(INDEX(기본자료!$K$2:$K$1001,$AB159),100)),INDEX(기본자료!$K$2:$K$1001,$AB159)&amp;"")))))</f>
        <v/>
      </c>
      <c r="F159" s="10">
        <f>IF($AB159="","",IF(INDEX(기본자료!$D$2:$D$1001,$AB159)="","",INDEX(기본자료!$D$2:$D$1001,$AB159)))</f>
        <v/>
      </c>
      <c r="G159" s="10">
        <f>IF($AB159="","",IF(INDEX(기본자료!$E$2:$E$1001,$AB159)="","",INDEX(기본자료!$E$2:$E$1001,$AB159)))</f>
        <v/>
      </c>
      <c r="H159" s="10">
        <f>IF($AB159="","",IF(INDEX(기본자료!$F$2:$F$1001,$AB159)="","",INDEX(기본자료!$F$2:$F$1001,$AB159)))</f>
        <v/>
      </c>
      <c r="I159" s="11">
        <f>IF($AB159="","",IF(INDEX(기본자료!$G$2:$G$1001,$AB159)="","",IF(NOT(ISNUMBER(INDEX(기본자료!$G$2:$G$1001,$AB159))),INDEX(기본자료!$G$2:$G$1001,$AB159),IF(INDEX(기본자료!$G$2:$G$1001,$AB159)&lt;1000000,INDEX(기본자료!$G$2:$G$1001,$AB159),IF(AND(INDEX(기본자료!$G$2:$G$1001,$AB159)&gt;=10000101,INT(MOD(INDEX(기본자료!$G$2:$G$1001,$AB159),10000)/100)&gt;=1,INT(MOD(INDEX(기본자료!$G$2:$G$1001,$AB159),10000)/100)&lt;=12,MOD(INDEX(기본자료!$G$2:$G$1001,$AB159),100)&gt;=1,MOD(INDEX(기본자료!$G$2:$G$1001,$AB159),100)&lt;=31),DATE(INT(INDEX(기본자료!$G$2:$G$1001,$AB159)/10000),INT(MOD(INDEX(기본자료!$G$2:$G$1001,$AB159),10000)/100),MOD(INDEX(기본자료!$G$2:$G$1001,$AB159),100)),INDEX(기본자료!$G$2:$G$1001,$AB159)&amp;"")))))</f>
        <v/>
      </c>
      <c r="J159" s="10">
        <f>IF($AB159="","",IF(INDEX(기본자료!$H$2:$H$1001,$AB159)="","",INDEX(기본자료!$H$2:$H$1001,$AB159)))</f>
        <v/>
      </c>
      <c r="K159" s="10">
        <f>IF($AB159="","",IF(INDEX(기본자료!$I$2:$I$1001,$AB159)="","",INDEX(기본자료!$I$2:$I$1001,$AB159)))</f>
        <v/>
      </c>
      <c r="L159" s="10">
        <f>IF($AB159="","",IF(INDEX(기본자료!$A$2:$A$1001,$AB159)="","",INDEX(기본자료!$A$2:$A$1001,$AB159)))</f>
        <v/>
      </c>
      <c r="M159" s="15" t="n"/>
      <c r="N159" s="10">
        <f>IF($B159="","",IF(AND($U159="파견중",$Q159&lt;&gt;""),$Q159,IF(AND($AD159&lt;&gt;"",LEFT($AD159,1)&lt;&gt;"⚠"),LEFT($AD159,FIND(" ",$AD159)-1),IF($H159="","",IF(RIGHT($H159,2)="병원",$H159,$H159&amp;"병원")))))</f>
        <v/>
      </c>
      <c r="O159" s="10">
        <f>IF($B159="","",IF(AND($U159="파견중",$Q159&lt;&gt;""),IF($R159&lt;&gt;"",$R159,"파견과 미입력"),IF(AND($AD159&lt;&gt;"",LEFT($AD159,1)&lt;&gt;"⚠"),MID($AD159,FIND(" ",$AD159)+1,60),IF($F159="","",IF($F159="인턴","수련교육부(인턴)",$F159)))))</f>
        <v/>
      </c>
      <c r="P159" s="10">
        <f>IF($B159="","",IF($AK159&lt;&gt;"",IF(AND(TODAY()&gt;=INDEX(파견수련계획!$AB$4:$AB$83,$AK159),OR(NOT(ISNUMBER(INDEX(파견수련계획!$AC$4:$AC$83,$AK159))),TODAY()&lt;=INDEX(파견수련계획!$AC$4:$AC$83,$AK159))),"다기관",IF($AF159="","",INDEX(파견수련계획!$T$4:$T$83,$AF159))),IF($AF159="","",INDEX(파견수련계획!$T$4:$T$83,$AF159))))</f>
        <v/>
      </c>
      <c r="Q159" s="10">
        <f>IF($AF159="","",INDEX(파견수련계획!$S$4:$S$83,$AF159))</f>
        <v/>
      </c>
      <c r="R159" s="10">
        <f>IF($AF159="","",INDEX(파견수련계획!$U$4:$U$83,$AF159))</f>
        <v/>
      </c>
      <c r="S159" s="11">
        <f>IF($AF159="","",IF(INDEX(파견수련계획!$H$4:$H$83,$AF159)="","",INDEX(파견수련계획!$H$4:$H$83,$AF159)))</f>
        <v/>
      </c>
      <c r="T159" s="11">
        <f>IF($AF159="","",IF(INDEX(파견수련계획!$I$4:$I$83,$AF159)="","",INDEX(파견수련계획!$I$4:$I$83,$AF159)))</f>
        <v/>
      </c>
      <c r="U159" s="10">
        <f>IF($AF159="","",INDEX(파견수련계획!$X$4:$X$83,$AF159))</f>
        <v/>
      </c>
      <c r="V159" s="17">
        <f>IF($AF159="","",INDEX(파견수련계획!$V$4:$V$83,$AF159))</f>
        <v/>
      </c>
      <c r="W159" s="17">
        <f>IF(AND($U159="파견중",$T159&lt;&gt;""),$T159-TODAY(),"")</f>
        <v/>
      </c>
      <c r="X159" s="17">
        <f>IF(OR($B159="",TRIM($J159&amp;"")=""),"",SUMPRODUCT((파견수련계획!$Q$4:$Q$83=TRIM($J159&amp;""))*파견수련계획!$W$4:$W$83))</f>
        <v/>
      </c>
      <c r="Y159" s="10">
        <f>IF($B159="","",IF($AG159="","",IF(IF(TRIM($J159&amp;"")="",0,SUMPRODUCT((파견수련계획!$Q$4:$Q$83=TRIM($J159&amp;""))*파견수련계획!$AD$4:$AD$83))&gt;0,$AE159,IF(N($X159)&lt;=0,$AG159,IF($AH159+$AI159=DAY(EOMONTH(요약!$B$3,0)),IF(AND($AH159&gt;=요약!$E$3,$AI159&lt;요약!$E$3),"서울병원",IF(AND($AI159&gt;=요약!$E$3,$AH159&lt;요약!$E$3),"구리병원","⚠15일 판정불가(서울 "&amp;$AH159&amp;"일/구리 "&amp;$AI159&amp;"일)")),IF($AJ159="",$AE159,IF(INDEX(파견수련계획!$T$4:$T$83,$AJ159)="통합수련",INDEX(파견수련계획!$S$4:$S$83,$AJ159),$AE159)))))))</f>
        <v/>
      </c>
      <c r="Z159" s="19">
        <f>IF($B159="","",IF($AB159="","기본자료에 없는 사번",IF(COUNTIF($B$2:$B$401,$B159)&gt;1,"중복 사번",IF($AE159="","소속(입사장소) 입력",IF(IF(TRIM($J159&amp;"")="",0,SUMPRODUCT((파견수련계획!$Q$4:$Q$83=TRIM($J159&amp;""))*(파견수련계획!$AA$4:$AA$83&lt;&gt;"")))&gt;0,"파견수련계획 입력오류 확인",IF(LEFT($Y159,1)="⚠","서울·구리 15일 판정 불가(양쪽 모두 이상/미만)",IF(IF($AC159="",0,N(INDEX(인턴근무계획!$T$3:$T$62,$AC159)))&gt;0,"인턴계획 입력오류 확인",IF(AND($AC159&lt;&gt;"",$U159&lt;&gt;"파견중",$N159&lt;&gt;$AE159),"인턴 타지역 근무: 파견 여부 확인","정상"))))))))</f>
        <v/>
      </c>
      <c r="AA159" s="5" t="n"/>
      <c r="AB159" s="10">
        <f>IF($B159="","",IFERROR(MATCH($B159,기본자료!$B$2:$B$1001,0),IFERROR(MATCH($B159&amp;"",기본자료!$B$2:$B$1001,0),IFERROR(MATCH(VALUE($B159),기본자료!$B$2:$B$1001,0),""))))</f>
        <v/>
      </c>
      <c r="AC159" s="10">
        <f>IF($B159="","",IFERROR(MATCH($B159,인턴근무계획!$D$3:$D$62,0),IFERROR(MATCH($B159&amp;"",인턴근무계획!$D$3:$D$62,0),IFERROR(MATCH(VALUE($B159),인턴근무계획!$D$3:$D$62,0),""))))</f>
        <v/>
      </c>
      <c r="AD159" s="10">
        <f>IF(OR($AC159="",인턴현황!$G$3=""),"",INDEX(인턴근무계획!$M$3:$R$62,$AC159,인턴현황!$G$3)&amp;"")</f>
        <v/>
      </c>
      <c r="AE159" s="10">
        <f>IF($B159="","",IF($M159&lt;&gt;"",$M159,IF($AF159&lt;&gt;"",IF(LEFT(INDEX(파견수련계획!$R$4:$R$83,$AF159),1)&lt;&gt;"⚠",INDEX(파견수련계획!$R$4:$R$83,$AF159),IF($H159="","",IF(RIGHT($H159,2)="병원",$H159,$H159&amp;"병원"))),IF($H159="","",IF(RIGHT($H159,2)="병원",$H159,$H159&amp;"병원")))))</f>
        <v/>
      </c>
      <c r="AF159" s="10">
        <f>IF(OR($B159="",TRIM($J159&amp;"")=""),"",IFERROR(MATCH(TRIM($J159&amp;"")&amp;"|파견중",파견수련계획!$Y$4:$Y$83,0),IFERROR(MATCH(TRIM($J159&amp;"")&amp;"|파견예정",파견수련계획!$Y$4:$Y$83,0),IFERROR(MATCH(TRIM($J159&amp;"")&amp;"|파견종료",파견수련계획!$Y$4:$Y$83,0),""))))</f>
        <v/>
      </c>
      <c r="AG159" s="10">
        <f>IF($B159="","",IF(AND(IF(OR($AC159="",인턴현황!$K$2=""),"",INDEX(인턴근무계획!$M$3:$R$62,$AC159,인턴현황!$K$2)&amp;"")&lt;&gt;"",LEFT(IF(OR($AC159="",인턴현황!$K$2=""),"",INDEX(인턴근무계획!$M$3:$R$62,$AC159,인턴현황!$K$2)&amp;""),1)&lt;&gt;"⚠"),LEFT(IF(OR($AC159="",인턴현황!$K$2=""),"",INDEX(인턴근무계획!$M$3:$R$62,$AC159,인턴현황!$K$2)&amp;""),FIND(" ",IF(OR($AC159="",인턴현황!$K$2=""),"",INDEX(인턴근무계획!$M$3:$R$62,$AC159,인턴현황!$K$2)&amp;""))-1),$AE159))</f>
        <v/>
      </c>
      <c r="AH159" s="17">
        <f>IF($B159="","",IF(TRIM($J159&amp;"")="",0,SUMPRODUCT((파견수련계획!$Q$4:$Q$83=TRIM($J159&amp;""))*(파견수련계획!$S$4:$S$83="서울병원")*파견수련계획!$W$4:$W$83))+IF($AG159="서울병원",MAX(0,DAY(EOMONTH(요약!$B$3,0))-N($X159)),0))</f>
        <v/>
      </c>
      <c r="AI159" s="17">
        <f>IF($B159="","",IF(TRIM($J159&amp;"")="",0,SUMPRODUCT((파견수련계획!$Q$4:$Q$83=TRIM($J159&amp;""))*(파견수련계획!$S$4:$S$83="구리병원")*파견수련계획!$W$4:$W$83))+IF($AG159="구리병원",MAX(0,DAY(EOMONTH(요약!$B$3,0))-N($X159)),0))</f>
        <v/>
      </c>
      <c r="AJ159" s="10">
        <f>IF(OR($B159="",TRIM($J159&amp;"")=""),"",IFERROR(MATCH(TRIM($J159&amp;"")&amp;"|월",파견수련계획!$Z$4:$Z$83,0),""))</f>
        <v/>
      </c>
      <c r="AK159" s="10">
        <f>IF(OR($B159="",TRIM($J159&amp;"")=""),"",IFERROR(MATCH(TRIM($J159&amp;"")&amp;"|다기관",파견수련계획!$AE$4:$AE$83,0),""))</f>
        <v/>
      </c>
      <c r="AL159" s="10">
        <f>IF($AK159="","","다기관 "&amp;TEXT(INDEX(파견수련계획!$AB$4:$AB$83,$AK159),"yyyy-mm-dd")&amp;"~"&amp;IF(ISNUMBER(INDEX(파견수련계획!$AC$4:$AC$83,$AK159)),TEXT(INDEX(파견수련계획!$AC$4:$AC$83,$AK159),"yyyy-mm-dd"),""))</f>
        <v/>
      </c>
    </row>
    <row r="160">
      <c r="A160" s="10">
        <f>IF(B160="","",ROW()-1)</f>
        <v/>
      </c>
      <c r="B160" s="18" t="n"/>
      <c r="C160" s="10">
        <f>IF($AB160="","",IF(INDEX(기본자료!$C$2:$C$1001,$AB160)="","",INDEX(기본자료!$C$2:$C$1001,$AB160)))</f>
        <v/>
      </c>
      <c r="D160" s="10">
        <f>IF($AB160="","",IF(INDEX(기본자료!$J$2:$J$1001,$AB160)="","",INDEX(기본자료!$J$2:$J$1001,$AB160)))</f>
        <v/>
      </c>
      <c r="E160" s="11">
        <f>IF($AB160="","",IF(INDEX(기본자료!$K$2:$K$1001,$AB160)="","",IF(NOT(ISNUMBER(INDEX(기본자료!$K$2:$K$1001,$AB160))),INDEX(기본자료!$K$2:$K$1001,$AB160),IF(INDEX(기본자료!$K$2:$K$1001,$AB160)&lt;1000000,INDEX(기본자료!$K$2:$K$1001,$AB160),IF(AND(INDEX(기본자료!$K$2:$K$1001,$AB160)&gt;=10000101,INT(MOD(INDEX(기본자료!$K$2:$K$1001,$AB160),10000)/100)&gt;=1,INT(MOD(INDEX(기본자료!$K$2:$K$1001,$AB160),10000)/100)&lt;=12,MOD(INDEX(기본자료!$K$2:$K$1001,$AB160),100)&gt;=1,MOD(INDEX(기본자료!$K$2:$K$1001,$AB160),100)&lt;=31),DATE(INT(INDEX(기본자료!$K$2:$K$1001,$AB160)/10000),INT(MOD(INDEX(기본자료!$K$2:$K$1001,$AB160),10000)/100),MOD(INDEX(기본자료!$K$2:$K$1001,$AB160),100)),INDEX(기본자료!$K$2:$K$1001,$AB160)&amp;"")))))</f>
        <v/>
      </c>
      <c r="F160" s="10">
        <f>IF($AB160="","",IF(INDEX(기본자료!$D$2:$D$1001,$AB160)="","",INDEX(기본자료!$D$2:$D$1001,$AB160)))</f>
        <v/>
      </c>
      <c r="G160" s="10">
        <f>IF($AB160="","",IF(INDEX(기본자료!$E$2:$E$1001,$AB160)="","",INDEX(기본자료!$E$2:$E$1001,$AB160)))</f>
        <v/>
      </c>
      <c r="H160" s="10">
        <f>IF($AB160="","",IF(INDEX(기본자료!$F$2:$F$1001,$AB160)="","",INDEX(기본자료!$F$2:$F$1001,$AB160)))</f>
        <v/>
      </c>
      <c r="I160" s="11">
        <f>IF($AB160="","",IF(INDEX(기본자료!$G$2:$G$1001,$AB160)="","",IF(NOT(ISNUMBER(INDEX(기본자료!$G$2:$G$1001,$AB160))),INDEX(기본자료!$G$2:$G$1001,$AB160),IF(INDEX(기본자료!$G$2:$G$1001,$AB160)&lt;1000000,INDEX(기본자료!$G$2:$G$1001,$AB160),IF(AND(INDEX(기본자료!$G$2:$G$1001,$AB160)&gt;=10000101,INT(MOD(INDEX(기본자료!$G$2:$G$1001,$AB160),10000)/100)&gt;=1,INT(MOD(INDEX(기본자료!$G$2:$G$1001,$AB160),10000)/100)&lt;=12,MOD(INDEX(기본자료!$G$2:$G$1001,$AB160),100)&gt;=1,MOD(INDEX(기본자료!$G$2:$G$1001,$AB160),100)&lt;=31),DATE(INT(INDEX(기본자료!$G$2:$G$1001,$AB160)/10000),INT(MOD(INDEX(기본자료!$G$2:$G$1001,$AB160),10000)/100),MOD(INDEX(기본자료!$G$2:$G$1001,$AB160),100)),INDEX(기본자료!$G$2:$G$1001,$AB160)&amp;"")))))</f>
        <v/>
      </c>
      <c r="J160" s="10">
        <f>IF($AB160="","",IF(INDEX(기본자료!$H$2:$H$1001,$AB160)="","",INDEX(기본자료!$H$2:$H$1001,$AB160)))</f>
        <v/>
      </c>
      <c r="K160" s="10">
        <f>IF($AB160="","",IF(INDEX(기본자료!$I$2:$I$1001,$AB160)="","",INDEX(기본자료!$I$2:$I$1001,$AB160)))</f>
        <v/>
      </c>
      <c r="L160" s="10">
        <f>IF($AB160="","",IF(INDEX(기본자료!$A$2:$A$1001,$AB160)="","",INDEX(기본자료!$A$2:$A$1001,$AB160)))</f>
        <v/>
      </c>
      <c r="M160" s="15" t="n"/>
      <c r="N160" s="10">
        <f>IF($B160="","",IF(AND($U160="파견중",$Q160&lt;&gt;""),$Q160,IF(AND($AD160&lt;&gt;"",LEFT($AD160,1)&lt;&gt;"⚠"),LEFT($AD160,FIND(" ",$AD160)-1),IF($H160="","",IF(RIGHT($H160,2)="병원",$H160,$H160&amp;"병원")))))</f>
        <v/>
      </c>
      <c r="O160" s="10">
        <f>IF($B160="","",IF(AND($U160="파견중",$Q160&lt;&gt;""),IF($R160&lt;&gt;"",$R160,"파견과 미입력"),IF(AND($AD160&lt;&gt;"",LEFT($AD160,1)&lt;&gt;"⚠"),MID($AD160,FIND(" ",$AD160)+1,60),IF($F160="","",IF($F160="인턴","수련교육부(인턴)",$F160)))))</f>
        <v/>
      </c>
      <c r="P160" s="10">
        <f>IF($B160="","",IF($AK160&lt;&gt;"",IF(AND(TODAY()&gt;=INDEX(파견수련계획!$AB$4:$AB$83,$AK160),OR(NOT(ISNUMBER(INDEX(파견수련계획!$AC$4:$AC$83,$AK160))),TODAY()&lt;=INDEX(파견수련계획!$AC$4:$AC$83,$AK160))),"다기관",IF($AF160="","",INDEX(파견수련계획!$T$4:$T$83,$AF160))),IF($AF160="","",INDEX(파견수련계획!$T$4:$T$83,$AF160))))</f>
        <v/>
      </c>
      <c r="Q160" s="10">
        <f>IF($AF160="","",INDEX(파견수련계획!$S$4:$S$83,$AF160))</f>
        <v/>
      </c>
      <c r="R160" s="10">
        <f>IF($AF160="","",INDEX(파견수련계획!$U$4:$U$83,$AF160))</f>
        <v/>
      </c>
      <c r="S160" s="11">
        <f>IF($AF160="","",IF(INDEX(파견수련계획!$H$4:$H$83,$AF160)="","",INDEX(파견수련계획!$H$4:$H$83,$AF160)))</f>
        <v/>
      </c>
      <c r="T160" s="11">
        <f>IF($AF160="","",IF(INDEX(파견수련계획!$I$4:$I$83,$AF160)="","",INDEX(파견수련계획!$I$4:$I$83,$AF160)))</f>
        <v/>
      </c>
      <c r="U160" s="10">
        <f>IF($AF160="","",INDEX(파견수련계획!$X$4:$X$83,$AF160))</f>
        <v/>
      </c>
      <c r="V160" s="17">
        <f>IF($AF160="","",INDEX(파견수련계획!$V$4:$V$83,$AF160))</f>
        <v/>
      </c>
      <c r="W160" s="17">
        <f>IF(AND($U160="파견중",$T160&lt;&gt;""),$T160-TODAY(),"")</f>
        <v/>
      </c>
      <c r="X160" s="17">
        <f>IF(OR($B160="",TRIM($J160&amp;"")=""),"",SUMPRODUCT((파견수련계획!$Q$4:$Q$83=TRIM($J160&amp;""))*파견수련계획!$W$4:$W$83))</f>
        <v/>
      </c>
      <c r="Y160" s="10">
        <f>IF($B160="","",IF($AG160="","",IF(IF(TRIM($J160&amp;"")="",0,SUMPRODUCT((파견수련계획!$Q$4:$Q$83=TRIM($J160&amp;""))*파견수련계획!$AD$4:$AD$83))&gt;0,$AE160,IF(N($X160)&lt;=0,$AG160,IF($AH160+$AI160=DAY(EOMONTH(요약!$B$3,0)),IF(AND($AH160&gt;=요약!$E$3,$AI160&lt;요약!$E$3),"서울병원",IF(AND($AI160&gt;=요약!$E$3,$AH160&lt;요약!$E$3),"구리병원","⚠15일 판정불가(서울 "&amp;$AH160&amp;"일/구리 "&amp;$AI160&amp;"일)")),IF($AJ160="",$AE160,IF(INDEX(파견수련계획!$T$4:$T$83,$AJ160)="통합수련",INDEX(파견수련계획!$S$4:$S$83,$AJ160),$AE160)))))))</f>
        <v/>
      </c>
      <c r="Z160" s="19">
        <f>IF($B160="","",IF($AB160="","기본자료에 없는 사번",IF(COUNTIF($B$2:$B$401,$B160)&gt;1,"중복 사번",IF($AE160="","소속(입사장소) 입력",IF(IF(TRIM($J160&amp;"")="",0,SUMPRODUCT((파견수련계획!$Q$4:$Q$83=TRIM($J160&amp;""))*(파견수련계획!$AA$4:$AA$83&lt;&gt;"")))&gt;0,"파견수련계획 입력오류 확인",IF(LEFT($Y160,1)="⚠","서울·구리 15일 판정 불가(양쪽 모두 이상/미만)",IF(IF($AC160="",0,N(INDEX(인턴근무계획!$T$3:$T$62,$AC160)))&gt;0,"인턴계획 입력오류 확인",IF(AND($AC160&lt;&gt;"",$U160&lt;&gt;"파견중",$N160&lt;&gt;$AE160),"인턴 타지역 근무: 파견 여부 확인","정상"))))))))</f>
        <v/>
      </c>
      <c r="AA160" s="5" t="n"/>
      <c r="AB160" s="10">
        <f>IF($B160="","",IFERROR(MATCH($B160,기본자료!$B$2:$B$1001,0),IFERROR(MATCH($B160&amp;"",기본자료!$B$2:$B$1001,0),IFERROR(MATCH(VALUE($B160),기본자료!$B$2:$B$1001,0),""))))</f>
        <v/>
      </c>
      <c r="AC160" s="10">
        <f>IF($B160="","",IFERROR(MATCH($B160,인턴근무계획!$D$3:$D$62,0),IFERROR(MATCH($B160&amp;"",인턴근무계획!$D$3:$D$62,0),IFERROR(MATCH(VALUE($B160),인턴근무계획!$D$3:$D$62,0),""))))</f>
        <v/>
      </c>
      <c r="AD160" s="10">
        <f>IF(OR($AC160="",인턴현황!$G$3=""),"",INDEX(인턴근무계획!$M$3:$R$62,$AC160,인턴현황!$G$3)&amp;"")</f>
        <v/>
      </c>
      <c r="AE160" s="10">
        <f>IF($B160="","",IF($M160&lt;&gt;"",$M160,IF($AF160&lt;&gt;"",IF(LEFT(INDEX(파견수련계획!$R$4:$R$83,$AF160),1)&lt;&gt;"⚠",INDEX(파견수련계획!$R$4:$R$83,$AF160),IF($H160="","",IF(RIGHT($H160,2)="병원",$H160,$H160&amp;"병원"))),IF($H160="","",IF(RIGHT($H160,2)="병원",$H160,$H160&amp;"병원")))))</f>
        <v/>
      </c>
      <c r="AF160" s="10">
        <f>IF(OR($B160="",TRIM($J160&amp;"")=""),"",IFERROR(MATCH(TRIM($J160&amp;"")&amp;"|파견중",파견수련계획!$Y$4:$Y$83,0),IFERROR(MATCH(TRIM($J160&amp;"")&amp;"|파견예정",파견수련계획!$Y$4:$Y$83,0),IFERROR(MATCH(TRIM($J160&amp;"")&amp;"|파견종료",파견수련계획!$Y$4:$Y$83,0),""))))</f>
        <v/>
      </c>
      <c r="AG160" s="10">
        <f>IF($B160="","",IF(AND(IF(OR($AC160="",인턴현황!$K$2=""),"",INDEX(인턴근무계획!$M$3:$R$62,$AC160,인턴현황!$K$2)&amp;"")&lt;&gt;"",LEFT(IF(OR($AC160="",인턴현황!$K$2=""),"",INDEX(인턴근무계획!$M$3:$R$62,$AC160,인턴현황!$K$2)&amp;""),1)&lt;&gt;"⚠"),LEFT(IF(OR($AC160="",인턴현황!$K$2=""),"",INDEX(인턴근무계획!$M$3:$R$62,$AC160,인턴현황!$K$2)&amp;""),FIND(" ",IF(OR($AC160="",인턴현황!$K$2=""),"",INDEX(인턴근무계획!$M$3:$R$62,$AC160,인턴현황!$K$2)&amp;""))-1),$AE160))</f>
        <v/>
      </c>
      <c r="AH160" s="17">
        <f>IF($B160="","",IF(TRIM($J160&amp;"")="",0,SUMPRODUCT((파견수련계획!$Q$4:$Q$83=TRIM($J160&amp;""))*(파견수련계획!$S$4:$S$83="서울병원")*파견수련계획!$W$4:$W$83))+IF($AG160="서울병원",MAX(0,DAY(EOMONTH(요약!$B$3,0))-N($X160)),0))</f>
        <v/>
      </c>
      <c r="AI160" s="17">
        <f>IF($B160="","",IF(TRIM($J160&amp;"")="",0,SUMPRODUCT((파견수련계획!$Q$4:$Q$83=TRIM($J160&amp;""))*(파견수련계획!$S$4:$S$83="구리병원")*파견수련계획!$W$4:$W$83))+IF($AG160="구리병원",MAX(0,DAY(EOMONTH(요약!$B$3,0))-N($X160)),0))</f>
        <v/>
      </c>
      <c r="AJ160" s="10">
        <f>IF(OR($B160="",TRIM($J160&amp;"")=""),"",IFERROR(MATCH(TRIM($J160&amp;"")&amp;"|월",파견수련계획!$Z$4:$Z$83,0),""))</f>
        <v/>
      </c>
      <c r="AK160" s="10">
        <f>IF(OR($B160="",TRIM($J160&amp;"")=""),"",IFERROR(MATCH(TRIM($J160&amp;"")&amp;"|다기관",파견수련계획!$AE$4:$AE$83,0),""))</f>
        <v/>
      </c>
      <c r="AL160" s="10">
        <f>IF($AK160="","","다기관 "&amp;TEXT(INDEX(파견수련계획!$AB$4:$AB$83,$AK160),"yyyy-mm-dd")&amp;"~"&amp;IF(ISNUMBER(INDEX(파견수련계획!$AC$4:$AC$83,$AK160)),TEXT(INDEX(파견수련계획!$AC$4:$AC$83,$AK160),"yyyy-mm-dd"),""))</f>
        <v/>
      </c>
    </row>
    <row r="161">
      <c r="A161" s="10">
        <f>IF(B161="","",ROW()-1)</f>
        <v/>
      </c>
      <c r="B161" s="18" t="n"/>
      <c r="C161" s="10">
        <f>IF($AB161="","",IF(INDEX(기본자료!$C$2:$C$1001,$AB161)="","",INDEX(기본자료!$C$2:$C$1001,$AB161)))</f>
        <v/>
      </c>
      <c r="D161" s="10">
        <f>IF($AB161="","",IF(INDEX(기본자료!$J$2:$J$1001,$AB161)="","",INDEX(기본자료!$J$2:$J$1001,$AB161)))</f>
        <v/>
      </c>
      <c r="E161" s="11">
        <f>IF($AB161="","",IF(INDEX(기본자료!$K$2:$K$1001,$AB161)="","",IF(NOT(ISNUMBER(INDEX(기본자료!$K$2:$K$1001,$AB161))),INDEX(기본자료!$K$2:$K$1001,$AB161),IF(INDEX(기본자료!$K$2:$K$1001,$AB161)&lt;1000000,INDEX(기본자료!$K$2:$K$1001,$AB161),IF(AND(INDEX(기본자료!$K$2:$K$1001,$AB161)&gt;=10000101,INT(MOD(INDEX(기본자료!$K$2:$K$1001,$AB161),10000)/100)&gt;=1,INT(MOD(INDEX(기본자료!$K$2:$K$1001,$AB161),10000)/100)&lt;=12,MOD(INDEX(기본자료!$K$2:$K$1001,$AB161),100)&gt;=1,MOD(INDEX(기본자료!$K$2:$K$1001,$AB161),100)&lt;=31),DATE(INT(INDEX(기본자료!$K$2:$K$1001,$AB161)/10000),INT(MOD(INDEX(기본자료!$K$2:$K$1001,$AB161),10000)/100),MOD(INDEX(기본자료!$K$2:$K$1001,$AB161),100)),INDEX(기본자료!$K$2:$K$1001,$AB161)&amp;"")))))</f>
        <v/>
      </c>
      <c r="F161" s="10">
        <f>IF($AB161="","",IF(INDEX(기본자료!$D$2:$D$1001,$AB161)="","",INDEX(기본자료!$D$2:$D$1001,$AB161)))</f>
        <v/>
      </c>
      <c r="G161" s="10">
        <f>IF($AB161="","",IF(INDEX(기본자료!$E$2:$E$1001,$AB161)="","",INDEX(기본자료!$E$2:$E$1001,$AB161)))</f>
        <v/>
      </c>
      <c r="H161" s="10">
        <f>IF($AB161="","",IF(INDEX(기본자료!$F$2:$F$1001,$AB161)="","",INDEX(기본자료!$F$2:$F$1001,$AB161)))</f>
        <v/>
      </c>
      <c r="I161" s="11">
        <f>IF($AB161="","",IF(INDEX(기본자료!$G$2:$G$1001,$AB161)="","",IF(NOT(ISNUMBER(INDEX(기본자료!$G$2:$G$1001,$AB161))),INDEX(기본자료!$G$2:$G$1001,$AB161),IF(INDEX(기본자료!$G$2:$G$1001,$AB161)&lt;1000000,INDEX(기본자료!$G$2:$G$1001,$AB161),IF(AND(INDEX(기본자료!$G$2:$G$1001,$AB161)&gt;=10000101,INT(MOD(INDEX(기본자료!$G$2:$G$1001,$AB161),10000)/100)&gt;=1,INT(MOD(INDEX(기본자료!$G$2:$G$1001,$AB161),10000)/100)&lt;=12,MOD(INDEX(기본자료!$G$2:$G$1001,$AB161),100)&gt;=1,MOD(INDEX(기본자료!$G$2:$G$1001,$AB161),100)&lt;=31),DATE(INT(INDEX(기본자료!$G$2:$G$1001,$AB161)/10000),INT(MOD(INDEX(기본자료!$G$2:$G$1001,$AB161),10000)/100),MOD(INDEX(기본자료!$G$2:$G$1001,$AB161),100)),INDEX(기본자료!$G$2:$G$1001,$AB161)&amp;"")))))</f>
        <v/>
      </c>
      <c r="J161" s="10">
        <f>IF($AB161="","",IF(INDEX(기본자료!$H$2:$H$1001,$AB161)="","",INDEX(기본자료!$H$2:$H$1001,$AB161)))</f>
        <v/>
      </c>
      <c r="K161" s="10">
        <f>IF($AB161="","",IF(INDEX(기본자료!$I$2:$I$1001,$AB161)="","",INDEX(기본자료!$I$2:$I$1001,$AB161)))</f>
        <v/>
      </c>
      <c r="L161" s="10">
        <f>IF($AB161="","",IF(INDEX(기본자료!$A$2:$A$1001,$AB161)="","",INDEX(기본자료!$A$2:$A$1001,$AB161)))</f>
        <v/>
      </c>
      <c r="M161" s="15" t="n"/>
      <c r="N161" s="10">
        <f>IF($B161="","",IF(AND($U161="파견중",$Q161&lt;&gt;""),$Q161,IF(AND($AD161&lt;&gt;"",LEFT($AD161,1)&lt;&gt;"⚠"),LEFT($AD161,FIND(" ",$AD161)-1),IF($H161="","",IF(RIGHT($H161,2)="병원",$H161,$H161&amp;"병원")))))</f>
        <v/>
      </c>
      <c r="O161" s="10">
        <f>IF($B161="","",IF(AND($U161="파견중",$Q161&lt;&gt;""),IF($R161&lt;&gt;"",$R161,"파견과 미입력"),IF(AND($AD161&lt;&gt;"",LEFT($AD161,1)&lt;&gt;"⚠"),MID($AD161,FIND(" ",$AD161)+1,60),IF($F161="","",IF($F161="인턴","수련교육부(인턴)",$F161)))))</f>
        <v/>
      </c>
      <c r="P161" s="10">
        <f>IF($B161="","",IF($AK161&lt;&gt;"",IF(AND(TODAY()&gt;=INDEX(파견수련계획!$AB$4:$AB$83,$AK161),OR(NOT(ISNUMBER(INDEX(파견수련계획!$AC$4:$AC$83,$AK161))),TODAY()&lt;=INDEX(파견수련계획!$AC$4:$AC$83,$AK161))),"다기관",IF($AF161="","",INDEX(파견수련계획!$T$4:$T$83,$AF161))),IF($AF161="","",INDEX(파견수련계획!$T$4:$T$83,$AF161))))</f>
        <v/>
      </c>
      <c r="Q161" s="10">
        <f>IF($AF161="","",INDEX(파견수련계획!$S$4:$S$83,$AF161))</f>
        <v/>
      </c>
      <c r="R161" s="10">
        <f>IF($AF161="","",INDEX(파견수련계획!$U$4:$U$83,$AF161))</f>
        <v/>
      </c>
      <c r="S161" s="11">
        <f>IF($AF161="","",IF(INDEX(파견수련계획!$H$4:$H$83,$AF161)="","",INDEX(파견수련계획!$H$4:$H$83,$AF161)))</f>
        <v/>
      </c>
      <c r="T161" s="11">
        <f>IF($AF161="","",IF(INDEX(파견수련계획!$I$4:$I$83,$AF161)="","",INDEX(파견수련계획!$I$4:$I$83,$AF161)))</f>
        <v/>
      </c>
      <c r="U161" s="10">
        <f>IF($AF161="","",INDEX(파견수련계획!$X$4:$X$83,$AF161))</f>
        <v/>
      </c>
      <c r="V161" s="17">
        <f>IF($AF161="","",INDEX(파견수련계획!$V$4:$V$83,$AF161))</f>
        <v/>
      </c>
      <c r="W161" s="17">
        <f>IF(AND($U161="파견중",$T161&lt;&gt;""),$T161-TODAY(),"")</f>
        <v/>
      </c>
      <c r="X161" s="17">
        <f>IF(OR($B161="",TRIM($J161&amp;"")=""),"",SUMPRODUCT((파견수련계획!$Q$4:$Q$83=TRIM($J161&amp;""))*파견수련계획!$W$4:$W$83))</f>
        <v/>
      </c>
      <c r="Y161" s="10">
        <f>IF($B161="","",IF($AG161="","",IF(IF(TRIM($J161&amp;"")="",0,SUMPRODUCT((파견수련계획!$Q$4:$Q$83=TRIM($J161&amp;""))*파견수련계획!$AD$4:$AD$83))&gt;0,$AE161,IF(N($X161)&lt;=0,$AG161,IF($AH161+$AI161=DAY(EOMONTH(요약!$B$3,0)),IF(AND($AH161&gt;=요약!$E$3,$AI161&lt;요약!$E$3),"서울병원",IF(AND($AI161&gt;=요약!$E$3,$AH161&lt;요약!$E$3),"구리병원","⚠15일 판정불가(서울 "&amp;$AH161&amp;"일/구리 "&amp;$AI161&amp;"일)")),IF($AJ161="",$AE161,IF(INDEX(파견수련계획!$T$4:$T$83,$AJ161)="통합수련",INDEX(파견수련계획!$S$4:$S$83,$AJ161),$AE161)))))))</f>
        <v/>
      </c>
      <c r="Z161" s="19">
        <f>IF($B161="","",IF($AB161="","기본자료에 없는 사번",IF(COUNTIF($B$2:$B$401,$B161)&gt;1,"중복 사번",IF($AE161="","소속(입사장소) 입력",IF(IF(TRIM($J161&amp;"")="",0,SUMPRODUCT((파견수련계획!$Q$4:$Q$83=TRIM($J161&amp;""))*(파견수련계획!$AA$4:$AA$83&lt;&gt;"")))&gt;0,"파견수련계획 입력오류 확인",IF(LEFT($Y161,1)="⚠","서울·구리 15일 판정 불가(양쪽 모두 이상/미만)",IF(IF($AC161="",0,N(INDEX(인턴근무계획!$T$3:$T$62,$AC161)))&gt;0,"인턴계획 입력오류 확인",IF(AND($AC161&lt;&gt;"",$U161&lt;&gt;"파견중",$N161&lt;&gt;$AE161),"인턴 타지역 근무: 파견 여부 확인","정상"))))))))</f>
        <v/>
      </c>
      <c r="AA161" s="5" t="n"/>
      <c r="AB161" s="10">
        <f>IF($B161="","",IFERROR(MATCH($B161,기본자료!$B$2:$B$1001,0),IFERROR(MATCH($B161&amp;"",기본자료!$B$2:$B$1001,0),IFERROR(MATCH(VALUE($B161),기본자료!$B$2:$B$1001,0),""))))</f>
        <v/>
      </c>
      <c r="AC161" s="10">
        <f>IF($B161="","",IFERROR(MATCH($B161,인턴근무계획!$D$3:$D$62,0),IFERROR(MATCH($B161&amp;"",인턴근무계획!$D$3:$D$62,0),IFERROR(MATCH(VALUE($B161),인턴근무계획!$D$3:$D$62,0),""))))</f>
        <v/>
      </c>
      <c r="AD161" s="10">
        <f>IF(OR($AC161="",인턴현황!$G$3=""),"",INDEX(인턴근무계획!$M$3:$R$62,$AC161,인턴현황!$G$3)&amp;"")</f>
        <v/>
      </c>
      <c r="AE161" s="10">
        <f>IF($B161="","",IF($M161&lt;&gt;"",$M161,IF($AF161&lt;&gt;"",IF(LEFT(INDEX(파견수련계획!$R$4:$R$83,$AF161),1)&lt;&gt;"⚠",INDEX(파견수련계획!$R$4:$R$83,$AF161),IF($H161="","",IF(RIGHT($H161,2)="병원",$H161,$H161&amp;"병원"))),IF($H161="","",IF(RIGHT($H161,2)="병원",$H161,$H161&amp;"병원")))))</f>
        <v/>
      </c>
      <c r="AF161" s="10">
        <f>IF(OR($B161="",TRIM($J161&amp;"")=""),"",IFERROR(MATCH(TRIM($J161&amp;"")&amp;"|파견중",파견수련계획!$Y$4:$Y$83,0),IFERROR(MATCH(TRIM($J161&amp;"")&amp;"|파견예정",파견수련계획!$Y$4:$Y$83,0),IFERROR(MATCH(TRIM($J161&amp;"")&amp;"|파견종료",파견수련계획!$Y$4:$Y$83,0),""))))</f>
        <v/>
      </c>
      <c r="AG161" s="10">
        <f>IF($B161="","",IF(AND(IF(OR($AC161="",인턴현황!$K$2=""),"",INDEX(인턴근무계획!$M$3:$R$62,$AC161,인턴현황!$K$2)&amp;"")&lt;&gt;"",LEFT(IF(OR($AC161="",인턴현황!$K$2=""),"",INDEX(인턴근무계획!$M$3:$R$62,$AC161,인턴현황!$K$2)&amp;""),1)&lt;&gt;"⚠"),LEFT(IF(OR($AC161="",인턴현황!$K$2=""),"",INDEX(인턴근무계획!$M$3:$R$62,$AC161,인턴현황!$K$2)&amp;""),FIND(" ",IF(OR($AC161="",인턴현황!$K$2=""),"",INDEX(인턴근무계획!$M$3:$R$62,$AC161,인턴현황!$K$2)&amp;""))-1),$AE161))</f>
        <v/>
      </c>
      <c r="AH161" s="17">
        <f>IF($B161="","",IF(TRIM($J161&amp;"")="",0,SUMPRODUCT((파견수련계획!$Q$4:$Q$83=TRIM($J161&amp;""))*(파견수련계획!$S$4:$S$83="서울병원")*파견수련계획!$W$4:$W$83))+IF($AG161="서울병원",MAX(0,DAY(EOMONTH(요약!$B$3,0))-N($X161)),0))</f>
        <v/>
      </c>
      <c r="AI161" s="17">
        <f>IF($B161="","",IF(TRIM($J161&amp;"")="",0,SUMPRODUCT((파견수련계획!$Q$4:$Q$83=TRIM($J161&amp;""))*(파견수련계획!$S$4:$S$83="구리병원")*파견수련계획!$W$4:$W$83))+IF($AG161="구리병원",MAX(0,DAY(EOMONTH(요약!$B$3,0))-N($X161)),0))</f>
        <v/>
      </c>
      <c r="AJ161" s="10">
        <f>IF(OR($B161="",TRIM($J161&amp;"")=""),"",IFERROR(MATCH(TRIM($J161&amp;"")&amp;"|월",파견수련계획!$Z$4:$Z$83,0),""))</f>
        <v/>
      </c>
      <c r="AK161" s="10">
        <f>IF(OR($B161="",TRIM($J161&amp;"")=""),"",IFERROR(MATCH(TRIM($J161&amp;"")&amp;"|다기관",파견수련계획!$AE$4:$AE$83,0),""))</f>
        <v/>
      </c>
      <c r="AL161" s="10">
        <f>IF($AK161="","","다기관 "&amp;TEXT(INDEX(파견수련계획!$AB$4:$AB$83,$AK161),"yyyy-mm-dd")&amp;"~"&amp;IF(ISNUMBER(INDEX(파견수련계획!$AC$4:$AC$83,$AK161)),TEXT(INDEX(파견수련계획!$AC$4:$AC$83,$AK161),"yyyy-mm-dd"),""))</f>
        <v/>
      </c>
    </row>
    <row r="162">
      <c r="A162" s="10">
        <f>IF(B162="","",ROW()-1)</f>
        <v/>
      </c>
      <c r="B162" s="18" t="n"/>
      <c r="C162" s="10">
        <f>IF($AB162="","",IF(INDEX(기본자료!$C$2:$C$1001,$AB162)="","",INDEX(기본자료!$C$2:$C$1001,$AB162)))</f>
        <v/>
      </c>
      <c r="D162" s="10">
        <f>IF($AB162="","",IF(INDEX(기본자료!$J$2:$J$1001,$AB162)="","",INDEX(기본자료!$J$2:$J$1001,$AB162)))</f>
        <v/>
      </c>
      <c r="E162" s="11">
        <f>IF($AB162="","",IF(INDEX(기본자료!$K$2:$K$1001,$AB162)="","",IF(NOT(ISNUMBER(INDEX(기본자료!$K$2:$K$1001,$AB162))),INDEX(기본자료!$K$2:$K$1001,$AB162),IF(INDEX(기본자료!$K$2:$K$1001,$AB162)&lt;1000000,INDEX(기본자료!$K$2:$K$1001,$AB162),IF(AND(INDEX(기본자료!$K$2:$K$1001,$AB162)&gt;=10000101,INT(MOD(INDEX(기본자료!$K$2:$K$1001,$AB162),10000)/100)&gt;=1,INT(MOD(INDEX(기본자료!$K$2:$K$1001,$AB162),10000)/100)&lt;=12,MOD(INDEX(기본자료!$K$2:$K$1001,$AB162),100)&gt;=1,MOD(INDEX(기본자료!$K$2:$K$1001,$AB162),100)&lt;=31),DATE(INT(INDEX(기본자료!$K$2:$K$1001,$AB162)/10000),INT(MOD(INDEX(기본자료!$K$2:$K$1001,$AB162),10000)/100),MOD(INDEX(기본자료!$K$2:$K$1001,$AB162),100)),INDEX(기본자료!$K$2:$K$1001,$AB162)&amp;"")))))</f>
        <v/>
      </c>
      <c r="F162" s="10">
        <f>IF($AB162="","",IF(INDEX(기본자료!$D$2:$D$1001,$AB162)="","",INDEX(기본자료!$D$2:$D$1001,$AB162)))</f>
        <v/>
      </c>
      <c r="G162" s="10">
        <f>IF($AB162="","",IF(INDEX(기본자료!$E$2:$E$1001,$AB162)="","",INDEX(기본자료!$E$2:$E$1001,$AB162)))</f>
        <v/>
      </c>
      <c r="H162" s="10">
        <f>IF($AB162="","",IF(INDEX(기본자료!$F$2:$F$1001,$AB162)="","",INDEX(기본자료!$F$2:$F$1001,$AB162)))</f>
        <v/>
      </c>
      <c r="I162" s="11">
        <f>IF($AB162="","",IF(INDEX(기본자료!$G$2:$G$1001,$AB162)="","",IF(NOT(ISNUMBER(INDEX(기본자료!$G$2:$G$1001,$AB162))),INDEX(기본자료!$G$2:$G$1001,$AB162),IF(INDEX(기본자료!$G$2:$G$1001,$AB162)&lt;1000000,INDEX(기본자료!$G$2:$G$1001,$AB162),IF(AND(INDEX(기본자료!$G$2:$G$1001,$AB162)&gt;=10000101,INT(MOD(INDEX(기본자료!$G$2:$G$1001,$AB162),10000)/100)&gt;=1,INT(MOD(INDEX(기본자료!$G$2:$G$1001,$AB162),10000)/100)&lt;=12,MOD(INDEX(기본자료!$G$2:$G$1001,$AB162),100)&gt;=1,MOD(INDEX(기본자료!$G$2:$G$1001,$AB162),100)&lt;=31),DATE(INT(INDEX(기본자료!$G$2:$G$1001,$AB162)/10000),INT(MOD(INDEX(기본자료!$G$2:$G$1001,$AB162),10000)/100),MOD(INDEX(기본자료!$G$2:$G$1001,$AB162),100)),INDEX(기본자료!$G$2:$G$1001,$AB162)&amp;"")))))</f>
        <v/>
      </c>
      <c r="J162" s="10">
        <f>IF($AB162="","",IF(INDEX(기본자료!$H$2:$H$1001,$AB162)="","",INDEX(기본자료!$H$2:$H$1001,$AB162)))</f>
        <v/>
      </c>
      <c r="K162" s="10">
        <f>IF($AB162="","",IF(INDEX(기본자료!$I$2:$I$1001,$AB162)="","",INDEX(기본자료!$I$2:$I$1001,$AB162)))</f>
        <v/>
      </c>
      <c r="L162" s="10">
        <f>IF($AB162="","",IF(INDEX(기본자료!$A$2:$A$1001,$AB162)="","",INDEX(기본자료!$A$2:$A$1001,$AB162)))</f>
        <v/>
      </c>
      <c r="M162" s="15" t="n"/>
      <c r="N162" s="10">
        <f>IF($B162="","",IF(AND($U162="파견중",$Q162&lt;&gt;""),$Q162,IF(AND($AD162&lt;&gt;"",LEFT($AD162,1)&lt;&gt;"⚠"),LEFT($AD162,FIND(" ",$AD162)-1),IF($H162="","",IF(RIGHT($H162,2)="병원",$H162,$H162&amp;"병원")))))</f>
        <v/>
      </c>
      <c r="O162" s="10">
        <f>IF($B162="","",IF(AND($U162="파견중",$Q162&lt;&gt;""),IF($R162&lt;&gt;"",$R162,"파견과 미입력"),IF(AND($AD162&lt;&gt;"",LEFT($AD162,1)&lt;&gt;"⚠"),MID($AD162,FIND(" ",$AD162)+1,60),IF($F162="","",IF($F162="인턴","수련교육부(인턴)",$F162)))))</f>
        <v/>
      </c>
      <c r="P162" s="10">
        <f>IF($B162="","",IF($AK162&lt;&gt;"",IF(AND(TODAY()&gt;=INDEX(파견수련계획!$AB$4:$AB$83,$AK162),OR(NOT(ISNUMBER(INDEX(파견수련계획!$AC$4:$AC$83,$AK162))),TODAY()&lt;=INDEX(파견수련계획!$AC$4:$AC$83,$AK162))),"다기관",IF($AF162="","",INDEX(파견수련계획!$T$4:$T$83,$AF162))),IF($AF162="","",INDEX(파견수련계획!$T$4:$T$83,$AF162))))</f>
        <v/>
      </c>
      <c r="Q162" s="10">
        <f>IF($AF162="","",INDEX(파견수련계획!$S$4:$S$83,$AF162))</f>
        <v/>
      </c>
      <c r="R162" s="10">
        <f>IF($AF162="","",INDEX(파견수련계획!$U$4:$U$83,$AF162))</f>
        <v/>
      </c>
      <c r="S162" s="11">
        <f>IF($AF162="","",IF(INDEX(파견수련계획!$H$4:$H$83,$AF162)="","",INDEX(파견수련계획!$H$4:$H$83,$AF162)))</f>
        <v/>
      </c>
      <c r="T162" s="11">
        <f>IF($AF162="","",IF(INDEX(파견수련계획!$I$4:$I$83,$AF162)="","",INDEX(파견수련계획!$I$4:$I$83,$AF162)))</f>
        <v/>
      </c>
      <c r="U162" s="10">
        <f>IF($AF162="","",INDEX(파견수련계획!$X$4:$X$83,$AF162))</f>
        <v/>
      </c>
      <c r="V162" s="17">
        <f>IF($AF162="","",INDEX(파견수련계획!$V$4:$V$83,$AF162))</f>
        <v/>
      </c>
      <c r="W162" s="17">
        <f>IF(AND($U162="파견중",$T162&lt;&gt;""),$T162-TODAY(),"")</f>
        <v/>
      </c>
      <c r="X162" s="17">
        <f>IF(OR($B162="",TRIM($J162&amp;"")=""),"",SUMPRODUCT((파견수련계획!$Q$4:$Q$83=TRIM($J162&amp;""))*파견수련계획!$W$4:$W$83))</f>
        <v/>
      </c>
      <c r="Y162" s="10">
        <f>IF($B162="","",IF($AG162="","",IF(IF(TRIM($J162&amp;"")="",0,SUMPRODUCT((파견수련계획!$Q$4:$Q$83=TRIM($J162&amp;""))*파견수련계획!$AD$4:$AD$83))&gt;0,$AE162,IF(N($X162)&lt;=0,$AG162,IF($AH162+$AI162=DAY(EOMONTH(요약!$B$3,0)),IF(AND($AH162&gt;=요약!$E$3,$AI162&lt;요약!$E$3),"서울병원",IF(AND($AI162&gt;=요약!$E$3,$AH162&lt;요약!$E$3),"구리병원","⚠15일 판정불가(서울 "&amp;$AH162&amp;"일/구리 "&amp;$AI162&amp;"일)")),IF($AJ162="",$AE162,IF(INDEX(파견수련계획!$T$4:$T$83,$AJ162)="통합수련",INDEX(파견수련계획!$S$4:$S$83,$AJ162),$AE162)))))))</f>
        <v/>
      </c>
      <c r="Z162" s="19">
        <f>IF($B162="","",IF($AB162="","기본자료에 없는 사번",IF(COUNTIF($B$2:$B$401,$B162)&gt;1,"중복 사번",IF($AE162="","소속(입사장소) 입력",IF(IF(TRIM($J162&amp;"")="",0,SUMPRODUCT((파견수련계획!$Q$4:$Q$83=TRIM($J162&amp;""))*(파견수련계획!$AA$4:$AA$83&lt;&gt;"")))&gt;0,"파견수련계획 입력오류 확인",IF(LEFT($Y162,1)="⚠","서울·구리 15일 판정 불가(양쪽 모두 이상/미만)",IF(IF($AC162="",0,N(INDEX(인턴근무계획!$T$3:$T$62,$AC162)))&gt;0,"인턴계획 입력오류 확인",IF(AND($AC162&lt;&gt;"",$U162&lt;&gt;"파견중",$N162&lt;&gt;$AE162),"인턴 타지역 근무: 파견 여부 확인","정상"))))))))</f>
        <v/>
      </c>
      <c r="AA162" s="5" t="n"/>
      <c r="AB162" s="10">
        <f>IF($B162="","",IFERROR(MATCH($B162,기본자료!$B$2:$B$1001,0),IFERROR(MATCH($B162&amp;"",기본자료!$B$2:$B$1001,0),IFERROR(MATCH(VALUE($B162),기본자료!$B$2:$B$1001,0),""))))</f>
        <v/>
      </c>
      <c r="AC162" s="10">
        <f>IF($B162="","",IFERROR(MATCH($B162,인턴근무계획!$D$3:$D$62,0),IFERROR(MATCH($B162&amp;"",인턴근무계획!$D$3:$D$62,0),IFERROR(MATCH(VALUE($B162),인턴근무계획!$D$3:$D$62,0),""))))</f>
        <v/>
      </c>
      <c r="AD162" s="10">
        <f>IF(OR($AC162="",인턴현황!$G$3=""),"",INDEX(인턴근무계획!$M$3:$R$62,$AC162,인턴현황!$G$3)&amp;"")</f>
        <v/>
      </c>
      <c r="AE162" s="10">
        <f>IF($B162="","",IF($M162&lt;&gt;"",$M162,IF($AF162&lt;&gt;"",IF(LEFT(INDEX(파견수련계획!$R$4:$R$83,$AF162),1)&lt;&gt;"⚠",INDEX(파견수련계획!$R$4:$R$83,$AF162),IF($H162="","",IF(RIGHT($H162,2)="병원",$H162,$H162&amp;"병원"))),IF($H162="","",IF(RIGHT($H162,2)="병원",$H162,$H162&amp;"병원")))))</f>
        <v/>
      </c>
      <c r="AF162" s="10">
        <f>IF(OR($B162="",TRIM($J162&amp;"")=""),"",IFERROR(MATCH(TRIM($J162&amp;"")&amp;"|파견중",파견수련계획!$Y$4:$Y$83,0),IFERROR(MATCH(TRIM($J162&amp;"")&amp;"|파견예정",파견수련계획!$Y$4:$Y$83,0),IFERROR(MATCH(TRIM($J162&amp;"")&amp;"|파견종료",파견수련계획!$Y$4:$Y$83,0),""))))</f>
        <v/>
      </c>
      <c r="AG162" s="10">
        <f>IF($B162="","",IF(AND(IF(OR($AC162="",인턴현황!$K$2=""),"",INDEX(인턴근무계획!$M$3:$R$62,$AC162,인턴현황!$K$2)&amp;"")&lt;&gt;"",LEFT(IF(OR($AC162="",인턴현황!$K$2=""),"",INDEX(인턴근무계획!$M$3:$R$62,$AC162,인턴현황!$K$2)&amp;""),1)&lt;&gt;"⚠"),LEFT(IF(OR($AC162="",인턴현황!$K$2=""),"",INDEX(인턴근무계획!$M$3:$R$62,$AC162,인턴현황!$K$2)&amp;""),FIND(" ",IF(OR($AC162="",인턴현황!$K$2=""),"",INDEX(인턴근무계획!$M$3:$R$62,$AC162,인턴현황!$K$2)&amp;""))-1),$AE162))</f>
        <v/>
      </c>
      <c r="AH162" s="17">
        <f>IF($B162="","",IF(TRIM($J162&amp;"")="",0,SUMPRODUCT((파견수련계획!$Q$4:$Q$83=TRIM($J162&amp;""))*(파견수련계획!$S$4:$S$83="서울병원")*파견수련계획!$W$4:$W$83))+IF($AG162="서울병원",MAX(0,DAY(EOMONTH(요약!$B$3,0))-N($X162)),0))</f>
        <v/>
      </c>
      <c r="AI162" s="17">
        <f>IF($B162="","",IF(TRIM($J162&amp;"")="",0,SUMPRODUCT((파견수련계획!$Q$4:$Q$83=TRIM($J162&amp;""))*(파견수련계획!$S$4:$S$83="구리병원")*파견수련계획!$W$4:$W$83))+IF($AG162="구리병원",MAX(0,DAY(EOMONTH(요약!$B$3,0))-N($X162)),0))</f>
        <v/>
      </c>
      <c r="AJ162" s="10">
        <f>IF(OR($B162="",TRIM($J162&amp;"")=""),"",IFERROR(MATCH(TRIM($J162&amp;"")&amp;"|월",파견수련계획!$Z$4:$Z$83,0),""))</f>
        <v/>
      </c>
      <c r="AK162" s="10">
        <f>IF(OR($B162="",TRIM($J162&amp;"")=""),"",IFERROR(MATCH(TRIM($J162&amp;"")&amp;"|다기관",파견수련계획!$AE$4:$AE$83,0),""))</f>
        <v/>
      </c>
      <c r="AL162" s="10">
        <f>IF($AK162="","","다기관 "&amp;TEXT(INDEX(파견수련계획!$AB$4:$AB$83,$AK162),"yyyy-mm-dd")&amp;"~"&amp;IF(ISNUMBER(INDEX(파견수련계획!$AC$4:$AC$83,$AK162)),TEXT(INDEX(파견수련계획!$AC$4:$AC$83,$AK162),"yyyy-mm-dd"),""))</f>
        <v/>
      </c>
    </row>
    <row r="163">
      <c r="A163" s="10">
        <f>IF(B163="","",ROW()-1)</f>
        <v/>
      </c>
      <c r="B163" s="18" t="n"/>
      <c r="C163" s="10">
        <f>IF($AB163="","",IF(INDEX(기본자료!$C$2:$C$1001,$AB163)="","",INDEX(기본자료!$C$2:$C$1001,$AB163)))</f>
        <v/>
      </c>
      <c r="D163" s="10">
        <f>IF($AB163="","",IF(INDEX(기본자료!$J$2:$J$1001,$AB163)="","",INDEX(기본자료!$J$2:$J$1001,$AB163)))</f>
        <v/>
      </c>
      <c r="E163" s="11">
        <f>IF($AB163="","",IF(INDEX(기본자료!$K$2:$K$1001,$AB163)="","",IF(NOT(ISNUMBER(INDEX(기본자료!$K$2:$K$1001,$AB163))),INDEX(기본자료!$K$2:$K$1001,$AB163),IF(INDEX(기본자료!$K$2:$K$1001,$AB163)&lt;1000000,INDEX(기본자료!$K$2:$K$1001,$AB163),IF(AND(INDEX(기본자료!$K$2:$K$1001,$AB163)&gt;=10000101,INT(MOD(INDEX(기본자료!$K$2:$K$1001,$AB163),10000)/100)&gt;=1,INT(MOD(INDEX(기본자료!$K$2:$K$1001,$AB163),10000)/100)&lt;=12,MOD(INDEX(기본자료!$K$2:$K$1001,$AB163),100)&gt;=1,MOD(INDEX(기본자료!$K$2:$K$1001,$AB163),100)&lt;=31),DATE(INT(INDEX(기본자료!$K$2:$K$1001,$AB163)/10000),INT(MOD(INDEX(기본자료!$K$2:$K$1001,$AB163),10000)/100),MOD(INDEX(기본자료!$K$2:$K$1001,$AB163),100)),INDEX(기본자료!$K$2:$K$1001,$AB163)&amp;"")))))</f>
        <v/>
      </c>
      <c r="F163" s="10">
        <f>IF($AB163="","",IF(INDEX(기본자료!$D$2:$D$1001,$AB163)="","",INDEX(기본자료!$D$2:$D$1001,$AB163)))</f>
        <v/>
      </c>
      <c r="G163" s="10">
        <f>IF($AB163="","",IF(INDEX(기본자료!$E$2:$E$1001,$AB163)="","",INDEX(기본자료!$E$2:$E$1001,$AB163)))</f>
        <v/>
      </c>
      <c r="H163" s="10">
        <f>IF($AB163="","",IF(INDEX(기본자료!$F$2:$F$1001,$AB163)="","",INDEX(기본자료!$F$2:$F$1001,$AB163)))</f>
        <v/>
      </c>
      <c r="I163" s="11">
        <f>IF($AB163="","",IF(INDEX(기본자료!$G$2:$G$1001,$AB163)="","",IF(NOT(ISNUMBER(INDEX(기본자료!$G$2:$G$1001,$AB163))),INDEX(기본자료!$G$2:$G$1001,$AB163),IF(INDEX(기본자료!$G$2:$G$1001,$AB163)&lt;1000000,INDEX(기본자료!$G$2:$G$1001,$AB163),IF(AND(INDEX(기본자료!$G$2:$G$1001,$AB163)&gt;=10000101,INT(MOD(INDEX(기본자료!$G$2:$G$1001,$AB163),10000)/100)&gt;=1,INT(MOD(INDEX(기본자료!$G$2:$G$1001,$AB163),10000)/100)&lt;=12,MOD(INDEX(기본자료!$G$2:$G$1001,$AB163),100)&gt;=1,MOD(INDEX(기본자료!$G$2:$G$1001,$AB163),100)&lt;=31),DATE(INT(INDEX(기본자료!$G$2:$G$1001,$AB163)/10000),INT(MOD(INDEX(기본자료!$G$2:$G$1001,$AB163),10000)/100),MOD(INDEX(기본자료!$G$2:$G$1001,$AB163),100)),INDEX(기본자료!$G$2:$G$1001,$AB163)&amp;"")))))</f>
        <v/>
      </c>
      <c r="J163" s="10">
        <f>IF($AB163="","",IF(INDEX(기본자료!$H$2:$H$1001,$AB163)="","",INDEX(기본자료!$H$2:$H$1001,$AB163)))</f>
        <v/>
      </c>
      <c r="K163" s="10">
        <f>IF($AB163="","",IF(INDEX(기본자료!$I$2:$I$1001,$AB163)="","",INDEX(기본자료!$I$2:$I$1001,$AB163)))</f>
        <v/>
      </c>
      <c r="L163" s="10">
        <f>IF($AB163="","",IF(INDEX(기본자료!$A$2:$A$1001,$AB163)="","",INDEX(기본자료!$A$2:$A$1001,$AB163)))</f>
        <v/>
      </c>
      <c r="M163" s="15" t="n"/>
      <c r="N163" s="10">
        <f>IF($B163="","",IF(AND($U163="파견중",$Q163&lt;&gt;""),$Q163,IF(AND($AD163&lt;&gt;"",LEFT($AD163,1)&lt;&gt;"⚠"),LEFT($AD163,FIND(" ",$AD163)-1),IF($H163="","",IF(RIGHT($H163,2)="병원",$H163,$H163&amp;"병원")))))</f>
        <v/>
      </c>
      <c r="O163" s="10">
        <f>IF($B163="","",IF(AND($U163="파견중",$Q163&lt;&gt;""),IF($R163&lt;&gt;"",$R163,"파견과 미입력"),IF(AND($AD163&lt;&gt;"",LEFT($AD163,1)&lt;&gt;"⚠"),MID($AD163,FIND(" ",$AD163)+1,60),IF($F163="","",IF($F163="인턴","수련교육부(인턴)",$F163)))))</f>
        <v/>
      </c>
      <c r="P163" s="10">
        <f>IF($B163="","",IF($AK163&lt;&gt;"",IF(AND(TODAY()&gt;=INDEX(파견수련계획!$AB$4:$AB$83,$AK163),OR(NOT(ISNUMBER(INDEX(파견수련계획!$AC$4:$AC$83,$AK163))),TODAY()&lt;=INDEX(파견수련계획!$AC$4:$AC$83,$AK163))),"다기관",IF($AF163="","",INDEX(파견수련계획!$T$4:$T$83,$AF163))),IF($AF163="","",INDEX(파견수련계획!$T$4:$T$83,$AF163))))</f>
        <v/>
      </c>
      <c r="Q163" s="10">
        <f>IF($AF163="","",INDEX(파견수련계획!$S$4:$S$83,$AF163))</f>
        <v/>
      </c>
      <c r="R163" s="10">
        <f>IF($AF163="","",INDEX(파견수련계획!$U$4:$U$83,$AF163))</f>
        <v/>
      </c>
      <c r="S163" s="11">
        <f>IF($AF163="","",IF(INDEX(파견수련계획!$H$4:$H$83,$AF163)="","",INDEX(파견수련계획!$H$4:$H$83,$AF163)))</f>
        <v/>
      </c>
      <c r="T163" s="11">
        <f>IF($AF163="","",IF(INDEX(파견수련계획!$I$4:$I$83,$AF163)="","",INDEX(파견수련계획!$I$4:$I$83,$AF163)))</f>
        <v/>
      </c>
      <c r="U163" s="10">
        <f>IF($AF163="","",INDEX(파견수련계획!$X$4:$X$83,$AF163))</f>
        <v/>
      </c>
      <c r="V163" s="17">
        <f>IF($AF163="","",INDEX(파견수련계획!$V$4:$V$83,$AF163))</f>
        <v/>
      </c>
      <c r="W163" s="17">
        <f>IF(AND($U163="파견중",$T163&lt;&gt;""),$T163-TODAY(),"")</f>
        <v/>
      </c>
      <c r="X163" s="17">
        <f>IF(OR($B163="",TRIM($J163&amp;"")=""),"",SUMPRODUCT((파견수련계획!$Q$4:$Q$83=TRIM($J163&amp;""))*파견수련계획!$W$4:$W$83))</f>
        <v/>
      </c>
      <c r="Y163" s="10">
        <f>IF($B163="","",IF($AG163="","",IF(IF(TRIM($J163&amp;"")="",0,SUMPRODUCT((파견수련계획!$Q$4:$Q$83=TRIM($J163&amp;""))*파견수련계획!$AD$4:$AD$83))&gt;0,$AE163,IF(N($X163)&lt;=0,$AG163,IF($AH163+$AI163=DAY(EOMONTH(요약!$B$3,0)),IF(AND($AH163&gt;=요약!$E$3,$AI163&lt;요약!$E$3),"서울병원",IF(AND($AI163&gt;=요약!$E$3,$AH163&lt;요약!$E$3),"구리병원","⚠15일 판정불가(서울 "&amp;$AH163&amp;"일/구리 "&amp;$AI163&amp;"일)")),IF($AJ163="",$AE163,IF(INDEX(파견수련계획!$T$4:$T$83,$AJ163)="통합수련",INDEX(파견수련계획!$S$4:$S$83,$AJ163),$AE163)))))))</f>
        <v/>
      </c>
      <c r="Z163" s="19">
        <f>IF($B163="","",IF($AB163="","기본자료에 없는 사번",IF(COUNTIF($B$2:$B$401,$B163)&gt;1,"중복 사번",IF($AE163="","소속(입사장소) 입력",IF(IF(TRIM($J163&amp;"")="",0,SUMPRODUCT((파견수련계획!$Q$4:$Q$83=TRIM($J163&amp;""))*(파견수련계획!$AA$4:$AA$83&lt;&gt;"")))&gt;0,"파견수련계획 입력오류 확인",IF(LEFT($Y163,1)="⚠","서울·구리 15일 판정 불가(양쪽 모두 이상/미만)",IF(IF($AC163="",0,N(INDEX(인턴근무계획!$T$3:$T$62,$AC163)))&gt;0,"인턴계획 입력오류 확인",IF(AND($AC163&lt;&gt;"",$U163&lt;&gt;"파견중",$N163&lt;&gt;$AE163),"인턴 타지역 근무: 파견 여부 확인","정상"))))))))</f>
        <v/>
      </c>
      <c r="AA163" s="5" t="n"/>
      <c r="AB163" s="10">
        <f>IF($B163="","",IFERROR(MATCH($B163,기본자료!$B$2:$B$1001,0),IFERROR(MATCH($B163&amp;"",기본자료!$B$2:$B$1001,0),IFERROR(MATCH(VALUE($B163),기본자료!$B$2:$B$1001,0),""))))</f>
        <v/>
      </c>
      <c r="AC163" s="10">
        <f>IF($B163="","",IFERROR(MATCH($B163,인턴근무계획!$D$3:$D$62,0),IFERROR(MATCH($B163&amp;"",인턴근무계획!$D$3:$D$62,0),IFERROR(MATCH(VALUE($B163),인턴근무계획!$D$3:$D$62,0),""))))</f>
        <v/>
      </c>
      <c r="AD163" s="10">
        <f>IF(OR($AC163="",인턴현황!$G$3=""),"",INDEX(인턴근무계획!$M$3:$R$62,$AC163,인턴현황!$G$3)&amp;"")</f>
        <v/>
      </c>
      <c r="AE163" s="10">
        <f>IF($B163="","",IF($M163&lt;&gt;"",$M163,IF($AF163&lt;&gt;"",IF(LEFT(INDEX(파견수련계획!$R$4:$R$83,$AF163),1)&lt;&gt;"⚠",INDEX(파견수련계획!$R$4:$R$83,$AF163),IF($H163="","",IF(RIGHT($H163,2)="병원",$H163,$H163&amp;"병원"))),IF($H163="","",IF(RIGHT($H163,2)="병원",$H163,$H163&amp;"병원")))))</f>
        <v/>
      </c>
      <c r="AF163" s="10">
        <f>IF(OR($B163="",TRIM($J163&amp;"")=""),"",IFERROR(MATCH(TRIM($J163&amp;"")&amp;"|파견중",파견수련계획!$Y$4:$Y$83,0),IFERROR(MATCH(TRIM($J163&amp;"")&amp;"|파견예정",파견수련계획!$Y$4:$Y$83,0),IFERROR(MATCH(TRIM($J163&amp;"")&amp;"|파견종료",파견수련계획!$Y$4:$Y$83,0),""))))</f>
        <v/>
      </c>
      <c r="AG163" s="10">
        <f>IF($B163="","",IF(AND(IF(OR($AC163="",인턴현황!$K$2=""),"",INDEX(인턴근무계획!$M$3:$R$62,$AC163,인턴현황!$K$2)&amp;"")&lt;&gt;"",LEFT(IF(OR($AC163="",인턴현황!$K$2=""),"",INDEX(인턴근무계획!$M$3:$R$62,$AC163,인턴현황!$K$2)&amp;""),1)&lt;&gt;"⚠"),LEFT(IF(OR($AC163="",인턴현황!$K$2=""),"",INDEX(인턴근무계획!$M$3:$R$62,$AC163,인턴현황!$K$2)&amp;""),FIND(" ",IF(OR($AC163="",인턴현황!$K$2=""),"",INDEX(인턴근무계획!$M$3:$R$62,$AC163,인턴현황!$K$2)&amp;""))-1),$AE163))</f>
        <v/>
      </c>
      <c r="AH163" s="17">
        <f>IF($B163="","",IF(TRIM($J163&amp;"")="",0,SUMPRODUCT((파견수련계획!$Q$4:$Q$83=TRIM($J163&amp;""))*(파견수련계획!$S$4:$S$83="서울병원")*파견수련계획!$W$4:$W$83))+IF($AG163="서울병원",MAX(0,DAY(EOMONTH(요약!$B$3,0))-N($X163)),0))</f>
        <v/>
      </c>
      <c r="AI163" s="17">
        <f>IF($B163="","",IF(TRIM($J163&amp;"")="",0,SUMPRODUCT((파견수련계획!$Q$4:$Q$83=TRIM($J163&amp;""))*(파견수련계획!$S$4:$S$83="구리병원")*파견수련계획!$W$4:$W$83))+IF($AG163="구리병원",MAX(0,DAY(EOMONTH(요약!$B$3,0))-N($X163)),0))</f>
        <v/>
      </c>
      <c r="AJ163" s="10">
        <f>IF(OR($B163="",TRIM($J163&amp;"")=""),"",IFERROR(MATCH(TRIM($J163&amp;"")&amp;"|월",파견수련계획!$Z$4:$Z$83,0),""))</f>
        <v/>
      </c>
      <c r="AK163" s="10">
        <f>IF(OR($B163="",TRIM($J163&amp;"")=""),"",IFERROR(MATCH(TRIM($J163&amp;"")&amp;"|다기관",파견수련계획!$AE$4:$AE$83,0),""))</f>
        <v/>
      </c>
      <c r="AL163" s="10">
        <f>IF($AK163="","","다기관 "&amp;TEXT(INDEX(파견수련계획!$AB$4:$AB$83,$AK163),"yyyy-mm-dd")&amp;"~"&amp;IF(ISNUMBER(INDEX(파견수련계획!$AC$4:$AC$83,$AK163)),TEXT(INDEX(파견수련계획!$AC$4:$AC$83,$AK163),"yyyy-mm-dd"),""))</f>
        <v/>
      </c>
    </row>
    <row r="164">
      <c r="A164" s="10">
        <f>IF(B164="","",ROW()-1)</f>
        <v/>
      </c>
      <c r="B164" s="18" t="n"/>
      <c r="C164" s="10">
        <f>IF($AB164="","",IF(INDEX(기본자료!$C$2:$C$1001,$AB164)="","",INDEX(기본자료!$C$2:$C$1001,$AB164)))</f>
        <v/>
      </c>
      <c r="D164" s="10">
        <f>IF($AB164="","",IF(INDEX(기본자료!$J$2:$J$1001,$AB164)="","",INDEX(기본자료!$J$2:$J$1001,$AB164)))</f>
        <v/>
      </c>
      <c r="E164" s="11">
        <f>IF($AB164="","",IF(INDEX(기본자료!$K$2:$K$1001,$AB164)="","",IF(NOT(ISNUMBER(INDEX(기본자료!$K$2:$K$1001,$AB164))),INDEX(기본자료!$K$2:$K$1001,$AB164),IF(INDEX(기본자료!$K$2:$K$1001,$AB164)&lt;1000000,INDEX(기본자료!$K$2:$K$1001,$AB164),IF(AND(INDEX(기본자료!$K$2:$K$1001,$AB164)&gt;=10000101,INT(MOD(INDEX(기본자료!$K$2:$K$1001,$AB164),10000)/100)&gt;=1,INT(MOD(INDEX(기본자료!$K$2:$K$1001,$AB164),10000)/100)&lt;=12,MOD(INDEX(기본자료!$K$2:$K$1001,$AB164),100)&gt;=1,MOD(INDEX(기본자료!$K$2:$K$1001,$AB164),100)&lt;=31),DATE(INT(INDEX(기본자료!$K$2:$K$1001,$AB164)/10000),INT(MOD(INDEX(기본자료!$K$2:$K$1001,$AB164),10000)/100),MOD(INDEX(기본자료!$K$2:$K$1001,$AB164),100)),INDEX(기본자료!$K$2:$K$1001,$AB164)&amp;"")))))</f>
        <v/>
      </c>
      <c r="F164" s="10">
        <f>IF($AB164="","",IF(INDEX(기본자료!$D$2:$D$1001,$AB164)="","",INDEX(기본자료!$D$2:$D$1001,$AB164)))</f>
        <v/>
      </c>
      <c r="G164" s="10">
        <f>IF($AB164="","",IF(INDEX(기본자료!$E$2:$E$1001,$AB164)="","",INDEX(기본자료!$E$2:$E$1001,$AB164)))</f>
        <v/>
      </c>
      <c r="H164" s="10">
        <f>IF($AB164="","",IF(INDEX(기본자료!$F$2:$F$1001,$AB164)="","",INDEX(기본자료!$F$2:$F$1001,$AB164)))</f>
        <v/>
      </c>
      <c r="I164" s="11">
        <f>IF($AB164="","",IF(INDEX(기본자료!$G$2:$G$1001,$AB164)="","",IF(NOT(ISNUMBER(INDEX(기본자료!$G$2:$G$1001,$AB164))),INDEX(기본자료!$G$2:$G$1001,$AB164),IF(INDEX(기본자료!$G$2:$G$1001,$AB164)&lt;1000000,INDEX(기본자료!$G$2:$G$1001,$AB164),IF(AND(INDEX(기본자료!$G$2:$G$1001,$AB164)&gt;=10000101,INT(MOD(INDEX(기본자료!$G$2:$G$1001,$AB164),10000)/100)&gt;=1,INT(MOD(INDEX(기본자료!$G$2:$G$1001,$AB164),10000)/100)&lt;=12,MOD(INDEX(기본자료!$G$2:$G$1001,$AB164),100)&gt;=1,MOD(INDEX(기본자료!$G$2:$G$1001,$AB164),100)&lt;=31),DATE(INT(INDEX(기본자료!$G$2:$G$1001,$AB164)/10000),INT(MOD(INDEX(기본자료!$G$2:$G$1001,$AB164),10000)/100),MOD(INDEX(기본자료!$G$2:$G$1001,$AB164),100)),INDEX(기본자료!$G$2:$G$1001,$AB164)&amp;"")))))</f>
        <v/>
      </c>
      <c r="J164" s="10">
        <f>IF($AB164="","",IF(INDEX(기본자료!$H$2:$H$1001,$AB164)="","",INDEX(기본자료!$H$2:$H$1001,$AB164)))</f>
        <v/>
      </c>
      <c r="K164" s="10">
        <f>IF($AB164="","",IF(INDEX(기본자료!$I$2:$I$1001,$AB164)="","",INDEX(기본자료!$I$2:$I$1001,$AB164)))</f>
        <v/>
      </c>
      <c r="L164" s="10">
        <f>IF($AB164="","",IF(INDEX(기본자료!$A$2:$A$1001,$AB164)="","",INDEX(기본자료!$A$2:$A$1001,$AB164)))</f>
        <v/>
      </c>
      <c r="M164" s="15" t="n"/>
      <c r="N164" s="10">
        <f>IF($B164="","",IF(AND($U164="파견중",$Q164&lt;&gt;""),$Q164,IF(AND($AD164&lt;&gt;"",LEFT($AD164,1)&lt;&gt;"⚠"),LEFT($AD164,FIND(" ",$AD164)-1),IF($H164="","",IF(RIGHT($H164,2)="병원",$H164,$H164&amp;"병원")))))</f>
        <v/>
      </c>
      <c r="O164" s="10">
        <f>IF($B164="","",IF(AND($U164="파견중",$Q164&lt;&gt;""),IF($R164&lt;&gt;"",$R164,"파견과 미입력"),IF(AND($AD164&lt;&gt;"",LEFT($AD164,1)&lt;&gt;"⚠"),MID($AD164,FIND(" ",$AD164)+1,60),IF($F164="","",IF($F164="인턴","수련교육부(인턴)",$F164)))))</f>
        <v/>
      </c>
      <c r="P164" s="10">
        <f>IF($B164="","",IF($AK164&lt;&gt;"",IF(AND(TODAY()&gt;=INDEX(파견수련계획!$AB$4:$AB$83,$AK164),OR(NOT(ISNUMBER(INDEX(파견수련계획!$AC$4:$AC$83,$AK164))),TODAY()&lt;=INDEX(파견수련계획!$AC$4:$AC$83,$AK164))),"다기관",IF($AF164="","",INDEX(파견수련계획!$T$4:$T$83,$AF164))),IF($AF164="","",INDEX(파견수련계획!$T$4:$T$83,$AF164))))</f>
        <v/>
      </c>
      <c r="Q164" s="10">
        <f>IF($AF164="","",INDEX(파견수련계획!$S$4:$S$83,$AF164))</f>
        <v/>
      </c>
      <c r="R164" s="10">
        <f>IF($AF164="","",INDEX(파견수련계획!$U$4:$U$83,$AF164))</f>
        <v/>
      </c>
      <c r="S164" s="11">
        <f>IF($AF164="","",IF(INDEX(파견수련계획!$H$4:$H$83,$AF164)="","",INDEX(파견수련계획!$H$4:$H$83,$AF164)))</f>
        <v/>
      </c>
      <c r="T164" s="11">
        <f>IF($AF164="","",IF(INDEX(파견수련계획!$I$4:$I$83,$AF164)="","",INDEX(파견수련계획!$I$4:$I$83,$AF164)))</f>
        <v/>
      </c>
      <c r="U164" s="10">
        <f>IF($AF164="","",INDEX(파견수련계획!$X$4:$X$83,$AF164))</f>
        <v/>
      </c>
      <c r="V164" s="17">
        <f>IF($AF164="","",INDEX(파견수련계획!$V$4:$V$83,$AF164))</f>
        <v/>
      </c>
      <c r="W164" s="17">
        <f>IF(AND($U164="파견중",$T164&lt;&gt;""),$T164-TODAY(),"")</f>
        <v/>
      </c>
      <c r="X164" s="17">
        <f>IF(OR($B164="",TRIM($J164&amp;"")=""),"",SUMPRODUCT((파견수련계획!$Q$4:$Q$83=TRIM($J164&amp;""))*파견수련계획!$W$4:$W$83))</f>
        <v/>
      </c>
      <c r="Y164" s="10">
        <f>IF($B164="","",IF($AG164="","",IF(IF(TRIM($J164&amp;"")="",0,SUMPRODUCT((파견수련계획!$Q$4:$Q$83=TRIM($J164&amp;""))*파견수련계획!$AD$4:$AD$83))&gt;0,$AE164,IF(N($X164)&lt;=0,$AG164,IF($AH164+$AI164=DAY(EOMONTH(요약!$B$3,0)),IF(AND($AH164&gt;=요약!$E$3,$AI164&lt;요약!$E$3),"서울병원",IF(AND($AI164&gt;=요약!$E$3,$AH164&lt;요약!$E$3),"구리병원","⚠15일 판정불가(서울 "&amp;$AH164&amp;"일/구리 "&amp;$AI164&amp;"일)")),IF($AJ164="",$AE164,IF(INDEX(파견수련계획!$T$4:$T$83,$AJ164)="통합수련",INDEX(파견수련계획!$S$4:$S$83,$AJ164),$AE164)))))))</f>
        <v/>
      </c>
      <c r="Z164" s="19">
        <f>IF($B164="","",IF($AB164="","기본자료에 없는 사번",IF(COUNTIF($B$2:$B$401,$B164)&gt;1,"중복 사번",IF($AE164="","소속(입사장소) 입력",IF(IF(TRIM($J164&amp;"")="",0,SUMPRODUCT((파견수련계획!$Q$4:$Q$83=TRIM($J164&amp;""))*(파견수련계획!$AA$4:$AA$83&lt;&gt;"")))&gt;0,"파견수련계획 입력오류 확인",IF(LEFT($Y164,1)="⚠","서울·구리 15일 판정 불가(양쪽 모두 이상/미만)",IF(IF($AC164="",0,N(INDEX(인턴근무계획!$T$3:$T$62,$AC164)))&gt;0,"인턴계획 입력오류 확인",IF(AND($AC164&lt;&gt;"",$U164&lt;&gt;"파견중",$N164&lt;&gt;$AE164),"인턴 타지역 근무: 파견 여부 확인","정상"))))))))</f>
        <v/>
      </c>
      <c r="AA164" s="5" t="n"/>
      <c r="AB164" s="10">
        <f>IF($B164="","",IFERROR(MATCH($B164,기본자료!$B$2:$B$1001,0),IFERROR(MATCH($B164&amp;"",기본자료!$B$2:$B$1001,0),IFERROR(MATCH(VALUE($B164),기본자료!$B$2:$B$1001,0),""))))</f>
        <v/>
      </c>
      <c r="AC164" s="10">
        <f>IF($B164="","",IFERROR(MATCH($B164,인턴근무계획!$D$3:$D$62,0),IFERROR(MATCH($B164&amp;"",인턴근무계획!$D$3:$D$62,0),IFERROR(MATCH(VALUE($B164),인턴근무계획!$D$3:$D$62,0),""))))</f>
        <v/>
      </c>
      <c r="AD164" s="10">
        <f>IF(OR($AC164="",인턴현황!$G$3=""),"",INDEX(인턴근무계획!$M$3:$R$62,$AC164,인턴현황!$G$3)&amp;"")</f>
        <v/>
      </c>
      <c r="AE164" s="10">
        <f>IF($B164="","",IF($M164&lt;&gt;"",$M164,IF($AF164&lt;&gt;"",IF(LEFT(INDEX(파견수련계획!$R$4:$R$83,$AF164),1)&lt;&gt;"⚠",INDEX(파견수련계획!$R$4:$R$83,$AF164),IF($H164="","",IF(RIGHT($H164,2)="병원",$H164,$H164&amp;"병원"))),IF($H164="","",IF(RIGHT($H164,2)="병원",$H164,$H164&amp;"병원")))))</f>
        <v/>
      </c>
      <c r="AF164" s="10">
        <f>IF(OR($B164="",TRIM($J164&amp;"")=""),"",IFERROR(MATCH(TRIM($J164&amp;"")&amp;"|파견중",파견수련계획!$Y$4:$Y$83,0),IFERROR(MATCH(TRIM($J164&amp;"")&amp;"|파견예정",파견수련계획!$Y$4:$Y$83,0),IFERROR(MATCH(TRIM($J164&amp;"")&amp;"|파견종료",파견수련계획!$Y$4:$Y$83,0),""))))</f>
        <v/>
      </c>
      <c r="AG164" s="10">
        <f>IF($B164="","",IF(AND(IF(OR($AC164="",인턴현황!$K$2=""),"",INDEX(인턴근무계획!$M$3:$R$62,$AC164,인턴현황!$K$2)&amp;"")&lt;&gt;"",LEFT(IF(OR($AC164="",인턴현황!$K$2=""),"",INDEX(인턴근무계획!$M$3:$R$62,$AC164,인턴현황!$K$2)&amp;""),1)&lt;&gt;"⚠"),LEFT(IF(OR($AC164="",인턴현황!$K$2=""),"",INDEX(인턴근무계획!$M$3:$R$62,$AC164,인턴현황!$K$2)&amp;""),FIND(" ",IF(OR($AC164="",인턴현황!$K$2=""),"",INDEX(인턴근무계획!$M$3:$R$62,$AC164,인턴현황!$K$2)&amp;""))-1),$AE164))</f>
        <v/>
      </c>
      <c r="AH164" s="17">
        <f>IF($B164="","",IF(TRIM($J164&amp;"")="",0,SUMPRODUCT((파견수련계획!$Q$4:$Q$83=TRIM($J164&amp;""))*(파견수련계획!$S$4:$S$83="서울병원")*파견수련계획!$W$4:$W$83))+IF($AG164="서울병원",MAX(0,DAY(EOMONTH(요약!$B$3,0))-N($X164)),0))</f>
        <v/>
      </c>
      <c r="AI164" s="17">
        <f>IF($B164="","",IF(TRIM($J164&amp;"")="",0,SUMPRODUCT((파견수련계획!$Q$4:$Q$83=TRIM($J164&amp;""))*(파견수련계획!$S$4:$S$83="구리병원")*파견수련계획!$W$4:$W$83))+IF($AG164="구리병원",MAX(0,DAY(EOMONTH(요약!$B$3,0))-N($X164)),0))</f>
        <v/>
      </c>
      <c r="AJ164" s="10">
        <f>IF(OR($B164="",TRIM($J164&amp;"")=""),"",IFERROR(MATCH(TRIM($J164&amp;"")&amp;"|월",파견수련계획!$Z$4:$Z$83,0),""))</f>
        <v/>
      </c>
      <c r="AK164" s="10">
        <f>IF(OR($B164="",TRIM($J164&amp;"")=""),"",IFERROR(MATCH(TRIM($J164&amp;"")&amp;"|다기관",파견수련계획!$AE$4:$AE$83,0),""))</f>
        <v/>
      </c>
      <c r="AL164" s="10">
        <f>IF($AK164="","","다기관 "&amp;TEXT(INDEX(파견수련계획!$AB$4:$AB$83,$AK164),"yyyy-mm-dd")&amp;"~"&amp;IF(ISNUMBER(INDEX(파견수련계획!$AC$4:$AC$83,$AK164)),TEXT(INDEX(파견수련계획!$AC$4:$AC$83,$AK164),"yyyy-mm-dd"),""))</f>
        <v/>
      </c>
    </row>
    <row r="165">
      <c r="A165" s="10">
        <f>IF(B165="","",ROW()-1)</f>
        <v/>
      </c>
      <c r="B165" s="18" t="n"/>
      <c r="C165" s="10">
        <f>IF($AB165="","",IF(INDEX(기본자료!$C$2:$C$1001,$AB165)="","",INDEX(기본자료!$C$2:$C$1001,$AB165)))</f>
        <v/>
      </c>
      <c r="D165" s="10">
        <f>IF($AB165="","",IF(INDEX(기본자료!$J$2:$J$1001,$AB165)="","",INDEX(기본자료!$J$2:$J$1001,$AB165)))</f>
        <v/>
      </c>
      <c r="E165" s="11">
        <f>IF($AB165="","",IF(INDEX(기본자료!$K$2:$K$1001,$AB165)="","",IF(NOT(ISNUMBER(INDEX(기본자료!$K$2:$K$1001,$AB165))),INDEX(기본자료!$K$2:$K$1001,$AB165),IF(INDEX(기본자료!$K$2:$K$1001,$AB165)&lt;1000000,INDEX(기본자료!$K$2:$K$1001,$AB165),IF(AND(INDEX(기본자료!$K$2:$K$1001,$AB165)&gt;=10000101,INT(MOD(INDEX(기본자료!$K$2:$K$1001,$AB165),10000)/100)&gt;=1,INT(MOD(INDEX(기본자료!$K$2:$K$1001,$AB165),10000)/100)&lt;=12,MOD(INDEX(기본자료!$K$2:$K$1001,$AB165),100)&gt;=1,MOD(INDEX(기본자료!$K$2:$K$1001,$AB165),100)&lt;=31),DATE(INT(INDEX(기본자료!$K$2:$K$1001,$AB165)/10000),INT(MOD(INDEX(기본자료!$K$2:$K$1001,$AB165),10000)/100),MOD(INDEX(기본자료!$K$2:$K$1001,$AB165),100)),INDEX(기본자료!$K$2:$K$1001,$AB165)&amp;"")))))</f>
        <v/>
      </c>
      <c r="F165" s="10">
        <f>IF($AB165="","",IF(INDEX(기본자료!$D$2:$D$1001,$AB165)="","",INDEX(기본자료!$D$2:$D$1001,$AB165)))</f>
        <v/>
      </c>
      <c r="G165" s="10">
        <f>IF($AB165="","",IF(INDEX(기본자료!$E$2:$E$1001,$AB165)="","",INDEX(기본자료!$E$2:$E$1001,$AB165)))</f>
        <v/>
      </c>
      <c r="H165" s="10">
        <f>IF($AB165="","",IF(INDEX(기본자료!$F$2:$F$1001,$AB165)="","",INDEX(기본자료!$F$2:$F$1001,$AB165)))</f>
        <v/>
      </c>
      <c r="I165" s="11">
        <f>IF($AB165="","",IF(INDEX(기본자료!$G$2:$G$1001,$AB165)="","",IF(NOT(ISNUMBER(INDEX(기본자료!$G$2:$G$1001,$AB165))),INDEX(기본자료!$G$2:$G$1001,$AB165),IF(INDEX(기본자료!$G$2:$G$1001,$AB165)&lt;1000000,INDEX(기본자료!$G$2:$G$1001,$AB165),IF(AND(INDEX(기본자료!$G$2:$G$1001,$AB165)&gt;=10000101,INT(MOD(INDEX(기본자료!$G$2:$G$1001,$AB165),10000)/100)&gt;=1,INT(MOD(INDEX(기본자료!$G$2:$G$1001,$AB165),10000)/100)&lt;=12,MOD(INDEX(기본자료!$G$2:$G$1001,$AB165),100)&gt;=1,MOD(INDEX(기본자료!$G$2:$G$1001,$AB165),100)&lt;=31),DATE(INT(INDEX(기본자료!$G$2:$G$1001,$AB165)/10000),INT(MOD(INDEX(기본자료!$G$2:$G$1001,$AB165),10000)/100),MOD(INDEX(기본자료!$G$2:$G$1001,$AB165),100)),INDEX(기본자료!$G$2:$G$1001,$AB165)&amp;"")))))</f>
        <v/>
      </c>
      <c r="J165" s="10">
        <f>IF($AB165="","",IF(INDEX(기본자료!$H$2:$H$1001,$AB165)="","",INDEX(기본자료!$H$2:$H$1001,$AB165)))</f>
        <v/>
      </c>
      <c r="K165" s="10">
        <f>IF($AB165="","",IF(INDEX(기본자료!$I$2:$I$1001,$AB165)="","",INDEX(기본자료!$I$2:$I$1001,$AB165)))</f>
        <v/>
      </c>
      <c r="L165" s="10">
        <f>IF($AB165="","",IF(INDEX(기본자료!$A$2:$A$1001,$AB165)="","",INDEX(기본자료!$A$2:$A$1001,$AB165)))</f>
        <v/>
      </c>
      <c r="M165" s="15" t="n"/>
      <c r="N165" s="10">
        <f>IF($B165="","",IF(AND($U165="파견중",$Q165&lt;&gt;""),$Q165,IF(AND($AD165&lt;&gt;"",LEFT($AD165,1)&lt;&gt;"⚠"),LEFT($AD165,FIND(" ",$AD165)-1),IF($H165="","",IF(RIGHT($H165,2)="병원",$H165,$H165&amp;"병원")))))</f>
        <v/>
      </c>
      <c r="O165" s="10">
        <f>IF($B165="","",IF(AND($U165="파견중",$Q165&lt;&gt;""),IF($R165&lt;&gt;"",$R165,"파견과 미입력"),IF(AND($AD165&lt;&gt;"",LEFT($AD165,1)&lt;&gt;"⚠"),MID($AD165,FIND(" ",$AD165)+1,60),IF($F165="","",IF($F165="인턴","수련교육부(인턴)",$F165)))))</f>
        <v/>
      </c>
      <c r="P165" s="10">
        <f>IF($B165="","",IF($AK165&lt;&gt;"",IF(AND(TODAY()&gt;=INDEX(파견수련계획!$AB$4:$AB$83,$AK165),OR(NOT(ISNUMBER(INDEX(파견수련계획!$AC$4:$AC$83,$AK165))),TODAY()&lt;=INDEX(파견수련계획!$AC$4:$AC$83,$AK165))),"다기관",IF($AF165="","",INDEX(파견수련계획!$T$4:$T$83,$AF165))),IF($AF165="","",INDEX(파견수련계획!$T$4:$T$83,$AF165))))</f>
        <v/>
      </c>
      <c r="Q165" s="10">
        <f>IF($AF165="","",INDEX(파견수련계획!$S$4:$S$83,$AF165))</f>
        <v/>
      </c>
      <c r="R165" s="10">
        <f>IF($AF165="","",INDEX(파견수련계획!$U$4:$U$83,$AF165))</f>
        <v/>
      </c>
      <c r="S165" s="11">
        <f>IF($AF165="","",IF(INDEX(파견수련계획!$H$4:$H$83,$AF165)="","",INDEX(파견수련계획!$H$4:$H$83,$AF165)))</f>
        <v/>
      </c>
      <c r="T165" s="11">
        <f>IF($AF165="","",IF(INDEX(파견수련계획!$I$4:$I$83,$AF165)="","",INDEX(파견수련계획!$I$4:$I$83,$AF165)))</f>
        <v/>
      </c>
      <c r="U165" s="10">
        <f>IF($AF165="","",INDEX(파견수련계획!$X$4:$X$83,$AF165))</f>
        <v/>
      </c>
      <c r="V165" s="17">
        <f>IF($AF165="","",INDEX(파견수련계획!$V$4:$V$83,$AF165))</f>
        <v/>
      </c>
      <c r="W165" s="17">
        <f>IF(AND($U165="파견중",$T165&lt;&gt;""),$T165-TODAY(),"")</f>
        <v/>
      </c>
      <c r="X165" s="17">
        <f>IF(OR($B165="",TRIM($J165&amp;"")=""),"",SUMPRODUCT((파견수련계획!$Q$4:$Q$83=TRIM($J165&amp;""))*파견수련계획!$W$4:$W$83))</f>
        <v/>
      </c>
      <c r="Y165" s="10">
        <f>IF($B165="","",IF($AG165="","",IF(IF(TRIM($J165&amp;"")="",0,SUMPRODUCT((파견수련계획!$Q$4:$Q$83=TRIM($J165&amp;""))*파견수련계획!$AD$4:$AD$83))&gt;0,$AE165,IF(N($X165)&lt;=0,$AG165,IF($AH165+$AI165=DAY(EOMONTH(요약!$B$3,0)),IF(AND($AH165&gt;=요약!$E$3,$AI165&lt;요약!$E$3),"서울병원",IF(AND($AI165&gt;=요약!$E$3,$AH165&lt;요약!$E$3),"구리병원","⚠15일 판정불가(서울 "&amp;$AH165&amp;"일/구리 "&amp;$AI165&amp;"일)")),IF($AJ165="",$AE165,IF(INDEX(파견수련계획!$T$4:$T$83,$AJ165)="통합수련",INDEX(파견수련계획!$S$4:$S$83,$AJ165),$AE165)))))))</f>
        <v/>
      </c>
      <c r="Z165" s="19">
        <f>IF($B165="","",IF($AB165="","기본자료에 없는 사번",IF(COUNTIF($B$2:$B$401,$B165)&gt;1,"중복 사번",IF($AE165="","소속(입사장소) 입력",IF(IF(TRIM($J165&amp;"")="",0,SUMPRODUCT((파견수련계획!$Q$4:$Q$83=TRIM($J165&amp;""))*(파견수련계획!$AA$4:$AA$83&lt;&gt;"")))&gt;0,"파견수련계획 입력오류 확인",IF(LEFT($Y165,1)="⚠","서울·구리 15일 판정 불가(양쪽 모두 이상/미만)",IF(IF($AC165="",0,N(INDEX(인턴근무계획!$T$3:$T$62,$AC165)))&gt;0,"인턴계획 입력오류 확인",IF(AND($AC165&lt;&gt;"",$U165&lt;&gt;"파견중",$N165&lt;&gt;$AE165),"인턴 타지역 근무: 파견 여부 확인","정상"))))))))</f>
        <v/>
      </c>
      <c r="AA165" s="5" t="n"/>
      <c r="AB165" s="10">
        <f>IF($B165="","",IFERROR(MATCH($B165,기본자료!$B$2:$B$1001,0),IFERROR(MATCH($B165&amp;"",기본자료!$B$2:$B$1001,0),IFERROR(MATCH(VALUE($B165),기본자료!$B$2:$B$1001,0),""))))</f>
        <v/>
      </c>
      <c r="AC165" s="10">
        <f>IF($B165="","",IFERROR(MATCH($B165,인턴근무계획!$D$3:$D$62,0),IFERROR(MATCH($B165&amp;"",인턴근무계획!$D$3:$D$62,0),IFERROR(MATCH(VALUE($B165),인턴근무계획!$D$3:$D$62,0),""))))</f>
        <v/>
      </c>
      <c r="AD165" s="10">
        <f>IF(OR($AC165="",인턴현황!$G$3=""),"",INDEX(인턴근무계획!$M$3:$R$62,$AC165,인턴현황!$G$3)&amp;"")</f>
        <v/>
      </c>
      <c r="AE165" s="10">
        <f>IF($B165="","",IF($M165&lt;&gt;"",$M165,IF($AF165&lt;&gt;"",IF(LEFT(INDEX(파견수련계획!$R$4:$R$83,$AF165),1)&lt;&gt;"⚠",INDEX(파견수련계획!$R$4:$R$83,$AF165),IF($H165="","",IF(RIGHT($H165,2)="병원",$H165,$H165&amp;"병원"))),IF($H165="","",IF(RIGHT($H165,2)="병원",$H165,$H165&amp;"병원")))))</f>
        <v/>
      </c>
      <c r="AF165" s="10">
        <f>IF(OR($B165="",TRIM($J165&amp;"")=""),"",IFERROR(MATCH(TRIM($J165&amp;"")&amp;"|파견중",파견수련계획!$Y$4:$Y$83,0),IFERROR(MATCH(TRIM($J165&amp;"")&amp;"|파견예정",파견수련계획!$Y$4:$Y$83,0),IFERROR(MATCH(TRIM($J165&amp;"")&amp;"|파견종료",파견수련계획!$Y$4:$Y$83,0),""))))</f>
        <v/>
      </c>
      <c r="AG165" s="10">
        <f>IF($B165="","",IF(AND(IF(OR($AC165="",인턴현황!$K$2=""),"",INDEX(인턴근무계획!$M$3:$R$62,$AC165,인턴현황!$K$2)&amp;"")&lt;&gt;"",LEFT(IF(OR($AC165="",인턴현황!$K$2=""),"",INDEX(인턴근무계획!$M$3:$R$62,$AC165,인턴현황!$K$2)&amp;""),1)&lt;&gt;"⚠"),LEFT(IF(OR($AC165="",인턴현황!$K$2=""),"",INDEX(인턴근무계획!$M$3:$R$62,$AC165,인턴현황!$K$2)&amp;""),FIND(" ",IF(OR($AC165="",인턴현황!$K$2=""),"",INDEX(인턴근무계획!$M$3:$R$62,$AC165,인턴현황!$K$2)&amp;""))-1),$AE165))</f>
        <v/>
      </c>
      <c r="AH165" s="17">
        <f>IF($B165="","",IF(TRIM($J165&amp;"")="",0,SUMPRODUCT((파견수련계획!$Q$4:$Q$83=TRIM($J165&amp;""))*(파견수련계획!$S$4:$S$83="서울병원")*파견수련계획!$W$4:$W$83))+IF($AG165="서울병원",MAX(0,DAY(EOMONTH(요약!$B$3,0))-N($X165)),0))</f>
        <v/>
      </c>
      <c r="AI165" s="17">
        <f>IF($B165="","",IF(TRIM($J165&amp;"")="",0,SUMPRODUCT((파견수련계획!$Q$4:$Q$83=TRIM($J165&amp;""))*(파견수련계획!$S$4:$S$83="구리병원")*파견수련계획!$W$4:$W$83))+IF($AG165="구리병원",MAX(0,DAY(EOMONTH(요약!$B$3,0))-N($X165)),0))</f>
        <v/>
      </c>
      <c r="AJ165" s="10">
        <f>IF(OR($B165="",TRIM($J165&amp;"")=""),"",IFERROR(MATCH(TRIM($J165&amp;"")&amp;"|월",파견수련계획!$Z$4:$Z$83,0),""))</f>
        <v/>
      </c>
      <c r="AK165" s="10">
        <f>IF(OR($B165="",TRIM($J165&amp;"")=""),"",IFERROR(MATCH(TRIM($J165&amp;"")&amp;"|다기관",파견수련계획!$AE$4:$AE$83,0),""))</f>
        <v/>
      </c>
      <c r="AL165" s="10">
        <f>IF($AK165="","","다기관 "&amp;TEXT(INDEX(파견수련계획!$AB$4:$AB$83,$AK165),"yyyy-mm-dd")&amp;"~"&amp;IF(ISNUMBER(INDEX(파견수련계획!$AC$4:$AC$83,$AK165)),TEXT(INDEX(파견수련계획!$AC$4:$AC$83,$AK165),"yyyy-mm-dd"),""))</f>
        <v/>
      </c>
    </row>
    <row r="166">
      <c r="A166" s="10">
        <f>IF(B166="","",ROW()-1)</f>
        <v/>
      </c>
      <c r="B166" s="18" t="n"/>
      <c r="C166" s="10">
        <f>IF($AB166="","",IF(INDEX(기본자료!$C$2:$C$1001,$AB166)="","",INDEX(기본자료!$C$2:$C$1001,$AB166)))</f>
        <v/>
      </c>
      <c r="D166" s="10">
        <f>IF($AB166="","",IF(INDEX(기본자료!$J$2:$J$1001,$AB166)="","",INDEX(기본자료!$J$2:$J$1001,$AB166)))</f>
        <v/>
      </c>
      <c r="E166" s="11">
        <f>IF($AB166="","",IF(INDEX(기본자료!$K$2:$K$1001,$AB166)="","",IF(NOT(ISNUMBER(INDEX(기본자료!$K$2:$K$1001,$AB166))),INDEX(기본자료!$K$2:$K$1001,$AB166),IF(INDEX(기본자료!$K$2:$K$1001,$AB166)&lt;1000000,INDEX(기본자료!$K$2:$K$1001,$AB166),IF(AND(INDEX(기본자료!$K$2:$K$1001,$AB166)&gt;=10000101,INT(MOD(INDEX(기본자료!$K$2:$K$1001,$AB166),10000)/100)&gt;=1,INT(MOD(INDEX(기본자료!$K$2:$K$1001,$AB166),10000)/100)&lt;=12,MOD(INDEX(기본자료!$K$2:$K$1001,$AB166),100)&gt;=1,MOD(INDEX(기본자료!$K$2:$K$1001,$AB166),100)&lt;=31),DATE(INT(INDEX(기본자료!$K$2:$K$1001,$AB166)/10000),INT(MOD(INDEX(기본자료!$K$2:$K$1001,$AB166),10000)/100),MOD(INDEX(기본자료!$K$2:$K$1001,$AB166),100)),INDEX(기본자료!$K$2:$K$1001,$AB166)&amp;"")))))</f>
        <v/>
      </c>
      <c r="F166" s="10">
        <f>IF($AB166="","",IF(INDEX(기본자료!$D$2:$D$1001,$AB166)="","",INDEX(기본자료!$D$2:$D$1001,$AB166)))</f>
        <v/>
      </c>
      <c r="G166" s="10">
        <f>IF($AB166="","",IF(INDEX(기본자료!$E$2:$E$1001,$AB166)="","",INDEX(기본자료!$E$2:$E$1001,$AB166)))</f>
        <v/>
      </c>
      <c r="H166" s="10">
        <f>IF($AB166="","",IF(INDEX(기본자료!$F$2:$F$1001,$AB166)="","",INDEX(기본자료!$F$2:$F$1001,$AB166)))</f>
        <v/>
      </c>
      <c r="I166" s="11">
        <f>IF($AB166="","",IF(INDEX(기본자료!$G$2:$G$1001,$AB166)="","",IF(NOT(ISNUMBER(INDEX(기본자료!$G$2:$G$1001,$AB166))),INDEX(기본자료!$G$2:$G$1001,$AB166),IF(INDEX(기본자료!$G$2:$G$1001,$AB166)&lt;1000000,INDEX(기본자료!$G$2:$G$1001,$AB166),IF(AND(INDEX(기본자료!$G$2:$G$1001,$AB166)&gt;=10000101,INT(MOD(INDEX(기본자료!$G$2:$G$1001,$AB166),10000)/100)&gt;=1,INT(MOD(INDEX(기본자료!$G$2:$G$1001,$AB166),10000)/100)&lt;=12,MOD(INDEX(기본자료!$G$2:$G$1001,$AB166),100)&gt;=1,MOD(INDEX(기본자료!$G$2:$G$1001,$AB166),100)&lt;=31),DATE(INT(INDEX(기본자료!$G$2:$G$1001,$AB166)/10000),INT(MOD(INDEX(기본자료!$G$2:$G$1001,$AB166),10000)/100),MOD(INDEX(기본자료!$G$2:$G$1001,$AB166),100)),INDEX(기본자료!$G$2:$G$1001,$AB166)&amp;"")))))</f>
        <v/>
      </c>
      <c r="J166" s="10">
        <f>IF($AB166="","",IF(INDEX(기본자료!$H$2:$H$1001,$AB166)="","",INDEX(기본자료!$H$2:$H$1001,$AB166)))</f>
        <v/>
      </c>
      <c r="K166" s="10">
        <f>IF($AB166="","",IF(INDEX(기본자료!$I$2:$I$1001,$AB166)="","",INDEX(기본자료!$I$2:$I$1001,$AB166)))</f>
        <v/>
      </c>
      <c r="L166" s="10">
        <f>IF($AB166="","",IF(INDEX(기본자료!$A$2:$A$1001,$AB166)="","",INDEX(기본자료!$A$2:$A$1001,$AB166)))</f>
        <v/>
      </c>
      <c r="M166" s="15" t="n"/>
      <c r="N166" s="10">
        <f>IF($B166="","",IF(AND($U166="파견중",$Q166&lt;&gt;""),$Q166,IF(AND($AD166&lt;&gt;"",LEFT($AD166,1)&lt;&gt;"⚠"),LEFT($AD166,FIND(" ",$AD166)-1),IF($H166="","",IF(RIGHT($H166,2)="병원",$H166,$H166&amp;"병원")))))</f>
        <v/>
      </c>
      <c r="O166" s="10">
        <f>IF($B166="","",IF(AND($U166="파견중",$Q166&lt;&gt;""),IF($R166&lt;&gt;"",$R166,"파견과 미입력"),IF(AND($AD166&lt;&gt;"",LEFT($AD166,1)&lt;&gt;"⚠"),MID($AD166,FIND(" ",$AD166)+1,60),IF($F166="","",IF($F166="인턴","수련교육부(인턴)",$F166)))))</f>
        <v/>
      </c>
      <c r="P166" s="10">
        <f>IF($B166="","",IF($AK166&lt;&gt;"",IF(AND(TODAY()&gt;=INDEX(파견수련계획!$AB$4:$AB$83,$AK166),OR(NOT(ISNUMBER(INDEX(파견수련계획!$AC$4:$AC$83,$AK166))),TODAY()&lt;=INDEX(파견수련계획!$AC$4:$AC$83,$AK166))),"다기관",IF($AF166="","",INDEX(파견수련계획!$T$4:$T$83,$AF166))),IF($AF166="","",INDEX(파견수련계획!$T$4:$T$83,$AF166))))</f>
        <v/>
      </c>
      <c r="Q166" s="10">
        <f>IF($AF166="","",INDEX(파견수련계획!$S$4:$S$83,$AF166))</f>
        <v/>
      </c>
      <c r="R166" s="10">
        <f>IF($AF166="","",INDEX(파견수련계획!$U$4:$U$83,$AF166))</f>
        <v/>
      </c>
      <c r="S166" s="11">
        <f>IF($AF166="","",IF(INDEX(파견수련계획!$H$4:$H$83,$AF166)="","",INDEX(파견수련계획!$H$4:$H$83,$AF166)))</f>
        <v/>
      </c>
      <c r="T166" s="11">
        <f>IF($AF166="","",IF(INDEX(파견수련계획!$I$4:$I$83,$AF166)="","",INDEX(파견수련계획!$I$4:$I$83,$AF166)))</f>
        <v/>
      </c>
      <c r="U166" s="10">
        <f>IF($AF166="","",INDEX(파견수련계획!$X$4:$X$83,$AF166))</f>
        <v/>
      </c>
      <c r="V166" s="17">
        <f>IF($AF166="","",INDEX(파견수련계획!$V$4:$V$83,$AF166))</f>
        <v/>
      </c>
      <c r="W166" s="17">
        <f>IF(AND($U166="파견중",$T166&lt;&gt;""),$T166-TODAY(),"")</f>
        <v/>
      </c>
      <c r="X166" s="17">
        <f>IF(OR($B166="",TRIM($J166&amp;"")=""),"",SUMPRODUCT((파견수련계획!$Q$4:$Q$83=TRIM($J166&amp;""))*파견수련계획!$W$4:$W$83))</f>
        <v/>
      </c>
      <c r="Y166" s="10">
        <f>IF($B166="","",IF($AG166="","",IF(IF(TRIM($J166&amp;"")="",0,SUMPRODUCT((파견수련계획!$Q$4:$Q$83=TRIM($J166&amp;""))*파견수련계획!$AD$4:$AD$83))&gt;0,$AE166,IF(N($X166)&lt;=0,$AG166,IF($AH166+$AI166=DAY(EOMONTH(요약!$B$3,0)),IF(AND($AH166&gt;=요약!$E$3,$AI166&lt;요약!$E$3),"서울병원",IF(AND($AI166&gt;=요약!$E$3,$AH166&lt;요약!$E$3),"구리병원","⚠15일 판정불가(서울 "&amp;$AH166&amp;"일/구리 "&amp;$AI166&amp;"일)")),IF($AJ166="",$AE166,IF(INDEX(파견수련계획!$T$4:$T$83,$AJ166)="통합수련",INDEX(파견수련계획!$S$4:$S$83,$AJ166),$AE166)))))))</f>
        <v/>
      </c>
      <c r="Z166" s="19">
        <f>IF($B166="","",IF($AB166="","기본자료에 없는 사번",IF(COUNTIF($B$2:$B$401,$B166)&gt;1,"중복 사번",IF($AE166="","소속(입사장소) 입력",IF(IF(TRIM($J166&amp;"")="",0,SUMPRODUCT((파견수련계획!$Q$4:$Q$83=TRIM($J166&amp;""))*(파견수련계획!$AA$4:$AA$83&lt;&gt;"")))&gt;0,"파견수련계획 입력오류 확인",IF(LEFT($Y166,1)="⚠","서울·구리 15일 판정 불가(양쪽 모두 이상/미만)",IF(IF($AC166="",0,N(INDEX(인턴근무계획!$T$3:$T$62,$AC166)))&gt;0,"인턴계획 입력오류 확인",IF(AND($AC166&lt;&gt;"",$U166&lt;&gt;"파견중",$N166&lt;&gt;$AE166),"인턴 타지역 근무: 파견 여부 확인","정상"))))))))</f>
        <v/>
      </c>
      <c r="AA166" s="5" t="n"/>
      <c r="AB166" s="10">
        <f>IF($B166="","",IFERROR(MATCH($B166,기본자료!$B$2:$B$1001,0),IFERROR(MATCH($B166&amp;"",기본자료!$B$2:$B$1001,0),IFERROR(MATCH(VALUE($B166),기본자료!$B$2:$B$1001,0),""))))</f>
        <v/>
      </c>
      <c r="AC166" s="10">
        <f>IF($B166="","",IFERROR(MATCH($B166,인턴근무계획!$D$3:$D$62,0),IFERROR(MATCH($B166&amp;"",인턴근무계획!$D$3:$D$62,0),IFERROR(MATCH(VALUE($B166),인턴근무계획!$D$3:$D$62,0),""))))</f>
        <v/>
      </c>
      <c r="AD166" s="10">
        <f>IF(OR($AC166="",인턴현황!$G$3=""),"",INDEX(인턴근무계획!$M$3:$R$62,$AC166,인턴현황!$G$3)&amp;"")</f>
        <v/>
      </c>
      <c r="AE166" s="10">
        <f>IF($B166="","",IF($M166&lt;&gt;"",$M166,IF($AF166&lt;&gt;"",IF(LEFT(INDEX(파견수련계획!$R$4:$R$83,$AF166),1)&lt;&gt;"⚠",INDEX(파견수련계획!$R$4:$R$83,$AF166),IF($H166="","",IF(RIGHT($H166,2)="병원",$H166,$H166&amp;"병원"))),IF($H166="","",IF(RIGHT($H166,2)="병원",$H166,$H166&amp;"병원")))))</f>
        <v/>
      </c>
      <c r="AF166" s="10">
        <f>IF(OR($B166="",TRIM($J166&amp;"")=""),"",IFERROR(MATCH(TRIM($J166&amp;"")&amp;"|파견중",파견수련계획!$Y$4:$Y$83,0),IFERROR(MATCH(TRIM($J166&amp;"")&amp;"|파견예정",파견수련계획!$Y$4:$Y$83,0),IFERROR(MATCH(TRIM($J166&amp;"")&amp;"|파견종료",파견수련계획!$Y$4:$Y$83,0),""))))</f>
        <v/>
      </c>
      <c r="AG166" s="10">
        <f>IF($B166="","",IF(AND(IF(OR($AC166="",인턴현황!$K$2=""),"",INDEX(인턴근무계획!$M$3:$R$62,$AC166,인턴현황!$K$2)&amp;"")&lt;&gt;"",LEFT(IF(OR($AC166="",인턴현황!$K$2=""),"",INDEX(인턴근무계획!$M$3:$R$62,$AC166,인턴현황!$K$2)&amp;""),1)&lt;&gt;"⚠"),LEFT(IF(OR($AC166="",인턴현황!$K$2=""),"",INDEX(인턴근무계획!$M$3:$R$62,$AC166,인턴현황!$K$2)&amp;""),FIND(" ",IF(OR($AC166="",인턴현황!$K$2=""),"",INDEX(인턴근무계획!$M$3:$R$62,$AC166,인턴현황!$K$2)&amp;""))-1),$AE166))</f>
        <v/>
      </c>
      <c r="AH166" s="17">
        <f>IF($B166="","",IF(TRIM($J166&amp;"")="",0,SUMPRODUCT((파견수련계획!$Q$4:$Q$83=TRIM($J166&amp;""))*(파견수련계획!$S$4:$S$83="서울병원")*파견수련계획!$W$4:$W$83))+IF($AG166="서울병원",MAX(0,DAY(EOMONTH(요약!$B$3,0))-N($X166)),0))</f>
        <v/>
      </c>
      <c r="AI166" s="17">
        <f>IF($B166="","",IF(TRIM($J166&amp;"")="",0,SUMPRODUCT((파견수련계획!$Q$4:$Q$83=TRIM($J166&amp;""))*(파견수련계획!$S$4:$S$83="구리병원")*파견수련계획!$W$4:$W$83))+IF($AG166="구리병원",MAX(0,DAY(EOMONTH(요약!$B$3,0))-N($X166)),0))</f>
        <v/>
      </c>
      <c r="AJ166" s="10">
        <f>IF(OR($B166="",TRIM($J166&amp;"")=""),"",IFERROR(MATCH(TRIM($J166&amp;"")&amp;"|월",파견수련계획!$Z$4:$Z$83,0),""))</f>
        <v/>
      </c>
      <c r="AK166" s="10">
        <f>IF(OR($B166="",TRIM($J166&amp;"")=""),"",IFERROR(MATCH(TRIM($J166&amp;"")&amp;"|다기관",파견수련계획!$AE$4:$AE$83,0),""))</f>
        <v/>
      </c>
      <c r="AL166" s="10">
        <f>IF($AK166="","","다기관 "&amp;TEXT(INDEX(파견수련계획!$AB$4:$AB$83,$AK166),"yyyy-mm-dd")&amp;"~"&amp;IF(ISNUMBER(INDEX(파견수련계획!$AC$4:$AC$83,$AK166)),TEXT(INDEX(파견수련계획!$AC$4:$AC$83,$AK166),"yyyy-mm-dd"),""))</f>
        <v/>
      </c>
    </row>
    <row r="167">
      <c r="A167" s="10">
        <f>IF(B167="","",ROW()-1)</f>
        <v/>
      </c>
      <c r="B167" s="18" t="n"/>
      <c r="C167" s="10">
        <f>IF($AB167="","",IF(INDEX(기본자료!$C$2:$C$1001,$AB167)="","",INDEX(기본자료!$C$2:$C$1001,$AB167)))</f>
        <v/>
      </c>
      <c r="D167" s="10">
        <f>IF($AB167="","",IF(INDEX(기본자료!$J$2:$J$1001,$AB167)="","",INDEX(기본자료!$J$2:$J$1001,$AB167)))</f>
        <v/>
      </c>
      <c r="E167" s="11">
        <f>IF($AB167="","",IF(INDEX(기본자료!$K$2:$K$1001,$AB167)="","",IF(NOT(ISNUMBER(INDEX(기본자료!$K$2:$K$1001,$AB167))),INDEX(기본자료!$K$2:$K$1001,$AB167),IF(INDEX(기본자료!$K$2:$K$1001,$AB167)&lt;1000000,INDEX(기본자료!$K$2:$K$1001,$AB167),IF(AND(INDEX(기본자료!$K$2:$K$1001,$AB167)&gt;=10000101,INT(MOD(INDEX(기본자료!$K$2:$K$1001,$AB167),10000)/100)&gt;=1,INT(MOD(INDEX(기본자료!$K$2:$K$1001,$AB167),10000)/100)&lt;=12,MOD(INDEX(기본자료!$K$2:$K$1001,$AB167),100)&gt;=1,MOD(INDEX(기본자료!$K$2:$K$1001,$AB167),100)&lt;=31),DATE(INT(INDEX(기본자료!$K$2:$K$1001,$AB167)/10000),INT(MOD(INDEX(기본자료!$K$2:$K$1001,$AB167),10000)/100),MOD(INDEX(기본자료!$K$2:$K$1001,$AB167),100)),INDEX(기본자료!$K$2:$K$1001,$AB167)&amp;"")))))</f>
        <v/>
      </c>
      <c r="F167" s="10">
        <f>IF($AB167="","",IF(INDEX(기본자료!$D$2:$D$1001,$AB167)="","",INDEX(기본자료!$D$2:$D$1001,$AB167)))</f>
        <v/>
      </c>
      <c r="G167" s="10">
        <f>IF($AB167="","",IF(INDEX(기본자료!$E$2:$E$1001,$AB167)="","",INDEX(기본자료!$E$2:$E$1001,$AB167)))</f>
        <v/>
      </c>
      <c r="H167" s="10">
        <f>IF($AB167="","",IF(INDEX(기본자료!$F$2:$F$1001,$AB167)="","",INDEX(기본자료!$F$2:$F$1001,$AB167)))</f>
        <v/>
      </c>
      <c r="I167" s="11">
        <f>IF($AB167="","",IF(INDEX(기본자료!$G$2:$G$1001,$AB167)="","",IF(NOT(ISNUMBER(INDEX(기본자료!$G$2:$G$1001,$AB167))),INDEX(기본자료!$G$2:$G$1001,$AB167),IF(INDEX(기본자료!$G$2:$G$1001,$AB167)&lt;1000000,INDEX(기본자료!$G$2:$G$1001,$AB167),IF(AND(INDEX(기본자료!$G$2:$G$1001,$AB167)&gt;=10000101,INT(MOD(INDEX(기본자료!$G$2:$G$1001,$AB167),10000)/100)&gt;=1,INT(MOD(INDEX(기본자료!$G$2:$G$1001,$AB167),10000)/100)&lt;=12,MOD(INDEX(기본자료!$G$2:$G$1001,$AB167),100)&gt;=1,MOD(INDEX(기본자료!$G$2:$G$1001,$AB167),100)&lt;=31),DATE(INT(INDEX(기본자료!$G$2:$G$1001,$AB167)/10000),INT(MOD(INDEX(기본자료!$G$2:$G$1001,$AB167),10000)/100),MOD(INDEX(기본자료!$G$2:$G$1001,$AB167),100)),INDEX(기본자료!$G$2:$G$1001,$AB167)&amp;"")))))</f>
        <v/>
      </c>
      <c r="J167" s="10">
        <f>IF($AB167="","",IF(INDEX(기본자료!$H$2:$H$1001,$AB167)="","",INDEX(기본자료!$H$2:$H$1001,$AB167)))</f>
        <v/>
      </c>
      <c r="K167" s="10">
        <f>IF($AB167="","",IF(INDEX(기본자료!$I$2:$I$1001,$AB167)="","",INDEX(기본자료!$I$2:$I$1001,$AB167)))</f>
        <v/>
      </c>
      <c r="L167" s="10">
        <f>IF($AB167="","",IF(INDEX(기본자료!$A$2:$A$1001,$AB167)="","",INDEX(기본자료!$A$2:$A$1001,$AB167)))</f>
        <v/>
      </c>
      <c r="M167" s="15" t="n"/>
      <c r="N167" s="10">
        <f>IF($B167="","",IF(AND($U167="파견중",$Q167&lt;&gt;""),$Q167,IF(AND($AD167&lt;&gt;"",LEFT($AD167,1)&lt;&gt;"⚠"),LEFT($AD167,FIND(" ",$AD167)-1),IF($H167="","",IF(RIGHT($H167,2)="병원",$H167,$H167&amp;"병원")))))</f>
        <v/>
      </c>
      <c r="O167" s="10">
        <f>IF($B167="","",IF(AND($U167="파견중",$Q167&lt;&gt;""),IF($R167&lt;&gt;"",$R167,"파견과 미입력"),IF(AND($AD167&lt;&gt;"",LEFT($AD167,1)&lt;&gt;"⚠"),MID($AD167,FIND(" ",$AD167)+1,60),IF($F167="","",IF($F167="인턴","수련교육부(인턴)",$F167)))))</f>
        <v/>
      </c>
      <c r="P167" s="10">
        <f>IF($B167="","",IF($AK167&lt;&gt;"",IF(AND(TODAY()&gt;=INDEX(파견수련계획!$AB$4:$AB$83,$AK167),OR(NOT(ISNUMBER(INDEX(파견수련계획!$AC$4:$AC$83,$AK167))),TODAY()&lt;=INDEX(파견수련계획!$AC$4:$AC$83,$AK167))),"다기관",IF($AF167="","",INDEX(파견수련계획!$T$4:$T$83,$AF167))),IF($AF167="","",INDEX(파견수련계획!$T$4:$T$83,$AF167))))</f>
        <v/>
      </c>
      <c r="Q167" s="10">
        <f>IF($AF167="","",INDEX(파견수련계획!$S$4:$S$83,$AF167))</f>
        <v/>
      </c>
      <c r="R167" s="10">
        <f>IF($AF167="","",INDEX(파견수련계획!$U$4:$U$83,$AF167))</f>
        <v/>
      </c>
      <c r="S167" s="11">
        <f>IF($AF167="","",IF(INDEX(파견수련계획!$H$4:$H$83,$AF167)="","",INDEX(파견수련계획!$H$4:$H$83,$AF167)))</f>
        <v/>
      </c>
      <c r="T167" s="11">
        <f>IF($AF167="","",IF(INDEX(파견수련계획!$I$4:$I$83,$AF167)="","",INDEX(파견수련계획!$I$4:$I$83,$AF167)))</f>
        <v/>
      </c>
      <c r="U167" s="10">
        <f>IF($AF167="","",INDEX(파견수련계획!$X$4:$X$83,$AF167))</f>
        <v/>
      </c>
      <c r="V167" s="17">
        <f>IF($AF167="","",INDEX(파견수련계획!$V$4:$V$83,$AF167))</f>
        <v/>
      </c>
      <c r="W167" s="17">
        <f>IF(AND($U167="파견중",$T167&lt;&gt;""),$T167-TODAY(),"")</f>
        <v/>
      </c>
      <c r="X167" s="17">
        <f>IF(OR($B167="",TRIM($J167&amp;"")=""),"",SUMPRODUCT((파견수련계획!$Q$4:$Q$83=TRIM($J167&amp;""))*파견수련계획!$W$4:$W$83))</f>
        <v/>
      </c>
      <c r="Y167" s="10">
        <f>IF($B167="","",IF($AG167="","",IF(IF(TRIM($J167&amp;"")="",0,SUMPRODUCT((파견수련계획!$Q$4:$Q$83=TRIM($J167&amp;""))*파견수련계획!$AD$4:$AD$83))&gt;0,$AE167,IF(N($X167)&lt;=0,$AG167,IF($AH167+$AI167=DAY(EOMONTH(요약!$B$3,0)),IF(AND($AH167&gt;=요약!$E$3,$AI167&lt;요약!$E$3),"서울병원",IF(AND($AI167&gt;=요약!$E$3,$AH167&lt;요약!$E$3),"구리병원","⚠15일 판정불가(서울 "&amp;$AH167&amp;"일/구리 "&amp;$AI167&amp;"일)")),IF($AJ167="",$AE167,IF(INDEX(파견수련계획!$T$4:$T$83,$AJ167)="통합수련",INDEX(파견수련계획!$S$4:$S$83,$AJ167),$AE167)))))))</f>
        <v/>
      </c>
      <c r="Z167" s="19">
        <f>IF($B167="","",IF($AB167="","기본자료에 없는 사번",IF(COUNTIF($B$2:$B$401,$B167)&gt;1,"중복 사번",IF($AE167="","소속(입사장소) 입력",IF(IF(TRIM($J167&amp;"")="",0,SUMPRODUCT((파견수련계획!$Q$4:$Q$83=TRIM($J167&amp;""))*(파견수련계획!$AA$4:$AA$83&lt;&gt;"")))&gt;0,"파견수련계획 입력오류 확인",IF(LEFT($Y167,1)="⚠","서울·구리 15일 판정 불가(양쪽 모두 이상/미만)",IF(IF($AC167="",0,N(INDEX(인턴근무계획!$T$3:$T$62,$AC167)))&gt;0,"인턴계획 입력오류 확인",IF(AND($AC167&lt;&gt;"",$U167&lt;&gt;"파견중",$N167&lt;&gt;$AE167),"인턴 타지역 근무: 파견 여부 확인","정상"))))))))</f>
        <v/>
      </c>
      <c r="AA167" s="5" t="n"/>
      <c r="AB167" s="10">
        <f>IF($B167="","",IFERROR(MATCH($B167,기본자료!$B$2:$B$1001,0),IFERROR(MATCH($B167&amp;"",기본자료!$B$2:$B$1001,0),IFERROR(MATCH(VALUE($B167),기본자료!$B$2:$B$1001,0),""))))</f>
        <v/>
      </c>
      <c r="AC167" s="10">
        <f>IF($B167="","",IFERROR(MATCH($B167,인턴근무계획!$D$3:$D$62,0),IFERROR(MATCH($B167&amp;"",인턴근무계획!$D$3:$D$62,0),IFERROR(MATCH(VALUE($B167),인턴근무계획!$D$3:$D$62,0),""))))</f>
        <v/>
      </c>
      <c r="AD167" s="10">
        <f>IF(OR($AC167="",인턴현황!$G$3=""),"",INDEX(인턴근무계획!$M$3:$R$62,$AC167,인턴현황!$G$3)&amp;"")</f>
        <v/>
      </c>
      <c r="AE167" s="10">
        <f>IF($B167="","",IF($M167&lt;&gt;"",$M167,IF($AF167&lt;&gt;"",IF(LEFT(INDEX(파견수련계획!$R$4:$R$83,$AF167),1)&lt;&gt;"⚠",INDEX(파견수련계획!$R$4:$R$83,$AF167),IF($H167="","",IF(RIGHT($H167,2)="병원",$H167,$H167&amp;"병원"))),IF($H167="","",IF(RIGHT($H167,2)="병원",$H167,$H167&amp;"병원")))))</f>
        <v/>
      </c>
      <c r="AF167" s="10">
        <f>IF(OR($B167="",TRIM($J167&amp;"")=""),"",IFERROR(MATCH(TRIM($J167&amp;"")&amp;"|파견중",파견수련계획!$Y$4:$Y$83,0),IFERROR(MATCH(TRIM($J167&amp;"")&amp;"|파견예정",파견수련계획!$Y$4:$Y$83,0),IFERROR(MATCH(TRIM($J167&amp;"")&amp;"|파견종료",파견수련계획!$Y$4:$Y$83,0),""))))</f>
        <v/>
      </c>
      <c r="AG167" s="10">
        <f>IF($B167="","",IF(AND(IF(OR($AC167="",인턴현황!$K$2=""),"",INDEX(인턴근무계획!$M$3:$R$62,$AC167,인턴현황!$K$2)&amp;"")&lt;&gt;"",LEFT(IF(OR($AC167="",인턴현황!$K$2=""),"",INDEX(인턴근무계획!$M$3:$R$62,$AC167,인턴현황!$K$2)&amp;""),1)&lt;&gt;"⚠"),LEFT(IF(OR($AC167="",인턴현황!$K$2=""),"",INDEX(인턴근무계획!$M$3:$R$62,$AC167,인턴현황!$K$2)&amp;""),FIND(" ",IF(OR($AC167="",인턴현황!$K$2=""),"",INDEX(인턴근무계획!$M$3:$R$62,$AC167,인턴현황!$K$2)&amp;""))-1),$AE167))</f>
        <v/>
      </c>
      <c r="AH167" s="17">
        <f>IF($B167="","",IF(TRIM($J167&amp;"")="",0,SUMPRODUCT((파견수련계획!$Q$4:$Q$83=TRIM($J167&amp;""))*(파견수련계획!$S$4:$S$83="서울병원")*파견수련계획!$W$4:$W$83))+IF($AG167="서울병원",MAX(0,DAY(EOMONTH(요약!$B$3,0))-N($X167)),0))</f>
        <v/>
      </c>
      <c r="AI167" s="17">
        <f>IF($B167="","",IF(TRIM($J167&amp;"")="",0,SUMPRODUCT((파견수련계획!$Q$4:$Q$83=TRIM($J167&amp;""))*(파견수련계획!$S$4:$S$83="구리병원")*파견수련계획!$W$4:$W$83))+IF($AG167="구리병원",MAX(0,DAY(EOMONTH(요약!$B$3,0))-N($X167)),0))</f>
        <v/>
      </c>
      <c r="AJ167" s="10">
        <f>IF(OR($B167="",TRIM($J167&amp;"")=""),"",IFERROR(MATCH(TRIM($J167&amp;"")&amp;"|월",파견수련계획!$Z$4:$Z$83,0),""))</f>
        <v/>
      </c>
      <c r="AK167" s="10">
        <f>IF(OR($B167="",TRIM($J167&amp;"")=""),"",IFERROR(MATCH(TRIM($J167&amp;"")&amp;"|다기관",파견수련계획!$AE$4:$AE$83,0),""))</f>
        <v/>
      </c>
      <c r="AL167" s="10">
        <f>IF($AK167="","","다기관 "&amp;TEXT(INDEX(파견수련계획!$AB$4:$AB$83,$AK167),"yyyy-mm-dd")&amp;"~"&amp;IF(ISNUMBER(INDEX(파견수련계획!$AC$4:$AC$83,$AK167)),TEXT(INDEX(파견수련계획!$AC$4:$AC$83,$AK167),"yyyy-mm-dd"),""))</f>
        <v/>
      </c>
    </row>
    <row r="168">
      <c r="A168" s="10">
        <f>IF(B168="","",ROW()-1)</f>
        <v/>
      </c>
      <c r="B168" s="18" t="n"/>
      <c r="C168" s="10">
        <f>IF($AB168="","",IF(INDEX(기본자료!$C$2:$C$1001,$AB168)="","",INDEX(기본자료!$C$2:$C$1001,$AB168)))</f>
        <v/>
      </c>
      <c r="D168" s="10">
        <f>IF($AB168="","",IF(INDEX(기본자료!$J$2:$J$1001,$AB168)="","",INDEX(기본자료!$J$2:$J$1001,$AB168)))</f>
        <v/>
      </c>
      <c r="E168" s="11">
        <f>IF($AB168="","",IF(INDEX(기본자료!$K$2:$K$1001,$AB168)="","",IF(NOT(ISNUMBER(INDEX(기본자료!$K$2:$K$1001,$AB168))),INDEX(기본자료!$K$2:$K$1001,$AB168),IF(INDEX(기본자료!$K$2:$K$1001,$AB168)&lt;1000000,INDEX(기본자료!$K$2:$K$1001,$AB168),IF(AND(INDEX(기본자료!$K$2:$K$1001,$AB168)&gt;=10000101,INT(MOD(INDEX(기본자료!$K$2:$K$1001,$AB168),10000)/100)&gt;=1,INT(MOD(INDEX(기본자료!$K$2:$K$1001,$AB168),10000)/100)&lt;=12,MOD(INDEX(기본자료!$K$2:$K$1001,$AB168),100)&gt;=1,MOD(INDEX(기본자료!$K$2:$K$1001,$AB168),100)&lt;=31),DATE(INT(INDEX(기본자료!$K$2:$K$1001,$AB168)/10000),INT(MOD(INDEX(기본자료!$K$2:$K$1001,$AB168),10000)/100),MOD(INDEX(기본자료!$K$2:$K$1001,$AB168),100)),INDEX(기본자료!$K$2:$K$1001,$AB168)&amp;"")))))</f>
        <v/>
      </c>
      <c r="F168" s="10">
        <f>IF($AB168="","",IF(INDEX(기본자료!$D$2:$D$1001,$AB168)="","",INDEX(기본자료!$D$2:$D$1001,$AB168)))</f>
        <v/>
      </c>
      <c r="G168" s="10">
        <f>IF($AB168="","",IF(INDEX(기본자료!$E$2:$E$1001,$AB168)="","",INDEX(기본자료!$E$2:$E$1001,$AB168)))</f>
        <v/>
      </c>
      <c r="H168" s="10">
        <f>IF($AB168="","",IF(INDEX(기본자료!$F$2:$F$1001,$AB168)="","",INDEX(기본자료!$F$2:$F$1001,$AB168)))</f>
        <v/>
      </c>
      <c r="I168" s="11">
        <f>IF($AB168="","",IF(INDEX(기본자료!$G$2:$G$1001,$AB168)="","",IF(NOT(ISNUMBER(INDEX(기본자료!$G$2:$G$1001,$AB168))),INDEX(기본자료!$G$2:$G$1001,$AB168),IF(INDEX(기본자료!$G$2:$G$1001,$AB168)&lt;1000000,INDEX(기본자료!$G$2:$G$1001,$AB168),IF(AND(INDEX(기본자료!$G$2:$G$1001,$AB168)&gt;=10000101,INT(MOD(INDEX(기본자료!$G$2:$G$1001,$AB168),10000)/100)&gt;=1,INT(MOD(INDEX(기본자료!$G$2:$G$1001,$AB168),10000)/100)&lt;=12,MOD(INDEX(기본자료!$G$2:$G$1001,$AB168),100)&gt;=1,MOD(INDEX(기본자료!$G$2:$G$1001,$AB168),100)&lt;=31),DATE(INT(INDEX(기본자료!$G$2:$G$1001,$AB168)/10000),INT(MOD(INDEX(기본자료!$G$2:$G$1001,$AB168),10000)/100),MOD(INDEX(기본자료!$G$2:$G$1001,$AB168),100)),INDEX(기본자료!$G$2:$G$1001,$AB168)&amp;"")))))</f>
        <v/>
      </c>
      <c r="J168" s="10">
        <f>IF($AB168="","",IF(INDEX(기본자료!$H$2:$H$1001,$AB168)="","",INDEX(기본자료!$H$2:$H$1001,$AB168)))</f>
        <v/>
      </c>
      <c r="K168" s="10">
        <f>IF($AB168="","",IF(INDEX(기본자료!$I$2:$I$1001,$AB168)="","",INDEX(기본자료!$I$2:$I$1001,$AB168)))</f>
        <v/>
      </c>
      <c r="L168" s="10">
        <f>IF($AB168="","",IF(INDEX(기본자료!$A$2:$A$1001,$AB168)="","",INDEX(기본자료!$A$2:$A$1001,$AB168)))</f>
        <v/>
      </c>
      <c r="M168" s="15" t="n"/>
      <c r="N168" s="10">
        <f>IF($B168="","",IF(AND($U168="파견중",$Q168&lt;&gt;""),$Q168,IF(AND($AD168&lt;&gt;"",LEFT($AD168,1)&lt;&gt;"⚠"),LEFT($AD168,FIND(" ",$AD168)-1),IF($H168="","",IF(RIGHT($H168,2)="병원",$H168,$H168&amp;"병원")))))</f>
        <v/>
      </c>
      <c r="O168" s="10">
        <f>IF($B168="","",IF(AND($U168="파견중",$Q168&lt;&gt;""),IF($R168&lt;&gt;"",$R168,"파견과 미입력"),IF(AND($AD168&lt;&gt;"",LEFT($AD168,1)&lt;&gt;"⚠"),MID($AD168,FIND(" ",$AD168)+1,60),IF($F168="","",IF($F168="인턴","수련교육부(인턴)",$F168)))))</f>
        <v/>
      </c>
      <c r="P168" s="10">
        <f>IF($B168="","",IF($AK168&lt;&gt;"",IF(AND(TODAY()&gt;=INDEX(파견수련계획!$AB$4:$AB$83,$AK168),OR(NOT(ISNUMBER(INDEX(파견수련계획!$AC$4:$AC$83,$AK168))),TODAY()&lt;=INDEX(파견수련계획!$AC$4:$AC$83,$AK168))),"다기관",IF($AF168="","",INDEX(파견수련계획!$T$4:$T$83,$AF168))),IF($AF168="","",INDEX(파견수련계획!$T$4:$T$83,$AF168))))</f>
        <v/>
      </c>
      <c r="Q168" s="10">
        <f>IF($AF168="","",INDEX(파견수련계획!$S$4:$S$83,$AF168))</f>
        <v/>
      </c>
      <c r="R168" s="10">
        <f>IF($AF168="","",INDEX(파견수련계획!$U$4:$U$83,$AF168))</f>
        <v/>
      </c>
      <c r="S168" s="11">
        <f>IF($AF168="","",IF(INDEX(파견수련계획!$H$4:$H$83,$AF168)="","",INDEX(파견수련계획!$H$4:$H$83,$AF168)))</f>
        <v/>
      </c>
      <c r="T168" s="11">
        <f>IF($AF168="","",IF(INDEX(파견수련계획!$I$4:$I$83,$AF168)="","",INDEX(파견수련계획!$I$4:$I$83,$AF168)))</f>
        <v/>
      </c>
      <c r="U168" s="10">
        <f>IF($AF168="","",INDEX(파견수련계획!$X$4:$X$83,$AF168))</f>
        <v/>
      </c>
      <c r="V168" s="17">
        <f>IF($AF168="","",INDEX(파견수련계획!$V$4:$V$83,$AF168))</f>
        <v/>
      </c>
      <c r="W168" s="17">
        <f>IF(AND($U168="파견중",$T168&lt;&gt;""),$T168-TODAY(),"")</f>
        <v/>
      </c>
      <c r="X168" s="17">
        <f>IF(OR($B168="",TRIM($J168&amp;"")=""),"",SUMPRODUCT((파견수련계획!$Q$4:$Q$83=TRIM($J168&amp;""))*파견수련계획!$W$4:$W$83))</f>
        <v/>
      </c>
      <c r="Y168" s="10">
        <f>IF($B168="","",IF($AG168="","",IF(IF(TRIM($J168&amp;"")="",0,SUMPRODUCT((파견수련계획!$Q$4:$Q$83=TRIM($J168&amp;""))*파견수련계획!$AD$4:$AD$83))&gt;0,$AE168,IF(N($X168)&lt;=0,$AG168,IF($AH168+$AI168=DAY(EOMONTH(요약!$B$3,0)),IF(AND($AH168&gt;=요약!$E$3,$AI168&lt;요약!$E$3),"서울병원",IF(AND($AI168&gt;=요약!$E$3,$AH168&lt;요약!$E$3),"구리병원","⚠15일 판정불가(서울 "&amp;$AH168&amp;"일/구리 "&amp;$AI168&amp;"일)")),IF($AJ168="",$AE168,IF(INDEX(파견수련계획!$T$4:$T$83,$AJ168)="통합수련",INDEX(파견수련계획!$S$4:$S$83,$AJ168),$AE168)))))))</f>
        <v/>
      </c>
      <c r="Z168" s="19">
        <f>IF($B168="","",IF($AB168="","기본자료에 없는 사번",IF(COUNTIF($B$2:$B$401,$B168)&gt;1,"중복 사번",IF($AE168="","소속(입사장소) 입력",IF(IF(TRIM($J168&amp;"")="",0,SUMPRODUCT((파견수련계획!$Q$4:$Q$83=TRIM($J168&amp;""))*(파견수련계획!$AA$4:$AA$83&lt;&gt;"")))&gt;0,"파견수련계획 입력오류 확인",IF(LEFT($Y168,1)="⚠","서울·구리 15일 판정 불가(양쪽 모두 이상/미만)",IF(IF($AC168="",0,N(INDEX(인턴근무계획!$T$3:$T$62,$AC168)))&gt;0,"인턴계획 입력오류 확인",IF(AND($AC168&lt;&gt;"",$U168&lt;&gt;"파견중",$N168&lt;&gt;$AE168),"인턴 타지역 근무: 파견 여부 확인","정상"))))))))</f>
        <v/>
      </c>
      <c r="AA168" s="5" t="n"/>
      <c r="AB168" s="10">
        <f>IF($B168="","",IFERROR(MATCH($B168,기본자료!$B$2:$B$1001,0),IFERROR(MATCH($B168&amp;"",기본자료!$B$2:$B$1001,0),IFERROR(MATCH(VALUE($B168),기본자료!$B$2:$B$1001,0),""))))</f>
        <v/>
      </c>
      <c r="AC168" s="10">
        <f>IF($B168="","",IFERROR(MATCH($B168,인턴근무계획!$D$3:$D$62,0),IFERROR(MATCH($B168&amp;"",인턴근무계획!$D$3:$D$62,0),IFERROR(MATCH(VALUE($B168),인턴근무계획!$D$3:$D$62,0),""))))</f>
        <v/>
      </c>
      <c r="AD168" s="10">
        <f>IF(OR($AC168="",인턴현황!$G$3=""),"",INDEX(인턴근무계획!$M$3:$R$62,$AC168,인턴현황!$G$3)&amp;"")</f>
        <v/>
      </c>
      <c r="AE168" s="10">
        <f>IF($B168="","",IF($M168&lt;&gt;"",$M168,IF($AF168&lt;&gt;"",IF(LEFT(INDEX(파견수련계획!$R$4:$R$83,$AF168),1)&lt;&gt;"⚠",INDEX(파견수련계획!$R$4:$R$83,$AF168),IF($H168="","",IF(RIGHT($H168,2)="병원",$H168,$H168&amp;"병원"))),IF($H168="","",IF(RIGHT($H168,2)="병원",$H168,$H168&amp;"병원")))))</f>
        <v/>
      </c>
      <c r="AF168" s="10">
        <f>IF(OR($B168="",TRIM($J168&amp;"")=""),"",IFERROR(MATCH(TRIM($J168&amp;"")&amp;"|파견중",파견수련계획!$Y$4:$Y$83,0),IFERROR(MATCH(TRIM($J168&amp;"")&amp;"|파견예정",파견수련계획!$Y$4:$Y$83,0),IFERROR(MATCH(TRIM($J168&amp;"")&amp;"|파견종료",파견수련계획!$Y$4:$Y$83,0),""))))</f>
        <v/>
      </c>
      <c r="AG168" s="10">
        <f>IF($B168="","",IF(AND(IF(OR($AC168="",인턴현황!$K$2=""),"",INDEX(인턴근무계획!$M$3:$R$62,$AC168,인턴현황!$K$2)&amp;"")&lt;&gt;"",LEFT(IF(OR($AC168="",인턴현황!$K$2=""),"",INDEX(인턴근무계획!$M$3:$R$62,$AC168,인턴현황!$K$2)&amp;""),1)&lt;&gt;"⚠"),LEFT(IF(OR($AC168="",인턴현황!$K$2=""),"",INDEX(인턴근무계획!$M$3:$R$62,$AC168,인턴현황!$K$2)&amp;""),FIND(" ",IF(OR($AC168="",인턴현황!$K$2=""),"",INDEX(인턴근무계획!$M$3:$R$62,$AC168,인턴현황!$K$2)&amp;""))-1),$AE168))</f>
        <v/>
      </c>
      <c r="AH168" s="17">
        <f>IF($B168="","",IF(TRIM($J168&amp;"")="",0,SUMPRODUCT((파견수련계획!$Q$4:$Q$83=TRIM($J168&amp;""))*(파견수련계획!$S$4:$S$83="서울병원")*파견수련계획!$W$4:$W$83))+IF($AG168="서울병원",MAX(0,DAY(EOMONTH(요약!$B$3,0))-N($X168)),0))</f>
        <v/>
      </c>
      <c r="AI168" s="17">
        <f>IF($B168="","",IF(TRIM($J168&amp;"")="",0,SUMPRODUCT((파견수련계획!$Q$4:$Q$83=TRIM($J168&amp;""))*(파견수련계획!$S$4:$S$83="구리병원")*파견수련계획!$W$4:$W$83))+IF($AG168="구리병원",MAX(0,DAY(EOMONTH(요약!$B$3,0))-N($X168)),0))</f>
        <v/>
      </c>
      <c r="AJ168" s="10">
        <f>IF(OR($B168="",TRIM($J168&amp;"")=""),"",IFERROR(MATCH(TRIM($J168&amp;"")&amp;"|월",파견수련계획!$Z$4:$Z$83,0),""))</f>
        <v/>
      </c>
      <c r="AK168" s="10">
        <f>IF(OR($B168="",TRIM($J168&amp;"")=""),"",IFERROR(MATCH(TRIM($J168&amp;"")&amp;"|다기관",파견수련계획!$AE$4:$AE$83,0),""))</f>
        <v/>
      </c>
      <c r="AL168" s="10">
        <f>IF($AK168="","","다기관 "&amp;TEXT(INDEX(파견수련계획!$AB$4:$AB$83,$AK168),"yyyy-mm-dd")&amp;"~"&amp;IF(ISNUMBER(INDEX(파견수련계획!$AC$4:$AC$83,$AK168)),TEXT(INDEX(파견수련계획!$AC$4:$AC$83,$AK168),"yyyy-mm-dd"),""))</f>
        <v/>
      </c>
    </row>
    <row r="169">
      <c r="A169" s="10">
        <f>IF(B169="","",ROW()-1)</f>
        <v/>
      </c>
      <c r="B169" s="18" t="n"/>
      <c r="C169" s="10">
        <f>IF($AB169="","",IF(INDEX(기본자료!$C$2:$C$1001,$AB169)="","",INDEX(기본자료!$C$2:$C$1001,$AB169)))</f>
        <v/>
      </c>
      <c r="D169" s="10">
        <f>IF($AB169="","",IF(INDEX(기본자료!$J$2:$J$1001,$AB169)="","",INDEX(기본자료!$J$2:$J$1001,$AB169)))</f>
        <v/>
      </c>
      <c r="E169" s="11">
        <f>IF($AB169="","",IF(INDEX(기본자료!$K$2:$K$1001,$AB169)="","",IF(NOT(ISNUMBER(INDEX(기본자료!$K$2:$K$1001,$AB169))),INDEX(기본자료!$K$2:$K$1001,$AB169),IF(INDEX(기본자료!$K$2:$K$1001,$AB169)&lt;1000000,INDEX(기본자료!$K$2:$K$1001,$AB169),IF(AND(INDEX(기본자료!$K$2:$K$1001,$AB169)&gt;=10000101,INT(MOD(INDEX(기본자료!$K$2:$K$1001,$AB169),10000)/100)&gt;=1,INT(MOD(INDEX(기본자료!$K$2:$K$1001,$AB169),10000)/100)&lt;=12,MOD(INDEX(기본자료!$K$2:$K$1001,$AB169),100)&gt;=1,MOD(INDEX(기본자료!$K$2:$K$1001,$AB169),100)&lt;=31),DATE(INT(INDEX(기본자료!$K$2:$K$1001,$AB169)/10000),INT(MOD(INDEX(기본자료!$K$2:$K$1001,$AB169),10000)/100),MOD(INDEX(기본자료!$K$2:$K$1001,$AB169),100)),INDEX(기본자료!$K$2:$K$1001,$AB169)&amp;"")))))</f>
        <v/>
      </c>
      <c r="F169" s="10">
        <f>IF($AB169="","",IF(INDEX(기본자료!$D$2:$D$1001,$AB169)="","",INDEX(기본자료!$D$2:$D$1001,$AB169)))</f>
        <v/>
      </c>
      <c r="G169" s="10">
        <f>IF($AB169="","",IF(INDEX(기본자료!$E$2:$E$1001,$AB169)="","",INDEX(기본자료!$E$2:$E$1001,$AB169)))</f>
        <v/>
      </c>
      <c r="H169" s="10">
        <f>IF($AB169="","",IF(INDEX(기본자료!$F$2:$F$1001,$AB169)="","",INDEX(기본자료!$F$2:$F$1001,$AB169)))</f>
        <v/>
      </c>
      <c r="I169" s="11">
        <f>IF($AB169="","",IF(INDEX(기본자료!$G$2:$G$1001,$AB169)="","",IF(NOT(ISNUMBER(INDEX(기본자료!$G$2:$G$1001,$AB169))),INDEX(기본자료!$G$2:$G$1001,$AB169),IF(INDEX(기본자료!$G$2:$G$1001,$AB169)&lt;1000000,INDEX(기본자료!$G$2:$G$1001,$AB169),IF(AND(INDEX(기본자료!$G$2:$G$1001,$AB169)&gt;=10000101,INT(MOD(INDEX(기본자료!$G$2:$G$1001,$AB169),10000)/100)&gt;=1,INT(MOD(INDEX(기본자료!$G$2:$G$1001,$AB169),10000)/100)&lt;=12,MOD(INDEX(기본자료!$G$2:$G$1001,$AB169),100)&gt;=1,MOD(INDEX(기본자료!$G$2:$G$1001,$AB169),100)&lt;=31),DATE(INT(INDEX(기본자료!$G$2:$G$1001,$AB169)/10000),INT(MOD(INDEX(기본자료!$G$2:$G$1001,$AB169),10000)/100),MOD(INDEX(기본자료!$G$2:$G$1001,$AB169),100)),INDEX(기본자료!$G$2:$G$1001,$AB169)&amp;"")))))</f>
        <v/>
      </c>
      <c r="J169" s="10">
        <f>IF($AB169="","",IF(INDEX(기본자료!$H$2:$H$1001,$AB169)="","",INDEX(기본자료!$H$2:$H$1001,$AB169)))</f>
        <v/>
      </c>
      <c r="K169" s="10">
        <f>IF($AB169="","",IF(INDEX(기본자료!$I$2:$I$1001,$AB169)="","",INDEX(기본자료!$I$2:$I$1001,$AB169)))</f>
        <v/>
      </c>
      <c r="L169" s="10">
        <f>IF($AB169="","",IF(INDEX(기본자료!$A$2:$A$1001,$AB169)="","",INDEX(기본자료!$A$2:$A$1001,$AB169)))</f>
        <v/>
      </c>
      <c r="M169" s="15" t="n"/>
      <c r="N169" s="10">
        <f>IF($B169="","",IF(AND($U169="파견중",$Q169&lt;&gt;""),$Q169,IF(AND($AD169&lt;&gt;"",LEFT($AD169,1)&lt;&gt;"⚠"),LEFT($AD169,FIND(" ",$AD169)-1),IF($H169="","",IF(RIGHT($H169,2)="병원",$H169,$H169&amp;"병원")))))</f>
        <v/>
      </c>
      <c r="O169" s="10">
        <f>IF($B169="","",IF(AND($U169="파견중",$Q169&lt;&gt;""),IF($R169&lt;&gt;"",$R169,"파견과 미입력"),IF(AND($AD169&lt;&gt;"",LEFT($AD169,1)&lt;&gt;"⚠"),MID($AD169,FIND(" ",$AD169)+1,60),IF($F169="","",IF($F169="인턴","수련교육부(인턴)",$F169)))))</f>
        <v/>
      </c>
      <c r="P169" s="10">
        <f>IF($B169="","",IF($AK169&lt;&gt;"",IF(AND(TODAY()&gt;=INDEX(파견수련계획!$AB$4:$AB$83,$AK169),OR(NOT(ISNUMBER(INDEX(파견수련계획!$AC$4:$AC$83,$AK169))),TODAY()&lt;=INDEX(파견수련계획!$AC$4:$AC$83,$AK169))),"다기관",IF($AF169="","",INDEX(파견수련계획!$T$4:$T$83,$AF169))),IF($AF169="","",INDEX(파견수련계획!$T$4:$T$83,$AF169))))</f>
        <v/>
      </c>
      <c r="Q169" s="10">
        <f>IF($AF169="","",INDEX(파견수련계획!$S$4:$S$83,$AF169))</f>
        <v/>
      </c>
      <c r="R169" s="10">
        <f>IF($AF169="","",INDEX(파견수련계획!$U$4:$U$83,$AF169))</f>
        <v/>
      </c>
      <c r="S169" s="11">
        <f>IF($AF169="","",IF(INDEX(파견수련계획!$H$4:$H$83,$AF169)="","",INDEX(파견수련계획!$H$4:$H$83,$AF169)))</f>
        <v/>
      </c>
      <c r="T169" s="11">
        <f>IF($AF169="","",IF(INDEX(파견수련계획!$I$4:$I$83,$AF169)="","",INDEX(파견수련계획!$I$4:$I$83,$AF169)))</f>
        <v/>
      </c>
      <c r="U169" s="10">
        <f>IF($AF169="","",INDEX(파견수련계획!$X$4:$X$83,$AF169))</f>
        <v/>
      </c>
      <c r="V169" s="17">
        <f>IF($AF169="","",INDEX(파견수련계획!$V$4:$V$83,$AF169))</f>
        <v/>
      </c>
      <c r="W169" s="17">
        <f>IF(AND($U169="파견중",$T169&lt;&gt;""),$T169-TODAY(),"")</f>
        <v/>
      </c>
      <c r="X169" s="17">
        <f>IF(OR($B169="",TRIM($J169&amp;"")=""),"",SUMPRODUCT((파견수련계획!$Q$4:$Q$83=TRIM($J169&amp;""))*파견수련계획!$W$4:$W$83))</f>
        <v/>
      </c>
      <c r="Y169" s="10">
        <f>IF($B169="","",IF($AG169="","",IF(IF(TRIM($J169&amp;"")="",0,SUMPRODUCT((파견수련계획!$Q$4:$Q$83=TRIM($J169&amp;""))*파견수련계획!$AD$4:$AD$83))&gt;0,$AE169,IF(N($X169)&lt;=0,$AG169,IF($AH169+$AI169=DAY(EOMONTH(요약!$B$3,0)),IF(AND($AH169&gt;=요약!$E$3,$AI169&lt;요약!$E$3),"서울병원",IF(AND($AI169&gt;=요약!$E$3,$AH169&lt;요약!$E$3),"구리병원","⚠15일 판정불가(서울 "&amp;$AH169&amp;"일/구리 "&amp;$AI169&amp;"일)")),IF($AJ169="",$AE169,IF(INDEX(파견수련계획!$T$4:$T$83,$AJ169)="통합수련",INDEX(파견수련계획!$S$4:$S$83,$AJ169),$AE169)))))))</f>
        <v/>
      </c>
      <c r="Z169" s="19">
        <f>IF($B169="","",IF($AB169="","기본자료에 없는 사번",IF(COUNTIF($B$2:$B$401,$B169)&gt;1,"중복 사번",IF($AE169="","소속(입사장소) 입력",IF(IF(TRIM($J169&amp;"")="",0,SUMPRODUCT((파견수련계획!$Q$4:$Q$83=TRIM($J169&amp;""))*(파견수련계획!$AA$4:$AA$83&lt;&gt;"")))&gt;0,"파견수련계획 입력오류 확인",IF(LEFT($Y169,1)="⚠","서울·구리 15일 판정 불가(양쪽 모두 이상/미만)",IF(IF($AC169="",0,N(INDEX(인턴근무계획!$T$3:$T$62,$AC169)))&gt;0,"인턴계획 입력오류 확인",IF(AND($AC169&lt;&gt;"",$U169&lt;&gt;"파견중",$N169&lt;&gt;$AE169),"인턴 타지역 근무: 파견 여부 확인","정상"))))))))</f>
        <v/>
      </c>
      <c r="AA169" s="5" t="n"/>
      <c r="AB169" s="10">
        <f>IF($B169="","",IFERROR(MATCH($B169,기본자료!$B$2:$B$1001,0),IFERROR(MATCH($B169&amp;"",기본자료!$B$2:$B$1001,0),IFERROR(MATCH(VALUE($B169),기본자료!$B$2:$B$1001,0),""))))</f>
        <v/>
      </c>
      <c r="AC169" s="10">
        <f>IF($B169="","",IFERROR(MATCH($B169,인턴근무계획!$D$3:$D$62,0),IFERROR(MATCH($B169&amp;"",인턴근무계획!$D$3:$D$62,0),IFERROR(MATCH(VALUE($B169),인턴근무계획!$D$3:$D$62,0),""))))</f>
        <v/>
      </c>
      <c r="AD169" s="10">
        <f>IF(OR($AC169="",인턴현황!$G$3=""),"",INDEX(인턴근무계획!$M$3:$R$62,$AC169,인턴현황!$G$3)&amp;"")</f>
        <v/>
      </c>
      <c r="AE169" s="10">
        <f>IF($B169="","",IF($M169&lt;&gt;"",$M169,IF($AF169&lt;&gt;"",IF(LEFT(INDEX(파견수련계획!$R$4:$R$83,$AF169),1)&lt;&gt;"⚠",INDEX(파견수련계획!$R$4:$R$83,$AF169),IF($H169="","",IF(RIGHT($H169,2)="병원",$H169,$H169&amp;"병원"))),IF($H169="","",IF(RIGHT($H169,2)="병원",$H169,$H169&amp;"병원")))))</f>
        <v/>
      </c>
      <c r="AF169" s="10">
        <f>IF(OR($B169="",TRIM($J169&amp;"")=""),"",IFERROR(MATCH(TRIM($J169&amp;"")&amp;"|파견중",파견수련계획!$Y$4:$Y$83,0),IFERROR(MATCH(TRIM($J169&amp;"")&amp;"|파견예정",파견수련계획!$Y$4:$Y$83,0),IFERROR(MATCH(TRIM($J169&amp;"")&amp;"|파견종료",파견수련계획!$Y$4:$Y$83,0),""))))</f>
        <v/>
      </c>
      <c r="AG169" s="10">
        <f>IF($B169="","",IF(AND(IF(OR($AC169="",인턴현황!$K$2=""),"",INDEX(인턴근무계획!$M$3:$R$62,$AC169,인턴현황!$K$2)&amp;"")&lt;&gt;"",LEFT(IF(OR($AC169="",인턴현황!$K$2=""),"",INDEX(인턴근무계획!$M$3:$R$62,$AC169,인턴현황!$K$2)&amp;""),1)&lt;&gt;"⚠"),LEFT(IF(OR($AC169="",인턴현황!$K$2=""),"",INDEX(인턴근무계획!$M$3:$R$62,$AC169,인턴현황!$K$2)&amp;""),FIND(" ",IF(OR($AC169="",인턴현황!$K$2=""),"",INDEX(인턴근무계획!$M$3:$R$62,$AC169,인턴현황!$K$2)&amp;""))-1),$AE169))</f>
        <v/>
      </c>
      <c r="AH169" s="17">
        <f>IF($B169="","",IF(TRIM($J169&amp;"")="",0,SUMPRODUCT((파견수련계획!$Q$4:$Q$83=TRIM($J169&amp;""))*(파견수련계획!$S$4:$S$83="서울병원")*파견수련계획!$W$4:$W$83))+IF($AG169="서울병원",MAX(0,DAY(EOMONTH(요약!$B$3,0))-N($X169)),0))</f>
        <v/>
      </c>
      <c r="AI169" s="17">
        <f>IF($B169="","",IF(TRIM($J169&amp;"")="",0,SUMPRODUCT((파견수련계획!$Q$4:$Q$83=TRIM($J169&amp;""))*(파견수련계획!$S$4:$S$83="구리병원")*파견수련계획!$W$4:$W$83))+IF($AG169="구리병원",MAX(0,DAY(EOMONTH(요약!$B$3,0))-N($X169)),0))</f>
        <v/>
      </c>
      <c r="AJ169" s="10">
        <f>IF(OR($B169="",TRIM($J169&amp;"")=""),"",IFERROR(MATCH(TRIM($J169&amp;"")&amp;"|월",파견수련계획!$Z$4:$Z$83,0),""))</f>
        <v/>
      </c>
      <c r="AK169" s="10">
        <f>IF(OR($B169="",TRIM($J169&amp;"")=""),"",IFERROR(MATCH(TRIM($J169&amp;"")&amp;"|다기관",파견수련계획!$AE$4:$AE$83,0),""))</f>
        <v/>
      </c>
      <c r="AL169" s="10">
        <f>IF($AK169="","","다기관 "&amp;TEXT(INDEX(파견수련계획!$AB$4:$AB$83,$AK169),"yyyy-mm-dd")&amp;"~"&amp;IF(ISNUMBER(INDEX(파견수련계획!$AC$4:$AC$83,$AK169)),TEXT(INDEX(파견수련계획!$AC$4:$AC$83,$AK169),"yyyy-mm-dd"),""))</f>
        <v/>
      </c>
    </row>
    <row r="170">
      <c r="A170" s="10">
        <f>IF(B170="","",ROW()-1)</f>
        <v/>
      </c>
      <c r="B170" s="18" t="n"/>
      <c r="C170" s="10">
        <f>IF($AB170="","",IF(INDEX(기본자료!$C$2:$C$1001,$AB170)="","",INDEX(기본자료!$C$2:$C$1001,$AB170)))</f>
        <v/>
      </c>
      <c r="D170" s="10">
        <f>IF($AB170="","",IF(INDEX(기본자료!$J$2:$J$1001,$AB170)="","",INDEX(기본자료!$J$2:$J$1001,$AB170)))</f>
        <v/>
      </c>
      <c r="E170" s="11">
        <f>IF($AB170="","",IF(INDEX(기본자료!$K$2:$K$1001,$AB170)="","",IF(NOT(ISNUMBER(INDEX(기본자료!$K$2:$K$1001,$AB170))),INDEX(기본자료!$K$2:$K$1001,$AB170),IF(INDEX(기본자료!$K$2:$K$1001,$AB170)&lt;1000000,INDEX(기본자료!$K$2:$K$1001,$AB170),IF(AND(INDEX(기본자료!$K$2:$K$1001,$AB170)&gt;=10000101,INT(MOD(INDEX(기본자료!$K$2:$K$1001,$AB170),10000)/100)&gt;=1,INT(MOD(INDEX(기본자료!$K$2:$K$1001,$AB170),10000)/100)&lt;=12,MOD(INDEX(기본자료!$K$2:$K$1001,$AB170),100)&gt;=1,MOD(INDEX(기본자료!$K$2:$K$1001,$AB170),100)&lt;=31),DATE(INT(INDEX(기본자료!$K$2:$K$1001,$AB170)/10000),INT(MOD(INDEX(기본자료!$K$2:$K$1001,$AB170),10000)/100),MOD(INDEX(기본자료!$K$2:$K$1001,$AB170),100)),INDEX(기본자료!$K$2:$K$1001,$AB170)&amp;"")))))</f>
        <v/>
      </c>
      <c r="F170" s="10">
        <f>IF($AB170="","",IF(INDEX(기본자료!$D$2:$D$1001,$AB170)="","",INDEX(기본자료!$D$2:$D$1001,$AB170)))</f>
        <v/>
      </c>
      <c r="G170" s="10">
        <f>IF($AB170="","",IF(INDEX(기본자료!$E$2:$E$1001,$AB170)="","",INDEX(기본자료!$E$2:$E$1001,$AB170)))</f>
        <v/>
      </c>
      <c r="H170" s="10">
        <f>IF($AB170="","",IF(INDEX(기본자료!$F$2:$F$1001,$AB170)="","",INDEX(기본자료!$F$2:$F$1001,$AB170)))</f>
        <v/>
      </c>
      <c r="I170" s="11">
        <f>IF($AB170="","",IF(INDEX(기본자료!$G$2:$G$1001,$AB170)="","",IF(NOT(ISNUMBER(INDEX(기본자료!$G$2:$G$1001,$AB170))),INDEX(기본자료!$G$2:$G$1001,$AB170),IF(INDEX(기본자료!$G$2:$G$1001,$AB170)&lt;1000000,INDEX(기본자료!$G$2:$G$1001,$AB170),IF(AND(INDEX(기본자료!$G$2:$G$1001,$AB170)&gt;=10000101,INT(MOD(INDEX(기본자료!$G$2:$G$1001,$AB170),10000)/100)&gt;=1,INT(MOD(INDEX(기본자료!$G$2:$G$1001,$AB170),10000)/100)&lt;=12,MOD(INDEX(기본자료!$G$2:$G$1001,$AB170),100)&gt;=1,MOD(INDEX(기본자료!$G$2:$G$1001,$AB170),100)&lt;=31),DATE(INT(INDEX(기본자료!$G$2:$G$1001,$AB170)/10000),INT(MOD(INDEX(기본자료!$G$2:$G$1001,$AB170),10000)/100),MOD(INDEX(기본자료!$G$2:$G$1001,$AB170),100)),INDEX(기본자료!$G$2:$G$1001,$AB170)&amp;"")))))</f>
        <v/>
      </c>
      <c r="J170" s="10">
        <f>IF($AB170="","",IF(INDEX(기본자료!$H$2:$H$1001,$AB170)="","",INDEX(기본자료!$H$2:$H$1001,$AB170)))</f>
        <v/>
      </c>
      <c r="K170" s="10">
        <f>IF($AB170="","",IF(INDEX(기본자료!$I$2:$I$1001,$AB170)="","",INDEX(기본자료!$I$2:$I$1001,$AB170)))</f>
        <v/>
      </c>
      <c r="L170" s="10">
        <f>IF($AB170="","",IF(INDEX(기본자료!$A$2:$A$1001,$AB170)="","",INDEX(기본자료!$A$2:$A$1001,$AB170)))</f>
        <v/>
      </c>
      <c r="M170" s="15" t="n"/>
      <c r="N170" s="10">
        <f>IF($B170="","",IF(AND($U170="파견중",$Q170&lt;&gt;""),$Q170,IF(AND($AD170&lt;&gt;"",LEFT($AD170,1)&lt;&gt;"⚠"),LEFT($AD170,FIND(" ",$AD170)-1),IF($H170="","",IF(RIGHT($H170,2)="병원",$H170,$H170&amp;"병원")))))</f>
        <v/>
      </c>
      <c r="O170" s="10">
        <f>IF($B170="","",IF(AND($U170="파견중",$Q170&lt;&gt;""),IF($R170&lt;&gt;"",$R170,"파견과 미입력"),IF(AND($AD170&lt;&gt;"",LEFT($AD170,1)&lt;&gt;"⚠"),MID($AD170,FIND(" ",$AD170)+1,60),IF($F170="","",IF($F170="인턴","수련교육부(인턴)",$F170)))))</f>
        <v/>
      </c>
      <c r="P170" s="10">
        <f>IF($B170="","",IF($AK170&lt;&gt;"",IF(AND(TODAY()&gt;=INDEX(파견수련계획!$AB$4:$AB$83,$AK170),OR(NOT(ISNUMBER(INDEX(파견수련계획!$AC$4:$AC$83,$AK170))),TODAY()&lt;=INDEX(파견수련계획!$AC$4:$AC$83,$AK170))),"다기관",IF($AF170="","",INDEX(파견수련계획!$T$4:$T$83,$AF170))),IF($AF170="","",INDEX(파견수련계획!$T$4:$T$83,$AF170))))</f>
        <v/>
      </c>
      <c r="Q170" s="10">
        <f>IF($AF170="","",INDEX(파견수련계획!$S$4:$S$83,$AF170))</f>
        <v/>
      </c>
      <c r="R170" s="10">
        <f>IF($AF170="","",INDEX(파견수련계획!$U$4:$U$83,$AF170))</f>
        <v/>
      </c>
      <c r="S170" s="11">
        <f>IF($AF170="","",IF(INDEX(파견수련계획!$H$4:$H$83,$AF170)="","",INDEX(파견수련계획!$H$4:$H$83,$AF170)))</f>
        <v/>
      </c>
      <c r="T170" s="11">
        <f>IF($AF170="","",IF(INDEX(파견수련계획!$I$4:$I$83,$AF170)="","",INDEX(파견수련계획!$I$4:$I$83,$AF170)))</f>
        <v/>
      </c>
      <c r="U170" s="10">
        <f>IF($AF170="","",INDEX(파견수련계획!$X$4:$X$83,$AF170))</f>
        <v/>
      </c>
      <c r="V170" s="17">
        <f>IF($AF170="","",INDEX(파견수련계획!$V$4:$V$83,$AF170))</f>
        <v/>
      </c>
      <c r="W170" s="17">
        <f>IF(AND($U170="파견중",$T170&lt;&gt;""),$T170-TODAY(),"")</f>
        <v/>
      </c>
      <c r="X170" s="17">
        <f>IF(OR($B170="",TRIM($J170&amp;"")=""),"",SUMPRODUCT((파견수련계획!$Q$4:$Q$83=TRIM($J170&amp;""))*파견수련계획!$W$4:$W$83))</f>
        <v/>
      </c>
      <c r="Y170" s="10">
        <f>IF($B170="","",IF($AG170="","",IF(IF(TRIM($J170&amp;"")="",0,SUMPRODUCT((파견수련계획!$Q$4:$Q$83=TRIM($J170&amp;""))*파견수련계획!$AD$4:$AD$83))&gt;0,$AE170,IF(N($X170)&lt;=0,$AG170,IF($AH170+$AI170=DAY(EOMONTH(요약!$B$3,0)),IF(AND($AH170&gt;=요약!$E$3,$AI170&lt;요약!$E$3),"서울병원",IF(AND($AI170&gt;=요약!$E$3,$AH170&lt;요약!$E$3),"구리병원","⚠15일 판정불가(서울 "&amp;$AH170&amp;"일/구리 "&amp;$AI170&amp;"일)")),IF($AJ170="",$AE170,IF(INDEX(파견수련계획!$T$4:$T$83,$AJ170)="통합수련",INDEX(파견수련계획!$S$4:$S$83,$AJ170),$AE170)))))))</f>
        <v/>
      </c>
      <c r="Z170" s="19">
        <f>IF($B170="","",IF($AB170="","기본자료에 없는 사번",IF(COUNTIF($B$2:$B$401,$B170)&gt;1,"중복 사번",IF($AE170="","소속(입사장소) 입력",IF(IF(TRIM($J170&amp;"")="",0,SUMPRODUCT((파견수련계획!$Q$4:$Q$83=TRIM($J170&amp;""))*(파견수련계획!$AA$4:$AA$83&lt;&gt;"")))&gt;0,"파견수련계획 입력오류 확인",IF(LEFT($Y170,1)="⚠","서울·구리 15일 판정 불가(양쪽 모두 이상/미만)",IF(IF($AC170="",0,N(INDEX(인턴근무계획!$T$3:$T$62,$AC170)))&gt;0,"인턴계획 입력오류 확인",IF(AND($AC170&lt;&gt;"",$U170&lt;&gt;"파견중",$N170&lt;&gt;$AE170),"인턴 타지역 근무: 파견 여부 확인","정상"))))))))</f>
        <v/>
      </c>
      <c r="AA170" s="5" t="n"/>
      <c r="AB170" s="10">
        <f>IF($B170="","",IFERROR(MATCH($B170,기본자료!$B$2:$B$1001,0),IFERROR(MATCH($B170&amp;"",기본자료!$B$2:$B$1001,0),IFERROR(MATCH(VALUE($B170),기본자료!$B$2:$B$1001,0),""))))</f>
        <v/>
      </c>
      <c r="AC170" s="10">
        <f>IF($B170="","",IFERROR(MATCH($B170,인턴근무계획!$D$3:$D$62,0),IFERROR(MATCH($B170&amp;"",인턴근무계획!$D$3:$D$62,0),IFERROR(MATCH(VALUE($B170),인턴근무계획!$D$3:$D$62,0),""))))</f>
        <v/>
      </c>
      <c r="AD170" s="10">
        <f>IF(OR($AC170="",인턴현황!$G$3=""),"",INDEX(인턴근무계획!$M$3:$R$62,$AC170,인턴현황!$G$3)&amp;"")</f>
        <v/>
      </c>
      <c r="AE170" s="10">
        <f>IF($B170="","",IF($M170&lt;&gt;"",$M170,IF($AF170&lt;&gt;"",IF(LEFT(INDEX(파견수련계획!$R$4:$R$83,$AF170),1)&lt;&gt;"⚠",INDEX(파견수련계획!$R$4:$R$83,$AF170),IF($H170="","",IF(RIGHT($H170,2)="병원",$H170,$H170&amp;"병원"))),IF($H170="","",IF(RIGHT($H170,2)="병원",$H170,$H170&amp;"병원")))))</f>
        <v/>
      </c>
      <c r="AF170" s="10">
        <f>IF(OR($B170="",TRIM($J170&amp;"")=""),"",IFERROR(MATCH(TRIM($J170&amp;"")&amp;"|파견중",파견수련계획!$Y$4:$Y$83,0),IFERROR(MATCH(TRIM($J170&amp;"")&amp;"|파견예정",파견수련계획!$Y$4:$Y$83,0),IFERROR(MATCH(TRIM($J170&amp;"")&amp;"|파견종료",파견수련계획!$Y$4:$Y$83,0),""))))</f>
        <v/>
      </c>
      <c r="AG170" s="10">
        <f>IF($B170="","",IF(AND(IF(OR($AC170="",인턴현황!$K$2=""),"",INDEX(인턴근무계획!$M$3:$R$62,$AC170,인턴현황!$K$2)&amp;"")&lt;&gt;"",LEFT(IF(OR($AC170="",인턴현황!$K$2=""),"",INDEX(인턴근무계획!$M$3:$R$62,$AC170,인턴현황!$K$2)&amp;""),1)&lt;&gt;"⚠"),LEFT(IF(OR($AC170="",인턴현황!$K$2=""),"",INDEX(인턴근무계획!$M$3:$R$62,$AC170,인턴현황!$K$2)&amp;""),FIND(" ",IF(OR($AC170="",인턴현황!$K$2=""),"",INDEX(인턴근무계획!$M$3:$R$62,$AC170,인턴현황!$K$2)&amp;""))-1),$AE170))</f>
        <v/>
      </c>
      <c r="AH170" s="17">
        <f>IF($B170="","",IF(TRIM($J170&amp;"")="",0,SUMPRODUCT((파견수련계획!$Q$4:$Q$83=TRIM($J170&amp;""))*(파견수련계획!$S$4:$S$83="서울병원")*파견수련계획!$W$4:$W$83))+IF($AG170="서울병원",MAX(0,DAY(EOMONTH(요약!$B$3,0))-N($X170)),0))</f>
        <v/>
      </c>
      <c r="AI170" s="17">
        <f>IF($B170="","",IF(TRIM($J170&amp;"")="",0,SUMPRODUCT((파견수련계획!$Q$4:$Q$83=TRIM($J170&amp;""))*(파견수련계획!$S$4:$S$83="구리병원")*파견수련계획!$W$4:$W$83))+IF($AG170="구리병원",MAX(0,DAY(EOMONTH(요약!$B$3,0))-N($X170)),0))</f>
        <v/>
      </c>
      <c r="AJ170" s="10">
        <f>IF(OR($B170="",TRIM($J170&amp;"")=""),"",IFERROR(MATCH(TRIM($J170&amp;"")&amp;"|월",파견수련계획!$Z$4:$Z$83,0),""))</f>
        <v/>
      </c>
      <c r="AK170" s="10">
        <f>IF(OR($B170="",TRIM($J170&amp;"")=""),"",IFERROR(MATCH(TRIM($J170&amp;"")&amp;"|다기관",파견수련계획!$AE$4:$AE$83,0),""))</f>
        <v/>
      </c>
      <c r="AL170" s="10">
        <f>IF($AK170="","","다기관 "&amp;TEXT(INDEX(파견수련계획!$AB$4:$AB$83,$AK170),"yyyy-mm-dd")&amp;"~"&amp;IF(ISNUMBER(INDEX(파견수련계획!$AC$4:$AC$83,$AK170)),TEXT(INDEX(파견수련계획!$AC$4:$AC$83,$AK170),"yyyy-mm-dd"),""))</f>
        <v/>
      </c>
    </row>
    <row r="171">
      <c r="A171" s="10">
        <f>IF(B171="","",ROW()-1)</f>
        <v/>
      </c>
      <c r="B171" s="18" t="n"/>
      <c r="C171" s="10">
        <f>IF($AB171="","",IF(INDEX(기본자료!$C$2:$C$1001,$AB171)="","",INDEX(기본자료!$C$2:$C$1001,$AB171)))</f>
        <v/>
      </c>
      <c r="D171" s="10">
        <f>IF($AB171="","",IF(INDEX(기본자료!$J$2:$J$1001,$AB171)="","",INDEX(기본자료!$J$2:$J$1001,$AB171)))</f>
        <v/>
      </c>
      <c r="E171" s="11">
        <f>IF($AB171="","",IF(INDEX(기본자료!$K$2:$K$1001,$AB171)="","",IF(NOT(ISNUMBER(INDEX(기본자료!$K$2:$K$1001,$AB171))),INDEX(기본자료!$K$2:$K$1001,$AB171),IF(INDEX(기본자료!$K$2:$K$1001,$AB171)&lt;1000000,INDEX(기본자료!$K$2:$K$1001,$AB171),IF(AND(INDEX(기본자료!$K$2:$K$1001,$AB171)&gt;=10000101,INT(MOD(INDEX(기본자료!$K$2:$K$1001,$AB171),10000)/100)&gt;=1,INT(MOD(INDEX(기본자료!$K$2:$K$1001,$AB171),10000)/100)&lt;=12,MOD(INDEX(기본자료!$K$2:$K$1001,$AB171),100)&gt;=1,MOD(INDEX(기본자료!$K$2:$K$1001,$AB171),100)&lt;=31),DATE(INT(INDEX(기본자료!$K$2:$K$1001,$AB171)/10000),INT(MOD(INDEX(기본자료!$K$2:$K$1001,$AB171),10000)/100),MOD(INDEX(기본자료!$K$2:$K$1001,$AB171),100)),INDEX(기본자료!$K$2:$K$1001,$AB171)&amp;"")))))</f>
        <v/>
      </c>
      <c r="F171" s="10">
        <f>IF($AB171="","",IF(INDEX(기본자료!$D$2:$D$1001,$AB171)="","",INDEX(기본자료!$D$2:$D$1001,$AB171)))</f>
        <v/>
      </c>
      <c r="G171" s="10">
        <f>IF($AB171="","",IF(INDEX(기본자료!$E$2:$E$1001,$AB171)="","",INDEX(기본자료!$E$2:$E$1001,$AB171)))</f>
        <v/>
      </c>
      <c r="H171" s="10">
        <f>IF($AB171="","",IF(INDEX(기본자료!$F$2:$F$1001,$AB171)="","",INDEX(기본자료!$F$2:$F$1001,$AB171)))</f>
        <v/>
      </c>
      <c r="I171" s="11">
        <f>IF($AB171="","",IF(INDEX(기본자료!$G$2:$G$1001,$AB171)="","",IF(NOT(ISNUMBER(INDEX(기본자료!$G$2:$G$1001,$AB171))),INDEX(기본자료!$G$2:$G$1001,$AB171),IF(INDEX(기본자료!$G$2:$G$1001,$AB171)&lt;1000000,INDEX(기본자료!$G$2:$G$1001,$AB171),IF(AND(INDEX(기본자료!$G$2:$G$1001,$AB171)&gt;=10000101,INT(MOD(INDEX(기본자료!$G$2:$G$1001,$AB171),10000)/100)&gt;=1,INT(MOD(INDEX(기본자료!$G$2:$G$1001,$AB171),10000)/100)&lt;=12,MOD(INDEX(기본자료!$G$2:$G$1001,$AB171),100)&gt;=1,MOD(INDEX(기본자료!$G$2:$G$1001,$AB171),100)&lt;=31),DATE(INT(INDEX(기본자료!$G$2:$G$1001,$AB171)/10000),INT(MOD(INDEX(기본자료!$G$2:$G$1001,$AB171),10000)/100),MOD(INDEX(기본자료!$G$2:$G$1001,$AB171),100)),INDEX(기본자료!$G$2:$G$1001,$AB171)&amp;"")))))</f>
        <v/>
      </c>
      <c r="J171" s="10">
        <f>IF($AB171="","",IF(INDEX(기본자료!$H$2:$H$1001,$AB171)="","",INDEX(기본자료!$H$2:$H$1001,$AB171)))</f>
        <v/>
      </c>
      <c r="K171" s="10">
        <f>IF($AB171="","",IF(INDEX(기본자료!$I$2:$I$1001,$AB171)="","",INDEX(기본자료!$I$2:$I$1001,$AB171)))</f>
        <v/>
      </c>
      <c r="L171" s="10">
        <f>IF($AB171="","",IF(INDEX(기본자료!$A$2:$A$1001,$AB171)="","",INDEX(기본자료!$A$2:$A$1001,$AB171)))</f>
        <v/>
      </c>
      <c r="M171" s="15" t="n"/>
      <c r="N171" s="10">
        <f>IF($B171="","",IF(AND($U171="파견중",$Q171&lt;&gt;""),$Q171,IF(AND($AD171&lt;&gt;"",LEFT($AD171,1)&lt;&gt;"⚠"),LEFT($AD171,FIND(" ",$AD171)-1),IF($H171="","",IF(RIGHT($H171,2)="병원",$H171,$H171&amp;"병원")))))</f>
        <v/>
      </c>
      <c r="O171" s="10">
        <f>IF($B171="","",IF(AND($U171="파견중",$Q171&lt;&gt;""),IF($R171&lt;&gt;"",$R171,"파견과 미입력"),IF(AND($AD171&lt;&gt;"",LEFT($AD171,1)&lt;&gt;"⚠"),MID($AD171,FIND(" ",$AD171)+1,60),IF($F171="","",IF($F171="인턴","수련교육부(인턴)",$F171)))))</f>
        <v/>
      </c>
      <c r="P171" s="10">
        <f>IF($B171="","",IF($AK171&lt;&gt;"",IF(AND(TODAY()&gt;=INDEX(파견수련계획!$AB$4:$AB$83,$AK171),OR(NOT(ISNUMBER(INDEX(파견수련계획!$AC$4:$AC$83,$AK171))),TODAY()&lt;=INDEX(파견수련계획!$AC$4:$AC$83,$AK171))),"다기관",IF($AF171="","",INDEX(파견수련계획!$T$4:$T$83,$AF171))),IF($AF171="","",INDEX(파견수련계획!$T$4:$T$83,$AF171))))</f>
        <v/>
      </c>
      <c r="Q171" s="10">
        <f>IF($AF171="","",INDEX(파견수련계획!$S$4:$S$83,$AF171))</f>
        <v/>
      </c>
      <c r="R171" s="10">
        <f>IF($AF171="","",INDEX(파견수련계획!$U$4:$U$83,$AF171))</f>
        <v/>
      </c>
      <c r="S171" s="11">
        <f>IF($AF171="","",IF(INDEX(파견수련계획!$H$4:$H$83,$AF171)="","",INDEX(파견수련계획!$H$4:$H$83,$AF171)))</f>
        <v/>
      </c>
      <c r="T171" s="11">
        <f>IF($AF171="","",IF(INDEX(파견수련계획!$I$4:$I$83,$AF171)="","",INDEX(파견수련계획!$I$4:$I$83,$AF171)))</f>
        <v/>
      </c>
      <c r="U171" s="10">
        <f>IF($AF171="","",INDEX(파견수련계획!$X$4:$X$83,$AF171))</f>
        <v/>
      </c>
      <c r="V171" s="17">
        <f>IF($AF171="","",INDEX(파견수련계획!$V$4:$V$83,$AF171))</f>
        <v/>
      </c>
      <c r="W171" s="17">
        <f>IF(AND($U171="파견중",$T171&lt;&gt;""),$T171-TODAY(),"")</f>
        <v/>
      </c>
      <c r="X171" s="17">
        <f>IF(OR($B171="",TRIM($J171&amp;"")=""),"",SUMPRODUCT((파견수련계획!$Q$4:$Q$83=TRIM($J171&amp;""))*파견수련계획!$W$4:$W$83))</f>
        <v/>
      </c>
      <c r="Y171" s="10">
        <f>IF($B171="","",IF($AG171="","",IF(IF(TRIM($J171&amp;"")="",0,SUMPRODUCT((파견수련계획!$Q$4:$Q$83=TRIM($J171&amp;""))*파견수련계획!$AD$4:$AD$83))&gt;0,$AE171,IF(N($X171)&lt;=0,$AG171,IF($AH171+$AI171=DAY(EOMONTH(요약!$B$3,0)),IF(AND($AH171&gt;=요약!$E$3,$AI171&lt;요약!$E$3),"서울병원",IF(AND($AI171&gt;=요약!$E$3,$AH171&lt;요약!$E$3),"구리병원","⚠15일 판정불가(서울 "&amp;$AH171&amp;"일/구리 "&amp;$AI171&amp;"일)")),IF($AJ171="",$AE171,IF(INDEX(파견수련계획!$T$4:$T$83,$AJ171)="통합수련",INDEX(파견수련계획!$S$4:$S$83,$AJ171),$AE171)))))))</f>
        <v/>
      </c>
      <c r="Z171" s="19">
        <f>IF($B171="","",IF($AB171="","기본자료에 없는 사번",IF(COUNTIF($B$2:$B$401,$B171)&gt;1,"중복 사번",IF($AE171="","소속(입사장소) 입력",IF(IF(TRIM($J171&amp;"")="",0,SUMPRODUCT((파견수련계획!$Q$4:$Q$83=TRIM($J171&amp;""))*(파견수련계획!$AA$4:$AA$83&lt;&gt;"")))&gt;0,"파견수련계획 입력오류 확인",IF(LEFT($Y171,1)="⚠","서울·구리 15일 판정 불가(양쪽 모두 이상/미만)",IF(IF($AC171="",0,N(INDEX(인턴근무계획!$T$3:$T$62,$AC171)))&gt;0,"인턴계획 입력오류 확인",IF(AND($AC171&lt;&gt;"",$U171&lt;&gt;"파견중",$N171&lt;&gt;$AE171),"인턴 타지역 근무: 파견 여부 확인","정상"))))))))</f>
        <v/>
      </c>
      <c r="AA171" s="5" t="n"/>
      <c r="AB171" s="10">
        <f>IF($B171="","",IFERROR(MATCH($B171,기본자료!$B$2:$B$1001,0),IFERROR(MATCH($B171&amp;"",기본자료!$B$2:$B$1001,0),IFERROR(MATCH(VALUE($B171),기본자료!$B$2:$B$1001,0),""))))</f>
        <v/>
      </c>
      <c r="AC171" s="10">
        <f>IF($B171="","",IFERROR(MATCH($B171,인턴근무계획!$D$3:$D$62,0),IFERROR(MATCH($B171&amp;"",인턴근무계획!$D$3:$D$62,0),IFERROR(MATCH(VALUE($B171),인턴근무계획!$D$3:$D$62,0),""))))</f>
        <v/>
      </c>
      <c r="AD171" s="10">
        <f>IF(OR($AC171="",인턴현황!$G$3=""),"",INDEX(인턴근무계획!$M$3:$R$62,$AC171,인턴현황!$G$3)&amp;"")</f>
        <v/>
      </c>
      <c r="AE171" s="10">
        <f>IF($B171="","",IF($M171&lt;&gt;"",$M171,IF($AF171&lt;&gt;"",IF(LEFT(INDEX(파견수련계획!$R$4:$R$83,$AF171),1)&lt;&gt;"⚠",INDEX(파견수련계획!$R$4:$R$83,$AF171),IF($H171="","",IF(RIGHT($H171,2)="병원",$H171,$H171&amp;"병원"))),IF($H171="","",IF(RIGHT($H171,2)="병원",$H171,$H171&amp;"병원")))))</f>
        <v/>
      </c>
      <c r="AF171" s="10">
        <f>IF(OR($B171="",TRIM($J171&amp;"")=""),"",IFERROR(MATCH(TRIM($J171&amp;"")&amp;"|파견중",파견수련계획!$Y$4:$Y$83,0),IFERROR(MATCH(TRIM($J171&amp;"")&amp;"|파견예정",파견수련계획!$Y$4:$Y$83,0),IFERROR(MATCH(TRIM($J171&amp;"")&amp;"|파견종료",파견수련계획!$Y$4:$Y$83,0),""))))</f>
        <v/>
      </c>
      <c r="AG171" s="10">
        <f>IF($B171="","",IF(AND(IF(OR($AC171="",인턴현황!$K$2=""),"",INDEX(인턴근무계획!$M$3:$R$62,$AC171,인턴현황!$K$2)&amp;"")&lt;&gt;"",LEFT(IF(OR($AC171="",인턴현황!$K$2=""),"",INDEX(인턴근무계획!$M$3:$R$62,$AC171,인턴현황!$K$2)&amp;""),1)&lt;&gt;"⚠"),LEFT(IF(OR($AC171="",인턴현황!$K$2=""),"",INDEX(인턴근무계획!$M$3:$R$62,$AC171,인턴현황!$K$2)&amp;""),FIND(" ",IF(OR($AC171="",인턴현황!$K$2=""),"",INDEX(인턴근무계획!$M$3:$R$62,$AC171,인턴현황!$K$2)&amp;""))-1),$AE171))</f>
        <v/>
      </c>
      <c r="AH171" s="17">
        <f>IF($B171="","",IF(TRIM($J171&amp;"")="",0,SUMPRODUCT((파견수련계획!$Q$4:$Q$83=TRIM($J171&amp;""))*(파견수련계획!$S$4:$S$83="서울병원")*파견수련계획!$W$4:$W$83))+IF($AG171="서울병원",MAX(0,DAY(EOMONTH(요약!$B$3,0))-N($X171)),0))</f>
        <v/>
      </c>
      <c r="AI171" s="17">
        <f>IF($B171="","",IF(TRIM($J171&amp;"")="",0,SUMPRODUCT((파견수련계획!$Q$4:$Q$83=TRIM($J171&amp;""))*(파견수련계획!$S$4:$S$83="구리병원")*파견수련계획!$W$4:$W$83))+IF($AG171="구리병원",MAX(0,DAY(EOMONTH(요약!$B$3,0))-N($X171)),0))</f>
        <v/>
      </c>
      <c r="AJ171" s="10">
        <f>IF(OR($B171="",TRIM($J171&amp;"")=""),"",IFERROR(MATCH(TRIM($J171&amp;"")&amp;"|월",파견수련계획!$Z$4:$Z$83,0),""))</f>
        <v/>
      </c>
      <c r="AK171" s="10">
        <f>IF(OR($B171="",TRIM($J171&amp;"")=""),"",IFERROR(MATCH(TRIM($J171&amp;"")&amp;"|다기관",파견수련계획!$AE$4:$AE$83,0),""))</f>
        <v/>
      </c>
      <c r="AL171" s="10">
        <f>IF($AK171="","","다기관 "&amp;TEXT(INDEX(파견수련계획!$AB$4:$AB$83,$AK171),"yyyy-mm-dd")&amp;"~"&amp;IF(ISNUMBER(INDEX(파견수련계획!$AC$4:$AC$83,$AK171)),TEXT(INDEX(파견수련계획!$AC$4:$AC$83,$AK171),"yyyy-mm-dd"),""))</f>
        <v/>
      </c>
    </row>
    <row r="172">
      <c r="A172" s="10">
        <f>IF(B172="","",ROW()-1)</f>
        <v/>
      </c>
      <c r="B172" s="18" t="n"/>
      <c r="C172" s="10">
        <f>IF($AB172="","",IF(INDEX(기본자료!$C$2:$C$1001,$AB172)="","",INDEX(기본자료!$C$2:$C$1001,$AB172)))</f>
        <v/>
      </c>
      <c r="D172" s="10">
        <f>IF($AB172="","",IF(INDEX(기본자료!$J$2:$J$1001,$AB172)="","",INDEX(기본자료!$J$2:$J$1001,$AB172)))</f>
        <v/>
      </c>
      <c r="E172" s="11">
        <f>IF($AB172="","",IF(INDEX(기본자료!$K$2:$K$1001,$AB172)="","",IF(NOT(ISNUMBER(INDEX(기본자료!$K$2:$K$1001,$AB172))),INDEX(기본자료!$K$2:$K$1001,$AB172),IF(INDEX(기본자료!$K$2:$K$1001,$AB172)&lt;1000000,INDEX(기본자료!$K$2:$K$1001,$AB172),IF(AND(INDEX(기본자료!$K$2:$K$1001,$AB172)&gt;=10000101,INT(MOD(INDEX(기본자료!$K$2:$K$1001,$AB172),10000)/100)&gt;=1,INT(MOD(INDEX(기본자료!$K$2:$K$1001,$AB172),10000)/100)&lt;=12,MOD(INDEX(기본자료!$K$2:$K$1001,$AB172),100)&gt;=1,MOD(INDEX(기본자료!$K$2:$K$1001,$AB172),100)&lt;=31),DATE(INT(INDEX(기본자료!$K$2:$K$1001,$AB172)/10000),INT(MOD(INDEX(기본자료!$K$2:$K$1001,$AB172),10000)/100),MOD(INDEX(기본자료!$K$2:$K$1001,$AB172),100)),INDEX(기본자료!$K$2:$K$1001,$AB172)&amp;"")))))</f>
        <v/>
      </c>
      <c r="F172" s="10">
        <f>IF($AB172="","",IF(INDEX(기본자료!$D$2:$D$1001,$AB172)="","",INDEX(기본자료!$D$2:$D$1001,$AB172)))</f>
        <v/>
      </c>
      <c r="G172" s="10">
        <f>IF($AB172="","",IF(INDEX(기본자료!$E$2:$E$1001,$AB172)="","",INDEX(기본자료!$E$2:$E$1001,$AB172)))</f>
        <v/>
      </c>
      <c r="H172" s="10">
        <f>IF($AB172="","",IF(INDEX(기본자료!$F$2:$F$1001,$AB172)="","",INDEX(기본자료!$F$2:$F$1001,$AB172)))</f>
        <v/>
      </c>
      <c r="I172" s="11">
        <f>IF($AB172="","",IF(INDEX(기본자료!$G$2:$G$1001,$AB172)="","",IF(NOT(ISNUMBER(INDEX(기본자료!$G$2:$G$1001,$AB172))),INDEX(기본자료!$G$2:$G$1001,$AB172),IF(INDEX(기본자료!$G$2:$G$1001,$AB172)&lt;1000000,INDEX(기본자료!$G$2:$G$1001,$AB172),IF(AND(INDEX(기본자료!$G$2:$G$1001,$AB172)&gt;=10000101,INT(MOD(INDEX(기본자료!$G$2:$G$1001,$AB172),10000)/100)&gt;=1,INT(MOD(INDEX(기본자료!$G$2:$G$1001,$AB172),10000)/100)&lt;=12,MOD(INDEX(기본자료!$G$2:$G$1001,$AB172),100)&gt;=1,MOD(INDEX(기본자료!$G$2:$G$1001,$AB172),100)&lt;=31),DATE(INT(INDEX(기본자료!$G$2:$G$1001,$AB172)/10000),INT(MOD(INDEX(기본자료!$G$2:$G$1001,$AB172),10000)/100),MOD(INDEX(기본자료!$G$2:$G$1001,$AB172),100)),INDEX(기본자료!$G$2:$G$1001,$AB172)&amp;"")))))</f>
        <v/>
      </c>
      <c r="J172" s="10">
        <f>IF($AB172="","",IF(INDEX(기본자료!$H$2:$H$1001,$AB172)="","",INDEX(기본자료!$H$2:$H$1001,$AB172)))</f>
        <v/>
      </c>
      <c r="K172" s="10">
        <f>IF($AB172="","",IF(INDEX(기본자료!$I$2:$I$1001,$AB172)="","",INDEX(기본자료!$I$2:$I$1001,$AB172)))</f>
        <v/>
      </c>
      <c r="L172" s="10">
        <f>IF($AB172="","",IF(INDEX(기본자료!$A$2:$A$1001,$AB172)="","",INDEX(기본자료!$A$2:$A$1001,$AB172)))</f>
        <v/>
      </c>
      <c r="M172" s="15" t="n"/>
      <c r="N172" s="10">
        <f>IF($B172="","",IF(AND($U172="파견중",$Q172&lt;&gt;""),$Q172,IF(AND($AD172&lt;&gt;"",LEFT($AD172,1)&lt;&gt;"⚠"),LEFT($AD172,FIND(" ",$AD172)-1),IF($H172="","",IF(RIGHT($H172,2)="병원",$H172,$H172&amp;"병원")))))</f>
        <v/>
      </c>
      <c r="O172" s="10">
        <f>IF($B172="","",IF(AND($U172="파견중",$Q172&lt;&gt;""),IF($R172&lt;&gt;"",$R172,"파견과 미입력"),IF(AND($AD172&lt;&gt;"",LEFT($AD172,1)&lt;&gt;"⚠"),MID($AD172,FIND(" ",$AD172)+1,60),IF($F172="","",IF($F172="인턴","수련교육부(인턴)",$F172)))))</f>
        <v/>
      </c>
      <c r="P172" s="10">
        <f>IF($B172="","",IF($AK172&lt;&gt;"",IF(AND(TODAY()&gt;=INDEX(파견수련계획!$AB$4:$AB$83,$AK172),OR(NOT(ISNUMBER(INDEX(파견수련계획!$AC$4:$AC$83,$AK172))),TODAY()&lt;=INDEX(파견수련계획!$AC$4:$AC$83,$AK172))),"다기관",IF($AF172="","",INDEX(파견수련계획!$T$4:$T$83,$AF172))),IF($AF172="","",INDEX(파견수련계획!$T$4:$T$83,$AF172))))</f>
        <v/>
      </c>
      <c r="Q172" s="10">
        <f>IF($AF172="","",INDEX(파견수련계획!$S$4:$S$83,$AF172))</f>
        <v/>
      </c>
      <c r="R172" s="10">
        <f>IF($AF172="","",INDEX(파견수련계획!$U$4:$U$83,$AF172))</f>
        <v/>
      </c>
      <c r="S172" s="11">
        <f>IF($AF172="","",IF(INDEX(파견수련계획!$H$4:$H$83,$AF172)="","",INDEX(파견수련계획!$H$4:$H$83,$AF172)))</f>
        <v/>
      </c>
      <c r="T172" s="11">
        <f>IF($AF172="","",IF(INDEX(파견수련계획!$I$4:$I$83,$AF172)="","",INDEX(파견수련계획!$I$4:$I$83,$AF172)))</f>
        <v/>
      </c>
      <c r="U172" s="10">
        <f>IF($AF172="","",INDEX(파견수련계획!$X$4:$X$83,$AF172))</f>
        <v/>
      </c>
      <c r="V172" s="17">
        <f>IF($AF172="","",INDEX(파견수련계획!$V$4:$V$83,$AF172))</f>
        <v/>
      </c>
      <c r="W172" s="17">
        <f>IF(AND($U172="파견중",$T172&lt;&gt;""),$T172-TODAY(),"")</f>
        <v/>
      </c>
      <c r="X172" s="17">
        <f>IF(OR($B172="",TRIM($J172&amp;"")=""),"",SUMPRODUCT((파견수련계획!$Q$4:$Q$83=TRIM($J172&amp;""))*파견수련계획!$W$4:$W$83))</f>
        <v/>
      </c>
      <c r="Y172" s="10">
        <f>IF($B172="","",IF($AG172="","",IF(IF(TRIM($J172&amp;"")="",0,SUMPRODUCT((파견수련계획!$Q$4:$Q$83=TRIM($J172&amp;""))*파견수련계획!$AD$4:$AD$83))&gt;0,$AE172,IF(N($X172)&lt;=0,$AG172,IF($AH172+$AI172=DAY(EOMONTH(요약!$B$3,0)),IF(AND($AH172&gt;=요약!$E$3,$AI172&lt;요약!$E$3),"서울병원",IF(AND($AI172&gt;=요약!$E$3,$AH172&lt;요약!$E$3),"구리병원","⚠15일 판정불가(서울 "&amp;$AH172&amp;"일/구리 "&amp;$AI172&amp;"일)")),IF($AJ172="",$AE172,IF(INDEX(파견수련계획!$T$4:$T$83,$AJ172)="통합수련",INDEX(파견수련계획!$S$4:$S$83,$AJ172),$AE172)))))))</f>
        <v/>
      </c>
      <c r="Z172" s="19">
        <f>IF($B172="","",IF($AB172="","기본자료에 없는 사번",IF(COUNTIF($B$2:$B$401,$B172)&gt;1,"중복 사번",IF($AE172="","소속(입사장소) 입력",IF(IF(TRIM($J172&amp;"")="",0,SUMPRODUCT((파견수련계획!$Q$4:$Q$83=TRIM($J172&amp;""))*(파견수련계획!$AA$4:$AA$83&lt;&gt;"")))&gt;0,"파견수련계획 입력오류 확인",IF(LEFT($Y172,1)="⚠","서울·구리 15일 판정 불가(양쪽 모두 이상/미만)",IF(IF($AC172="",0,N(INDEX(인턴근무계획!$T$3:$T$62,$AC172)))&gt;0,"인턴계획 입력오류 확인",IF(AND($AC172&lt;&gt;"",$U172&lt;&gt;"파견중",$N172&lt;&gt;$AE172),"인턴 타지역 근무: 파견 여부 확인","정상"))))))))</f>
        <v/>
      </c>
      <c r="AA172" s="5" t="n"/>
      <c r="AB172" s="10">
        <f>IF($B172="","",IFERROR(MATCH($B172,기본자료!$B$2:$B$1001,0),IFERROR(MATCH($B172&amp;"",기본자료!$B$2:$B$1001,0),IFERROR(MATCH(VALUE($B172),기본자료!$B$2:$B$1001,0),""))))</f>
        <v/>
      </c>
      <c r="AC172" s="10">
        <f>IF($B172="","",IFERROR(MATCH($B172,인턴근무계획!$D$3:$D$62,0),IFERROR(MATCH($B172&amp;"",인턴근무계획!$D$3:$D$62,0),IFERROR(MATCH(VALUE($B172),인턴근무계획!$D$3:$D$62,0),""))))</f>
        <v/>
      </c>
      <c r="AD172" s="10">
        <f>IF(OR($AC172="",인턴현황!$G$3=""),"",INDEX(인턴근무계획!$M$3:$R$62,$AC172,인턴현황!$G$3)&amp;"")</f>
        <v/>
      </c>
      <c r="AE172" s="10">
        <f>IF($B172="","",IF($M172&lt;&gt;"",$M172,IF($AF172&lt;&gt;"",IF(LEFT(INDEX(파견수련계획!$R$4:$R$83,$AF172),1)&lt;&gt;"⚠",INDEX(파견수련계획!$R$4:$R$83,$AF172),IF($H172="","",IF(RIGHT($H172,2)="병원",$H172,$H172&amp;"병원"))),IF($H172="","",IF(RIGHT($H172,2)="병원",$H172,$H172&amp;"병원")))))</f>
        <v/>
      </c>
      <c r="AF172" s="10">
        <f>IF(OR($B172="",TRIM($J172&amp;"")=""),"",IFERROR(MATCH(TRIM($J172&amp;"")&amp;"|파견중",파견수련계획!$Y$4:$Y$83,0),IFERROR(MATCH(TRIM($J172&amp;"")&amp;"|파견예정",파견수련계획!$Y$4:$Y$83,0),IFERROR(MATCH(TRIM($J172&amp;"")&amp;"|파견종료",파견수련계획!$Y$4:$Y$83,0),""))))</f>
        <v/>
      </c>
      <c r="AG172" s="10">
        <f>IF($B172="","",IF(AND(IF(OR($AC172="",인턴현황!$K$2=""),"",INDEX(인턴근무계획!$M$3:$R$62,$AC172,인턴현황!$K$2)&amp;"")&lt;&gt;"",LEFT(IF(OR($AC172="",인턴현황!$K$2=""),"",INDEX(인턴근무계획!$M$3:$R$62,$AC172,인턴현황!$K$2)&amp;""),1)&lt;&gt;"⚠"),LEFT(IF(OR($AC172="",인턴현황!$K$2=""),"",INDEX(인턴근무계획!$M$3:$R$62,$AC172,인턴현황!$K$2)&amp;""),FIND(" ",IF(OR($AC172="",인턴현황!$K$2=""),"",INDEX(인턴근무계획!$M$3:$R$62,$AC172,인턴현황!$K$2)&amp;""))-1),$AE172))</f>
        <v/>
      </c>
      <c r="AH172" s="17">
        <f>IF($B172="","",IF(TRIM($J172&amp;"")="",0,SUMPRODUCT((파견수련계획!$Q$4:$Q$83=TRIM($J172&amp;""))*(파견수련계획!$S$4:$S$83="서울병원")*파견수련계획!$W$4:$W$83))+IF($AG172="서울병원",MAX(0,DAY(EOMONTH(요약!$B$3,0))-N($X172)),0))</f>
        <v/>
      </c>
      <c r="AI172" s="17">
        <f>IF($B172="","",IF(TRIM($J172&amp;"")="",0,SUMPRODUCT((파견수련계획!$Q$4:$Q$83=TRIM($J172&amp;""))*(파견수련계획!$S$4:$S$83="구리병원")*파견수련계획!$W$4:$W$83))+IF($AG172="구리병원",MAX(0,DAY(EOMONTH(요약!$B$3,0))-N($X172)),0))</f>
        <v/>
      </c>
      <c r="AJ172" s="10">
        <f>IF(OR($B172="",TRIM($J172&amp;"")=""),"",IFERROR(MATCH(TRIM($J172&amp;"")&amp;"|월",파견수련계획!$Z$4:$Z$83,0),""))</f>
        <v/>
      </c>
      <c r="AK172" s="10">
        <f>IF(OR($B172="",TRIM($J172&amp;"")=""),"",IFERROR(MATCH(TRIM($J172&amp;"")&amp;"|다기관",파견수련계획!$AE$4:$AE$83,0),""))</f>
        <v/>
      </c>
      <c r="AL172" s="10">
        <f>IF($AK172="","","다기관 "&amp;TEXT(INDEX(파견수련계획!$AB$4:$AB$83,$AK172),"yyyy-mm-dd")&amp;"~"&amp;IF(ISNUMBER(INDEX(파견수련계획!$AC$4:$AC$83,$AK172)),TEXT(INDEX(파견수련계획!$AC$4:$AC$83,$AK172),"yyyy-mm-dd"),""))</f>
        <v/>
      </c>
    </row>
    <row r="173">
      <c r="A173" s="10">
        <f>IF(B173="","",ROW()-1)</f>
        <v/>
      </c>
      <c r="B173" s="18" t="n"/>
      <c r="C173" s="10">
        <f>IF($AB173="","",IF(INDEX(기본자료!$C$2:$C$1001,$AB173)="","",INDEX(기본자료!$C$2:$C$1001,$AB173)))</f>
        <v/>
      </c>
      <c r="D173" s="10">
        <f>IF($AB173="","",IF(INDEX(기본자료!$J$2:$J$1001,$AB173)="","",INDEX(기본자료!$J$2:$J$1001,$AB173)))</f>
        <v/>
      </c>
      <c r="E173" s="11">
        <f>IF($AB173="","",IF(INDEX(기본자료!$K$2:$K$1001,$AB173)="","",IF(NOT(ISNUMBER(INDEX(기본자료!$K$2:$K$1001,$AB173))),INDEX(기본자료!$K$2:$K$1001,$AB173),IF(INDEX(기본자료!$K$2:$K$1001,$AB173)&lt;1000000,INDEX(기본자료!$K$2:$K$1001,$AB173),IF(AND(INDEX(기본자료!$K$2:$K$1001,$AB173)&gt;=10000101,INT(MOD(INDEX(기본자료!$K$2:$K$1001,$AB173),10000)/100)&gt;=1,INT(MOD(INDEX(기본자료!$K$2:$K$1001,$AB173),10000)/100)&lt;=12,MOD(INDEX(기본자료!$K$2:$K$1001,$AB173),100)&gt;=1,MOD(INDEX(기본자료!$K$2:$K$1001,$AB173),100)&lt;=31),DATE(INT(INDEX(기본자료!$K$2:$K$1001,$AB173)/10000),INT(MOD(INDEX(기본자료!$K$2:$K$1001,$AB173),10000)/100),MOD(INDEX(기본자료!$K$2:$K$1001,$AB173),100)),INDEX(기본자료!$K$2:$K$1001,$AB173)&amp;"")))))</f>
        <v/>
      </c>
      <c r="F173" s="10">
        <f>IF($AB173="","",IF(INDEX(기본자료!$D$2:$D$1001,$AB173)="","",INDEX(기본자료!$D$2:$D$1001,$AB173)))</f>
        <v/>
      </c>
      <c r="G173" s="10">
        <f>IF($AB173="","",IF(INDEX(기본자료!$E$2:$E$1001,$AB173)="","",INDEX(기본자료!$E$2:$E$1001,$AB173)))</f>
        <v/>
      </c>
      <c r="H173" s="10">
        <f>IF($AB173="","",IF(INDEX(기본자료!$F$2:$F$1001,$AB173)="","",INDEX(기본자료!$F$2:$F$1001,$AB173)))</f>
        <v/>
      </c>
      <c r="I173" s="11">
        <f>IF($AB173="","",IF(INDEX(기본자료!$G$2:$G$1001,$AB173)="","",IF(NOT(ISNUMBER(INDEX(기본자료!$G$2:$G$1001,$AB173))),INDEX(기본자료!$G$2:$G$1001,$AB173),IF(INDEX(기본자료!$G$2:$G$1001,$AB173)&lt;1000000,INDEX(기본자료!$G$2:$G$1001,$AB173),IF(AND(INDEX(기본자료!$G$2:$G$1001,$AB173)&gt;=10000101,INT(MOD(INDEX(기본자료!$G$2:$G$1001,$AB173),10000)/100)&gt;=1,INT(MOD(INDEX(기본자료!$G$2:$G$1001,$AB173),10000)/100)&lt;=12,MOD(INDEX(기본자료!$G$2:$G$1001,$AB173),100)&gt;=1,MOD(INDEX(기본자료!$G$2:$G$1001,$AB173),100)&lt;=31),DATE(INT(INDEX(기본자료!$G$2:$G$1001,$AB173)/10000),INT(MOD(INDEX(기본자료!$G$2:$G$1001,$AB173),10000)/100),MOD(INDEX(기본자료!$G$2:$G$1001,$AB173),100)),INDEX(기본자료!$G$2:$G$1001,$AB173)&amp;"")))))</f>
        <v/>
      </c>
      <c r="J173" s="10">
        <f>IF($AB173="","",IF(INDEX(기본자료!$H$2:$H$1001,$AB173)="","",INDEX(기본자료!$H$2:$H$1001,$AB173)))</f>
        <v/>
      </c>
      <c r="K173" s="10">
        <f>IF($AB173="","",IF(INDEX(기본자료!$I$2:$I$1001,$AB173)="","",INDEX(기본자료!$I$2:$I$1001,$AB173)))</f>
        <v/>
      </c>
      <c r="L173" s="10">
        <f>IF($AB173="","",IF(INDEX(기본자료!$A$2:$A$1001,$AB173)="","",INDEX(기본자료!$A$2:$A$1001,$AB173)))</f>
        <v/>
      </c>
      <c r="M173" s="15" t="n"/>
      <c r="N173" s="10">
        <f>IF($B173="","",IF(AND($U173="파견중",$Q173&lt;&gt;""),$Q173,IF(AND($AD173&lt;&gt;"",LEFT($AD173,1)&lt;&gt;"⚠"),LEFT($AD173,FIND(" ",$AD173)-1),IF($H173="","",IF(RIGHT($H173,2)="병원",$H173,$H173&amp;"병원")))))</f>
        <v/>
      </c>
      <c r="O173" s="10">
        <f>IF($B173="","",IF(AND($U173="파견중",$Q173&lt;&gt;""),IF($R173&lt;&gt;"",$R173,"파견과 미입력"),IF(AND($AD173&lt;&gt;"",LEFT($AD173,1)&lt;&gt;"⚠"),MID($AD173,FIND(" ",$AD173)+1,60),IF($F173="","",IF($F173="인턴","수련교육부(인턴)",$F173)))))</f>
        <v/>
      </c>
      <c r="P173" s="10">
        <f>IF($B173="","",IF($AK173&lt;&gt;"",IF(AND(TODAY()&gt;=INDEX(파견수련계획!$AB$4:$AB$83,$AK173),OR(NOT(ISNUMBER(INDEX(파견수련계획!$AC$4:$AC$83,$AK173))),TODAY()&lt;=INDEX(파견수련계획!$AC$4:$AC$83,$AK173))),"다기관",IF($AF173="","",INDEX(파견수련계획!$T$4:$T$83,$AF173))),IF($AF173="","",INDEX(파견수련계획!$T$4:$T$83,$AF173))))</f>
        <v/>
      </c>
      <c r="Q173" s="10">
        <f>IF($AF173="","",INDEX(파견수련계획!$S$4:$S$83,$AF173))</f>
        <v/>
      </c>
      <c r="R173" s="10">
        <f>IF($AF173="","",INDEX(파견수련계획!$U$4:$U$83,$AF173))</f>
        <v/>
      </c>
      <c r="S173" s="11">
        <f>IF($AF173="","",IF(INDEX(파견수련계획!$H$4:$H$83,$AF173)="","",INDEX(파견수련계획!$H$4:$H$83,$AF173)))</f>
        <v/>
      </c>
      <c r="T173" s="11">
        <f>IF($AF173="","",IF(INDEX(파견수련계획!$I$4:$I$83,$AF173)="","",INDEX(파견수련계획!$I$4:$I$83,$AF173)))</f>
        <v/>
      </c>
      <c r="U173" s="10">
        <f>IF($AF173="","",INDEX(파견수련계획!$X$4:$X$83,$AF173))</f>
        <v/>
      </c>
      <c r="V173" s="17">
        <f>IF($AF173="","",INDEX(파견수련계획!$V$4:$V$83,$AF173))</f>
        <v/>
      </c>
      <c r="W173" s="17">
        <f>IF(AND($U173="파견중",$T173&lt;&gt;""),$T173-TODAY(),"")</f>
        <v/>
      </c>
      <c r="X173" s="17">
        <f>IF(OR($B173="",TRIM($J173&amp;"")=""),"",SUMPRODUCT((파견수련계획!$Q$4:$Q$83=TRIM($J173&amp;""))*파견수련계획!$W$4:$W$83))</f>
        <v/>
      </c>
      <c r="Y173" s="10">
        <f>IF($B173="","",IF($AG173="","",IF(IF(TRIM($J173&amp;"")="",0,SUMPRODUCT((파견수련계획!$Q$4:$Q$83=TRIM($J173&amp;""))*파견수련계획!$AD$4:$AD$83))&gt;0,$AE173,IF(N($X173)&lt;=0,$AG173,IF($AH173+$AI173=DAY(EOMONTH(요약!$B$3,0)),IF(AND($AH173&gt;=요약!$E$3,$AI173&lt;요약!$E$3),"서울병원",IF(AND($AI173&gt;=요약!$E$3,$AH173&lt;요약!$E$3),"구리병원","⚠15일 판정불가(서울 "&amp;$AH173&amp;"일/구리 "&amp;$AI173&amp;"일)")),IF($AJ173="",$AE173,IF(INDEX(파견수련계획!$T$4:$T$83,$AJ173)="통합수련",INDEX(파견수련계획!$S$4:$S$83,$AJ173),$AE173)))))))</f>
        <v/>
      </c>
      <c r="Z173" s="19">
        <f>IF($B173="","",IF($AB173="","기본자료에 없는 사번",IF(COUNTIF($B$2:$B$401,$B173)&gt;1,"중복 사번",IF($AE173="","소속(입사장소) 입력",IF(IF(TRIM($J173&amp;"")="",0,SUMPRODUCT((파견수련계획!$Q$4:$Q$83=TRIM($J173&amp;""))*(파견수련계획!$AA$4:$AA$83&lt;&gt;"")))&gt;0,"파견수련계획 입력오류 확인",IF(LEFT($Y173,1)="⚠","서울·구리 15일 판정 불가(양쪽 모두 이상/미만)",IF(IF($AC173="",0,N(INDEX(인턴근무계획!$T$3:$T$62,$AC173)))&gt;0,"인턴계획 입력오류 확인",IF(AND($AC173&lt;&gt;"",$U173&lt;&gt;"파견중",$N173&lt;&gt;$AE173),"인턴 타지역 근무: 파견 여부 확인","정상"))))))))</f>
        <v/>
      </c>
      <c r="AA173" s="5" t="n"/>
      <c r="AB173" s="10">
        <f>IF($B173="","",IFERROR(MATCH($B173,기본자료!$B$2:$B$1001,0),IFERROR(MATCH($B173&amp;"",기본자료!$B$2:$B$1001,0),IFERROR(MATCH(VALUE($B173),기본자료!$B$2:$B$1001,0),""))))</f>
        <v/>
      </c>
      <c r="AC173" s="10">
        <f>IF($B173="","",IFERROR(MATCH($B173,인턴근무계획!$D$3:$D$62,0),IFERROR(MATCH($B173&amp;"",인턴근무계획!$D$3:$D$62,0),IFERROR(MATCH(VALUE($B173),인턴근무계획!$D$3:$D$62,0),""))))</f>
        <v/>
      </c>
      <c r="AD173" s="10">
        <f>IF(OR($AC173="",인턴현황!$G$3=""),"",INDEX(인턴근무계획!$M$3:$R$62,$AC173,인턴현황!$G$3)&amp;"")</f>
        <v/>
      </c>
      <c r="AE173" s="10">
        <f>IF($B173="","",IF($M173&lt;&gt;"",$M173,IF($AF173&lt;&gt;"",IF(LEFT(INDEX(파견수련계획!$R$4:$R$83,$AF173),1)&lt;&gt;"⚠",INDEX(파견수련계획!$R$4:$R$83,$AF173),IF($H173="","",IF(RIGHT($H173,2)="병원",$H173,$H173&amp;"병원"))),IF($H173="","",IF(RIGHT($H173,2)="병원",$H173,$H173&amp;"병원")))))</f>
        <v/>
      </c>
      <c r="AF173" s="10">
        <f>IF(OR($B173="",TRIM($J173&amp;"")=""),"",IFERROR(MATCH(TRIM($J173&amp;"")&amp;"|파견중",파견수련계획!$Y$4:$Y$83,0),IFERROR(MATCH(TRIM($J173&amp;"")&amp;"|파견예정",파견수련계획!$Y$4:$Y$83,0),IFERROR(MATCH(TRIM($J173&amp;"")&amp;"|파견종료",파견수련계획!$Y$4:$Y$83,0),""))))</f>
        <v/>
      </c>
      <c r="AG173" s="10">
        <f>IF($B173="","",IF(AND(IF(OR($AC173="",인턴현황!$K$2=""),"",INDEX(인턴근무계획!$M$3:$R$62,$AC173,인턴현황!$K$2)&amp;"")&lt;&gt;"",LEFT(IF(OR($AC173="",인턴현황!$K$2=""),"",INDEX(인턴근무계획!$M$3:$R$62,$AC173,인턴현황!$K$2)&amp;""),1)&lt;&gt;"⚠"),LEFT(IF(OR($AC173="",인턴현황!$K$2=""),"",INDEX(인턴근무계획!$M$3:$R$62,$AC173,인턴현황!$K$2)&amp;""),FIND(" ",IF(OR($AC173="",인턴현황!$K$2=""),"",INDEX(인턴근무계획!$M$3:$R$62,$AC173,인턴현황!$K$2)&amp;""))-1),$AE173))</f>
        <v/>
      </c>
      <c r="AH173" s="17">
        <f>IF($B173="","",IF(TRIM($J173&amp;"")="",0,SUMPRODUCT((파견수련계획!$Q$4:$Q$83=TRIM($J173&amp;""))*(파견수련계획!$S$4:$S$83="서울병원")*파견수련계획!$W$4:$W$83))+IF($AG173="서울병원",MAX(0,DAY(EOMONTH(요약!$B$3,0))-N($X173)),0))</f>
        <v/>
      </c>
      <c r="AI173" s="17">
        <f>IF($B173="","",IF(TRIM($J173&amp;"")="",0,SUMPRODUCT((파견수련계획!$Q$4:$Q$83=TRIM($J173&amp;""))*(파견수련계획!$S$4:$S$83="구리병원")*파견수련계획!$W$4:$W$83))+IF($AG173="구리병원",MAX(0,DAY(EOMONTH(요약!$B$3,0))-N($X173)),0))</f>
        <v/>
      </c>
      <c r="AJ173" s="10">
        <f>IF(OR($B173="",TRIM($J173&amp;"")=""),"",IFERROR(MATCH(TRIM($J173&amp;"")&amp;"|월",파견수련계획!$Z$4:$Z$83,0),""))</f>
        <v/>
      </c>
      <c r="AK173" s="10">
        <f>IF(OR($B173="",TRIM($J173&amp;"")=""),"",IFERROR(MATCH(TRIM($J173&amp;"")&amp;"|다기관",파견수련계획!$AE$4:$AE$83,0),""))</f>
        <v/>
      </c>
      <c r="AL173" s="10">
        <f>IF($AK173="","","다기관 "&amp;TEXT(INDEX(파견수련계획!$AB$4:$AB$83,$AK173),"yyyy-mm-dd")&amp;"~"&amp;IF(ISNUMBER(INDEX(파견수련계획!$AC$4:$AC$83,$AK173)),TEXT(INDEX(파견수련계획!$AC$4:$AC$83,$AK173),"yyyy-mm-dd"),""))</f>
        <v/>
      </c>
    </row>
    <row r="174">
      <c r="A174" s="10">
        <f>IF(B174="","",ROW()-1)</f>
        <v/>
      </c>
      <c r="B174" s="18" t="n"/>
      <c r="C174" s="10">
        <f>IF($AB174="","",IF(INDEX(기본자료!$C$2:$C$1001,$AB174)="","",INDEX(기본자료!$C$2:$C$1001,$AB174)))</f>
        <v/>
      </c>
      <c r="D174" s="10">
        <f>IF($AB174="","",IF(INDEX(기본자료!$J$2:$J$1001,$AB174)="","",INDEX(기본자료!$J$2:$J$1001,$AB174)))</f>
        <v/>
      </c>
      <c r="E174" s="11">
        <f>IF($AB174="","",IF(INDEX(기본자료!$K$2:$K$1001,$AB174)="","",IF(NOT(ISNUMBER(INDEX(기본자료!$K$2:$K$1001,$AB174))),INDEX(기본자료!$K$2:$K$1001,$AB174),IF(INDEX(기본자료!$K$2:$K$1001,$AB174)&lt;1000000,INDEX(기본자료!$K$2:$K$1001,$AB174),IF(AND(INDEX(기본자료!$K$2:$K$1001,$AB174)&gt;=10000101,INT(MOD(INDEX(기본자료!$K$2:$K$1001,$AB174),10000)/100)&gt;=1,INT(MOD(INDEX(기본자료!$K$2:$K$1001,$AB174),10000)/100)&lt;=12,MOD(INDEX(기본자료!$K$2:$K$1001,$AB174),100)&gt;=1,MOD(INDEX(기본자료!$K$2:$K$1001,$AB174),100)&lt;=31),DATE(INT(INDEX(기본자료!$K$2:$K$1001,$AB174)/10000),INT(MOD(INDEX(기본자료!$K$2:$K$1001,$AB174),10000)/100),MOD(INDEX(기본자료!$K$2:$K$1001,$AB174),100)),INDEX(기본자료!$K$2:$K$1001,$AB174)&amp;"")))))</f>
        <v/>
      </c>
      <c r="F174" s="10">
        <f>IF($AB174="","",IF(INDEX(기본자료!$D$2:$D$1001,$AB174)="","",INDEX(기본자료!$D$2:$D$1001,$AB174)))</f>
        <v/>
      </c>
      <c r="G174" s="10">
        <f>IF($AB174="","",IF(INDEX(기본자료!$E$2:$E$1001,$AB174)="","",INDEX(기본자료!$E$2:$E$1001,$AB174)))</f>
        <v/>
      </c>
      <c r="H174" s="10">
        <f>IF($AB174="","",IF(INDEX(기본자료!$F$2:$F$1001,$AB174)="","",INDEX(기본자료!$F$2:$F$1001,$AB174)))</f>
        <v/>
      </c>
      <c r="I174" s="11">
        <f>IF($AB174="","",IF(INDEX(기본자료!$G$2:$G$1001,$AB174)="","",IF(NOT(ISNUMBER(INDEX(기본자료!$G$2:$G$1001,$AB174))),INDEX(기본자료!$G$2:$G$1001,$AB174),IF(INDEX(기본자료!$G$2:$G$1001,$AB174)&lt;1000000,INDEX(기본자료!$G$2:$G$1001,$AB174),IF(AND(INDEX(기본자료!$G$2:$G$1001,$AB174)&gt;=10000101,INT(MOD(INDEX(기본자료!$G$2:$G$1001,$AB174),10000)/100)&gt;=1,INT(MOD(INDEX(기본자료!$G$2:$G$1001,$AB174),10000)/100)&lt;=12,MOD(INDEX(기본자료!$G$2:$G$1001,$AB174),100)&gt;=1,MOD(INDEX(기본자료!$G$2:$G$1001,$AB174),100)&lt;=31),DATE(INT(INDEX(기본자료!$G$2:$G$1001,$AB174)/10000),INT(MOD(INDEX(기본자료!$G$2:$G$1001,$AB174),10000)/100),MOD(INDEX(기본자료!$G$2:$G$1001,$AB174),100)),INDEX(기본자료!$G$2:$G$1001,$AB174)&amp;"")))))</f>
        <v/>
      </c>
      <c r="J174" s="10">
        <f>IF($AB174="","",IF(INDEX(기본자료!$H$2:$H$1001,$AB174)="","",INDEX(기본자료!$H$2:$H$1001,$AB174)))</f>
        <v/>
      </c>
      <c r="K174" s="10">
        <f>IF($AB174="","",IF(INDEX(기본자료!$I$2:$I$1001,$AB174)="","",INDEX(기본자료!$I$2:$I$1001,$AB174)))</f>
        <v/>
      </c>
      <c r="L174" s="10">
        <f>IF($AB174="","",IF(INDEX(기본자료!$A$2:$A$1001,$AB174)="","",INDEX(기본자료!$A$2:$A$1001,$AB174)))</f>
        <v/>
      </c>
      <c r="M174" s="15" t="n"/>
      <c r="N174" s="10">
        <f>IF($B174="","",IF(AND($U174="파견중",$Q174&lt;&gt;""),$Q174,IF(AND($AD174&lt;&gt;"",LEFT($AD174,1)&lt;&gt;"⚠"),LEFT($AD174,FIND(" ",$AD174)-1),IF($H174="","",IF(RIGHT($H174,2)="병원",$H174,$H174&amp;"병원")))))</f>
        <v/>
      </c>
      <c r="O174" s="10">
        <f>IF($B174="","",IF(AND($U174="파견중",$Q174&lt;&gt;""),IF($R174&lt;&gt;"",$R174,"파견과 미입력"),IF(AND($AD174&lt;&gt;"",LEFT($AD174,1)&lt;&gt;"⚠"),MID($AD174,FIND(" ",$AD174)+1,60),IF($F174="","",IF($F174="인턴","수련교육부(인턴)",$F174)))))</f>
        <v/>
      </c>
      <c r="P174" s="10">
        <f>IF($B174="","",IF($AK174&lt;&gt;"",IF(AND(TODAY()&gt;=INDEX(파견수련계획!$AB$4:$AB$83,$AK174),OR(NOT(ISNUMBER(INDEX(파견수련계획!$AC$4:$AC$83,$AK174))),TODAY()&lt;=INDEX(파견수련계획!$AC$4:$AC$83,$AK174))),"다기관",IF($AF174="","",INDEX(파견수련계획!$T$4:$T$83,$AF174))),IF($AF174="","",INDEX(파견수련계획!$T$4:$T$83,$AF174))))</f>
        <v/>
      </c>
      <c r="Q174" s="10">
        <f>IF($AF174="","",INDEX(파견수련계획!$S$4:$S$83,$AF174))</f>
        <v/>
      </c>
      <c r="R174" s="10">
        <f>IF($AF174="","",INDEX(파견수련계획!$U$4:$U$83,$AF174))</f>
        <v/>
      </c>
      <c r="S174" s="11">
        <f>IF($AF174="","",IF(INDEX(파견수련계획!$H$4:$H$83,$AF174)="","",INDEX(파견수련계획!$H$4:$H$83,$AF174)))</f>
        <v/>
      </c>
      <c r="T174" s="11">
        <f>IF($AF174="","",IF(INDEX(파견수련계획!$I$4:$I$83,$AF174)="","",INDEX(파견수련계획!$I$4:$I$83,$AF174)))</f>
        <v/>
      </c>
      <c r="U174" s="10">
        <f>IF($AF174="","",INDEX(파견수련계획!$X$4:$X$83,$AF174))</f>
        <v/>
      </c>
      <c r="V174" s="17">
        <f>IF($AF174="","",INDEX(파견수련계획!$V$4:$V$83,$AF174))</f>
        <v/>
      </c>
      <c r="W174" s="17">
        <f>IF(AND($U174="파견중",$T174&lt;&gt;""),$T174-TODAY(),"")</f>
        <v/>
      </c>
      <c r="X174" s="17">
        <f>IF(OR($B174="",TRIM($J174&amp;"")=""),"",SUMPRODUCT((파견수련계획!$Q$4:$Q$83=TRIM($J174&amp;""))*파견수련계획!$W$4:$W$83))</f>
        <v/>
      </c>
      <c r="Y174" s="10">
        <f>IF($B174="","",IF($AG174="","",IF(IF(TRIM($J174&amp;"")="",0,SUMPRODUCT((파견수련계획!$Q$4:$Q$83=TRIM($J174&amp;""))*파견수련계획!$AD$4:$AD$83))&gt;0,$AE174,IF(N($X174)&lt;=0,$AG174,IF($AH174+$AI174=DAY(EOMONTH(요약!$B$3,0)),IF(AND($AH174&gt;=요약!$E$3,$AI174&lt;요약!$E$3),"서울병원",IF(AND($AI174&gt;=요약!$E$3,$AH174&lt;요약!$E$3),"구리병원","⚠15일 판정불가(서울 "&amp;$AH174&amp;"일/구리 "&amp;$AI174&amp;"일)")),IF($AJ174="",$AE174,IF(INDEX(파견수련계획!$T$4:$T$83,$AJ174)="통합수련",INDEX(파견수련계획!$S$4:$S$83,$AJ174),$AE174)))))))</f>
        <v/>
      </c>
      <c r="Z174" s="19">
        <f>IF($B174="","",IF($AB174="","기본자료에 없는 사번",IF(COUNTIF($B$2:$B$401,$B174)&gt;1,"중복 사번",IF($AE174="","소속(입사장소) 입력",IF(IF(TRIM($J174&amp;"")="",0,SUMPRODUCT((파견수련계획!$Q$4:$Q$83=TRIM($J174&amp;""))*(파견수련계획!$AA$4:$AA$83&lt;&gt;"")))&gt;0,"파견수련계획 입력오류 확인",IF(LEFT($Y174,1)="⚠","서울·구리 15일 판정 불가(양쪽 모두 이상/미만)",IF(IF($AC174="",0,N(INDEX(인턴근무계획!$T$3:$T$62,$AC174)))&gt;0,"인턴계획 입력오류 확인",IF(AND($AC174&lt;&gt;"",$U174&lt;&gt;"파견중",$N174&lt;&gt;$AE174),"인턴 타지역 근무: 파견 여부 확인","정상"))))))))</f>
        <v/>
      </c>
      <c r="AA174" s="5" t="n"/>
      <c r="AB174" s="10">
        <f>IF($B174="","",IFERROR(MATCH($B174,기본자료!$B$2:$B$1001,0),IFERROR(MATCH($B174&amp;"",기본자료!$B$2:$B$1001,0),IFERROR(MATCH(VALUE($B174),기본자료!$B$2:$B$1001,0),""))))</f>
        <v/>
      </c>
      <c r="AC174" s="10">
        <f>IF($B174="","",IFERROR(MATCH($B174,인턴근무계획!$D$3:$D$62,0),IFERROR(MATCH($B174&amp;"",인턴근무계획!$D$3:$D$62,0),IFERROR(MATCH(VALUE($B174),인턴근무계획!$D$3:$D$62,0),""))))</f>
        <v/>
      </c>
      <c r="AD174" s="10">
        <f>IF(OR($AC174="",인턴현황!$G$3=""),"",INDEX(인턴근무계획!$M$3:$R$62,$AC174,인턴현황!$G$3)&amp;"")</f>
        <v/>
      </c>
      <c r="AE174" s="10">
        <f>IF($B174="","",IF($M174&lt;&gt;"",$M174,IF($AF174&lt;&gt;"",IF(LEFT(INDEX(파견수련계획!$R$4:$R$83,$AF174),1)&lt;&gt;"⚠",INDEX(파견수련계획!$R$4:$R$83,$AF174),IF($H174="","",IF(RIGHT($H174,2)="병원",$H174,$H174&amp;"병원"))),IF($H174="","",IF(RIGHT($H174,2)="병원",$H174,$H174&amp;"병원")))))</f>
        <v/>
      </c>
      <c r="AF174" s="10">
        <f>IF(OR($B174="",TRIM($J174&amp;"")=""),"",IFERROR(MATCH(TRIM($J174&amp;"")&amp;"|파견중",파견수련계획!$Y$4:$Y$83,0),IFERROR(MATCH(TRIM($J174&amp;"")&amp;"|파견예정",파견수련계획!$Y$4:$Y$83,0),IFERROR(MATCH(TRIM($J174&amp;"")&amp;"|파견종료",파견수련계획!$Y$4:$Y$83,0),""))))</f>
        <v/>
      </c>
      <c r="AG174" s="10">
        <f>IF($B174="","",IF(AND(IF(OR($AC174="",인턴현황!$K$2=""),"",INDEX(인턴근무계획!$M$3:$R$62,$AC174,인턴현황!$K$2)&amp;"")&lt;&gt;"",LEFT(IF(OR($AC174="",인턴현황!$K$2=""),"",INDEX(인턴근무계획!$M$3:$R$62,$AC174,인턴현황!$K$2)&amp;""),1)&lt;&gt;"⚠"),LEFT(IF(OR($AC174="",인턴현황!$K$2=""),"",INDEX(인턴근무계획!$M$3:$R$62,$AC174,인턴현황!$K$2)&amp;""),FIND(" ",IF(OR($AC174="",인턴현황!$K$2=""),"",INDEX(인턴근무계획!$M$3:$R$62,$AC174,인턴현황!$K$2)&amp;""))-1),$AE174))</f>
        <v/>
      </c>
      <c r="AH174" s="17">
        <f>IF($B174="","",IF(TRIM($J174&amp;"")="",0,SUMPRODUCT((파견수련계획!$Q$4:$Q$83=TRIM($J174&amp;""))*(파견수련계획!$S$4:$S$83="서울병원")*파견수련계획!$W$4:$W$83))+IF($AG174="서울병원",MAX(0,DAY(EOMONTH(요약!$B$3,0))-N($X174)),0))</f>
        <v/>
      </c>
      <c r="AI174" s="17">
        <f>IF($B174="","",IF(TRIM($J174&amp;"")="",0,SUMPRODUCT((파견수련계획!$Q$4:$Q$83=TRIM($J174&amp;""))*(파견수련계획!$S$4:$S$83="구리병원")*파견수련계획!$W$4:$W$83))+IF($AG174="구리병원",MAX(0,DAY(EOMONTH(요약!$B$3,0))-N($X174)),0))</f>
        <v/>
      </c>
      <c r="AJ174" s="10">
        <f>IF(OR($B174="",TRIM($J174&amp;"")=""),"",IFERROR(MATCH(TRIM($J174&amp;"")&amp;"|월",파견수련계획!$Z$4:$Z$83,0),""))</f>
        <v/>
      </c>
      <c r="AK174" s="10">
        <f>IF(OR($B174="",TRIM($J174&amp;"")=""),"",IFERROR(MATCH(TRIM($J174&amp;"")&amp;"|다기관",파견수련계획!$AE$4:$AE$83,0),""))</f>
        <v/>
      </c>
      <c r="AL174" s="10">
        <f>IF($AK174="","","다기관 "&amp;TEXT(INDEX(파견수련계획!$AB$4:$AB$83,$AK174),"yyyy-mm-dd")&amp;"~"&amp;IF(ISNUMBER(INDEX(파견수련계획!$AC$4:$AC$83,$AK174)),TEXT(INDEX(파견수련계획!$AC$4:$AC$83,$AK174),"yyyy-mm-dd"),""))</f>
        <v/>
      </c>
    </row>
    <row r="175">
      <c r="A175" s="10">
        <f>IF(B175="","",ROW()-1)</f>
        <v/>
      </c>
      <c r="B175" s="18" t="n"/>
      <c r="C175" s="10">
        <f>IF($AB175="","",IF(INDEX(기본자료!$C$2:$C$1001,$AB175)="","",INDEX(기본자료!$C$2:$C$1001,$AB175)))</f>
        <v/>
      </c>
      <c r="D175" s="10">
        <f>IF($AB175="","",IF(INDEX(기본자료!$J$2:$J$1001,$AB175)="","",INDEX(기본자료!$J$2:$J$1001,$AB175)))</f>
        <v/>
      </c>
      <c r="E175" s="11">
        <f>IF($AB175="","",IF(INDEX(기본자료!$K$2:$K$1001,$AB175)="","",IF(NOT(ISNUMBER(INDEX(기본자료!$K$2:$K$1001,$AB175))),INDEX(기본자료!$K$2:$K$1001,$AB175),IF(INDEX(기본자료!$K$2:$K$1001,$AB175)&lt;1000000,INDEX(기본자료!$K$2:$K$1001,$AB175),IF(AND(INDEX(기본자료!$K$2:$K$1001,$AB175)&gt;=10000101,INT(MOD(INDEX(기본자료!$K$2:$K$1001,$AB175),10000)/100)&gt;=1,INT(MOD(INDEX(기본자료!$K$2:$K$1001,$AB175),10000)/100)&lt;=12,MOD(INDEX(기본자료!$K$2:$K$1001,$AB175),100)&gt;=1,MOD(INDEX(기본자료!$K$2:$K$1001,$AB175),100)&lt;=31),DATE(INT(INDEX(기본자료!$K$2:$K$1001,$AB175)/10000),INT(MOD(INDEX(기본자료!$K$2:$K$1001,$AB175),10000)/100),MOD(INDEX(기본자료!$K$2:$K$1001,$AB175),100)),INDEX(기본자료!$K$2:$K$1001,$AB175)&amp;"")))))</f>
        <v/>
      </c>
      <c r="F175" s="10">
        <f>IF($AB175="","",IF(INDEX(기본자료!$D$2:$D$1001,$AB175)="","",INDEX(기본자료!$D$2:$D$1001,$AB175)))</f>
        <v/>
      </c>
      <c r="G175" s="10">
        <f>IF($AB175="","",IF(INDEX(기본자료!$E$2:$E$1001,$AB175)="","",INDEX(기본자료!$E$2:$E$1001,$AB175)))</f>
        <v/>
      </c>
      <c r="H175" s="10">
        <f>IF($AB175="","",IF(INDEX(기본자료!$F$2:$F$1001,$AB175)="","",INDEX(기본자료!$F$2:$F$1001,$AB175)))</f>
        <v/>
      </c>
      <c r="I175" s="11">
        <f>IF($AB175="","",IF(INDEX(기본자료!$G$2:$G$1001,$AB175)="","",IF(NOT(ISNUMBER(INDEX(기본자료!$G$2:$G$1001,$AB175))),INDEX(기본자료!$G$2:$G$1001,$AB175),IF(INDEX(기본자료!$G$2:$G$1001,$AB175)&lt;1000000,INDEX(기본자료!$G$2:$G$1001,$AB175),IF(AND(INDEX(기본자료!$G$2:$G$1001,$AB175)&gt;=10000101,INT(MOD(INDEX(기본자료!$G$2:$G$1001,$AB175),10000)/100)&gt;=1,INT(MOD(INDEX(기본자료!$G$2:$G$1001,$AB175),10000)/100)&lt;=12,MOD(INDEX(기본자료!$G$2:$G$1001,$AB175),100)&gt;=1,MOD(INDEX(기본자료!$G$2:$G$1001,$AB175),100)&lt;=31),DATE(INT(INDEX(기본자료!$G$2:$G$1001,$AB175)/10000),INT(MOD(INDEX(기본자료!$G$2:$G$1001,$AB175),10000)/100),MOD(INDEX(기본자료!$G$2:$G$1001,$AB175),100)),INDEX(기본자료!$G$2:$G$1001,$AB175)&amp;"")))))</f>
        <v/>
      </c>
      <c r="J175" s="10">
        <f>IF($AB175="","",IF(INDEX(기본자료!$H$2:$H$1001,$AB175)="","",INDEX(기본자료!$H$2:$H$1001,$AB175)))</f>
        <v/>
      </c>
      <c r="K175" s="10">
        <f>IF($AB175="","",IF(INDEX(기본자료!$I$2:$I$1001,$AB175)="","",INDEX(기본자료!$I$2:$I$1001,$AB175)))</f>
        <v/>
      </c>
      <c r="L175" s="10">
        <f>IF($AB175="","",IF(INDEX(기본자료!$A$2:$A$1001,$AB175)="","",INDEX(기본자료!$A$2:$A$1001,$AB175)))</f>
        <v/>
      </c>
      <c r="M175" s="15" t="n"/>
      <c r="N175" s="10">
        <f>IF($B175="","",IF(AND($U175="파견중",$Q175&lt;&gt;""),$Q175,IF(AND($AD175&lt;&gt;"",LEFT($AD175,1)&lt;&gt;"⚠"),LEFT($AD175,FIND(" ",$AD175)-1),IF($H175="","",IF(RIGHT($H175,2)="병원",$H175,$H175&amp;"병원")))))</f>
        <v/>
      </c>
      <c r="O175" s="10">
        <f>IF($B175="","",IF(AND($U175="파견중",$Q175&lt;&gt;""),IF($R175&lt;&gt;"",$R175,"파견과 미입력"),IF(AND($AD175&lt;&gt;"",LEFT($AD175,1)&lt;&gt;"⚠"),MID($AD175,FIND(" ",$AD175)+1,60),IF($F175="","",IF($F175="인턴","수련교육부(인턴)",$F175)))))</f>
        <v/>
      </c>
      <c r="P175" s="10">
        <f>IF($B175="","",IF($AK175&lt;&gt;"",IF(AND(TODAY()&gt;=INDEX(파견수련계획!$AB$4:$AB$83,$AK175),OR(NOT(ISNUMBER(INDEX(파견수련계획!$AC$4:$AC$83,$AK175))),TODAY()&lt;=INDEX(파견수련계획!$AC$4:$AC$83,$AK175))),"다기관",IF($AF175="","",INDEX(파견수련계획!$T$4:$T$83,$AF175))),IF($AF175="","",INDEX(파견수련계획!$T$4:$T$83,$AF175))))</f>
        <v/>
      </c>
      <c r="Q175" s="10">
        <f>IF($AF175="","",INDEX(파견수련계획!$S$4:$S$83,$AF175))</f>
        <v/>
      </c>
      <c r="R175" s="10">
        <f>IF($AF175="","",INDEX(파견수련계획!$U$4:$U$83,$AF175))</f>
        <v/>
      </c>
      <c r="S175" s="11">
        <f>IF($AF175="","",IF(INDEX(파견수련계획!$H$4:$H$83,$AF175)="","",INDEX(파견수련계획!$H$4:$H$83,$AF175)))</f>
        <v/>
      </c>
      <c r="T175" s="11">
        <f>IF($AF175="","",IF(INDEX(파견수련계획!$I$4:$I$83,$AF175)="","",INDEX(파견수련계획!$I$4:$I$83,$AF175)))</f>
        <v/>
      </c>
      <c r="U175" s="10">
        <f>IF($AF175="","",INDEX(파견수련계획!$X$4:$X$83,$AF175))</f>
        <v/>
      </c>
      <c r="V175" s="17">
        <f>IF($AF175="","",INDEX(파견수련계획!$V$4:$V$83,$AF175))</f>
        <v/>
      </c>
      <c r="W175" s="17">
        <f>IF(AND($U175="파견중",$T175&lt;&gt;""),$T175-TODAY(),"")</f>
        <v/>
      </c>
      <c r="X175" s="17">
        <f>IF(OR($B175="",TRIM($J175&amp;"")=""),"",SUMPRODUCT((파견수련계획!$Q$4:$Q$83=TRIM($J175&amp;""))*파견수련계획!$W$4:$W$83))</f>
        <v/>
      </c>
      <c r="Y175" s="10">
        <f>IF($B175="","",IF($AG175="","",IF(IF(TRIM($J175&amp;"")="",0,SUMPRODUCT((파견수련계획!$Q$4:$Q$83=TRIM($J175&amp;""))*파견수련계획!$AD$4:$AD$83))&gt;0,$AE175,IF(N($X175)&lt;=0,$AG175,IF($AH175+$AI175=DAY(EOMONTH(요약!$B$3,0)),IF(AND($AH175&gt;=요약!$E$3,$AI175&lt;요약!$E$3),"서울병원",IF(AND($AI175&gt;=요약!$E$3,$AH175&lt;요약!$E$3),"구리병원","⚠15일 판정불가(서울 "&amp;$AH175&amp;"일/구리 "&amp;$AI175&amp;"일)")),IF($AJ175="",$AE175,IF(INDEX(파견수련계획!$T$4:$T$83,$AJ175)="통합수련",INDEX(파견수련계획!$S$4:$S$83,$AJ175),$AE175)))))))</f>
        <v/>
      </c>
      <c r="Z175" s="19">
        <f>IF($B175="","",IF($AB175="","기본자료에 없는 사번",IF(COUNTIF($B$2:$B$401,$B175)&gt;1,"중복 사번",IF($AE175="","소속(입사장소) 입력",IF(IF(TRIM($J175&amp;"")="",0,SUMPRODUCT((파견수련계획!$Q$4:$Q$83=TRIM($J175&amp;""))*(파견수련계획!$AA$4:$AA$83&lt;&gt;"")))&gt;0,"파견수련계획 입력오류 확인",IF(LEFT($Y175,1)="⚠","서울·구리 15일 판정 불가(양쪽 모두 이상/미만)",IF(IF($AC175="",0,N(INDEX(인턴근무계획!$T$3:$T$62,$AC175)))&gt;0,"인턴계획 입력오류 확인",IF(AND($AC175&lt;&gt;"",$U175&lt;&gt;"파견중",$N175&lt;&gt;$AE175),"인턴 타지역 근무: 파견 여부 확인","정상"))))))))</f>
        <v/>
      </c>
      <c r="AA175" s="5" t="n"/>
      <c r="AB175" s="10">
        <f>IF($B175="","",IFERROR(MATCH($B175,기본자료!$B$2:$B$1001,0),IFERROR(MATCH($B175&amp;"",기본자료!$B$2:$B$1001,0),IFERROR(MATCH(VALUE($B175),기본자료!$B$2:$B$1001,0),""))))</f>
        <v/>
      </c>
      <c r="AC175" s="10">
        <f>IF($B175="","",IFERROR(MATCH($B175,인턴근무계획!$D$3:$D$62,0),IFERROR(MATCH($B175&amp;"",인턴근무계획!$D$3:$D$62,0),IFERROR(MATCH(VALUE($B175),인턴근무계획!$D$3:$D$62,0),""))))</f>
        <v/>
      </c>
      <c r="AD175" s="10">
        <f>IF(OR($AC175="",인턴현황!$G$3=""),"",INDEX(인턴근무계획!$M$3:$R$62,$AC175,인턴현황!$G$3)&amp;"")</f>
        <v/>
      </c>
      <c r="AE175" s="10">
        <f>IF($B175="","",IF($M175&lt;&gt;"",$M175,IF($AF175&lt;&gt;"",IF(LEFT(INDEX(파견수련계획!$R$4:$R$83,$AF175),1)&lt;&gt;"⚠",INDEX(파견수련계획!$R$4:$R$83,$AF175),IF($H175="","",IF(RIGHT($H175,2)="병원",$H175,$H175&amp;"병원"))),IF($H175="","",IF(RIGHT($H175,2)="병원",$H175,$H175&amp;"병원")))))</f>
        <v/>
      </c>
      <c r="AF175" s="10">
        <f>IF(OR($B175="",TRIM($J175&amp;"")=""),"",IFERROR(MATCH(TRIM($J175&amp;"")&amp;"|파견중",파견수련계획!$Y$4:$Y$83,0),IFERROR(MATCH(TRIM($J175&amp;"")&amp;"|파견예정",파견수련계획!$Y$4:$Y$83,0),IFERROR(MATCH(TRIM($J175&amp;"")&amp;"|파견종료",파견수련계획!$Y$4:$Y$83,0),""))))</f>
        <v/>
      </c>
      <c r="AG175" s="10">
        <f>IF($B175="","",IF(AND(IF(OR($AC175="",인턴현황!$K$2=""),"",INDEX(인턴근무계획!$M$3:$R$62,$AC175,인턴현황!$K$2)&amp;"")&lt;&gt;"",LEFT(IF(OR($AC175="",인턴현황!$K$2=""),"",INDEX(인턴근무계획!$M$3:$R$62,$AC175,인턴현황!$K$2)&amp;""),1)&lt;&gt;"⚠"),LEFT(IF(OR($AC175="",인턴현황!$K$2=""),"",INDEX(인턴근무계획!$M$3:$R$62,$AC175,인턴현황!$K$2)&amp;""),FIND(" ",IF(OR($AC175="",인턴현황!$K$2=""),"",INDEX(인턴근무계획!$M$3:$R$62,$AC175,인턴현황!$K$2)&amp;""))-1),$AE175))</f>
        <v/>
      </c>
      <c r="AH175" s="17">
        <f>IF($B175="","",IF(TRIM($J175&amp;"")="",0,SUMPRODUCT((파견수련계획!$Q$4:$Q$83=TRIM($J175&amp;""))*(파견수련계획!$S$4:$S$83="서울병원")*파견수련계획!$W$4:$W$83))+IF($AG175="서울병원",MAX(0,DAY(EOMONTH(요약!$B$3,0))-N($X175)),0))</f>
        <v/>
      </c>
      <c r="AI175" s="17">
        <f>IF($B175="","",IF(TRIM($J175&amp;"")="",0,SUMPRODUCT((파견수련계획!$Q$4:$Q$83=TRIM($J175&amp;""))*(파견수련계획!$S$4:$S$83="구리병원")*파견수련계획!$W$4:$W$83))+IF($AG175="구리병원",MAX(0,DAY(EOMONTH(요약!$B$3,0))-N($X175)),0))</f>
        <v/>
      </c>
      <c r="AJ175" s="10">
        <f>IF(OR($B175="",TRIM($J175&amp;"")=""),"",IFERROR(MATCH(TRIM($J175&amp;"")&amp;"|월",파견수련계획!$Z$4:$Z$83,0),""))</f>
        <v/>
      </c>
      <c r="AK175" s="10">
        <f>IF(OR($B175="",TRIM($J175&amp;"")=""),"",IFERROR(MATCH(TRIM($J175&amp;"")&amp;"|다기관",파견수련계획!$AE$4:$AE$83,0),""))</f>
        <v/>
      </c>
      <c r="AL175" s="10">
        <f>IF($AK175="","","다기관 "&amp;TEXT(INDEX(파견수련계획!$AB$4:$AB$83,$AK175),"yyyy-mm-dd")&amp;"~"&amp;IF(ISNUMBER(INDEX(파견수련계획!$AC$4:$AC$83,$AK175)),TEXT(INDEX(파견수련계획!$AC$4:$AC$83,$AK175),"yyyy-mm-dd"),""))</f>
        <v/>
      </c>
    </row>
    <row r="176">
      <c r="A176" s="10">
        <f>IF(B176="","",ROW()-1)</f>
        <v/>
      </c>
      <c r="B176" s="18" t="n"/>
      <c r="C176" s="10">
        <f>IF($AB176="","",IF(INDEX(기본자료!$C$2:$C$1001,$AB176)="","",INDEX(기본자료!$C$2:$C$1001,$AB176)))</f>
        <v/>
      </c>
      <c r="D176" s="10">
        <f>IF($AB176="","",IF(INDEX(기본자료!$J$2:$J$1001,$AB176)="","",INDEX(기본자료!$J$2:$J$1001,$AB176)))</f>
        <v/>
      </c>
      <c r="E176" s="11">
        <f>IF($AB176="","",IF(INDEX(기본자료!$K$2:$K$1001,$AB176)="","",IF(NOT(ISNUMBER(INDEX(기본자료!$K$2:$K$1001,$AB176))),INDEX(기본자료!$K$2:$K$1001,$AB176),IF(INDEX(기본자료!$K$2:$K$1001,$AB176)&lt;1000000,INDEX(기본자료!$K$2:$K$1001,$AB176),IF(AND(INDEX(기본자료!$K$2:$K$1001,$AB176)&gt;=10000101,INT(MOD(INDEX(기본자료!$K$2:$K$1001,$AB176),10000)/100)&gt;=1,INT(MOD(INDEX(기본자료!$K$2:$K$1001,$AB176),10000)/100)&lt;=12,MOD(INDEX(기본자료!$K$2:$K$1001,$AB176),100)&gt;=1,MOD(INDEX(기본자료!$K$2:$K$1001,$AB176),100)&lt;=31),DATE(INT(INDEX(기본자료!$K$2:$K$1001,$AB176)/10000),INT(MOD(INDEX(기본자료!$K$2:$K$1001,$AB176),10000)/100),MOD(INDEX(기본자료!$K$2:$K$1001,$AB176),100)),INDEX(기본자료!$K$2:$K$1001,$AB176)&amp;"")))))</f>
        <v/>
      </c>
      <c r="F176" s="10">
        <f>IF($AB176="","",IF(INDEX(기본자료!$D$2:$D$1001,$AB176)="","",INDEX(기본자료!$D$2:$D$1001,$AB176)))</f>
        <v/>
      </c>
      <c r="G176" s="10">
        <f>IF($AB176="","",IF(INDEX(기본자료!$E$2:$E$1001,$AB176)="","",INDEX(기본자료!$E$2:$E$1001,$AB176)))</f>
        <v/>
      </c>
      <c r="H176" s="10">
        <f>IF($AB176="","",IF(INDEX(기본자료!$F$2:$F$1001,$AB176)="","",INDEX(기본자료!$F$2:$F$1001,$AB176)))</f>
        <v/>
      </c>
      <c r="I176" s="11">
        <f>IF($AB176="","",IF(INDEX(기본자료!$G$2:$G$1001,$AB176)="","",IF(NOT(ISNUMBER(INDEX(기본자료!$G$2:$G$1001,$AB176))),INDEX(기본자료!$G$2:$G$1001,$AB176),IF(INDEX(기본자료!$G$2:$G$1001,$AB176)&lt;1000000,INDEX(기본자료!$G$2:$G$1001,$AB176),IF(AND(INDEX(기본자료!$G$2:$G$1001,$AB176)&gt;=10000101,INT(MOD(INDEX(기본자료!$G$2:$G$1001,$AB176),10000)/100)&gt;=1,INT(MOD(INDEX(기본자료!$G$2:$G$1001,$AB176),10000)/100)&lt;=12,MOD(INDEX(기본자료!$G$2:$G$1001,$AB176),100)&gt;=1,MOD(INDEX(기본자료!$G$2:$G$1001,$AB176),100)&lt;=31),DATE(INT(INDEX(기본자료!$G$2:$G$1001,$AB176)/10000),INT(MOD(INDEX(기본자료!$G$2:$G$1001,$AB176),10000)/100),MOD(INDEX(기본자료!$G$2:$G$1001,$AB176),100)),INDEX(기본자료!$G$2:$G$1001,$AB176)&amp;"")))))</f>
        <v/>
      </c>
      <c r="J176" s="10">
        <f>IF($AB176="","",IF(INDEX(기본자료!$H$2:$H$1001,$AB176)="","",INDEX(기본자료!$H$2:$H$1001,$AB176)))</f>
        <v/>
      </c>
      <c r="K176" s="10">
        <f>IF($AB176="","",IF(INDEX(기본자료!$I$2:$I$1001,$AB176)="","",INDEX(기본자료!$I$2:$I$1001,$AB176)))</f>
        <v/>
      </c>
      <c r="L176" s="10">
        <f>IF($AB176="","",IF(INDEX(기본자료!$A$2:$A$1001,$AB176)="","",INDEX(기본자료!$A$2:$A$1001,$AB176)))</f>
        <v/>
      </c>
      <c r="M176" s="15" t="n"/>
      <c r="N176" s="10">
        <f>IF($B176="","",IF(AND($U176="파견중",$Q176&lt;&gt;""),$Q176,IF(AND($AD176&lt;&gt;"",LEFT($AD176,1)&lt;&gt;"⚠"),LEFT($AD176,FIND(" ",$AD176)-1),IF($H176="","",IF(RIGHT($H176,2)="병원",$H176,$H176&amp;"병원")))))</f>
        <v/>
      </c>
      <c r="O176" s="10">
        <f>IF($B176="","",IF(AND($U176="파견중",$Q176&lt;&gt;""),IF($R176&lt;&gt;"",$R176,"파견과 미입력"),IF(AND($AD176&lt;&gt;"",LEFT($AD176,1)&lt;&gt;"⚠"),MID($AD176,FIND(" ",$AD176)+1,60),IF($F176="","",IF($F176="인턴","수련교육부(인턴)",$F176)))))</f>
        <v/>
      </c>
      <c r="P176" s="10">
        <f>IF($B176="","",IF($AK176&lt;&gt;"",IF(AND(TODAY()&gt;=INDEX(파견수련계획!$AB$4:$AB$83,$AK176),OR(NOT(ISNUMBER(INDEX(파견수련계획!$AC$4:$AC$83,$AK176))),TODAY()&lt;=INDEX(파견수련계획!$AC$4:$AC$83,$AK176))),"다기관",IF($AF176="","",INDEX(파견수련계획!$T$4:$T$83,$AF176))),IF($AF176="","",INDEX(파견수련계획!$T$4:$T$83,$AF176))))</f>
        <v/>
      </c>
      <c r="Q176" s="10">
        <f>IF($AF176="","",INDEX(파견수련계획!$S$4:$S$83,$AF176))</f>
        <v/>
      </c>
      <c r="R176" s="10">
        <f>IF($AF176="","",INDEX(파견수련계획!$U$4:$U$83,$AF176))</f>
        <v/>
      </c>
      <c r="S176" s="11">
        <f>IF($AF176="","",IF(INDEX(파견수련계획!$H$4:$H$83,$AF176)="","",INDEX(파견수련계획!$H$4:$H$83,$AF176)))</f>
        <v/>
      </c>
      <c r="T176" s="11">
        <f>IF($AF176="","",IF(INDEX(파견수련계획!$I$4:$I$83,$AF176)="","",INDEX(파견수련계획!$I$4:$I$83,$AF176)))</f>
        <v/>
      </c>
      <c r="U176" s="10">
        <f>IF($AF176="","",INDEX(파견수련계획!$X$4:$X$83,$AF176))</f>
        <v/>
      </c>
      <c r="V176" s="17">
        <f>IF($AF176="","",INDEX(파견수련계획!$V$4:$V$83,$AF176))</f>
        <v/>
      </c>
      <c r="W176" s="17">
        <f>IF(AND($U176="파견중",$T176&lt;&gt;""),$T176-TODAY(),"")</f>
        <v/>
      </c>
      <c r="X176" s="17">
        <f>IF(OR($B176="",TRIM($J176&amp;"")=""),"",SUMPRODUCT((파견수련계획!$Q$4:$Q$83=TRIM($J176&amp;""))*파견수련계획!$W$4:$W$83))</f>
        <v/>
      </c>
      <c r="Y176" s="10">
        <f>IF($B176="","",IF($AG176="","",IF(IF(TRIM($J176&amp;"")="",0,SUMPRODUCT((파견수련계획!$Q$4:$Q$83=TRIM($J176&amp;""))*파견수련계획!$AD$4:$AD$83))&gt;0,$AE176,IF(N($X176)&lt;=0,$AG176,IF($AH176+$AI176=DAY(EOMONTH(요약!$B$3,0)),IF(AND($AH176&gt;=요약!$E$3,$AI176&lt;요약!$E$3),"서울병원",IF(AND($AI176&gt;=요약!$E$3,$AH176&lt;요약!$E$3),"구리병원","⚠15일 판정불가(서울 "&amp;$AH176&amp;"일/구리 "&amp;$AI176&amp;"일)")),IF($AJ176="",$AE176,IF(INDEX(파견수련계획!$T$4:$T$83,$AJ176)="통합수련",INDEX(파견수련계획!$S$4:$S$83,$AJ176),$AE176)))))))</f>
        <v/>
      </c>
      <c r="Z176" s="19">
        <f>IF($B176="","",IF($AB176="","기본자료에 없는 사번",IF(COUNTIF($B$2:$B$401,$B176)&gt;1,"중복 사번",IF($AE176="","소속(입사장소) 입력",IF(IF(TRIM($J176&amp;"")="",0,SUMPRODUCT((파견수련계획!$Q$4:$Q$83=TRIM($J176&amp;""))*(파견수련계획!$AA$4:$AA$83&lt;&gt;"")))&gt;0,"파견수련계획 입력오류 확인",IF(LEFT($Y176,1)="⚠","서울·구리 15일 판정 불가(양쪽 모두 이상/미만)",IF(IF($AC176="",0,N(INDEX(인턴근무계획!$T$3:$T$62,$AC176)))&gt;0,"인턴계획 입력오류 확인",IF(AND($AC176&lt;&gt;"",$U176&lt;&gt;"파견중",$N176&lt;&gt;$AE176),"인턴 타지역 근무: 파견 여부 확인","정상"))))))))</f>
        <v/>
      </c>
      <c r="AA176" s="5" t="n"/>
      <c r="AB176" s="10">
        <f>IF($B176="","",IFERROR(MATCH($B176,기본자료!$B$2:$B$1001,0),IFERROR(MATCH($B176&amp;"",기본자료!$B$2:$B$1001,0),IFERROR(MATCH(VALUE($B176),기본자료!$B$2:$B$1001,0),""))))</f>
        <v/>
      </c>
      <c r="AC176" s="10">
        <f>IF($B176="","",IFERROR(MATCH($B176,인턴근무계획!$D$3:$D$62,0),IFERROR(MATCH($B176&amp;"",인턴근무계획!$D$3:$D$62,0),IFERROR(MATCH(VALUE($B176),인턴근무계획!$D$3:$D$62,0),""))))</f>
        <v/>
      </c>
      <c r="AD176" s="10">
        <f>IF(OR($AC176="",인턴현황!$G$3=""),"",INDEX(인턴근무계획!$M$3:$R$62,$AC176,인턴현황!$G$3)&amp;"")</f>
        <v/>
      </c>
      <c r="AE176" s="10">
        <f>IF($B176="","",IF($M176&lt;&gt;"",$M176,IF($AF176&lt;&gt;"",IF(LEFT(INDEX(파견수련계획!$R$4:$R$83,$AF176),1)&lt;&gt;"⚠",INDEX(파견수련계획!$R$4:$R$83,$AF176),IF($H176="","",IF(RIGHT($H176,2)="병원",$H176,$H176&amp;"병원"))),IF($H176="","",IF(RIGHT($H176,2)="병원",$H176,$H176&amp;"병원")))))</f>
        <v/>
      </c>
      <c r="AF176" s="10">
        <f>IF(OR($B176="",TRIM($J176&amp;"")=""),"",IFERROR(MATCH(TRIM($J176&amp;"")&amp;"|파견중",파견수련계획!$Y$4:$Y$83,0),IFERROR(MATCH(TRIM($J176&amp;"")&amp;"|파견예정",파견수련계획!$Y$4:$Y$83,0),IFERROR(MATCH(TRIM($J176&amp;"")&amp;"|파견종료",파견수련계획!$Y$4:$Y$83,0),""))))</f>
        <v/>
      </c>
      <c r="AG176" s="10">
        <f>IF($B176="","",IF(AND(IF(OR($AC176="",인턴현황!$K$2=""),"",INDEX(인턴근무계획!$M$3:$R$62,$AC176,인턴현황!$K$2)&amp;"")&lt;&gt;"",LEFT(IF(OR($AC176="",인턴현황!$K$2=""),"",INDEX(인턴근무계획!$M$3:$R$62,$AC176,인턴현황!$K$2)&amp;""),1)&lt;&gt;"⚠"),LEFT(IF(OR($AC176="",인턴현황!$K$2=""),"",INDEX(인턴근무계획!$M$3:$R$62,$AC176,인턴현황!$K$2)&amp;""),FIND(" ",IF(OR($AC176="",인턴현황!$K$2=""),"",INDEX(인턴근무계획!$M$3:$R$62,$AC176,인턴현황!$K$2)&amp;""))-1),$AE176))</f>
        <v/>
      </c>
      <c r="AH176" s="17">
        <f>IF($B176="","",IF(TRIM($J176&amp;"")="",0,SUMPRODUCT((파견수련계획!$Q$4:$Q$83=TRIM($J176&amp;""))*(파견수련계획!$S$4:$S$83="서울병원")*파견수련계획!$W$4:$W$83))+IF($AG176="서울병원",MAX(0,DAY(EOMONTH(요약!$B$3,0))-N($X176)),0))</f>
        <v/>
      </c>
      <c r="AI176" s="17">
        <f>IF($B176="","",IF(TRIM($J176&amp;"")="",0,SUMPRODUCT((파견수련계획!$Q$4:$Q$83=TRIM($J176&amp;""))*(파견수련계획!$S$4:$S$83="구리병원")*파견수련계획!$W$4:$W$83))+IF($AG176="구리병원",MAX(0,DAY(EOMONTH(요약!$B$3,0))-N($X176)),0))</f>
        <v/>
      </c>
      <c r="AJ176" s="10">
        <f>IF(OR($B176="",TRIM($J176&amp;"")=""),"",IFERROR(MATCH(TRIM($J176&amp;"")&amp;"|월",파견수련계획!$Z$4:$Z$83,0),""))</f>
        <v/>
      </c>
      <c r="AK176" s="10">
        <f>IF(OR($B176="",TRIM($J176&amp;"")=""),"",IFERROR(MATCH(TRIM($J176&amp;"")&amp;"|다기관",파견수련계획!$AE$4:$AE$83,0),""))</f>
        <v/>
      </c>
      <c r="AL176" s="10">
        <f>IF($AK176="","","다기관 "&amp;TEXT(INDEX(파견수련계획!$AB$4:$AB$83,$AK176),"yyyy-mm-dd")&amp;"~"&amp;IF(ISNUMBER(INDEX(파견수련계획!$AC$4:$AC$83,$AK176)),TEXT(INDEX(파견수련계획!$AC$4:$AC$83,$AK176),"yyyy-mm-dd"),""))</f>
        <v/>
      </c>
    </row>
    <row r="177">
      <c r="A177" s="10">
        <f>IF(B177="","",ROW()-1)</f>
        <v/>
      </c>
      <c r="B177" s="18" t="n"/>
      <c r="C177" s="10">
        <f>IF($AB177="","",IF(INDEX(기본자료!$C$2:$C$1001,$AB177)="","",INDEX(기본자료!$C$2:$C$1001,$AB177)))</f>
        <v/>
      </c>
      <c r="D177" s="10">
        <f>IF($AB177="","",IF(INDEX(기본자료!$J$2:$J$1001,$AB177)="","",INDEX(기본자료!$J$2:$J$1001,$AB177)))</f>
        <v/>
      </c>
      <c r="E177" s="11">
        <f>IF($AB177="","",IF(INDEX(기본자료!$K$2:$K$1001,$AB177)="","",IF(NOT(ISNUMBER(INDEX(기본자료!$K$2:$K$1001,$AB177))),INDEX(기본자료!$K$2:$K$1001,$AB177),IF(INDEX(기본자료!$K$2:$K$1001,$AB177)&lt;1000000,INDEX(기본자료!$K$2:$K$1001,$AB177),IF(AND(INDEX(기본자료!$K$2:$K$1001,$AB177)&gt;=10000101,INT(MOD(INDEX(기본자료!$K$2:$K$1001,$AB177),10000)/100)&gt;=1,INT(MOD(INDEX(기본자료!$K$2:$K$1001,$AB177),10000)/100)&lt;=12,MOD(INDEX(기본자료!$K$2:$K$1001,$AB177),100)&gt;=1,MOD(INDEX(기본자료!$K$2:$K$1001,$AB177),100)&lt;=31),DATE(INT(INDEX(기본자료!$K$2:$K$1001,$AB177)/10000),INT(MOD(INDEX(기본자료!$K$2:$K$1001,$AB177),10000)/100),MOD(INDEX(기본자료!$K$2:$K$1001,$AB177),100)),INDEX(기본자료!$K$2:$K$1001,$AB177)&amp;"")))))</f>
        <v/>
      </c>
      <c r="F177" s="10">
        <f>IF($AB177="","",IF(INDEX(기본자료!$D$2:$D$1001,$AB177)="","",INDEX(기본자료!$D$2:$D$1001,$AB177)))</f>
        <v/>
      </c>
      <c r="G177" s="10">
        <f>IF($AB177="","",IF(INDEX(기본자료!$E$2:$E$1001,$AB177)="","",INDEX(기본자료!$E$2:$E$1001,$AB177)))</f>
        <v/>
      </c>
      <c r="H177" s="10">
        <f>IF($AB177="","",IF(INDEX(기본자료!$F$2:$F$1001,$AB177)="","",INDEX(기본자료!$F$2:$F$1001,$AB177)))</f>
        <v/>
      </c>
      <c r="I177" s="11">
        <f>IF($AB177="","",IF(INDEX(기본자료!$G$2:$G$1001,$AB177)="","",IF(NOT(ISNUMBER(INDEX(기본자료!$G$2:$G$1001,$AB177))),INDEX(기본자료!$G$2:$G$1001,$AB177),IF(INDEX(기본자료!$G$2:$G$1001,$AB177)&lt;1000000,INDEX(기본자료!$G$2:$G$1001,$AB177),IF(AND(INDEX(기본자료!$G$2:$G$1001,$AB177)&gt;=10000101,INT(MOD(INDEX(기본자료!$G$2:$G$1001,$AB177),10000)/100)&gt;=1,INT(MOD(INDEX(기본자료!$G$2:$G$1001,$AB177),10000)/100)&lt;=12,MOD(INDEX(기본자료!$G$2:$G$1001,$AB177),100)&gt;=1,MOD(INDEX(기본자료!$G$2:$G$1001,$AB177),100)&lt;=31),DATE(INT(INDEX(기본자료!$G$2:$G$1001,$AB177)/10000),INT(MOD(INDEX(기본자료!$G$2:$G$1001,$AB177),10000)/100),MOD(INDEX(기본자료!$G$2:$G$1001,$AB177),100)),INDEX(기본자료!$G$2:$G$1001,$AB177)&amp;"")))))</f>
        <v/>
      </c>
      <c r="J177" s="10">
        <f>IF($AB177="","",IF(INDEX(기본자료!$H$2:$H$1001,$AB177)="","",INDEX(기본자료!$H$2:$H$1001,$AB177)))</f>
        <v/>
      </c>
      <c r="K177" s="10">
        <f>IF($AB177="","",IF(INDEX(기본자료!$I$2:$I$1001,$AB177)="","",INDEX(기본자료!$I$2:$I$1001,$AB177)))</f>
        <v/>
      </c>
      <c r="L177" s="10">
        <f>IF($AB177="","",IF(INDEX(기본자료!$A$2:$A$1001,$AB177)="","",INDEX(기본자료!$A$2:$A$1001,$AB177)))</f>
        <v/>
      </c>
      <c r="M177" s="15" t="n"/>
      <c r="N177" s="10">
        <f>IF($B177="","",IF(AND($U177="파견중",$Q177&lt;&gt;""),$Q177,IF(AND($AD177&lt;&gt;"",LEFT($AD177,1)&lt;&gt;"⚠"),LEFT($AD177,FIND(" ",$AD177)-1),IF($H177="","",IF(RIGHT($H177,2)="병원",$H177,$H177&amp;"병원")))))</f>
        <v/>
      </c>
      <c r="O177" s="10">
        <f>IF($B177="","",IF(AND($U177="파견중",$Q177&lt;&gt;""),IF($R177&lt;&gt;"",$R177,"파견과 미입력"),IF(AND($AD177&lt;&gt;"",LEFT($AD177,1)&lt;&gt;"⚠"),MID($AD177,FIND(" ",$AD177)+1,60),IF($F177="","",IF($F177="인턴","수련교육부(인턴)",$F177)))))</f>
        <v/>
      </c>
      <c r="P177" s="10">
        <f>IF($B177="","",IF($AK177&lt;&gt;"",IF(AND(TODAY()&gt;=INDEX(파견수련계획!$AB$4:$AB$83,$AK177),OR(NOT(ISNUMBER(INDEX(파견수련계획!$AC$4:$AC$83,$AK177))),TODAY()&lt;=INDEX(파견수련계획!$AC$4:$AC$83,$AK177))),"다기관",IF($AF177="","",INDEX(파견수련계획!$T$4:$T$83,$AF177))),IF($AF177="","",INDEX(파견수련계획!$T$4:$T$83,$AF177))))</f>
        <v/>
      </c>
      <c r="Q177" s="10">
        <f>IF($AF177="","",INDEX(파견수련계획!$S$4:$S$83,$AF177))</f>
        <v/>
      </c>
      <c r="R177" s="10">
        <f>IF($AF177="","",INDEX(파견수련계획!$U$4:$U$83,$AF177))</f>
        <v/>
      </c>
      <c r="S177" s="11">
        <f>IF($AF177="","",IF(INDEX(파견수련계획!$H$4:$H$83,$AF177)="","",INDEX(파견수련계획!$H$4:$H$83,$AF177)))</f>
        <v/>
      </c>
      <c r="T177" s="11">
        <f>IF($AF177="","",IF(INDEX(파견수련계획!$I$4:$I$83,$AF177)="","",INDEX(파견수련계획!$I$4:$I$83,$AF177)))</f>
        <v/>
      </c>
      <c r="U177" s="10">
        <f>IF($AF177="","",INDEX(파견수련계획!$X$4:$X$83,$AF177))</f>
        <v/>
      </c>
      <c r="V177" s="17">
        <f>IF($AF177="","",INDEX(파견수련계획!$V$4:$V$83,$AF177))</f>
        <v/>
      </c>
      <c r="W177" s="17">
        <f>IF(AND($U177="파견중",$T177&lt;&gt;""),$T177-TODAY(),"")</f>
        <v/>
      </c>
      <c r="X177" s="17">
        <f>IF(OR($B177="",TRIM($J177&amp;"")=""),"",SUMPRODUCT((파견수련계획!$Q$4:$Q$83=TRIM($J177&amp;""))*파견수련계획!$W$4:$W$83))</f>
        <v/>
      </c>
      <c r="Y177" s="10">
        <f>IF($B177="","",IF($AG177="","",IF(IF(TRIM($J177&amp;"")="",0,SUMPRODUCT((파견수련계획!$Q$4:$Q$83=TRIM($J177&amp;""))*파견수련계획!$AD$4:$AD$83))&gt;0,$AE177,IF(N($X177)&lt;=0,$AG177,IF($AH177+$AI177=DAY(EOMONTH(요약!$B$3,0)),IF(AND($AH177&gt;=요약!$E$3,$AI177&lt;요약!$E$3),"서울병원",IF(AND($AI177&gt;=요약!$E$3,$AH177&lt;요약!$E$3),"구리병원","⚠15일 판정불가(서울 "&amp;$AH177&amp;"일/구리 "&amp;$AI177&amp;"일)")),IF($AJ177="",$AE177,IF(INDEX(파견수련계획!$T$4:$T$83,$AJ177)="통합수련",INDEX(파견수련계획!$S$4:$S$83,$AJ177),$AE177)))))))</f>
        <v/>
      </c>
      <c r="Z177" s="19">
        <f>IF($B177="","",IF($AB177="","기본자료에 없는 사번",IF(COUNTIF($B$2:$B$401,$B177)&gt;1,"중복 사번",IF($AE177="","소속(입사장소) 입력",IF(IF(TRIM($J177&amp;"")="",0,SUMPRODUCT((파견수련계획!$Q$4:$Q$83=TRIM($J177&amp;""))*(파견수련계획!$AA$4:$AA$83&lt;&gt;"")))&gt;0,"파견수련계획 입력오류 확인",IF(LEFT($Y177,1)="⚠","서울·구리 15일 판정 불가(양쪽 모두 이상/미만)",IF(IF($AC177="",0,N(INDEX(인턴근무계획!$T$3:$T$62,$AC177)))&gt;0,"인턴계획 입력오류 확인",IF(AND($AC177&lt;&gt;"",$U177&lt;&gt;"파견중",$N177&lt;&gt;$AE177),"인턴 타지역 근무: 파견 여부 확인","정상"))))))))</f>
        <v/>
      </c>
      <c r="AA177" s="5" t="n"/>
      <c r="AB177" s="10">
        <f>IF($B177="","",IFERROR(MATCH($B177,기본자료!$B$2:$B$1001,0),IFERROR(MATCH($B177&amp;"",기본자료!$B$2:$B$1001,0),IFERROR(MATCH(VALUE($B177),기본자료!$B$2:$B$1001,0),""))))</f>
        <v/>
      </c>
      <c r="AC177" s="10">
        <f>IF($B177="","",IFERROR(MATCH($B177,인턴근무계획!$D$3:$D$62,0),IFERROR(MATCH($B177&amp;"",인턴근무계획!$D$3:$D$62,0),IFERROR(MATCH(VALUE($B177),인턴근무계획!$D$3:$D$62,0),""))))</f>
        <v/>
      </c>
      <c r="AD177" s="10">
        <f>IF(OR($AC177="",인턴현황!$G$3=""),"",INDEX(인턴근무계획!$M$3:$R$62,$AC177,인턴현황!$G$3)&amp;"")</f>
        <v/>
      </c>
      <c r="AE177" s="10">
        <f>IF($B177="","",IF($M177&lt;&gt;"",$M177,IF($AF177&lt;&gt;"",IF(LEFT(INDEX(파견수련계획!$R$4:$R$83,$AF177),1)&lt;&gt;"⚠",INDEX(파견수련계획!$R$4:$R$83,$AF177),IF($H177="","",IF(RIGHT($H177,2)="병원",$H177,$H177&amp;"병원"))),IF($H177="","",IF(RIGHT($H177,2)="병원",$H177,$H177&amp;"병원")))))</f>
        <v/>
      </c>
      <c r="AF177" s="10">
        <f>IF(OR($B177="",TRIM($J177&amp;"")=""),"",IFERROR(MATCH(TRIM($J177&amp;"")&amp;"|파견중",파견수련계획!$Y$4:$Y$83,0),IFERROR(MATCH(TRIM($J177&amp;"")&amp;"|파견예정",파견수련계획!$Y$4:$Y$83,0),IFERROR(MATCH(TRIM($J177&amp;"")&amp;"|파견종료",파견수련계획!$Y$4:$Y$83,0),""))))</f>
        <v/>
      </c>
      <c r="AG177" s="10">
        <f>IF($B177="","",IF(AND(IF(OR($AC177="",인턴현황!$K$2=""),"",INDEX(인턴근무계획!$M$3:$R$62,$AC177,인턴현황!$K$2)&amp;"")&lt;&gt;"",LEFT(IF(OR($AC177="",인턴현황!$K$2=""),"",INDEX(인턴근무계획!$M$3:$R$62,$AC177,인턴현황!$K$2)&amp;""),1)&lt;&gt;"⚠"),LEFT(IF(OR($AC177="",인턴현황!$K$2=""),"",INDEX(인턴근무계획!$M$3:$R$62,$AC177,인턴현황!$K$2)&amp;""),FIND(" ",IF(OR($AC177="",인턴현황!$K$2=""),"",INDEX(인턴근무계획!$M$3:$R$62,$AC177,인턴현황!$K$2)&amp;""))-1),$AE177))</f>
        <v/>
      </c>
      <c r="AH177" s="17">
        <f>IF($B177="","",IF(TRIM($J177&amp;"")="",0,SUMPRODUCT((파견수련계획!$Q$4:$Q$83=TRIM($J177&amp;""))*(파견수련계획!$S$4:$S$83="서울병원")*파견수련계획!$W$4:$W$83))+IF($AG177="서울병원",MAX(0,DAY(EOMONTH(요약!$B$3,0))-N($X177)),0))</f>
        <v/>
      </c>
      <c r="AI177" s="17">
        <f>IF($B177="","",IF(TRIM($J177&amp;"")="",0,SUMPRODUCT((파견수련계획!$Q$4:$Q$83=TRIM($J177&amp;""))*(파견수련계획!$S$4:$S$83="구리병원")*파견수련계획!$W$4:$W$83))+IF($AG177="구리병원",MAX(0,DAY(EOMONTH(요약!$B$3,0))-N($X177)),0))</f>
        <v/>
      </c>
      <c r="AJ177" s="10">
        <f>IF(OR($B177="",TRIM($J177&amp;"")=""),"",IFERROR(MATCH(TRIM($J177&amp;"")&amp;"|월",파견수련계획!$Z$4:$Z$83,0),""))</f>
        <v/>
      </c>
      <c r="AK177" s="10">
        <f>IF(OR($B177="",TRIM($J177&amp;"")=""),"",IFERROR(MATCH(TRIM($J177&amp;"")&amp;"|다기관",파견수련계획!$AE$4:$AE$83,0),""))</f>
        <v/>
      </c>
      <c r="AL177" s="10">
        <f>IF($AK177="","","다기관 "&amp;TEXT(INDEX(파견수련계획!$AB$4:$AB$83,$AK177),"yyyy-mm-dd")&amp;"~"&amp;IF(ISNUMBER(INDEX(파견수련계획!$AC$4:$AC$83,$AK177)),TEXT(INDEX(파견수련계획!$AC$4:$AC$83,$AK177),"yyyy-mm-dd"),""))</f>
        <v/>
      </c>
    </row>
    <row r="178">
      <c r="A178" s="10">
        <f>IF(B178="","",ROW()-1)</f>
        <v/>
      </c>
      <c r="B178" s="18" t="n"/>
      <c r="C178" s="10">
        <f>IF($AB178="","",IF(INDEX(기본자료!$C$2:$C$1001,$AB178)="","",INDEX(기본자료!$C$2:$C$1001,$AB178)))</f>
        <v/>
      </c>
      <c r="D178" s="10">
        <f>IF($AB178="","",IF(INDEX(기본자료!$J$2:$J$1001,$AB178)="","",INDEX(기본자료!$J$2:$J$1001,$AB178)))</f>
        <v/>
      </c>
      <c r="E178" s="11">
        <f>IF($AB178="","",IF(INDEX(기본자료!$K$2:$K$1001,$AB178)="","",IF(NOT(ISNUMBER(INDEX(기본자료!$K$2:$K$1001,$AB178))),INDEX(기본자료!$K$2:$K$1001,$AB178),IF(INDEX(기본자료!$K$2:$K$1001,$AB178)&lt;1000000,INDEX(기본자료!$K$2:$K$1001,$AB178),IF(AND(INDEX(기본자료!$K$2:$K$1001,$AB178)&gt;=10000101,INT(MOD(INDEX(기본자료!$K$2:$K$1001,$AB178),10000)/100)&gt;=1,INT(MOD(INDEX(기본자료!$K$2:$K$1001,$AB178),10000)/100)&lt;=12,MOD(INDEX(기본자료!$K$2:$K$1001,$AB178),100)&gt;=1,MOD(INDEX(기본자료!$K$2:$K$1001,$AB178),100)&lt;=31),DATE(INT(INDEX(기본자료!$K$2:$K$1001,$AB178)/10000),INT(MOD(INDEX(기본자료!$K$2:$K$1001,$AB178),10000)/100),MOD(INDEX(기본자료!$K$2:$K$1001,$AB178),100)),INDEX(기본자료!$K$2:$K$1001,$AB178)&amp;"")))))</f>
        <v/>
      </c>
      <c r="F178" s="10">
        <f>IF($AB178="","",IF(INDEX(기본자료!$D$2:$D$1001,$AB178)="","",INDEX(기본자료!$D$2:$D$1001,$AB178)))</f>
        <v/>
      </c>
      <c r="G178" s="10">
        <f>IF($AB178="","",IF(INDEX(기본자료!$E$2:$E$1001,$AB178)="","",INDEX(기본자료!$E$2:$E$1001,$AB178)))</f>
        <v/>
      </c>
      <c r="H178" s="10">
        <f>IF($AB178="","",IF(INDEX(기본자료!$F$2:$F$1001,$AB178)="","",INDEX(기본자료!$F$2:$F$1001,$AB178)))</f>
        <v/>
      </c>
      <c r="I178" s="11">
        <f>IF($AB178="","",IF(INDEX(기본자료!$G$2:$G$1001,$AB178)="","",IF(NOT(ISNUMBER(INDEX(기본자료!$G$2:$G$1001,$AB178))),INDEX(기본자료!$G$2:$G$1001,$AB178),IF(INDEX(기본자료!$G$2:$G$1001,$AB178)&lt;1000000,INDEX(기본자료!$G$2:$G$1001,$AB178),IF(AND(INDEX(기본자료!$G$2:$G$1001,$AB178)&gt;=10000101,INT(MOD(INDEX(기본자료!$G$2:$G$1001,$AB178),10000)/100)&gt;=1,INT(MOD(INDEX(기본자료!$G$2:$G$1001,$AB178),10000)/100)&lt;=12,MOD(INDEX(기본자료!$G$2:$G$1001,$AB178),100)&gt;=1,MOD(INDEX(기본자료!$G$2:$G$1001,$AB178),100)&lt;=31),DATE(INT(INDEX(기본자료!$G$2:$G$1001,$AB178)/10000),INT(MOD(INDEX(기본자료!$G$2:$G$1001,$AB178),10000)/100),MOD(INDEX(기본자료!$G$2:$G$1001,$AB178),100)),INDEX(기본자료!$G$2:$G$1001,$AB178)&amp;"")))))</f>
        <v/>
      </c>
      <c r="J178" s="10">
        <f>IF($AB178="","",IF(INDEX(기본자료!$H$2:$H$1001,$AB178)="","",INDEX(기본자료!$H$2:$H$1001,$AB178)))</f>
        <v/>
      </c>
      <c r="K178" s="10">
        <f>IF($AB178="","",IF(INDEX(기본자료!$I$2:$I$1001,$AB178)="","",INDEX(기본자료!$I$2:$I$1001,$AB178)))</f>
        <v/>
      </c>
      <c r="L178" s="10">
        <f>IF($AB178="","",IF(INDEX(기본자료!$A$2:$A$1001,$AB178)="","",INDEX(기본자료!$A$2:$A$1001,$AB178)))</f>
        <v/>
      </c>
      <c r="M178" s="15" t="n"/>
      <c r="N178" s="10">
        <f>IF($B178="","",IF(AND($U178="파견중",$Q178&lt;&gt;""),$Q178,IF(AND($AD178&lt;&gt;"",LEFT($AD178,1)&lt;&gt;"⚠"),LEFT($AD178,FIND(" ",$AD178)-1),IF($H178="","",IF(RIGHT($H178,2)="병원",$H178,$H178&amp;"병원")))))</f>
        <v/>
      </c>
      <c r="O178" s="10">
        <f>IF($B178="","",IF(AND($U178="파견중",$Q178&lt;&gt;""),IF($R178&lt;&gt;"",$R178,"파견과 미입력"),IF(AND($AD178&lt;&gt;"",LEFT($AD178,1)&lt;&gt;"⚠"),MID($AD178,FIND(" ",$AD178)+1,60),IF($F178="","",IF($F178="인턴","수련교육부(인턴)",$F178)))))</f>
        <v/>
      </c>
      <c r="P178" s="10">
        <f>IF($B178="","",IF($AK178&lt;&gt;"",IF(AND(TODAY()&gt;=INDEX(파견수련계획!$AB$4:$AB$83,$AK178),OR(NOT(ISNUMBER(INDEX(파견수련계획!$AC$4:$AC$83,$AK178))),TODAY()&lt;=INDEX(파견수련계획!$AC$4:$AC$83,$AK178))),"다기관",IF($AF178="","",INDEX(파견수련계획!$T$4:$T$83,$AF178))),IF($AF178="","",INDEX(파견수련계획!$T$4:$T$83,$AF178))))</f>
        <v/>
      </c>
      <c r="Q178" s="10">
        <f>IF($AF178="","",INDEX(파견수련계획!$S$4:$S$83,$AF178))</f>
        <v/>
      </c>
      <c r="R178" s="10">
        <f>IF($AF178="","",INDEX(파견수련계획!$U$4:$U$83,$AF178))</f>
        <v/>
      </c>
      <c r="S178" s="11">
        <f>IF($AF178="","",IF(INDEX(파견수련계획!$H$4:$H$83,$AF178)="","",INDEX(파견수련계획!$H$4:$H$83,$AF178)))</f>
        <v/>
      </c>
      <c r="T178" s="11">
        <f>IF($AF178="","",IF(INDEX(파견수련계획!$I$4:$I$83,$AF178)="","",INDEX(파견수련계획!$I$4:$I$83,$AF178)))</f>
        <v/>
      </c>
      <c r="U178" s="10">
        <f>IF($AF178="","",INDEX(파견수련계획!$X$4:$X$83,$AF178))</f>
        <v/>
      </c>
      <c r="V178" s="17">
        <f>IF($AF178="","",INDEX(파견수련계획!$V$4:$V$83,$AF178))</f>
        <v/>
      </c>
      <c r="W178" s="17">
        <f>IF(AND($U178="파견중",$T178&lt;&gt;""),$T178-TODAY(),"")</f>
        <v/>
      </c>
      <c r="X178" s="17">
        <f>IF(OR($B178="",TRIM($J178&amp;"")=""),"",SUMPRODUCT((파견수련계획!$Q$4:$Q$83=TRIM($J178&amp;""))*파견수련계획!$W$4:$W$83))</f>
        <v/>
      </c>
      <c r="Y178" s="10">
        <f>IF($B178="","",IF($AG178="","",IF(IF(TRIM($J178&amp;"")="",0,SUMPRODUCT((파견수련계획!$Q$4:$Q$83=TRIM($J178&amp;""))*파견수련계획!$AD$4:$AD$83))&gt;0,$AE178,IF(N($X178)&lt;=0,$AG178,IF($AH178+$AI178=DAY(EOMONTH(요약!$B$3,0)),IF(AND($AH178&gt;=요약!$E$3,$AI178&lt;요약!$E$3),"서울병원",IF(AND($AI178&gt;=요약!$E$3,$AH178&lt;요약!$E$3),"구리병원","⚠15일 판정불가(서울 "&amp;$AH178&amp;"일/구리 "&amp;$AI178&amp;"일)")),IF($AJ178="",$AE178,IF(INDEX(파견수련계획!$T$4:$T$83,$AJ178)="통합수련",INDEX(파견수련계획!$S$4:$S$83,$AJ178),$AE178)))))))</f>
        <v/>
      </c>
      <c r="Z178" s="19">
        <f>IF($B178="","",IF($AB178="","기본자료에 없는 사번",IF(COUNTIF($B$2:$B$401,$B178)&gt;1,"중복 사번",IF($AE178="","소속(입사장소) 입력",IF(IF(TRIM($J178&amp;"")="",0,SUMPRODUCT((파견수련계획!$Q$4:$Q$83=TRIM($J178&amp;""))*(파견수련계획!$AA$4:$AA$83&lt;&gt;"")))&gt;0,"파견수련계획 입력오류 확인",IF(LEFT($Y178,1)="⚠","서울·구리 15일 판정 불가(양쪽 모두 이상/미만)",IF(IF($AC178="",0,N(INDEX(인턴근무계획!$T$3:$T$62,$AC178)))&gt;0,"인턴계획 입력오류 확인",IF(AND($AC178&lt;&gt;"",$U178&lt;&gt;"파견중",$N178&lt;&gt;$AE178),"인턴 타지역 근무: 파견 여부 확인","정상"))))))))</f>
        <v/>
      </c>
      <c r="AA178" s="5" t="n"/>
      <c r="AB178" s="10">
        <f>IF($B178="","",IFERROR(MATCH($B178,기본자료!$B$2:$B$1001,0),IFERROR(MATCH($B178&amp;"",기본자료!$B$2:$B$1001,0),IFERROR(MATCH(VALUE($B178),기본자료!$B$2:$B$1001,0),""))))</f>
        <v/>
      </c>
      <c r="AC178" s="10">
        <f>IF($B178="","",IFERROR(MATCH($B178,인턴근무계획!$D$3:$D$62,0),IFERROR(MATCH($B178&amp;"",인턴근무계획!$D$3:$D$62,0),IFERROR(MATCH(VALUE($B178),인턴근무계획!$D$3:$D$62,0),""))))</f>
        <v/>
      </c>
      <c r="AD178" s="10">
        <f>IF(OR($AC178="",인턴현황!$G$3=""),"",INDEX(인턴근무계획!$M$3:$R$62,$AC178,인턴현황!$G$3)&amp;"")</f>
        <v/>
      </c>
      <c r="AE178" s="10">
        <f>IF($B178="","",IF($M178&lt;&gt;"",$M178,IF($AF178&lt;&gt;"",IF(LEFT(INDEX(파견수련계획!$R$4:$R$83,$AF178),1)&lt;&gt;"⚠",INDEX(파견수련계획!$R$4:$R$83,$AF178),IF($H178="","",IF(RIGHT($H178,2)="병원",$H178,$H178&amp;"병원"))),IF($H178="","",IF(RIGHT($H178,2)="병원",$H178,$H178&amp;"병원")))))</f>
        <v/>
      </c>
      <c r="AF178" s="10">
        <f>IF(OR($B178="",TRIM($J178&amp;"")=""),"",IFERROR(MATCH(TRIM($J178&amp;"")&amp;"|파견중",파견수련계획!$Y$4:$Y$83,0),IFERROR(MATCH(TRIM($J178&amp;"")&amp;"|파견예정",파견수련계획!$Y$4:$Y$83,0),IFERROR(MATCH(TRIM($J178&amp;"")&amp;"|파견종료",파견수련계획!$Y$4:$Y$83,0),""))))</f>
        <v/>
      </c>
      <c r="AG178" s="10">
        <f>IF($B178="","",IF(AND(IF(OR($AC178="",인턴현황!$K$2=""),"",INDEX(인턴근무계획!$M$3:$R$62,$AC178,인턴현황!$K$2)&amp;"")&lt;&gt;"",LEFT(IF(OR($AC178="",인턴현황!$K$2=""),"",INDEX(인턴근무계획!$M$3:$R$62,$AC178,인턴현황!$K$2)&amp;""),1)&lt;&gt;"⚠"),LEFT(IF(OR($AC178="",인턴현황!$K$2=""),"",INDEX(인턴근무계획!$M$3:$R$62,$AC178,인턴현황!$K$2)&amp;""),FIND(" ",IF(OR($AC178="",인턴현황!$K$2=""),"",INDEX(인턴근무계획!$M$3:$R$62,$AC178,인턴현황!$K$2)&amp;""))-1),$AE178))</f>
        <v/>
      </c>
      <c r="AH178" s="17">
        <f>IF($B178="","",IF(TRIM($J178&amp;"")="",0,SUMPRODUCT((파견수련계획!$Q$4:$Q$83=TRIM($J178&amp;""))*(파견수련계획!$S$4:$S$83="서울병원")*파견수련계획!$W$4:$W$83))+IF($AG178="서울병원",MAX(0,DAY(EOMONTH(요약!$B$3,0))-N($X178)),0))</f>
        <v/>
      </c>
      <c r="AI178" s="17">
        <f>IF($B178="","",IF(TRIM($J178&amp;"")="",0,SUMPRODUCT((파견수련계획!$Q$4:$Q$83=TRIM($J178&amp;""))*(파견수련계획!$S$4:$S$83="구리병원")*파견수련계획!$W$4:$W$83))+IF($AG178="구리병원",MAX(0,DAY(EOMONTH(요약!$B$3,0))-N($X178)),0))</f>
        <v/>
      </c>
      <c r="AJ178" s="10">
        <f>IF(OR($B178="",TRIM($J178&amp;"")=""),"",IFERROR(MATCH(TRIM($J178&amp;"")&amp;"|월",파견수련계획!$Z$4:$Z$83,0),""))</f>
        <v/>
      </c>
      <c r="AK178" s="10">
        <f>IF(OR($B178="",TRIM($J178&amp;"")=""),"",IFERROR(MATCH(TRIM($J178&amp;"")&amp;"|다기관",파견수련계획!$AE$4:$AE$83,0),""))</f>
        <v/>
      </c>
      <c r="AL178" s="10">
        <f>IF($AK178="","","다기관 "&amp;TEXT(INDEX(파견수련계획!$AB$4:$AB$83,$AK178),"yyyy-mm-dd")&amp;"~"&amp;IF(ISNUMBER(INDEX(파견수련계획!$AC$4:$AC$83,$AK178)),TEXT(INDEX(파견수련계획!$AC$4:$AC$83,$AK178),"yyyy-mm-dd"),""))</f>
        <v/>
      </c>
    </row>
    <row r="179">
      <c r="A179" s="10">
        <f>IF(B179="","",ROW()-1)</f>
        <v/>
      </c>
      <c r="B179" s="18" t="n"/>
      <c r="C179" s="10">
        <f>IF($AB179="","",IF(INDEX(기본자료!$C$2:$C$1001,$AB179)="","",INDEX(기본자료!$C$2:$C$1001,$AB179)))</f>
        <v/>
      </c>
      <c r="D179" s="10">
        <f>IF($AB179="","",IF(INDEX(기본자료!$J$2:$J$1001,$AB179)="","",INDEX(기본자료!$J$2:$J$1001,$AB179)))</f>
        <v/>
      </c>
      <c r="E179" s="11">
        <f>IF($AB179="","",IF(INDEX(기본자료!$K$2:$K$1001,$AB179)="","",IF(NOT(ISNUMBER(INDEX(기본자료!$K$2:$K$1001,$AB179))),INDEX(기본자료!$K$2:$K$1001,$AB179),IF(INDEX(기본자료!$K$2:$K$1001,$AB179)&lt;1000000,INDEX(기본자료!$K$2:$K$1001,$AB179),IF(AND(INDEX(기본자료!$K$2:$K$1001,$AB179)&gt;=10000101,INT(MOD(INDEX(기본자료!$K$2:$K$1001,$AB179),10000)/100)&gt;=1,INT(MOD(INDEX(기본자료!$K$2:$K$1001,$AB179),10000)/100)&lt;=12,MOD(INDEX(기본자료!$K$2:$K$1001,$AB179),100)&gt;=1,MOD(INDEX(기본자료!$K$2:$K$1001,$AB179),100)&lt;=31),DATE(INT(INDEX(기본자료!$K$2:$K$1001,$AB179)/10000),INT(MOD(INDEX(기본자료!$K$2:$K$1001,$AB179),10000)/100),MOD(INDEX(기본자료!$K$2:$K$1001,$AB179),100)),INDEX(기본자료!$K$2:$K$1001,$AB179)&amp;"")))))</f>
        <v/>
      </c>
      <c r="F179" s="10">
        <f>IF($AB179="","",IF(INDEX(기본자료!$D$2:$D$1001,$AB179)="","",INDEX(기본자료!$D$2:$D$1001,$AB179)))</f>
        <v/>
      </c>
      <c r="G179" s="10">
        <f>IF($AB179="","",IF(INDEX(기본자료!$E$2:$E$1001,$AB179)="","",INDEX(기본자료!$E$2:$E$1001,$AB179)))</f>
        <v/>
      </c>
      <c r="H179" s="10">
        <f>IF($AB179="","",IF(INDEX(기본자료!$F$2:$F$1001,$AB179)="","",INDEX(기본자료!$F$2:$F$1001,$AB179)))</f>
        <v/>
      </c>
      <c r="I179" s="11">
        <f>IF($AB179="","",IF(INDEX(기본자료!$G$2:$G$1001,$AB179)="","",IF(NOT(ISNUMBER(INDEX(기본자료!$G$2:$G$1001,$AB179))),INDEX(기본자료!$G$2:$G$1001,$AB179),IF(INDEX(기본자료!$G$2:$G$1001,$AB179)&lt;1000000,INDEX(기본자료!$G$2:$G$1001,$AB179),IF(AND(INDEX(기본자료!$G$2:$G$1001,$AB179)&gt;=10000101,INT(MOD(INDEX(기본자료!$G$2:$G$1001,$AB179),10000)/100)&gt;=1,INT(MOD(INDEX(기본자료!$G$2:$G$1001,$AB179),10000)/100)&lt;=12,MOD(INDEX(기본자료!$G$2:$G$1001,$AB179),100)&gt;=1,MOD(INDEX(기본자료!$G$2:$G$1001,$AB179),100)&lt;=31),DATE(INT(INDEX(기본자료!$G$2:$G$1001,$AB179)/10000),INT(MOD(INDEX(기본자료!$G$2:$G$1001,$AB179),10000)/100),MOD(INDEX(기본자료!$G$2:$G$1001,$AB179),100)),INDEX(기본자료!$G$2:$G$1001,$AB179)&amp;"")))))</f>
        <v/>
      </c>
      <c r="J179" s="10">
        <f>IF($AB179="","",IF(INDEX(기본자료!$H$2:$H$1001,$AB179)="","",INDEX(기본자료!$H$2:$H$1001,$AB179)))</f>
        <v/>
      </c>
      <c r="K179" s="10">
        <f>IF($AB179="","",IF(INDEX(기본자료!$I$2:$I$1001,$AB179)="","",INDEX(기본자료!$I$2:$I$1001,$AB179)))</f>
        <v/>
      </c>
      <c r="L179" s="10">
        <f>IF($AB179="","",IF(INDEX(기본자료!$A$2:$A$1001,$AB179)="","",INDEX(기본자료!$A$2:$A$1001,$AB179)))</f>
        <v/>
      </c>
      <c r="M179" s="15" t="n"/>
      <c r="N179" s="10">
        <f>IF($B179="","",IF(AND($U179="파견중",$Q179&lt;&gt;""),$Q179,IF(AND($AD179&lt;&gt;"",LEFT($AD179,1)&lt;&gt;"⚠"),LEFT($AD179,FIND(" ",$AD179)-1),IF($H179="","",IF(RIGHT($H179,2)="병원",$H179,$H179&amp;"병원")))))</f>
        <v/>
      </c>
      <c r="O179" s="10">
        <f>IF($B179="","",IF(AND($U179="파견중",$Q179&lt;&gt;""),IF($R179&lt;&gt;"",$R179,"파견과 미입력"),IF(AND($AD179&lt;&gt;"",LEFT($AD179,1)&lt;&gt;"⚠"),MID($AD179,FIND(" ",$AD179)+1,60),IF($F179="","",IF($F179="인턴","수련교육부(인턴)",$F179)))))</f>
        <v/>
      </c>
      <c r="P179" s="10">
        <f>IF($B179="","",IF($AK179&lt;&gt;"",IF(AND(TODAY()&gt;=INDEX(파견수련계획!$AB$4:$AB$83,$AK179),OR(NOT(ISNUMBER(INDEX(파견수련계획!$AC$4:$AC$83,$AK179))),TODAY()&lt;=INDEX(파견수련계획!$AC$4:$AC$83,$AK179))),"다기관",IF($AF179="","",INDEX(파견수련계획!$T$4:$T$83,$AF179))),IF($AF179="","",INDEX(파견수련계획!$T$4:$T$83,$AF179))))</f>
        <v/>
      </c>
      <c r="Q179" s="10">
        <f>IF($AF179="","",INDEX(파견수련계획!$S$4:$S$83,$AF179))</f>
        <v/>
      </c>
      <c r="R179" s="10">
        <f>IF($AF179="","",INDEX(파견수련계획!$U$4:$U$83,$AF179))</f>
        <v/>
      </c>
      <c r="S179" s="11">
        <f>IF($AF179="","",IF(INDEX(파견수련계획!$H$4:$H$83,$AF179)="","",INDEX(파견수련계획!$H$4:$H$83,$AF179)))</f>
        <v/>
      </c>
      <c r="T179" s="11">
        <f>IF($AF179="","",IF(INDEX(파견수련계획!$I$4:$I$83,$AF179)="","",INDEX(파견수련계획!$I$4:$I$83,$AF179)))</f>
        <v/>
      </c>
      <c r="U179" s="10">
        <f>IF($AF179="","",INDEX(파견수련계획!$X$4:$X$83,$AF179))</f>
        <v/>
      </c>
      <c r="V179" s="17">
        <f>IF($AF179="","",INDEX(파견수련계획!$V$4:$V$83,$AF179))</f>
        <v/>
      </c>
      <c r="W179" s="17">
        <f>IF(AND($U179="파견중",$T179&lt;&gt;""),$T179-TODAY(),"")</f>
        <v/>
      </c>
      <c r="X179" s="17">
        <f>IF(OR($B179="",TRIM($J179&amp;"")=""),"",SUMPRODUCT((파견수련계획!$Q$4:$Q$83=TRIM($J179&amp;""))*파견수련계획!$W$4:$W$83))</f>
        <v/>
      </c>
      <c r="Y179" s="10">
        <f>IF($B179="","",IF($AG179="","",IF(IF(TRIM($J179&amp;"")="",0,SUMPRODUCT((파견수련계획!$Q$4:$Q$83=TRIM($J179&amp;""))*파견수련계획!$AD$4:$AD$83))&gt;0,$AE179,IF(N($X179)&lt;=0,$AG179,IF($AH179+$AI179=DAY(EOMONTH(요약!$B$3,0)),IF(AND($AH179&gt;=요약!$E$3,$AI179&lt;요약!$E$3),"서울병원",IF(AND($AI179&gt;=요약!$E$3,$AH179&lt;요약!$E$3),"구리병원","⚠15일 판정불가(서울 "&amp;$AH179&amp;"일/구리 "&amp;$AI179&amp;"일)")),IF($AJ179="",$AE179,IF(INDEX(파견수련계획!$T$4:$T$83,$AJ179)="통합수련",INDEX(파견수련계획!$S$4:$S$83,$AJ179),$AE179)))))))</f>
        <v/>
      </c>
      <c r="Z179" s="19">
        <f>IF($B179="","",IF($AB179="","기본자료에 없는 사번",IF(COUNTIF($B$2:$B$401,$B179)&gt;1,"중복 사번",IF($AE179="","소속(입사장소) 입력",IF(IF(TRIM($J179&amp;"")="",0,SUMPRODUCT((파견수련계획!$Q$4:$Q$83=TRIM($J179&amp;""))*(파견수련계획!$AA$4:$AA$83&lt;&gt;"")))&gt;0,"파견수련계획 입력오류 확인",IF(LEFT($Y179,1)="⚠","서울·구리 15일 판정 불가(양쪽 모두 이상/미만)",IF(IF($AC179="",0,N(INDEX(인턴근무계획!$T$3:$T$62,$AC179)))&gt;0,"인턴계획 입력오류 확인",IF(AND($AC179&lt;&gt;"",$U179&lt;&gt;"파견중",$N179&lt;&gt;$AE179),"인턴 타지역 근무: 파견 여부 확인","정상"))))))))</f>
        <v/>
      </c>
      <c r="AA179" s="5" t="n"/>
      <c r="AB179" s="10">
        <f>IF($B179="","",IFERROR(MATCH($B179,기본자료!$B$2:$B$1001,0),IFERROR(MATCH($B179&amp;"",기본자료!$B$2:$B$1001,0),IFERROR(MATCH(VALUE($B179),기본자료!$B$2:$B$1001,0),""))))</f>
        <v/>
      </c>
      <c r="AC179" s="10">
        <f>IF($B179="","",IFERROR(MATCH($B179,인턴근무계획!$D$3:$D$62,0),IFERROR(MATCH($B179&amp;"",인턴근무계획!$D$3:$D$62,0),IFERROR(MATCH(VALUE($B179),인턴근무계획!$D$3:$D$62,0),""))))</f>
        <v/>
      </c>
      <c r="AD179" s="10">
        <f>IF(OR($AC179="",인턴현황!$G$3=""),"",INDEX(인턴근무계획!$M$3:$R$62,$AC179,인턴현황!$G$3)&amp;"")</f>
        <v/>
      </c>
      <c r="AE179" s="10">
        <f>IF($B179="","",IF($M179&lt;&gt;"",$M179,IF($AF179&lt;&gt;"",IF(LEFT(INDEX(파견수련계획!$R$4:$R$83,$AF179),1)&lt;&gt;"⚠",INDEX(파견수련계획!$R$4:$R$83,$AF179),IF($H179="","",IF(RIGHT($H179,2)="병원",$H179,$H179&amp;"병원"))),IF($H179="","",IF(RIGHT($H179,2)="병원",$H179,$H179&amp;"병원")))))</f>
        <v/>
      </c>
      <c r="AF179" s="10">
        <f>IF(OR($B179="",TRIM($J179&amp;"")=""),"",IFERROR(MATCH(TRIM($J179&amp;"")&amp;"|파견중",파견수련계획!$Y$4:$Y$83,0),IFERROR(MATCH(TRIM($J179&amp;"")&amp;"|파견예정",파견수련계획!$Y$4:$Y$83,0),IFERROR(MATCH(TRIM($J179&amp;"")&amp;"|파견종료",파견수련계획!$Y$4:$Y$83,0),""))))</f>
        <v/>
      </c>
      <c r="AG179" s="10">
        <f>IF($B179="","",IF(AND(IF(OR($AC179="",인턴현황!$K$2=""),"",INDEX(인턴근무계획!$M$3:$R$62,$AC179,인턴현황!$K$2)&amp;"")&lt;&gt;"",LEFT(IF(OR($AC179="",인턴현황!$K$2=""),"",INDEX(인턴근무계획!$M$3:$R$62,$AC179,인턴현황!$K$2)&amp;""),1)&lt;&gt;"⚠"),LEFT(IF(OR($AC179="",인턴현황!$K$2=""),"",INDEX(인턴근무계획!$M$3:$R$62,$AC179,인턴현황!$K$2)&amp;""),FIND(" ",IF(OR($AC179="",인턴현황!$K$2=""),"",INDEX(인턴근무계획!$M$3:$R$62,$AC179,인턴현황!$K$2)&amp;""))-1),$AE179))</f>
        <v/>
      </c>
      <c r="AH179" s="17">
        <f>IF($B179="","",IF(TRIM($J179&amp;"")="",0,SUMPRODUCT((파견수련계획!$Q$4:$Q$83=TRIM($J179&amp;""))*(파견수련계획!$S$4:$S$83="서울병원")*파견수련계획!$W$4:$W$83))+IF($AG179="서울병원",MAX(0,DAY(EOMONTH(요약!$B$3,0))-N($X179)),0))</f>
        <v/>
      </c>
      <c r="AI179" s="17">
        <f>IF($B179="","",IF(TRIM($J179&amp;"")="",0,SUMPRODUCT((파견수련계획!$Q$4:$Q$83=TRIM($J179&amp;""))*(파견수련계획!$S$4:$S$83="구리병원")*파견수련계획!$W$4:$W$83))+IF($AG179="구리병원",MAX(0,DAY(EOMONTH(요약!$B$3,0))-N($X179)),0))</f>
        <v/>
      </c>
      <c r="AJ179" s="10">
        <f>IF(OR($B179="",TRIM($J179&amp;"")=""),"",IFERROR(MATCH(TRIM($J179&amp;"")&amp;"|월",파견수련계획!$Z$4:$Z$83,0),""))</f>
        <v/>
      </c>
      <c r="AK179" s="10">
        <f>IF(OR($B179="",TRIM($J179&amp;"")=""),"",IFERROR(MATCH(TRIM($J179&amp;"")&amp;"|다기관",파견수련계획!$AE$4:$AE$83,0),""))</f>
        <v/>
      </c>
      <c r="AL179" s="10">
        <f>IF($AK179="","","다기관 "&amp;TEXT(INDEX(파견수련계획!$AB$4:$AB$83,$AK179),"yyyy-mm-dd")&amp;"~"&amp;IF(ISNUMBER(INDEX(파견수련계획!$AC$4:$AC$83,$AK179)),TEXT(INDEX(파견수련계획!$AC$4:$AC$83,$AK179),"yyyy-mm-dd"),""))</f>
        <v/>
      </c>
    </row>
    <row r="180">
      <c r="A180" s="10">
        <f>IF(B180="","",ROW()-1)</f>
        <v/>
      </c>
      <c r="B180" s="18" t="n"/>
      <c r="C180" s="10">
        <f>IF($AB180="","",IF(INDEX(기본자료!$C$2:$C$1001,$AB180)="","",INDEX(기본자료!$C$2:$C$1001,$AB180)))</f>
        <v/>
      </c>
      <c r="D180" s="10">
        <f>IF($AB180="","",IF(INDEX(기본자료!$J$2:$J$1001,$AB180)="","",INDEX(기본자료!$J$2:$J$1001,$AB180)))</f>
        <v/>
      </c>
      <c r="E180" s="11">
        <f>IF($AB180="","",IF(INDEX(기본자료!$K$2:$K$1001,$AB180)="","",IF(NOT(ISNUMBER(INDEX(기본자료!$K$2:$K$1001,$AB180))),INDEX(기본자료!$K$2:$K$1001,$AB180),IF(INDEX(기본자료!$K$2:$K$1001,$AB180)&lt;1000000,INDEX(기본자료!$K$2:$K$1001,$AB180),IF(AND(INDEX(기본자료!$K$2:$K$1001,$AB180)&gt;=10000101,INT(MOD(INDEX(기본자료!$K$2:$K$1001,$AB180),10000)/100)&gt;=1,INT(MOD(INDEX(기본자료!$K$2:$K$1001,$AB180),10000)/100)&lt;=12,MOD(INDEX(기본자료!$K$2:$K$1001,$AB180),100)&gt;=1,MOD(INDEX(기본자료!$K$2:$K$1001,$AB180),100)&lt;=31),DATE(INT(INDEX(기본자료!$K$2:$K$1001,$AB180)/10000),INT(MOD(INDEX(기본자료!$K$2:$K$1001,$AB180),10000)/100),MOD(INDEX(기본자료!$K$2:$K$1001,$AB180),100)),INDEX(기본자료!$K$2:$K$1001,$AB180)&amp;"")))))</f>
        <v/>
      </c>
      <c r="F180" s="10">
        <f>IF($AB180="","",IF(INDEX(기본자료!$D$2:$D$1001,$AB180)="","",INDEX(기본자료!$D$2:$D$1001,$AB180)))</f>
        <v/>
      </c>
      <c r="G180" s="10">
        <f>IF($AB180="","",IF(INDEX(기본자료!$E$2:$E$1001,$AB180)="","",INDEX(기본자료!$E$2:$E$1001,$AB180)))</f>
        <v/>
      </c>
      <c r="H180" s="10">
        <f>IF($AB180="","",IF(INDEX(기본자료!$F$2:$F$1001,$AB180)="","",INDEX(기본자료!$F$2:$F$1001,$AB180)))</f>
        <v/>
      </c>
      <c r="I180" s="11">
        <f>IF($AB180="","",IF(INDEX(기본자료!$G$2:$G$1001,$AB180)="","",IF(NOT(ISNUMBER(INDEX(기본자료!$G$2:$G$1001,$AB180))),INDEX(기본자료!$G$2:$G$1001,$AB180),IF(INDEX(기본자료!$G$2:$G$1001,$AB180)&lt;1000000,INDEX(기본자료!$G$2:$G$1001,$AB180),IF(AND(INDEX(기본자료!$G$2:$G$1001,$AB180)&gt;=10000101,INT(MOD(INDEX(기본자료!$G$2:$G$1001,$AB180),10000)/100)&gt;=1,INT(MOD(INDEX(기본자료!$G$2:$G$1001,$AB180),10000)/100)&lt;=12,MOD(INDEX(기본자료!$G$2:$G$1001,$AB180),100)&gt;=1,MOD(INDEX(기본자료!$G$2:$G$1001,$AB180),100)&lt;=31),DATE(INT(INDEX(기본자료!$G$2:$G$1001,$AB180)/10000),INT(MOD(INDEX(기본자료!$G$2:$G$1001,$AB180),10000)/100),MOD(INDEX(기본자료!$G$2:$G$1001,$AB180),100)),INDEX(기본자료!$G$2:$G$1001,$AB180)&amp;"")))))</f>
        <v/>
      </c>
      <c r="J180" s="10">
        <f>IF($AB180="","",IF(INDEX(기본자료!$H$2:$H$1001,$AB180)="","",INDEX(기본자료!$H$2:$H$1001,$AB180)))</f>
        <v/>
      </c>
      <c r="K180" s="10">
        <f>IF($AB180="","",IF(INDEX(기본자료!$I$2:$I$1001,$AB180)="","",INDEX(기본자료!$I$2:$I$1001,$AB180)))</f>
        <v/>
      </c>
      <c r="L180" s="10">
        <f>IF($AB180="","",IF(INDEX(기본자료!$A$2:$A$1001,$AB180)="","",INDEX(기본자료!$A$2:$A$1001,$AB180)))</f>
        <v/>
      </c>
      <c r="M180" s="15" t="n"/>
      <c r="N180" s="10">
        <f>IF($B180="","",IF(AND($U180="파견중",$Q180&lt;&gt;""),$Q180,IF(AND($AD180&lt;&gt;"",LEFT($AD180,1)&lt;&gt;"⚠"),LEFT($AD180,FIND(" ",$AD180)-1),IF($H180="","",IF(RIGHT($H180,2)="병원",$H180,$H180&amp;"병원")))))</f>
        <v/>
      </c>
      <c r="O180" s="10">
        <f>IF($B180="","",IF(AND($U180="파견중",$Q180&lt;&gt;""),IF($R180&lt;&gt;"",$R180,"파견과 미입력"),IF(AND($AD180&lt;&gt;"",LEFT($AD180,1)&lt;&gt;"⚠"),MID($AD180,FIND(" ",$AD180)+1,60),IF($F180="","",IF($F180="인턴","수련교육부(인턴)",$F180)))))</f>
        <v/>
      </c>
      <c r="P180" s="10">
        <f>IF($B180="","",IF($AK180&lt;&gt;"",IF(AND(TODAY()&gt;=INDEX(파견수련계획!$AB$4:$AB$83,$AK180),OR(NOT(ISNUMBER(INDEX(파견수련계획!$AC$4:$AC$83,$AK180))),TODAY()&lt;=INDEX(파견수련계획!$AC$4:$AC$83,$AK180))),"다기관",IF($AF180="","",INDEX(파견수련계획!$T$4:$T$83,$AF180))),IF($AF180="","",INDEX(파견수련계획!$T$4:$T$83,$AF180))))</f>
        <v/>
      </c>
      <c r="Q180" s="10">
        <f>IF($AF180="","",INDEX(파견수련계획!$S$4:$S$83,$AF180))</f>
        <v/>
      </c>
      <c r="R180" s="10">
        <f>IF($AF180="","",INDEX(파견수련계획!$U$4:$U$83,$AF180))</f>
        <v/>
      </c>
      <c r="S180" s="11">
        <f>IF($AF180="","",IF(INDEX(파견수련계획!$H$4:$H$83,$AF180)="","",INDEX(파견수련계획!$H$4:$H$83,$AF180)))</f>
        <v/>
      </c>
      <c r="T180" s="11">
        <f>IF($AF180="","",IF(INDEX(파견수련계획!$I$4:$I$83,$AF180)="","",INDEX(파견수련계획!$I$4:$I$83,$AF180)))</f>
        <v/>
      </c>
      <c r="U180" s="10">
        <f>IF($AF180="","",INDEX(파견수련계획!$X$4:$X$83,$AF180))</f>
        <v/>
      </c>
      <c r="V180" s="17">
        <f>IF($AF180="","",INDEX(파견수련계획!$V$4:$V$83,$AF180))</f>
        <v/>
      </c>
      <c r="W180" s="17">
        <f>IF(AND($U180="파견중",$T180&lt;&gt;""),$T180-TODAY(),"")</f>
        <v/>
      </c>
      <c r="X180" s="17">
        <f>IF(OR($B180="",TRIM($J180&amp;"")=""),"",SUMPRODUCT((파견수련계획!$Q$4:$Q$83=TRIM($J180&amp;""))*파견수련계획!$W$4:$W$83))</f>
        <v/>
      </c>
      <c r="Y180" s="10">
        <f>IF($B180="","",IF($AG180="","",IF(IF(TRIM($J180&amp;"")="",0,SUMPRODUCT((파견수련계획!$Q$4:$Q$83=TRIM($J180&amp;""))*파견수련계획!$AD$4:$AD$83))&gt;0,$AE180,IF(N($X180)&lt;=0,$AG180,IF($AH180+$AI180=DAY(EOMONTH(요약!$B$3,0)),IF(AND($AH180&gt;=요약!$E$3,$AI180&lt;요약!$E$3),"서울병원",IF(AND($AI180&gt;=요약!$E$3,$AH180&lt;요약!$E$3),"구리병원","⚠15일 판정불가(서울 "&amp;$AH180&amp;"일/구리 "&amp;$AI180&amp;"일)")),IF($AJ180="",$AE180,IF(INDEX(파견수련계획!$T$4:$T$83,$AJ180)="통합수련",INDEX(파견수련계획!$S$4:$S$83,$AJ180),$AE180)))))))</f>
        <v/>
      </c>
      <c r="Z180" s="19">
        <f>IF($B180="","",IF($AB180="","기본자료에 없는 사번",IF(COUNTIF($B$2:$B$401,$B180)&gt;1,"중복 사번",IF($AE180="","소속(입사장소) 입력",IF(IF(TRIM($J180&amp;"")="",0,SUMPRODUCT((파견수련계획!$Q$4:$Q$83=TRIM($J180&amp;""))*(파견수련계획!$AA$4:$AA$83&lt;&gt;"")))&gt;0,"파견수련계획 입력오류 확인",IF(LEFT($Y180,1)="⚠","서울·구리 15일 판정 불가(양쪽 모두 이상/미만)",IF(IF($AC180="",0,N(INDEX(인턴근무계획!$T$3:$T$62,$AC180)))&gt;0,"인턴계획 입력오류 확인",IF(AND($AC180&lt;&gt;"",$U180&lt;&gt;"파견중",$N180&lt;&gt;$AE180),"인턴 타지역 근무: 파견 여부 확인","정상"))))))))</f>
        <v/>
      </c>
      <c r="AA180" s="5" t="n"/>
      <c r="AB180" s="10">
        <f>IF($B180="","",IFERROR(MATCH($B180,기본자료!$B$2:$B$1001,0),IFERROR(MATCH($B180&amp;"",기본자료!$B$2:$B$1001,0),IFERROR(MATCH(VALUE($B180),기본자료!$B$2:$B$1001,0),""))))</f>
        <v/>
      </c>
      <c r="AC180" s="10">
        <f>IF($B180="","",IFERROR(MATCH($B180,인턴근무계획!$D$3:$D$62,0),IFERROR(MATCH($B180&amp;"",인턴근무계획!$D$3:$D$62,0),IFERROR(MATCH(VALUE($B180),인턴근무계획!$D$3:$D$62,0),""))))</f>
        <v/>
      </c>
      <c r="AD180" s="10">
        <f>IF(OR($AC180="",인턴현황!$G$3=""),"",INDEX(인턴근무계획!$M$3:$R$62,$AC180,인턴현황!$G$3)&amp;"")</f>
        <v/>
      </c>
      <c r="AE180" s="10">
        <f>IF($B180="","",IF($M180&lt;&gt;"",$M180,IF($AF180&lt;&gt;"",IF(LEFT(INDEX(파견수련계획!$R$4:$R$83,$AF180),1)&lt;&gt;"⚠",INDEX(파견수련계획!$R$4:$R$83,$AF180),IF($H180="","",IF(RIGHT($H180,2)="병원",$H180,$H180&amp;"병원"))),IF($H180="","",IF(RIGHT($H180,2)="병원",$H180,$H180&amp;"병원")))))</f>
        <v/>
      </c>
      <c r="AF180" s="10">
        <f>IF(OR($B180="",TRIM($J180&amp;"")=""),"",IFERROR(MATCH(TRIM($J180&amp;"")&amp;"|파견중",파견수련계획!$Y$4:$Y$83,0),IFERROR(MATCH(TRIM($J180&amp;"")&amp;"|파견예정",파견수련계획!$Y$4:$Y$83,0),IFERROR(MATCH(TRIM($J180&amp;"")&amp;"|파견종료",파견수련계획!$Y$4:$Y$83,0),""))))</f>
        <v/>
      </c>
      <c r="AG180" s="10">
        <f>IF($B180="","",IF(AND(IF(OR($AC180="",인턴현황!$K$2=""),"",INDEX(인턴근무계획!$M$3:$R$62,$AC180,인턴현황!$K$2)&amp;"")&lt;&gt;"",LEFT(IF(OR($AC180="",인턴현황!$K$2=""),"",INDEX(인턴근무계획!$M$3:$R$62,$AC180,인턴현황!$K$2)&amp;""),1)&lt;&gt;"⚠"),LEFT(IF(OR($AC180="",인턴현황!$K$2=""),"",INDEX(인턴근무계획!$M$3:$R$62,$AC180,인턴현황!$K$2)&amp;""),FIND(" ",IF(OR($AC180="",인턴현황!$K$2=""),"",INDEX(인턴근무계획!$M$3:$R$62,$AC180,인턴현황!$K$2)&amp;""))-1),$AE180))</f>
        <v/>
      </c>
      <c r="AH180" s="17">
        <f>IF($B180="","",IF(TRIM($J180&amp;"")="",0,SUMPRODUCT((파견수련계획!$Q$4:$Q$83=TRIM($J180&amp;""))*(파견수련계획!$S$4:$S$83="서울병원")*파견수련계획!$W$4:$W$83))+IF($AG180="서울병원",MAX(0,DAY(EOMONTH(요약!$B$3,0))-N($X180)),0))</f>
        <v/>
      </c>
      <c r="AI180" s="17">
        <f>IF($B180="","",IF(TRIM($J180&amp;"")="",0,SUMPRODUCT((파견수련계획!$Q$4:$Q$83=TRIM($J180&amp;""))*(파견수련계획!$S$4:$S$83="구리병원")*파견수련계획!$W$4:$W$83))+IF($AG180="구리병원",MAX(0,DAY(EOMONTH(요약!$B$3,0))-N($X180)),0))</f>
        <v/>
      </c>
      <c r="AJ180" s="10">
        <f>IF(OR($B180="",TRIM($J180&amp;"")=""),"",IFERROR(MATCH(TRIM($J180&amp;"")&amp;"|월",파견수련계획!$Z$4:$Z$83,0),""))</f>
        <v/>
      </c>
      <c r="AK180" s="10">
        <f>IF(OR($B180="",TRIM($J180&amp;"")=""),"",IFERROR(MATCH(TRIM($J180&amp;"")&amp;"|다기관",파견수련계획!$AE$4:$AE$83,0),""))</f>
        <v/>
      </c>
      <c r="AL180" s="10">
        <f>IF($AK180="","","다기관 "&amp;TEXT(INDEX(파견수련계획!$AB$4:$AB$83,$AK180),"yyyy-mm-dd")&amp;"~"&amp;IF(ISNUMBER(INDEX(파견수련계획!$AC$4:$AC$83,$AK180)),TEXT(INDEX(파견수련계획!$AC$4:$AC$83,$AK180),"yyyy-mm-dd"),""))</f>
        <v/>
      </c>
    </row>
    <row r="181">
      <c r="A181" s="10">
        <f>IF(B181="","",ROW()-1)</f>
        <v/>
      </c>
      <c r="B181" s="18" t="n"/>
      <c r="C181" s="10">
        <f>IF($AB181="","",IF(INDEX(기본자료!$C$2:$C$1001,$AB181)="","",INDEX(기본자료!$C$2:$C$1001,$AB181)))</f>
        <v/>
      </c>
      <c r="D181" s="10">
        <f>IF($AB181="","",IF(INDEX(기본자료!$J$2:$J$1001,$AB181)="","",INDEX(기본자료!$J$2:$J$1001,$AB181)))</f>
        <v/>
      </c>
      <c r="E181" s="11">
        <f>IF($AB181="","",IF(INDEX(기본자료!$K$2:$K$1001,$AB181)="","",IF(NOT(ISNUMBER(INDEX(기본자료!$K$2:$K$1001,$AB181))),INDEX(기본자료!$K$2:$K$1001,$AB181),IF(INDEX(기본자료!$K$2:$K$1001,$AB181)&lt;1000000,INDEX(기본자료!$K$2:$K$1001,$AB181),IF(AND(INDEX(기본자료!$K$2:$K$1001,$AB181)&gt;=10000101,INT(MOD(INDEX(기본자료!$K$2:$K$1001,$AB181),10000)/100)&gt;=1,INT(MOD(INDEX(기본자료!$K$2:$K$1001,$AB181),10000)/100)&lt;=12,MOD(INDEX(기본자료!$K$2:$K$1001,$AB181),100)&gt;=1,MOD(INDEX(기본자료!$K$2:$K$1001,$AB181),100)&lt;=31),DATE(INT(INDEX(기본자료!$K$2:$K$1001,$AB181)/10000),INT(MOD(INDEX(기본자료!$K$2:$K$1001,$AB181),10000)/100),MOD(INDEX(기본자료!$K$2:$K$1001,$AB181),100)),INDEX(기본자료!$K$2:$K$1001,$AB181)&amp;"")))))</f>
        <v/>
      </c>
      <c r="F181" s="10">
        <f>IF($AB181="","",IF(INDEX(기본자료!$D$2:$D$1001,$AB181)="","",INDEX(기본자료!$D$2:$D$1001,$AB181)))</f>
        <v/>
      </c>
      <c r="G181" s="10">
        <f>IF($AB181="","",IF(INDEX(기본자료!$E$2:$E$1001,$AB181)="","",INDEX(기본자료!$E$2:$E$1001,$AB181)))</f>
        <v/>
      </c>
      <c r="H181" s="10">
        <f>IF($AB181="","",IF(INDEX(기본자료!$F$2:$F$1001,$AB181)="","",INDEX(기본자료!$F$2:$F$1001,$AB181)))</f>
        <v/>
      </c>
      <c r="I181" s="11">
        <f>IF($AB181="","",IF(INDEX(기본자료!$G$2:$G$1001,$AB181)="","",IF(NOT(ISNUMBER(INDEX(기본자료!$G$2:$G$1001,$AB181))),INDEX(기본자료!$G$2:$G$1001,$AB181),IF(INDEX(기본자료!$G$2:$G$1001,$AB181)&lt;1000000,INDEX(기본자료!$G$2:$G$1001,$AB181),IF(AND(INDEX(기본자료!$G$2:$G$1001,$AB181)&gt;=10000101,INT(MOD(INDEX(기본자료!$G$2:$G$1001,$AB181),10000)/100)&gt;=1,INT(MOD(INDEX(기본자료!$G$2:$G$1001,$AB181),10000)/100)&lt;=12,MOD(INDEX(기본자료!$G$2:$G$1001,$AB181),100)&gt;=1,MOD(INDEX(기본자료!$G$2:$G$1001,$AB181),100)&lt;=31),DATE(INT(INDEX(기본자료!$G$2:$G$1001,$AB181)/10000),INT(MOD(INDEX(기본자료!$G$2:$G$1001,$AB181),10000)/100),MOD(INDEX(기본자료!$G$2:$G$1001,$AB181),100)),INDEX(기본자료!$G$2:$G$1001,$AB181)&amp;"")))))</f>
        <v/>
      </c>
      <c r="J181" s="10">
        <f>IF($AB181="","",IF(INDEX(기본자료!$H$2:$H$1001,$AB181)="","",INDEX(기본자료!$H$2:$H$1001,$AB181)))</f>
        <v/>
      </c>
      <c r="K181" s="10">
        <f>IF($AB181="","",IF(INDEX(기본자료!$I$2:$I$1001,$AB181)="","",INDEX(기본자료!$I$2:$I$1001,$AB181)))</f>
        <v/>
      </c>
      <c r="L181" s="10">
        <f>IF($AB181="","",IF(INDEX(기본자료!$A$2:$A$1001,$AB181)="","",INDEX(기본자료!$A$2:$A$1001,$AB181)))</f>
        <v/>
      </c>
      <c r="M181" s="15" t="n"/>
      <c r="N181" s="10">
        <f>IF($B181="","",IF(AND($U181="파견중",$Q181&lt;&gt;""),$Q181,IF(AND($AD181&lt;&gt;"",LEFT($AD181,1)&lt;&gt;"⚠"),LEFT($AD181,FIND(" ",$AD181)-1),IF($H181="","",IF(RIGHT($H181,2)="병원",$H181,$H181&amp;"병원")))))</f>
        <v/>
      </c>
      <c r="O181" s="10">
        <f>IF($B181="","",IF(AND($U181="파견중",$Q181&lt;&gt;""),IF($R181&lt;&gt;"",$R181,"파견과 미입력"),IF(AND($AD181&lt;&gt;"",LEFT($AD181,1)&lt;&gt;"⚠"),MID($AD181,FIND(" ",$AD181)+1,60),IF($F181="","",IF($F181="인턴","수련교육부(인턴)",$F181)))))</f>
        <v/>
      </c>
      <c r="P181" s="10">
        <f>IF($B181="","",IF($AK181&lt;&gt;"",IF(AND(TODAY()&gt;=INDEX(파견수련계획!$AB$4:$AB$83,$AK181),OR(NOT(ISNUMBER(INDEX(파견수련계획!$AC$4:$AC$83,$AK181))),TODAY()&lt;=INDEX(파견수련계획!$AC$4:$AC$83,$AK181))),"다기관",IF($AF181="","",INDEX(파견수련계획!$T$4:$T$83,$AF181))),IF($AF181="","",INDEX(파견수련계획!$T$4:$T$83,$AF181))))</f>
        <v/>
      </c>
      <c r="Q181" s="10">
        <f>IF($AF181="","",INDEX(파견수련계획!$S$4:$S$83,$AF181))</f>
        <v/>
      </c>
      <c r="R181" s="10">
        <f>IF($AF181="","",INDEX(파견수련계획!$U$4:$U$83,$AF181))</f>
        <v/>
      </c>
      <c r="S181" s="11">
        <f>IF($AF181="","",IF(INDEX(파견수련계획!$H$4:$H$83,$AF181)="","",INDEX(파견수련계획!$H$4:$H$83,$AF181)))</f>
        <v/>
      </c>
      <c r="T181" s="11">
        <f>IF($AF181="","",IF(INDEX(파견수련계획!$I$4:$I$83,$AF181)="","",INDEX(파견수련계획!$I$4:$I$83,$AF181)))</f>
        <v/>
      </c>
      <c r="U181" s="10">
        <f>IF($AF181="","",INDEX(파견수련계획!$X$4:$X$83,$AF181))</f>
        <v/>
      </c>
      <c r="V181" s="17">
        <f>IF($AF181="","",INDEX(파견수련계획!$V$4:$V$83,$AF181))</f>
        <v/>
      </c>
      <c r="W181" s="17">
        <f>IF(AND($U181="파견중",$T181&lt;&gt;""),$T181-TODAY(),"")</f>
        <v/>
      </c>
      <c r="X181" s="17">
        <f>IF(OR($B181="",TRIM($J181&amp;"")=""),"",SUMPRODUCT((파견수련계획!$Q$4:$Q$83=TRIM($J181&amp;""))*파견수련계획!$W$4:$W$83))</f>
        <v/>
      </c>
      <c r="Y181" s="10">
        <f>IF($B181="","",IF($AG181="","",IF(IF(TRIM($J181&amp;"")="",0,SUMPRODUCT((파견수련계획!$Q$4:$Q$83=TRIM($J181&amp;""))*파견수련계획!$AD$4:$AD$83))&gt;0,$AE181,IF(N($X181)&lt;=0,$AG181,IF($AH181+$AI181=DAY(EOMONTH(요약!$B$3,0)),IF(AND($AH181&gt;=요약!$E$3,$AI181&lt;요약!$E$3),"서울병원",IF(AND($AI181&gt;=요약!$E$3,$AH181&lt;요약!$E$3),"구리병원","⚠15일 판정불가(서울 "&amp;$AH181&amp;"일/구리 "&amp;$AI181&amp;"일)")),IF($AJ181="",$AE181,IF(INDEX(파견수련계획!$T$4:$T$83,$AJ181)="통합수련",INDEX(파견수련계획!$S$4:$S$83,$AJ181),$AE181)))))))</f>
        <v/>
      </c>
      <c r="Z181" s="19">
        <f>IF($B181="","",IF($AB181="","기본자료에 없는 사번",IF(COUNTIF($B$2:$B$401,$B181)&gt;1,"중복 사번",IF($AE181="","소속(입사장소) 입력",IF(IF(TRIM($J181&amp;"")="",0,SUMPRODUCT((파견수련계획!$Q$4:$Q$83=TRIM($J181&amp;""))*(파견수련계획!$AA$4:$AA$83&lt;&gt;"")))&gt;0,"파견수련계획 입력오류 확인",IF(LEFT($Y181,1)="⚠","서울·구리 15일 판정 불가(양쪽 모두 이상/미만)",IF(IF($AC181="",0,N(INDEX(인턴근무계획!$T$3:$T$62,$AC181)))&gt;0,"인턴계획 입력오류 확인",IF(AND($AC181&lt;&gt;"",$U181&lt;&gt;"파견중",$N181&lt;&gt;$AE181),"인턴 타지역 근무: 파견 여부 확인","정상"))))))))</f>
        <v/>
      </c>
      <c r="AA181" s="5" t="n"/>
      <c r="AB181" s="10">
        <f>IF($B181="","",IFERROR(MATCH($B181,기본자료!$B$2:$B$1001,0),IFERROR(MATCH($B181&amp;"",기본자료!$B$2:$B$1001,0),IFERROR(MATCH(VALUE($B181),기본자료!$B$2:$B$1001,0),""))))</f>
        <v/>
      </c>
      <c r="AC181" s="10">
        <f>IF($B181="","",IFERROR(MATCH($B181,인턴근무계획!$D$3:$D$62,0),IFERROR(MATCH($B181&amp;"",인턴근무계획!$D$3:$D$62,0),IFERROR(MATCH(VALUE($B181),인턴근무계획!$D$3:$D$62,0),""))))</f>
        <v/>
      </c>
      <c r="AD181" s="10">
        <f>IF(OR($AC181="",인턴현황!$G$3=""),"",INDEX(인턴근무계획!$M$3:$R$62,$AC181,인턴현황!$G$3)&amp;"")</f>
        <v/>
      </c>
      <c r="AE181" s="10">
        <f>IF($B181="","",IF($M181&lt;&gt;"",$M181,IF($AF181&lt;&gt;"",IF(LEFT(INDEX(파견수련계획!$R$4:$R$83,$AF181),1)&lt;&gt;"⚠",INDEX(파견수련계획!$R$4:$R$83,$AF181),IF($H181="","",IF(RIGHT($H181,2)="병원",$H181,$H181&amp;"병원"))),IF($H181="","",IF(RIGHT($H181,2)="병원",$H181,$H181&amp;"병원")))))</f>
        <v/>
      </c>
      <c r="AF181" s="10">
        <f>IF(OR($B181="",TRIM($J181&amp;"")=""),"",IFERROR(MATCH(TRIM($J181&amp;"")&amp;"|파견중",파견수련계획!$Y$4:$Y$83,0),IFERROR(MATCH(TRIM($J181&amp;"")&amp;"|파견예정",파견수련계획!$Y$4:$Y$83,0),IFERROR(MATCH(TRIM($J181&amp;"")&amp;"|파견종료",파견수련계획!$Y$4:$Y$83,0),""))))</f>
        <v/>
      </c>
      <c r="AG181" s="10">
        <f>IF($B181="","",IF(AND(IF(OR($AC181="",인턴현황!$K$2=""),"",INDEX(인턴근무계획!$M$3:$R$62,$AC181,인턴현황!$K$2)&amp;"")&lt;&gt;"",LEFT(IF(OR($AC181="",인턴현황!$K$2=""),"",INDEX(인턴근무계획!$M$3:$R$62,$AC181,인턴현황!$K$2)&amp;""),1)&lt;&gt;"⚠"),LEFT(IF(OR($AC181="",인턴현황!$K$2=""),"",INDEX(인턴근무계획!$M$3:$R$62,$AC181,인턴현황!$K$2)&amp;""),FIND(" ",IF(OR($AC181="",인턴현황!$K$2=""),"",INDEX(인턴근무계획!$M$3:$R$62,$AC181,인턴현황!$K$2)&amp;""))-1),$AE181))</f>
        <v/>
      </c>
      <c r="AH181" s="17">
        <f>IF($B181="","",IF(TRIM($J181&amp;"")="",0,SUMPRODUCT((파견수련계획!$Q$4:$Q$83=TRIM($J181&amp;""))*(파견수련계획!$S$4:$S$83="서울병원")*파견수련계획!$W$4:$W$83))+IF($AG181="서울병원",MAX(0,DAY(EOMONTH(요약!$B$3,0))-N($X181)),0))</f>
        <v/>
      </c>
      <c r="AI181" s="17">
        <f>IF($B181="","",IF(TRIM($J181&amp;"")="",0,SUMPRODUCT((파견수련계획!$Q$4:$Q$83=TRIM($J181&amp;""))*(파견수련계획!$S$4:$S$83="구리병원")*파견수련계획!$W$4:$W$83))+IF($AG181="구리병원",MAX(0,DAY(EOMONTH(요약!$B$3,0))-N($X181)),0))</f>
        <v/>
      </c>
      <c r="AJ181" s="10">
        <f>IF(OR($B181="",TRIM($J181&amp;"")=""),"",IFERROR(MATCH(TRIM($J181&amp;"")&amp;"|월",파견수련계획!$Z$4:$Z$83,0),""))</f>
        <v/>
      </c>
      <c r="AK181" s="10">
        <f>IF(OR($B181="",TRIM($J181&amp;"")=""),"",IFERROR(MATCH(TRIM($J181&amp;"")&amp;"|다기관",파견수련계획!$AE$4:$AE$83,0),""))</f>
        <v/>
      </c>
      <c r="AL181" s="10">
        <f>IF($AK181="","","다기관 "&amp;TEXT(INDEX(파견수련계획!$AB$4:$AB$83,$AK181),"yyyy-mm-dd")&amp;"~"&amp;IF(ISNUMBER(INDEX(파견수련계획!$AC$4:$AC$83,$AK181)),TEXT(INDEX(파견수련계획!$AC$4:$AC$83,$AK181),"yyyy-mm-dd"),""))</f>
        <v/>
      </c>
    </row>
    <row r="182">
      <c r="A182" s="10">
        <f>IF(B182="","",ROW()-1)</f>
        <v/>
      </c>
      <c r="B182" s="18" t="n"/>
      <c r="C182" s="10">
        <f>IF($AB182="","",IF(INDEX(기본자료!$C$2:$C$1001,$AB182)="","",INDEX(기본자료!$C$2:$C$1001,$AB182)))</f>
        <v/>
      </c>
      <c r="D182" s="10">
        <f>IF($AB182="","",IF(INDEX(기본자료!$J$2:$J$1001,$AB182)="","",INDEX(기본자료!$J$2:$J$1001,$AB182)))</f>
        <v/>
      </c>
      <c r="E182" s="11">
        <f>IF($AB182="","",IF(INDEX(기본자료!$K$2:$K$1001,$AB182)="","",IF(NOT(ISNUMBER(INDEX(기본자료!$K$2:$K$1001,$AB182))),INDEX(기본자료!$K$2:$K$1001,$AB182),IF(INDEX(기본자료!$K$2:$K$1001,$AB182)&lt;1000000,INDEX(기본자료!$K$2:$K$1001,$AB182),IF(AND(INDEX(기본자료!$K$2:$K$1001,$AB182)&gt;=10000101,INT(MOD(INDEX(기본자료!$K$2:$K$1001,$AB182),10000)/100)&gt;=1,INT(MOD(INDEX(기본자료!$K$2:$K$1001,$AB182),10000)/100)&lt;=12,MOD(INDEX(기본자료!$K$2:$K$1001,$AB182),100)&gt;=1,MOD(INDEX(기본자료!$K$2:$K$1001,$AB182),100)&lt;=31),DATE(INT(INDEX(기본자료!$K$2:$K$1001,$AB182)/10000),INT(MOD(INDEX(기본자료!$K$2:$K$1001,$AB182),10000)/100),MOD(INDEX(기본자료!$K$2:$K$1001,$AB182),100)),INDEX(기본자료!$K$2:$K$1001,$AB182)&amp;"")))))</f>
        <v/>
      </c>
      <c r="F182" s="10">
        <f>IF($AB182="","",IF(INDEX(기본자료!$D$2:$D$1001,$AB182)="","",INDEX(기본자료!$D$2:$D$1001,$AB182)))</f>
        <v/>
      </c>
      <c r="G182" s="10">
        <f>IF($AB182="","",IF(INDEX(기본자료!$E$2:$E$1001,$AB182)="","",INDEX(기본자료!$E$2:$E$1001,$AB182)))</f>
        <v/>
      </c>
      <c r="H182" s="10">
        <f>IF($AB182="","",IF(INDEX(기본자료!$F$2:$F$1001,$AB182)="","",INDEX(기본자료!$F$2:$F$1001,$AB182)))</f>
        <v/>
      </c>
      <c r="I182" s="11">
        <f>IF($AB182="","",IF(INDEX(기본자료!$G$2:$G$1001,$AB182)="","",IF(NOT(ISNUMBER(INDEX(기본자료!$G$2:$G$1001,$AB182))),INDEX(기본자료!$G$2:$G$1001,$AB182),IF(INDEX(기본자료!$G$2:$G$1001,$AB182)&lt;1000000,INDEX(기본자료!$G$2:$G$1001,$AB182),IF(AND(INDEX(기본자료!$G$2:$G$1001,$AB182)&gt;=10000101,INT(MOD(INDEX(기본자료!$G$2:$G$1001,$AB182),10000)/100)&gt;=1,INT(MOD(INDEX(기본자료!$G$2:$G$1001,$AB182),10000)/100)&lt;=12,MOD(INDEX(기본자료!$G$2:$G$1001,$AB182),100)&gt;=1,MOD(INDEX(기본자료!$G$2:$G$1001,$AB182),100)&lt;=31),DATE(INT(INDEX(기본자료!$G$2:$G$1001,$AB182)/10000),INT(MOD(INDEX(기본자료!$G$2:$G$1001,$AB182),10000)/100),MOD(INDEX(기본자료!$G$2:$G$1001,$AB182),100)),INDEX(기본자료!$G$2:$G$1001,$AB182)&amp;"")))))</f>
        <v/>
      </c>
      <c r="J182" s="10">
        <f>IF($AB182="","",IF(INDEX(기본자료!$H$2:$H$1001,$AB182)="","",INDEX(기본자료!$H$2:$H$1001,$AB182)))</f>
        <v/>
      </c>
      <c r="K182" s="10">
        <f>IF($AB182="","",IF(INDEX(기본자료!$I$2:$I$1001,$AB182)="","",INDEX(기본자료!$I$2:$I$1001,$AB182)))</f>
        <v/>
      </c>
      <c r="L182" s="10">
        <f>IF($AB182="","",IF(INDEX(기본자료!$A$2:$A$1001,$AB182)="","",INDEX(기본자료!$A$2:$A$1001,$AB182)))</f>
        <v/>
      </c>
      <c r="M182" s="15" t="n"/>
      <c r="N182" s="10">
        <f>IF($B182="","",IF(AND($U182="파견중",$Q182&lt;&gt;""),$Q182,IF(AND($AD182&lt;&gt;"",LEFT($AD182,1)&lt;&gt;"⚠"),LEFT($AD182,FIND(" ",$AD182)-1),IF($H182="","",IF(RIGHT($H182,2)="병원",$H182,$H182&amp;"병원")))))</f>
        <v/>
      </c>
      <c r="O182" s="10">
        <f>IF($B182="","",IF(AND($U182="파견중",$Q182&lt;&gt;""),IF($R182&lt;&gt;"",$R182,"파견과 미입력"),IF(AND($AD182&lt;&gt;"",LEFT($AD182,1)&lt;&gt;"⚠"),MID($AD182,FIND(" ",$AD182)+1,60),IF($F182="","",IF($F182="인턴","수련교육부(인턴)",$F182)))))</f>
        <v/>
      </c>
      <c r="P182" s="10">
        <f>IF($B182="","",IF($AK182&lt;&gt;"",IF(AND(TODAY()&gt;=INDEX(파견수련계획!$AB$4:$AB$83,$AK182),OR(NOT(ISNUMBER(INDEX(파견수련계획!$AC$4:$AC$83,$AK182))),TODAY()&lt;=INDEX(파견수련계획!$AC$4:$AC$83,$AK182))),"다기관",IF($AF182="","",INDEX(파견수련계획!$T$4:$T$83,$AF182))),IF($AF182="","",INDEX(파견수련계획!$T$4:$T$83,$AF182))))</f>
        <v/>
      </c>
      <c r="Q182" s="10">
        <f>IF($AF182="","",INDEX(파견수련계획!$S$4:$S$83,$AF182))</f>
        <v/>
      </c>
      <c r="R182" s="10">
        <f>IF($AF182="","",INDEX(파견수련계획!$U$4:$U$83,$AF182))</f>
        <v/>
      </c>
      <c r="S182" s="11">
        <f>IF($AF182="","",IF(INDEX(파견수련계획!$H$4:$H$83,$AF182)="","",INDEX(파견수련계획!$H$4:$H$83,$AF182)))</f>
        <v/>
      </c>
      <c r="T182" s="11">
        <f>IF($AF182="","",IF(INDEX(파견수련계획!$I$4:$I$83,$AF182)="","",INDEX(파견수련계획!$I$4:$I$83,$AF182)))</f>
        <v/>
      </c>
      <c r="U182" s="10">
        <f>IF($AF182="","",INDEX(파견수련계획!$X$4:$X$83,$AF182))</f>
        <v/>
      </c>
      <c r="V182" s="17">
        <f>IF($AF182="","",INDEX(파견수련계획!$V$4:$V$83,$AF182))</f>
        <v/>
      </c>
      <c r="W182" s="17">
        <f>IF(AND($U182="파견중",$T182&lt;&gt;""),$T182-TODAY(),"")</f>
        <v/>
      </c>
      <c r="X182" s="17">
        <f>IF(OR($B182="",TRIM($J182&amp;"")=""),"",SUMPRODUCT((파견수련계획!$Q$4:$Q$83=TRIM($J182&amp;""))*파견수련계획!$W$4:$W$83))</f>
        <v/>
      </c>
      <c r="Y182" s="10">
        <f>IF($B182="","",IF($AG182="","",IF(IF(TRIM($J182&amp;"")="",0,SUMPRODUCT((파견수련계획!$Q$4:$Q$83=TRIM($J182&amp;""))*파견수련계획!$AD$4:$AD$83))&gt;0,$AE182,IF(N($X182)&lt;=0,$AG182,IF($AH182+$AI182=DAY(EOMONTH(요약!$B$3,0)),IF(AND($AH182&gt;=요약!$E$3,$AI182&lt;요약!$E$3),"서울병원",IF(AND($AI182&gt;=요약!$E$3,$AH182&lt;요약!$E$3),"구리병원","⚠15일 판정불가(서울 "&amp;$AH182&amp;"일/구리 "&amp;$AI182&amp;"일)")),IF($AJ182="",$AE182,IF(INDEX(파견수련계획!$T$4:$T$83,$AJ182)="통합수련",INDEX(파견수련계획!$S$4:$S$83,$AJ182),$AE182)))))))</f>
        <v/>
      </c>
      <c r="Z182" s="19">
        <f>IF($B182="","",IF($AB182="","기본자료에 없는 사번",IF(COUNTIF($B$2:$B$401,$B182)&gt;1,"중복 사번",IF($AE182="","소속(입사장소) 입력",IF(IF(TRIM($J182&amp;"")="",0,SUMPRODUCT((파견수련계획!$Q$4:$Q$83=TRIM($J182&amp;""))*(파견수련계획!$AA$4:$AA$83&lt;&gt;"")))&gt;0,"파견수련계획 입력오류 확인",IF(LEFT($Y182,1)="⚠","서울·구리 15일 판정 불가(양쪽 모두 이상/미만)",IF(IF($AC182="",0,N(INDEX(인턴근무계획!$T$3:$T$62,$AC182)))&gt;0,"인턴계획 입력오류 확인",IF(AND($AC182&lt;&gt;"",$U182&lt;&gt;"파견중",$N182&lt;&gt;$AE182),"인턴 타지역 근무: 파견 여부 확인","정상"))))))))</f>
        <v/>
      </c>
      <c r="AA182" s="5" t="n"/>
      <c r="AB182" s="10">
        <f>IF($B182="","",IFERROR(MATCH($B182,기본자료!$B$2:$B$1001,0),IFERROR(MATCH($B182&amp;"",기본자료!$B$2:$B$1001,0),IFERROR(MATCH(VALUE($B182),기본자료!$B$2:$B$1001,0),""))))</f>
        <v/>
      </c>
      <c r="AC182" s="10">
        <f>IF($B182="","",IFERROR(MATCH($B182,인턴근무계획!$D$3:$D$62,0),IFERROR(MATCH($B182&amp;"",인턴근무계획!$D$3:$D$62,0),IFERROR(MATCH(VALUE($B182),인턴근무계획!$D$3:$D$62,0),""))))</f>
        <v/>
      </c>
      <c r="AD182" s="10">
        <f>IF(OR($AC182="",인턴현황!$G$3=""),"",INDEX(인턴근무계획!$M$3:$R$62,$AC182,인턴현황!$G$3)&amp;"")</f>
        <v/>
      </c>
      <c r="AE182" s="10">
        <f>IF($B182="","",IF($M182&lt;&gt;"",$M182,IF($AF182&lt;&gt;"",IF(LEFT(INDEX(파견수련계획!$R$4:$R$83,$AF182),1)&lt;&gt;"⚠",INDEX(파견수련계획!$R$4:$R$83,$AF182),IF($H182="","",IF(RIGHT($H182,2)="병원",$H182,$H182&amp;"병원"))),IF($H182="","",IF(RIGHT($H182,2)="병원",$H182,$H182&amp;"병원")))))</f>
        <v/>
      </c>
      <c r="AF182" s="10">
        <f>IF(OR($B182="",TRIM($J182&amp;"")=""),"",IFERROR(MATCH(TRIM($J182&amp;"")&amp;"|파견중",파견수련계획!$Y$4:$Y$83,0),IFERROR(MATCH(TRIM($J182&amp;"")&amp;"|파견예정",파견수련계획!$Y$4:$Y$83,0),IFERROR(MATCH(TRIM($J182&amp;"")&amp;"|파견종료",파견수련계획!$Y$4:$Y$83,0),""))))</f>
        <v/>
      </c>
      <c r="AG182" s="10">
        <f>IF($B182="","",IF(AND(IF(OR($AC182="",인턴현황!$K$2=""),"",INDEX(인턴근무계획!$M$3:$R$62,$AC182,인턴현황!$K$2)&amp;"")&lt;&gt;"",LEFT(IF(OR($AC182="",인턴현황!$K$2=""),"",INDEX(인턴근무계획!$M$3:$R$62,$AC182,인턴현황!$K$2)&amp;""),1)&lt;&gt;"⚠"),LEFT(IF(OR($AC182="",인턴현황!$K$2=""),"",INDEX(인턴근무계획!$M$3:$R$62,$AC182,인턴현황!$K$2)&amp;""),FIND(" ",IF(OR($AC182="",인턴현황!$K$2=""),"",INDEX(인턴근무계획!$M$3:$R$62,$AC182,인턴현황!$K$2)&amp;""))-1),$AE182))</f>
        <v/>
      </c>
      <c r="AH182" s="17">
        <f>IF($B182="","",IF(TRIM($J182&amp;"")="",0,SUMPRODUCT((파견수련계획!$Q$4:$Q$83=TRIM($J182&amp;""))*(파견수련계획!$S$4:$S$83="서울병원")*파견수련계획!$W$4:$W$83))+IF($AG182="서울병원",MAX(0,DAY(EOMONTH(요약!$B$3,0))-N($X182)),0))</f>
        <v/>
      </c>
      <c r="AI182" s="17">
        <f>IF($B182="","",IF(TRIM($J182&amp;"")="",0,SUMPRODUCT((파견수련계획!$Q$4:$Q$83=TRIM($J182&amp;""))*(파견수련계획!$S$4:$S$83="구리병원")*파견수련계획!$W$4:$W$83))+IF($AG182="구리병원",MAX(0,DAY(EOMONTH(요약!$B$3,0))-N($X182)),0))</f>
        <v/>
      </c>
      <c r="AJ182" s="10">
        <f>IF(OR($B182="",TRIM($J182&amp;"")=""),"",IFERROR(MATCH(TRIM($J182&amp;"")&amp;"|월",파견수련계획!$Z$4:$Z$83,0),""))</f>
        <v/>
      </c>
      <c r="AK182" s="10">
        <f>IF(OR($B182="",TRIM($J182&amp;"")=""),"",IFERROR(MATCH(TRIM($J182&amp;"")&amp;"|다기관",파견수련계획!$AE$4:$AE$83,0),""))</f>
        <v/>
      </c>
      <c r="AL182" s="10">
        <f>IF($AK182="","","다기관 "&amp;TEXT(INDEX(파견수련계획!$AB$4:$AB$83,$AK182),"yyyy-mm-dd")&amp;"~"&amp;IF(ISNUMBER(INDEX(파견수련계획!$AC$4:$AC$83,$AK182)),TEXT(INDEX(파견수련계획!$AC$4:$AC$83,$AK182),"yyyy-mm-dd"),""))</f>
        <v/>
      </c>
    </row>
    <row r="183">
      <c r="A183" s="10">
        <f>IF(B183="","",ROW()-1)</f>
        <v/>
      </c>
      <c r="B183" s="18" t="n"/>
      <c r="C183" s="10">
        <f>IF($AB183="","",IF(INDEX(기본자료!$C$2:$C$1001,$AB183)="","",INDEX(기본자료!$C$2:$C$1001,$AB183)))</f>
        <v/>
      </c>
      <c r="D183" s="10">
        <f>IF($AB183="","",IF(INDEX(기본자료!$J$2:$J$1001,$AB183)="","",INDEX(기본자료!$J$2:$J$1001,$AB183)))</f>
        <v/>
      </c>
      <c r="E183" s="11">
        <f>IF($AB183="","",IF(INDEX(기본자료!$K$2:$K$1001,$AB183)="","",IF(NOT(ISNUMBER(INDEX(기본자료!$K$2:$K$1001,$AB183))),INDEX(기본자료!$K$2:$K$1001,$AB183),IF(INDEX(기본자료!$K$2:$K$1001,$AB183)&lt;1000000,INDEX(기본자료!$K$2:$K$1001,$AB183),IF(AND(INDEX(기본자료!$K$2:$K$1001,$AB183)&gt;=10000101,INT(MOD(INDEX(기본자료!$K$2:$K$1001,$AB183),10000)/100)&gt;=1,INT(MOD(INDEX(기본자료!$K$2:$K$1001,$AB183),10000)/100)&lt;=12,MOD(INDEX(기본자료!$K$2:$K$1001,$AB183),100)&gt;=1,MOD(INDEX(기본자료!$K$2:$K$1001,$AB183),100)&lt;=31),DATE(INT(INDEX(기본자료!$K$2:$K$1001,$AB183)/10000),INT(MOD(INDEX(기본자료!$K$2:$K$1001,$AB183),10000)/100),MOD(INDEX(기본자료!$K$2:$K$1001,$AB183),100)),INDEX(기본자료!$K$2:$K$1001,$AB183)&amp;"")))))</f>
        <v/>
      </c>
      <c r="F183" s="10">
        <f>IF($AB183="","",IF(INDEX(기본자료!$D$2:$D$1001,$AB183)="","",INDEX(기본자료!$D$2:$D$1001,$AB183)))</f>
        <v/>
      </c>
      <c r="G183" s="10">
        <f>IF($AB183="","",IF(INDEX(기본자료!$E$2:$E$1001,$AB183)="","",INDEX(기본자료!$E$2:$E$1001,$AB183)))</f>
        <v/>
      </c>
      <c r="H183" s="10">
        <f>IF($AB183="","",IF(INDEX(기본자료!$F$2:$F$1001,$AB183)="","",INDEX(기본자료!$F$2:$F$1001,$AB183)))</f>
        <v/>
      </c>
      <c r="I183" s="11">
        <f>IF($AB183="","",IF(INDEX(기본자료!$G$2:$G$1001,$AB183)="","",IF(NOT(ISNUMBER(INDEX(기본자료!$G$2:$G$1001,$AB183))),INDEX(기본자료!$G$2:$G$1001,$AB183),IF(INDEX(기본자료!$G$2:$G$1001,$AB183)&lt;1000000,INDEX(기본자료!$G$2:$G$1001,$AB183),IF(AND(INDEX(기본자료!$G$2:$G$1001,$AB183)&gt;=10000101,INT(MOD(INDEX(기본자료!$G$2:$G$1001,$AB183),10000)/100)&gt;=1,INT(MOD(INDEX(기본자료!$G$2:$G$1001,$AB183),10000)/100)&lt;=12,MOD(INDEX(기본자료!$G$2:$G$1001,$AB183),100)&gt;=1,MOD(INDEX(기본자료!$G$2:$G$1001,$AB183),100)&lt;=31),DATE(INT(INDEX(기본자료!$G$2:$G$1001,$AB183)/10000),INT(MOD(INDEX(기본자료!$G$2:$G$1001,$AB183),10000)/100),MOD(INDEX(기본자료!$G$2:$G$1001,$AB183),100)),INDEX(기본자료!$G$2:$G$1001,$AB183)&amp;"")))))</f>
        <v/>
      </c>
      <c r="J183" s="10">
        <f>IF($AB183="","",IF(INDEX(기본자료!$H$2:$H$1001,$AB183)="","",INDEX(기본자료!$H$2:$H$1001,$AB183)))</f>
        <v/>
      </c>
      <c r="K183" s="10">
        <f>IF($AB183="","",IF(INDEX(기본자료!$I$2:$I$1001,$AB183)="","",INDEX(기본자료!$I$2:$I$1001,$AB183)))</f>
        <v/>
      </c>
      <c r="L183" s="10">
        <f>IF($AB183="","",IF(INDEX(기본자료!$A$2:$A$1001,$AB183)="","",INDEX(기본자료!$A$2:$A$1001,$AB183)))</f>
        <v/>
      </c>
      <c r="M183" s="15" t="n"/>
      <c r="N183" s="10">
        <f>IF($B183="","",IF(AND($U183="파견중",$Q183&lt;&gt;""),$Q183,IF(AND($AD183&lt;&gt;"",LEFT($AD183,1)&lt;&gt;"⚠"),LEFT($AD183,FIND(" ",$AD183)-1),IF($H183="","",IF(RIGHT($H183,2)="병원",$H183,$H183&amp;"병원")))))</f>
        <v/>
      </c>
      <c r="O183" s="10">
        <f>IF($B183="","",IF(AND($U183="파견중",$Q183&lt;&gt;""),IF($R183&lt;&gt;"",$R183,"파견과 미입력"),IF(AND($AD183&lt;&gt;"",LEFT($AD183,1)&lt;&gt;"⚠"),MID($AD183,FIND(" ",$AD183)+1,60),IF($F183="","",IF($F183="인턴","수련교육부(인턴)",$F183)))))</f>
        <v/>
      </c>
      <c r="P183" s="10">
        <f>IF($B183="","",IF($AK183&lt;&gt;"",IF(AND(TODAY()&gt;=INDEX(파견수련계획!$AB$4:$AB$83,$AK183),OR(NOT(ISNUMBER(INDEX(파견수련계획!$AC$4:$AC$83,$AK183))),TODAY()&lt;=INDEX(파견수련계획!$AC$4:$AC$83,$AK183))),"다기관",IF($AF183="","",INDEX(파견수련계획!$T$4:$T$83,$AF183))),IF($AF183="","",INDEX(파견수련계획!$T$4:$T$83,$AF183))))</f>
        <v/>
      </c>
      <c r="Q183" s="10">
        <f>IF($AF183="","",INDEX(파견수련계획!$S$4:$S$83,$AF183))</f>
        <v/>
      </c>
      <c r="R183" s="10">
        <f>IF($AF183="","",INDEX(파견수련계획!$U$4:$U$83,$AF183))</f>
        <v/>
      </c>
      <c r="S183" s="11">
        <f>IF($AF183="","",IF(INDEX(파견수련계획!$H$4:$H$83,$AF183)="","",INDEX(파견수련계획!$H$4:$H$83,$AF183)))</f>
        <v/>
      </c>
      <c r="T183" s="11">
        <f>IF($AF183="","",IF(INDEX(파견수련계획!$I$4:$I$83,$AF183)="","",INDEX(파견수련계획!$I$4:$I$83,$AF183)))</f>
        <v/>
      </c>
      <c r="U183" s="10">
        <f>IF($AF183="","",INDEX(파견수련계획!$X$4:$X$83,$AF183))</f>
        <v/>
      </c>
      <c r="V183" s="17">
        <f>IF($AF183="","",INDEX(파견수련계획!$V$4:$V$83,$AF183))</f>
        <v/>
      </c>
      <c r="W183" s="17">
        <f>IF(AND($U183="파견중",$T183&lt;&gt;""),$T183-TODAY(),"")</f>
        <v/>
      </c>
      <c r="X183" s="17">
        <f>IF(OR($B183="",TRIM($J183&amp;"")=""),"",SUMPRODUCT((파견수련계획!$Q$4:$Q$83=TRIM($J183&amp;""))*파견수련계획!$W$4:$W$83))</f>
        <v/>
      </c>
      <c r="Y183" s="10">
        <f>IF($B183="","",IF($AG183="","",IF(IF(TRIM($J183&amp;"")="",0,SUMPRODUCT((파견수련계획!$Q$4:$Q$83=TRIM($J183&amp;""))*파견수련계획!$AD$4:$AD$83))&gt;0,$AE183,IF(N($X183)&lt;=0,$AG183,IF($AH183+$AI183=DAY(EOMONTH(요약!$B$3,0)),IF(AND($AH183&gt;=요약!$E$3,$AI183&lt;요약!$E$3),"서울병원",IF(AND($AI183&gt;=요약!$E$3,$AH183&lt;요약!$E$3),"구리병원","⚠15일 판정불가(서울 "&amp;$AH183&amp;"일/구리 "&amp;$AI183&amp;"일)")),IF($AJ183="",$AE183,IF(INDEX(파견수련계획!$T$4:$T$83,$AJ183)="통합수련",INDEX(파견수련계획!$S$4:$S$83,$AJ183),$AE183)))))))</f>
        <v/>
      </c>
      <c r="Z183" s="19">
        <f>IF($B183="","",IF($AB183="","기본자료에 없는 사번",IF(COUNTIF($B$2:$B$401,$B183)&gt;1,"중복 사번",IF($AE183="","소속(입사장소) 입력",IF(IF(TRIM($J183&amp;"")="",0,SUMPRODUCT((파견수련계획!$Q$4:$Q$83=TRIM($J183&amp;""))*(파견수련계획!$AA$4:$AA$83&lt;&gt;"")))&gt;0,"파견수련계획 입력오류 확인",IF(LEFT($Y183,1)="⚠","서울·구리 15일 판정 불가(양쪽 모두 이상/미만)",IF(IF($AC183="",0,N(INDEX(인턴근무계획!$T$3:$T$62,$AC183)))&gt;0,"인턴계획 입력오류 확인",IF(AND($AC183&lt;&gt;"",$U183&lt;&gt;"파견중",$N183&lt;&gt;$AE183),"인턴 타지역 근무: 파견 여부 확인","정상"))))))))</f>
        <v/>
      </c>
      <c r="AA183" s="5" t="n"/>
      <c r="AB183" s="10">
        <f>IF($B183="","",IFERROR(MATCH($B183,기본자료!$B$2:$B$1001,0),IFERROR(MATCH($B183&amp;"",기본자료!$B$2:$B$1001,0),IFERROR(MATCH(VALUE($B183),기본자료!$B$2:$B$1001,0),""))))</f>
        <v/>
      </c>
      <c r="AC183" s="10">
        <f>IF($B183="","",IFERROR(MATCH($B183,인턴근무계획!$D$3:$D$62,0),IFERROR(MATCH($B183&amp;"",인턴근무계획!$D$3:$D$62,0),IFERROR(MATCH(VALUE($B183),인턴근무계획!$D$3:$D$62,0),""))))</f>
        <v/>
      </c>
      <c r="AD183" s="10">
        <f>IF(OR($AC183="",인턴현황!$G$3=""),"",INDEX(인턴근무계획!$M$3:$R$62,$AC183,인턴현황!$G$3)&amp;"")</f>
        <v/>
      </c>
      <c r="AE183" s="10">
        <f>IF($B183="","",IF($M183&lt;&gt;"",$M183,IF($AF183&lt;&gt;"",IF(LEFT(INDEX(파견수련계획!$R$4:$R$83,$AF183),1)&lt;&gt;"⚠",INDEX(파견수련계획!$R$4:$R$83,$AF183),IF($H183="","",IF(RIGHT($H183,2)="병원",$H183,$H183&amp;"병원"))),IF($H183="","",IF(RIGHT($H183,2)="병원",$H183,$H183&amp;"병원")))))</f>
        <v/>
      </c>
      <c r="AF183" s="10">
        <f>IF(OR($B183="",TRIM($J183&amp;"")=""),"",IFERROR(MATCH(TRIM($J183&amp;"")&amp;"|파견중",파견수련계획!$Y$4:$Y$83,0),IFERROR(MATCH(TRIM($J183&amp;"")&amp;"|파견예정",파견수련계획!$Y$4:$Y$83,0),IFERROR(MATCH(TRIM($J183&amp;"")&amp;"|파견종료",파견수련계획!$Y$4:$Y$83,0),""))))</f>
        <v/>
      </c>
      <c r="AG183" s="10">
        <f>IF($B183="","",IF(AND(IF(OR($AC183="",인턴현황!$K$2=""),"",INDEX(인턴근무계획!$M$3:$R$62,$AC183,인턴현황!$K$2)&amp;"")&lt;&gt;"",LEFT(IF(OR($AC183="",인턴현황!$K$2=""),"",INDEX(인턴근무계획!$M$3:$R$62,$AC183,인턴현황!$K$2)&amp;""),1)&lt;&gt;"⚠"),LEFT(IF(OR($AC183="",인턴현황!$K$2=""),"",INDEX(인턴근무계획!$M$3:$R$62,$AC183,인턴현황!$K$2)&amp;""),FIND(" ",IF(OR($AC183="",인턴현황!$K$2=""),"",INDEX(인턴근무계획!$M$3:$R$62,$AC183,인턴현황!$K$2)&amp;""))-1),$AE183))</f>
        <v/>
      </c>
      <c r="AH183" s="17">
        <f>IF($B183="","",IF(TRIM($J183&amp;"")="",0,SUMPRODUCT((파견수련계획!$Q$4:$Q$83=TRIM($J183&amp;""))*(파견수련계획!$S$4:$S$83="서울병원")*파견수련계획!$W$4:$W$83))+IF($AG183="서울병원",MAX(0,DAY(EOMONTH(요약!$B$3,0))-N($X183)),0))</f>
        <v/>
      </c>
      <c r="AI183" s="17">
        <f>IF($B183="","",IF(TRIM($J183&amp;"")="",0,SUMPRODUCT((파견수련계획!$Q$4:$Q$83=TRIM($J183&amp;""))*(파견수련계획!$S$4:$S$83="구리병원")*파견수련계획!$W$4:$W$83))+IF($AG183="구리병원",MAX(0,DAY(EOMONTH(요약!$B$3,0))-N($X183)),0))</f>
        <v/>
      </c>
      <c r="AJ183" s="10">
        <f>IF(OR($B183="",TRIM($J183&amp;"")=""),"",IFERROR(MATCH(TRIM($J183&amp;"")&amp;"|월",파견수련계획!$Z$4:$Z$83,0),""))</f>
        <v/>
      </c>
      <c r="AK183" s="10">
        <f>IF(OR($B183="",TRIM($J183&amp;"")=""),"",IFERROR(MATCH(TRIM($J183&amp;"")&amp;"|다기관",파견수련계획!$AE$4:$AE$83,0),""))</f>
        <v/>
      </c>
      <c r="AL183" s="10">
        <f>IF($AK183="","","다기관 "&amp;TEXT(INDEX(파견수련계획!$AB$4:$AB$83,$AK183),"yyyy-mm-dd")&amp;"~"&amp;IF(ISNUMBER(INDEX(파견수련계획!$AC$4:$AC$83,$AK183)),TEXT(INDEX(파견수련계획!$AC$4:$AC$83,$AK183),"yyyy-mm-dd"),""))</f>
        <v/>
      </c>
    </row>
    <row r="184">
      <c r="A184" s="10">
        <f>IF(B184="","",ROW()-1)</f>
        <v/>
      </c>
      <c r="B184" s="18" t="n"/>
      <c r="C184" s="10">
        <f>IF($AB184="","",IF(INDEX(기본자료!$C$2:$C$1001,$AB184)="","",INDEX(기본자료!$C$2:$C$1001,$AB184)))</f>
        <v/>
      </c>
      <c r="D184" s="10">
        <f>IF($AB184="","",IF(INDEX(기본자료!$J$2:$J$1001,$AB184)="","",INDEX(기본자료!$J$2:$J$1001,$AB184)))</f>
        <v/>
      </c>
      <c r="E184" s="11">
        <f>IF($AB184="","",IF(INDEX(기본자료!$K$2:$K$1001,$AB184)="","",IF(NOT(ISNUMBER(INDEX(기본자료!$K$2:$K$1001,$AB184))),INDEX(기본자료!$K$2:$K$1001,$AB184),IF(INDEX(기본자료!$K$2:$K$1001,$AB184)&lt;1000000,INDEX(기본자료!$K$2:$K$1001,$AB184),IF(AND(INDEX(기본자료!$K$2:$K$1001,$AB184)&gt;=10000101,INT(MOD(INDEX(기본자료!$K$2:$K$1001,$AB184),10000)/100)&gt;=1,INT(MOD(INDEX(기본자료!$K$2:$K$1001,$AB184),10000)/100)&lt;=12,MOD(INDEX(기본자료!$K$2:$K$1001,$AB184),100)&gt;=1,MOD(INDEX(기본자료!$K$2:$K$1001,$AB184),100)&lt;=31),DATE(INT(INDEX(기본자료!$K$2:$K$1001,$AB184)/10000),INT(MOD(INDEX(기본자료!$K$2:$K$1001,$AB184),10000)/100),MOD(INDEX(기본자료!$K$2:$K$1001,$AB184),100)),INDEX(기본자료!$K$2:$K$1001,$AB184)&amp;"")))))</f>
        <v/>
      </c>
      <c r="F184" s="10">
        <f>IF($AB184="","",IF(INDEX(기본자료!$D$2:$D$1001,$AB184)="","",INDEX(기본자료!$D$2:$D$1001,$AB184)))</f>
        <v/>
      </c>
      <c r="G184" s="10">
        <f>IF($AB184="","",IF(INDEX(기본자료!$E$2:$E$1001,$AB184)="","",INDEX(기본자료!$E$2:$E$1001,$AB184)))</f>
        <v/>
      </c>
      <c r="H184" s="10">
        <f>IF($AB184="","",IF(INDEX(기본자료!$F$2:$F$1001,$AB184)="","",INDEX(기본자료!$F$2:$F$1001,$AB184)))</f>
        <v/>
      </c>
      <c r="I184" s="11">
        <f>IF($AB184="","",IF(INDEX(기본자료!$G$2:$G$1001,$AB184)="","",IF(NOT(ISNUMBER(INDEX(기본자료!$G$2:$G$1001,$AB184))),INDEX(기본자료!$G$2:$G$1001,$AB184),IF(INDEX(기본자료!$G$2:$G$1001,$AB184)&lt;1000000,INDEX(기본자료!$G$2:$G$1001,$AB184),IF(AND(INDEX(기본자료!$G$2:$G$1001,$AB184)&gt;=10000101,INT(MOD(INDEX(기본자료!$G$2:$G$1001,$AB184),10000)/100)&gt;=1,INT(MOD(INDEX(기본자료!$G$2:$G$1001,$AB184),10000)/100)&lt;=12,MOD(INDEX(기본자료!$G$2:$G$1001,$AB184),100)&gt;=1,MOD(INDEX(기본자료!$G$2:$G$1001,$AB184),100)&lt;=31),DATE(INT(INDEX(기본자료!$G$2:$G$1001,$AB184)/10000),INT(MOD(INDEX(기본자료!$G$2:$G$1001,$AB184),10000)/100),MOD(INDEX(기본자료!$G$2:$G$1001,$AB184),100)),INDEX(기본자료!$G$2:$G$1001,$AB184)&amp;"")))))</f>
        <v/>
      </c>
      <c r="J184" s="10">
        <f>IF($AB184="","",IF(INDEX(기본자료!$H$2:$H$1001,$AB184)="","",INDEX(기본자료!$H$2:$H$1001,$AB184)))</f>
        <v/>
      </c>
      <c r="K184" s="10">
        <f>IF($AB184="","",IF(INDEX(기본자료!$I$2:$I$1001,$AB184)="","",INDEX(기본자료!$I$2:$I$1001,$AB184)))</f>
        <v/>
      </c>
      <c r="L184" s="10">
        <f>IF($AB184="","",IF(INDEX(기본자료!$A$2:$A$1001,$AB184)="","",INDEX(기본자료!$A$2:$A$1001,$AB184)))</f>
        <v/>
      </c>
      <c r="M184" s="15" t="n"/>
      <c r="N184" s="10">
        <f>IF($B184="","",IF(AND($U184="파견중",$Q184&lt;&gt;""),$Q184,IF(AND($AD184&lt;&gt;"",LEFT($AD184,1)&lt;&gt;"⚠"),LEFT($AD184,FIND(" ",$AD184)-1),IF($H184="","",IF(RIGHT($H184,2)="병원",$H184,$H184&amp;"병원")))))</f>
        <v/>
      </c>
      <c r="O184" s="10">
        <f>IF($B184="","",IF(AND($U184="파견중",$Q184&lt;&gt;""),IF($R184&lt;&gt;"",$R184,"파견과 미입력"),IF(AND($AD184&lt;&gt;"",LEFT($AD184,1)&lt;&gt;"⚠"),MID($AD184,FIND(" ",$AD184)+1,60),IF($F184="","",IF($F184="인턴","수련교육부(인턴)",$F184)))))</f>
        <v/>
      </c>
      <c r="P184" s="10">
        <f>IF($B184="","",IF($AK184&lt;&gt;"",IF(AND(TODAY()&gt;=INDEX(파견수련계획!$AB$4:$AB$83,$AK184),OR(NOT(ISNUMBER(INDEX(파견수련계획!$AC$4:$AC$83,$AK184))),TODAY()&lt;=INDEX(파견수련계획!$AC$4:$AC$83,$AK184))),"다기관",IF($AF184="","",INDEX(파견수련계획!$T$4:$T$83,$AF184))),IF($AF184="","",INDEX(파견수련계획!$T$4:$T$83,$AF184))))</f>
        <v/>
      </c>
      <c r="Q184" s="10">
        <f>IF($AF184="","",INDEX(파견수련계획!$S$4:$S$83,$AF184))</f>
        <v/>
      </c>
      <c r="R184" s="10">
        <f>IF($AF184="","",INDEX(파견수련계획!$U$4:$U$83,$AF184))</f>
        <v/>
      </c>
      <c r="S184" s="11">
        <f>IF($AF184="","",IF(INDEX(파견수련계획!$H$4:$H$83,$AF184)="","",INDEX(파견수련계획!$H$4:$H$83,$AF184)))</f>
        <v/>
      </c>
      <c r="T184" s="11">
        <f>IF($AF184="","",IF(INDEX(파견수련계획!$I$4:$I$83,$AF184)="","",INDEX(파견수련계획!$I$4:$I$83,$AF184)))</f>
        <v/>
      </c>
      <c r="U184" s="10">
        <f>IF($AF184="","",INDEX(파견수련계획!$X$4:$X$83,$AF184))</f>
        <v/>
      </c>
      <c r="V184" s="17">
        <f>IF($AF184="","",INDEX(파견수련계획!$V$4:$V$83,$AF184))</f>
        <v/>
      </c>
      <c r="W184" s="17">
        <f>IF(AND($U184="파견중",$T184&lt;&gt;""),$T184-TODAY(),"")</f>
        <v/>
      </c>
      <c r="X184" s="17">
        <f>IF(OR($B184="",TRIM($J184&amp;"")=""),"",SUMPRODUCT((파견수련계획!$Q$4:$Q$83=TRIM($J184&amp;""))*파견수련계획!$W$4:$W$83))</f>
        <v/>
      </c>
      <c r="Y184" s="10">
        <f>IF($B184="","",IF($AG184="","",IF(IF(TRIM($J184&amp;"")="",0,SUMPRODUCT((파견수련계획!$Q$4:$Q$83=TRIM($J184&amp;""))*파견수련계획!$AD$4:$AD$83))&gt;0,$AE184,IF(N($X184)&lt;=0,$AG184,IF($AH184+$AI184=DAY(EOMONTH(요약!$B$3,0)),IF(AND($AH184&gt;=요약!$E$3,$AI184&lt;요약!$E$3),"서울병원",IF(AND($AI184&gt;=요약!$E$3,$AH184&lt;요약!$E$3),"구리병원","⚠15일 판정불가(서울 "&amp;$AH184&amp;"일/구리 "&amp;$AI184&amp;"일)")),IF($AJ184="",$AE184,IF(INDEX(파견수련계획!$T$4:$T$83,$AJ184)="통합수련",INDEX(파견수련계획!$S$4:$S$83,$AJ184),$AE184)))))))</f>
        <v/>
      </c>
      <c r="Z184" s="19">
        <f>IF($B184="","",IF($AB184="","기본자료에 없는 사번",IF(COUNTIF($B$2:$B$401,$B184)&gt;1,"중복 사번",IF($AE184="","소속(입사장소) 입력",IF(IF(TRIM($J184&amp;"")="",0,SUMPRODUCT((파견수련계획!$Q$4:$Q$83=TRIM($J184&amp;""))*(파견수련계획!$AA$4:$AA$83&lt;&gt;"")))&gt;0,"파견수련계획 입력오류 확인",IF(LEFT($Y184,1)="⚠","서울·구리 15일 판정 불가(양쪽 모두 이상/미만)",IF(IF($AC184="",0,N(INDEX(인턴근무계획!$T$3:$T$62,$AC184)))&gt;0,"인턴계획 입력오류 확인",IF(AND($AC184&lt;&gt;"",$U184&lt;&gt;"파견중",$N184&lt;&gt;$AE184),"인턴 타지역 근무: 파견 여부 확인","정상"))))))))</f>
        <v/>
      </c>
      <c r="AA184" s="5" t="n"/>
      <c r="AB184" s="10">
        <f>IF($B184="","",IFERROR(MATCH($B184,기본자료!$B$2:$B$1001,0),IFERROR(MATCH($B184&amp;"",기본자료!$B$2:$B$1001,0),IFERROR(MATCH(VALUE($B184),기본자료!$B$2:$B$1001,0),""))))</f>
        <v/>
      </c>
      <c r="AC184" s="10">
        <f>IF($B184="","",IFERROR(MATCH($B184,인턴근무계획!$D$3:$D$62,0),IFERROR(MATCH($B184&amp;"",인턴근무계획!$D$3:$D$62,0),IFERROR(MATCH(VALUE($B184),인턴근무계획!$D$3:$D$62,0),""))))</f>
        <v/>
      </c>
      <c r="AD184" s="10">
        <f>IF(OR($AC184="",인턴현황!$G$3=""),"",INDEX(인턴근무계획!$M$3:$R$62,$AC184,인턴현황!$G$3)&amp;"")</f>
        <v/>
      </c>
      <c r="AE184" s="10">
        <f>IF($B184="","",IF($M184&lt;&gt;"",$M184,IF($AF184&lt;&gt;"",IF(LEFT(INDEX(파견수련계획!$R$4:$R$83,$AF184),1)&lt;&gt;"⚠",INDEX(파견수련계획!$R$4:$R$83,$AF184),IF($H184="","",IF(RIGHT($H184,2)="병원",$H184,$H184&amp;"병원"))),IF($H184="","",IF(RIGHT($H184,2)="병원",$H184,$H184&amp;"병원")))))</f>
        <v/>
      </c>
      <c r="AF184" s="10">
        <f>IF(OR($B184="",TRIM($J184&amp;"")=""),"",IFERROR(MATCH(TRIM($J184&amp;"")&amp;"|파견중",파견수련계획!$Y$4:$Y$83,0),IFERROR(MATCH(TRIM($J184&amp;"")&amp;"|파견예정",파견수련계획!$Y$4:$Y$83,0),IFERROR(MATCH(TRIM($J184&amp;"")&amp;"|파견종료",파견수련계획!$Y$4:$Y$83,0),""))))</f>
        <v/>
      </c>
      <c r="AG184" s="10">
        <f>IF($B184="","",IF(AND(IF(OR($AC184="",인턴현황!$K$2=""),"",INDEX(인턴근무계획!$M$3:$R$62,$AC184,인턴현황!$K$2)&amp;"")&lt;&gt;"",LEFT(IF(OR($AC184="",인턴현황!$K$2=""),"",INDEX(인턴근무계획!$M$3:$R$62,$AC184,인턴현황!$K$2)&amp;""),1)&lt;&gt;"⚠"),LEFT(IF(OR($AC184="",인턴현황!$K$2=""),"",INDEX(인턴근무계획!$M$3:$R$62,$AC184,인턴현황!$K$2)&amp;""),FIND(" ",IF(OR($AC184="",인턴현황!$K$2=""),"",INDEX(인턴근무계획!$M$3:$R$62,$AC184,인턴현황!$K$2)&amp;""))-1),$AE184))</f>
        <v/>
      </c>
      <c r="AH184" s="17">
        <f>IF($B184="","",IF(TRIM($J184&amp;"")="",0,SUMPRODUCT((파견수련계획!$Q$4:$Q$83=TRIM($J184&amp;""))*(파견수련계획!$S$4:$S$83="서울병원")*파견수련계획!$W$4:$W$83))+IF($AG184="서울병원",MAX(0,DAY(EOMONTH(요약!$B$3,0))-N($X184)),0))</f>
        <v/>
      </c>
      <c r="AI184" s="17">
        <f>IF($B184="","",IF(TRIM($J184&amp;"")="",0,SUMPRODUCT((파견수련계획!$Q$4:$Q$83=TRIM($J184&amp;""))*(파견수련계획!$S$4:$S$83="구리병원")*파견수련계획!$W$4:$W$83))+IF($AG184="구리병원",MAX(0,DAY(EOMONTH(요약!$B$3,0))-N($X184)),0))</f>
        <v/>
      </c>
      <c r="AJ184" s="10">
        <f>IF(OR($B184="",TRIM($J184&amp;"")=""),"",IFERROR(MATCH(TRIM($J184&amp;"")&amp;"|월",파견수련계획!$Z$4:$Z$83,0),""))</f>
        <v/>
      </c>
      <c r="AK184" s="10">
        <f>IF(OR($B184="",TRIM($J184&amp;"")=""),"",IFERROR(MATCH(TRIM($J184&amp;"")&amp;"|다기관",파견수련계획!$AE$4:$AE$83,0),""))</f>
        <v/>
      </c>
      <c r="AL184" s="10">
        <f>IF($AK184="","","다기관 "&amp;TEXT(INDEX(파견수련계획!$AB$4:$AB$83,$AK184),"yyyy-mm-dd")&amp;"~"&amp;IF(ISNUMBER(INDEX(파견수련계획!$AC$4:$AC$83,$AK184)),TEXT(INDEX(파견수련계획!$AC$4:$AC$83,$AK184),"yyyy-mm-dd"),""))</f>
        <v/>
      </c>
    </row>
    <row r="185">
      <c r="A185" s="10">
        <f>IF(B185="","",ROW()-1)</f>
        <v/>
      </c>
      <c r="B185" s="18" t="n"/>
      <c r="C185" s="10">
        <f>IF($AB185="","",IF(INDEX(기본자료!$C$2:$C$1001,$AB185)="","",INDEX(기본자료!$C$2:$C$1001,$AB185)))</f>
        <v/>
      </c>
      <c r="D185" s="10">
        <f>IF($AB185="","",IF(INDEX(기본자료!$J$2:$J$1001,$AB185)="","",INDEX(기본자료!$J$2:$J$1001,$AB185)))</f>
        <v/>
      </c>
      <c r="E185" s="11">
        <f>IF($AB185="","",IF(INDEX(기본자료!$K$2:$K$1001,$AB185)="","",IF(NOT(ISNUMBER(INDEX(기본자료!$K$2:$K$1001,$AB185))),INDEX(기본자료!$K$2:$K$1001,$AB185),IF(INDEX(기본자료!$K$2:$K$1001,$AB185)&lt;1000000,INDEX(기본자료!$K$2:$K$1001,$AB185),IF(AND(INDEX(기본자료!$K$2:$K$1001,$AB185)&gt;=10000101,INT(MOD(INDEX(기본자료!$K$2:$K$1001,$AB185),10000)/100)&gt;=1,INT(MOD(INDEX(기본자료!$K$2:$K$1001,$AB185),10000)/100)&lt;=12,MOD(INDEX(기본자료!$K$2:$K$1001,$AB185),100)&gt;=1,MOD(INDEX(기본자료!$K$2:$K$1001,$AB185),100)&lt;=31),DATE(INT(INDEX(기본자료!$K$2:$K$1001,$AB185)/10000),INT(MOD(INDEX(기본자료!$K$2:$K$1001,$AB185),10000)/100),MOD(INDEX(기본자료!$K$2:$K$1001,$AB185),100)),INDEX(기본자료!$K$2:$K$1001,$AB185)&amp;"")))))</f>
        <v/>
      </c>
      <c r="F185" s="10">
        <f>IF($AB185="","",IF(INDEX(기본자료!$D$2:$D$1001,$AB185)="","",INDEX(기본자료!$D$2:$D$1001,$AB185)))</f>
        <v/>
      </c>
      <c r="G185" s="10">
        <f>IF($AB185="","",IF(INDEX(기본자료!$E$2:$E$1001,$AB185)="","",INDEX(기본자료!$E$2:$E$1001,$AB185)))</f>
        <v/>
      </c>
      <c r="H185" s="10">
        <f>IF($AB185="","",IF(INDEX(기본자료!$F$2:$F$1001,$AB185)="","",INDEX(기본자료!$F$2:$F$1001,$AB185)))</f>
        <v/>
      </c>
      <c r="I185" s="11">
        <f>IF($AB185="","",IF(INDEX(기본자료!$G$2:$G$1001,$AB185)="","",IF(NOT(ISNUMBER(INDEX(기본자료!$G$2:$G$1001,$AB185))),INDEX(기본자료!$G$2:$G$1001,$AB185),IF(INDEX(기본자료!$G$2:$G$1001,$AB185)&lt;1000000,INDEX(기본자료!$G$2:$G$1001,$AB185),IF(AND(INDEX(기본자료!$G$2:$G$1001,$AB185)&gt;=10000101,INT(MOD(INDEX(기본자료!$G$2:$G$1001,$AB185),10000)/100)&gt;=1,INT(MOD(INDEX(기본자료!$G$2:$G$1001,$AB185),10000)/100)&lt;=12,MOD(INDEX(기본자료!$G$2:$G$1001,$AB185),100)&gt;=1,MOD(INDEX(기본자료!$G$2:$G$1001,$AB185),100)&lt;=31),DATE(INT(INDEX(기본자료!$G$2:$G$1001,$AB185)/10000),INT(MOD(INDEX(기본자료!$G$2:$G$1001,$AB185),10000)/100),MOD(INDEX(기본자료!$G$2:$G$1001,$AB185),100)),INDEX(기본자료!$G$2:$G$1001,$AB185)&amp;"")))))</f>
        <v/>
      </c>
      <c r="J185" s="10">
        <f>IF($AB185="","",IF(INDEX(기본자료!$H$2:$H$1001,$AB185)="","",INDEX(기본자료!$H$2:$H$1001,$AB185)))</f>
        <v/>
      </c>
      <c r="K185" s="10">
        <f>IF($AB185="","",IF(INDEX(기본자료!$I$2:$I$1001,$AB185)="","",INDEX(기본자료!$I$2:$I$1001,$AB185)))</f>
        <v/>
      </c>
      <c r="L185" s="10">
        <f>IF($AB185="","",IF(INDEX(기본자료!$A$2:$A$1001,$AB185)="","",INDEX(기본자료!$A$2:$A$1001,$AB185)))</f>
        <v/>
      </c>
      <c r="M185" s="15" t="n"/>
      <c r="N185" s="10">
        <f>IF($B185="","",IF(AND($U185="파견중",$Q185&lt;&gt;""),$Q185,IF(AND($AD185&lt;&gt;"",LEFT($AD185,1)&lt;&gt;"⚠"),LEFT($AD185,FIND(" ",$AD185)-1),IF($H185="","",IF(RIGHT($H185,2)="병원",$H185,$H185&amp;"병원")))))</f>
        <v/>
      </c>
      <c r="O185" s="10">
        <f>IF($B185="","",IF(AND($U185="파견중",$Q185&lt;&gt;""),IF($R185&lt;&gt;"",$R185,"파견과 미입력"),IF(AND($AD185&lt;&gt;"",LEFT($AD185,1)&lt;&gt;"⚠"),MID($AD185,FIND(" ",$AD185)+1,60),IF($F185="","",IF($F185="인턴","수련교육부(인턴)",$F185)))))</f>
        <v/>
      </c>
      <c r="P185" s="10">
        <f>IF($B185="","",IF($AK185&lt;&gt;"",IF(AND(TODAY()&gt;=INDEX(파견수련계획!$AB$4:$AB$83,$AK185),OR(NOT(ISNUMBER(INDEX(파견수련계획!$AC$4:$AC$83,$AK185))),TODAY()&lt;=INDEX(파견수련계획!$AC$4:$AC$83,$AK185))),"다기관",IF($AF185="","",INDEX(파견수련계획!$T$4:$T$83,$AF185))),IF($AF185="","",INDEX(파견수련계획!$T$4:$T$83,$AF185))))</f>
        <v/>
      </c>
      <c r="Q185" s="10">
        <f>IF($AF185="","",INDEX(파견수련계획!$S$4:$S$83,$AF185))</f>
        <v/>
      </c>
      <c r="R185" s="10">
        <f>IF($AF185="","",INDEX(파견수련계획!$U$4:$U$83,$AF185))</f>
        <v/>
      </c>
      <c r="S185" s="11">
        <f>IF($AF185="","",IF(INDEX(파견수련계획!$H$4:$H$83,$AF185)="","",INDEX(파견수련계획!$H$4:$H$83,$AF185)))</f>
        <v/>
      </c>
      <c r="T185" s="11">
        <f>IF($AF185="","",IF(INDEX(파견수련계획!$I$4:$I$83,$AF185)="","",INDEX(파견수련계획!$I$4:$I$83,$AF185)))</f>
        <v/>
      </c>
      <c r="U185" s="10">
        <f>IF($AF185="","",INDEX(파견수련계획!$X$4:$X$83,$AF185))</f>
        <v/>
      </c>
      <c r="V185" s="17">
        <f>IF($AF185="","",INDEX(파견수련계획!$V$4:$V$83,$AF185))</f>
        <v/>
      </c>
      <c r="W185" s="17">
        <f>IF(AND($U185="파견중",$T185&lt;&gt;""),$T185-TODAY(),"")</f>
        <v/>
      </c>
      <c r="X185" s="17">
        <f>IF(OR($B185="",TRIM($J185&amp;"")=""),"",SUMPRODUCT((파견수련계획!$Q$4:$Q$83=TRIM($J185&amp;""))*파견수련계획!$W$4:$W$83))</f>
        <v/>
      </c>
      <c r="Y185" s="10">
        <f>IF($B185="","",IF($AG185="","",IF(IF(TRIM($J185&amp;"")="",0,SUMPRODUCT((파견수련계획!$Q$4:$Q$83=TRIM($J185&amp;""))*파견수련계획!$AD$4:$AD$83))&gt;0,$AE185,IF(N($X185)&lt;=0,$AG185,IF($AH185+$AI185=DAY(EOMONTH(요약!$B$3,0)),IF(AND($AH185&gt;=요약!$E$3,$AI185&lt;요약!$E$3),"서울병원",IF(AND($AI185&gt;=요약!$E$3,$AH185&lt;요약!$E$3),"구리병원","⚠15일 판정불가(서울 "&amp;$AH185&amp;"일/구리 "&amp;$AI185&amp;"일)")),IF($AJ185="",$AE185,IF(INDEX(파견수련계획!$T$4:$T$83,$AJ185)="통합수련",INDEX(파견수련계획!$S$4:$S$83,$AJ185),$AE185)))))))</f>
        <v/>
      </c>
      <c r="Z185" s="19">
        <f>IF($B185="","",IF($AB185="","기본자료에 없는 사번",IF(COUNTIF($B$2:$B$401,$B185)&gt;1,"중복 사번",IF($AE185="","소속(입사장소) 입력",IF(IF(TRIM($J185&amp;"")="",0,SUMPRODUCT((파견수련계획!$Q$4:$Q$83=TRIM($J185&amp;""))*(파견수련계획!$AA$4:$AA$83&lt;&gt;"")))&gt;0,"파견수련계획 입력오류 확인",IF(LEFT($Y185,1)="⚠","서울·구리 15일 판정 불가(양쪽 모두 이상/미만)",IF(IF($AC185="",0,N(INDEX(인턴근무계획!$T$3:$T$62,$AC185)))&gt;0,"인턴계획 입력오류 확인",IF(AND($AC185&lt;&gt;"",$U185&lt;&gt;"파견중",$N185&lt;&gt;$AE185),"인턴 타지역 근무: 파견 여부 확인","정상"))))))))</f>
        <v/>
      </c>
      <c r="AA185" s="5" t="n"/>
      <c r="AB185" s="10">
        <f>IF($B185="","",IFERROR(MATCH($B185,기본자료!$B$2:$B$1001,0),IFERROR(MATCH($B185&amp;"",기본자료!$B$2:$B$1001,0),IFERROR(MATCH(VALUE($B185),기본자료!$B$2:$B$1001,0),""))))</f>
        <v/>
      </c>
      <c r="AC185" s="10">
        <f>IF($B185="","",IFERROR(MATCH($B185,인턴근무계획!$D$3:$D$62,0),IFERROR(MATCH($B185&amp;"",인턴근무계획!$D$3:$D$62,0),IFERROR(MATCH(VALUE($B185),인턴근무계획!$D$3:$D$62,0),""))))</f>
        <v/>
      </c>
      <c r="AD185" s="10">
        <f>IF(OR($AC185="",인턴현황!$G$3=""),"",INDEX(인턴근무계획!$M$3:$R$62,$AC185,인턴현황!$G$3)&amp;"")</f>
        <v/>
      </c>
      <c r="AE185" s="10">
        <f>IF($B185="","",IF($M185&lt;&gt;"",$M185,IF($AF185&lt;&gt;"",IF(LEFT(INDEX(파견수련계획!$R$4:$R$83,$AF185),1)&lt;&gt;"⚠",INDEX(파견수련계획!$R$4:$R$83,$AF185),IF($H185="","",IF(RIGHT($H185,2)="병원",$H185,$H185&amp;"병원"))),IF($H185="","",IF(RIGHT($H185,2)="병원",$H185,$H185&amp;"병원")))))</f>
        <v/>
      </c>
      <c r="AF185" s="10">
        <f>IF(OR($B185="",TRIM($J185&amp;"")=""),"",IFERROR(MATCH(TRIM($J185&amp;"")&amp;"|파견중",파견수련계획!$Y$4:$Y$83,0),IFERROR(MATCH(TRIM($J185&amp;"")&amp;"|파견예정",파견수련계획!$Y$4:$Y$83,0),IFERROR(MATCH(TRIM($J185&amp;"")&amp;"|파견종료",파견수련계획!$Y$4:$Y$83,0),""))))</f>
        <v/>
      </c>
      <c r="AG185" s="10">
        <f>IF($B185="","",IF(AND(IF(OR($AC185="",인턴현황!$K$2=""),"",INDEX(인턴근무계획!$M$3:$R$62,$AC185,인턴현황!$K$2)&amp;"")&lt;&gt;"",LEFT(IF(OR($AC185="",인턴현황!$K$2=""),"",INDEX(인턴근무계획!$M$3:$R$62,$AC185,인턴현황!$K$2)&amp;""),1)&lt;&gt;"⚠"),LEFT(IF(OR($AC185="",인턴현황!$K$2=""),"",INDEX(인턴근무계획!$M$3:$R$62,$AC185,인턴현황!$K$2)&amp;""),FIND(" ",IF(OR($AC185="",인턴현황!$K$2=""),"",INDEX(인턴근무계획!$M$3:$R$62,$AC185,인턴현황!$K$2)&amp;""))-1),$AE185))</f>
        <v/>
      </c>
      <c r="AH185" s="17">
        <f>IF($B185="","",IF(TRIM($J185&amp;"")="",0,SUMPRODUCT((파견수련계획!$Q$4:$Q$83=TRIM($J185&amp;""))*(파견수련계획!$S$4:$S$83="서울병원")*파견수련계획!$W$4:$W$83))+IF($AG185="서울병원",MAX(0,DAY(EOMONTH(요약!$B$3,0))-N($X185)),0))</f>
        <v/>
      </c>
      <c r="AI185" s="17">
        <f>IF($B185="","",IF(TRIM($J185&amp;"")="",0,SUMPRODUCT((파견수련계획!$Q$4:$Q$83=TRIM($J185&amp;""))*(파견수련계획!$S$4:$S$83="구리병원")*파견수련계획!$W$4:$W$83))+IF($AG185="구리병원",MAX(0,DAY(EOMONTH(요약!$B$3,0))-N($X185)),0))</f>
        <v/>
      </c>
      <c r="AJ185" s="10">
        <f>IF(OR($B185="",TRIM($J185&amp;"")=""),"",IFERROR(MATCH(TRIM($J185&amp;"")&amp;"|월",파견수련계획!$Z$4:$Z$83,0),""))</f>
        <v/>
      </c>
      <c r="AK185" s="10">
        <f>IF(OR($B185="",TRIM($J185&amp;"")=""),"",IFERROR(MATCH(TRIM($J185&amp;"")&amp;"|다기관",파견수련계획!$AE$4:$AE$83,0),""))</f>
        <v/>
      </c>
      <c r="AL185" s="10">
        <f>IF($AK185="","","다기관 "&amp;TEXT(INDEX(파견수련계획!$AB$4:$AB$83,$AK185),"yyyy-mm-dd")&amp;"~"&amp;IF(ISNUMBER(INDEX(파견수련계획!$AC$4:$AC$83,$AK185)),TEXT(INDEX(파견수련계획!$AC$4:$AC$83,$AK185),"yyyy-mm-dd"),""))</f>
        <v/>
      </c>
    </row>
    <row r="186">
      <c r="A186" s="10">
        <f>IF(B186="","",ROW()-1)</f>
        <v/>
      </c>
      <c r="B186" s="18" t="n"/>
      <c r="C186" s="10">
        <f>IF($AB186="","",IF(INDEX(기본자료!$C$2:$C$1001,$AB186)="","",INDEX(기본자료!$C$2:$C$1001,$AB186)))</f>
        <v/>
      </c>
      <c r="D186" s="10">
        <f>IF($AB186="","",IF(INDEX(기본자료!$J$2:$J$1001,$AB186)="","",INDEX(기본자료!$J$2:$J$1001,$AB186)))</f>
        <v/>
      </c>
      <c r="E186" s="11">
        <f>IF($AB186="","",IF(INDEX(기본자료!$K$2:$K$1001,$AB186)="","",IF(NOT(ISNUMBER(INDEX(기본자료!$K$2:$K$1001,$AB186))),INDEX(기본자료!$K$2:$K$1001,$AB186),IF(INDEX(기본자료!$K$2:$K$1001,$AB186)&lt;1000000,INDEX(기본자료!$K$2:$K$1001,$AB186),IF(AND(INDEX(기본자료!$K$2:$K$1001,$AB186)&gt;=10000101,INT(MOD(INDEX(기본자료!$K$2:$K$1001,$AB186),10000)/100)&gt;=1,INT(MOD(INDEX(기본자료!$K$2:$K$1001,$AB186),10000)/100)&lt;=12,MOD(INDEX(기본자료!$K$2:$K$1001,$AB186),100)&gt;=1,MOD(INDEX(기본자료!$K$2:$K$1001,$AB186),100)&lt;=31),DATE(INT(INDEX(기본자료!$K$2:$K$1001,$AB186)/10000),INT(MOD(INDEX(기본자료!$K$2:$K$1001,$AB186),10000)/100),MOD(INDEX(기본자료!$K$2:$K$1001,$AB186),100)),INDEX(기본자료!$K$2:$K$1001,$AB186)&amp;"")))))</f>
        <v/>
      </c>
      <c r="F186" s="10">
        <f>IF($AB186="","",IF(INDEX(기본자료!$D$2:$D$1001,$AB186)="","",INDEX(기본자료!$D$2:$D$1001,$AB186)))</f>
        <v/>
      </c>
      <c r="G186" s="10">
        <f>IF($AB186="","",IF(INDEX(기본자료!$E$2:$E$1001,$AB186)="","",INDEX(기본자료!$E$2:$E$1001,$AB186)))</f>
        <v/>
      </c>
      <c r="H186" s="10">
        <f>IF($AB186="","",IF(INDEX(기본자료!$F$2:$F$1001,$AB186)="","",INDEX(기본자료!$F$2:$F$1001,$AB186)))</f>
        <v/>
      </c>
      <c r="I186" s="11">
        <f>IF($AB186="","",IF(INDEX(기본자료!$G$2:$G$1001,$AB186)="","",IF(NOT(ISNUMBER(INDEX(기본자료!$G$2:$G$1001,$AB186))),INDEX(기본자료!$G$2:$G$1001,$AB186),IF(INDEX(기본자료!$G$2:$G$1001,$AB186)&lt;1000000,INDEX(기본자료!$G$2:$G$1001,$AB186),IF(AND(INDEX(기본자료!$G$2:$G$1001,$AB186)&gt;=10000101,INT(MOD(INDEX(기본자료!$G$2:$G$1001,$AB186),10000)/100)&gt;=1,INT(MOD(INDEX(기본자료!$G$2:$G$1001,$AB186),10000)/100)&lt;=12,MOD(INDEX(기본자료!$G$2:$G$1001,$AB186),100)&gt;=1,MOD(INDEX(기본자료!$G$2:$G$1001,$AB186),100)&lt;=31),DATE(INT(INDEX(기본자료!$G$2:$G$1001,$AB186)/10000),INT(MOD(INDEX(기본자료!$G$2:$G$1001,$AB186),10000)/100),MOD(INDEX(기본자료!$G$2:$G$1001,$AB186),100)),INDEX(기본자료!$G$2:$G$1001,$AB186)&amp;"")))))</f>
        <v/>
      </c>
      <c r="J186" s="10">
        <f>IF($AB186="","",IF(INDEX(기본자료!$H$2:$H$1001,$AB186)="","",INDEX(기본자료!$H$2:$H$1001,$AB186)))</f>
        <v/>
      </c>
      <c r="K186" s="10">
        <f>IF($AB186="","",IF(INDEX(기본자료!$I$2:$I$1001,$AB186)="","",INDEX(기본자료!$I$2:$I$1001,$AB186)))</f>
        <v/>
      </c>
      <c r="L186" s="10">
        <f>IF($AB186="","",IF(INDEX(기본자료!$A$2:$A$1001,$AB186)="","",INDEX(기본자료!$A$2:$A$1001,$AB186)))</f>
        <v/>
      </c>
      <c r="M186" s="15" t="n"/>
      <c r="N186" s="10">
        <f>IF($B186="","",IF(AND($U186="파견중",$Q186&lt;&gt;""),$Q186,IF(AND($AD186&lt;&gt;"",LEFT($AD186,1)&lt;&gt;"⚠"),LEFT($AD186,FIND(" ",$AD186)-1),IF($H186="","",IF(RIGHT($H186,2)="병원",$H186,$H186&amp;"병원")))))</f>
        <v/>
      </c>
      <c r="O186" s="10">
        <f>IF($B186="","",IF(AND($U186="파견중",$Q186&lt;&gt;""),IF($R186&lt;&gt;"",$R186,"파견과 미입력"),IF(AND($AD186&lt;&gt;"",LEFT($AD186,1)&lt;&gt;"⚠"),MID($AD186,FIND(" ",$AD186)+1,60),IF($F186="","",IF($F186="인턴","수련교육부(인턴)",$F186)))))</f>
        <v/>
      </c>
      <c r="P186" s="10">
        <f>IF($B186="","",IF($AK186&lt;&gt;"",IF(AND(TODAY()&gt;=INDEX(파견수련계획!$AB$4:$AB$83,$AK186),OR(NOT(ISNUMBER(INDEX(파견수련계획!$AC$4:$AC$83,$AK186))),TODAY()&lt;=INDEX(파견수련계획!$AC$4:$AC$83,$AK186))),"다기관",IF($AF186="","",INDEX(파견수련계획!$T$4:$T$83,$AF186))),IF($AF186="","",INDEX(파견수련계획!$T$4:$T$83,$AF186))))</f>
        <v/>
      </c>
      <c r="Q186" s="10">
        <f>IF($AF186="","",INDEX(파견수련계획!$S$4:$S$83,$AF186))</f>
        <v/>
      </c>
      <c r="R186" s="10">
        <f>IF($AF186="","",INDEX(파견수련계획!$U$4:$U$83,$AF186))</f>
        <v/>
      </c>
      <c r="S186" s="11">
        <f>IF($AF186="","",IF(INDEX(파견수련계획!$H$4:$H$83,$AF186)="","",INDEX(파견수련계획!$H$4:$H$83,$AF186)))</f>
        <v/>
      </c>
      <c r="T186" s="11">
        <f>IF($AF186="","",IF(INDEX(파견수련계획!$I$4:$I$83,$AF186)="","",INDEX(파견수련계획!$I$4:$I$83,$AF186)))</f>
        <v/>
      </c>
      <c r="U186" s="10">
        <f>IF($AF186="","",INDEX(파견수련계획!$X$4:$X$83,$AF186))</f>
        <v/>
      </c>
      <c r="V186" s="17">
        <f>IF($AF186="","",INDEX(파견수련계획!$V$4:$V$83,$AF186))</f>
        <v/>
      </c>
      <c r="W186" s="17">
        <f>IF(AND($U186="파견중",$T186&lt;&gt;""),$T186-TODAY(),"")</f>
        <v/>
      </c>
      <c r="X186" s="17">
        <f>IF(OR($B186="",TRIM($J186&amp;"")=""),"",SUMPRODUCT((파견수련계획!$Q$4:$Q$83=TRIM($J186&amp;""))*파견수련계획!$W$4:$W$83))</f>
        <v/>
      </c>
      <c r="Y186" s="10">
        <f>IF($B186="","",IF($AG186="","",IF(IF(TRIM($J186&amp;"")="",0,SUMPRODUCT((파견수련계획!$Q$4:$Q$83=TRIM($J186&amp;""))*파견수련계획!$AD$4:$AD$83))&gt;0,$AE186,IF(N($X186)&lt;=0,$AG186,IF($AH186+$AI186=DAY(EOMONTH(요약!$B$3,0)),IF(AND($AH186&gt;=요약!$E$3,$AI186&lt;요약!$E$3),"서울병원",IF(AND($AI186&gt;=요약!$E$3,$AH186&lt;요약!$E$3),"구리병원","⚠15일 판정불가(서울 "&amp;$AH186&amp;"일/구리 "&amp;$AI186&amp;"일)")),IF($AJ186="",$AE186,IF(INDEX(파견수련계획!$T$4:$T$83,$AJ186)="통합수련",INDEX(파견수련계획!$S$4:$S$83,$AJ186),$AE186)))))))</f>
        <v/>
      </c>
      <c r="Z186" s="19">
        <f>IF($B186="","",IF($AB186="","기본자료에 없는 사번",IF(COUNTIF($B$2:$B$401,$B186)&gt;1,"중복 사번",IF($AE186="","소속(입사장소) 입력",IF(IF(TRIM($J186&amp;"")="",0,SUMPRODUCT((파견수련계획!$Q$4:$Q$83=TRIM($J186&amp;""))*(파견수련계획!$AA$4:$AA$83&lt;&gt;"")))&gt;0,"파견수련계획 입력오류 확인",IF(LEFT($Y186,1)="⚠","서울·구리 15일 판정 불가(양쪽 모두 이상/미만)",IF(IF($AC186="",0,N(INDEX(인턴근무계획!$T$3:$T$62,$AC186)))&gt;0,"인턴계획 입력오류 확인",IF(AND($AC186&lt;&gt;"",$U186&lt;&gt;"파견중",$N186&lt;&gt;$AE186),"인턴 타지역 근무: 파견 여부 확인","정상"))))))))</f>
        <v/>
      </c>
      <c r="AA186" s="5" t="n"/>
      <c r="AB186" s="10">
        <f>IF($B186="","",IFERROR(MATCH($B186,기본자료!$B$2:$B$1001,0),IFERROR(MATCH($B186&amp;"",기본자료!$B$2:$B$1001,0),IFERROR(MATCH(VALUE($B186),기본자료!$B$2:$B$1001,0),""))))</f>
        <v/>
      </c>
      <c r="AC186" s="10">
        <f>IF($B186="","",IFERROR(MATCH($B186,인턴근무계획!$D$3:$D$62,0),IFERROR(MATCH($B186&amp;"",인턴근무계획!$D$3:$D$62,0),IFERROR(MATCH(VALUE($B186),인턴근무계획!$D$3:$D$62,0),""))))</f>
        <v/>
      </c>
      <c r="AD186" s="10">
        <f>IF(OR($AC186="",인턴현황!$G$3=""),"",INDEX(인턴근무계획!$M$3:$R$62,$AC186,인턴현황!$G$3)&amp;"")</f>
        <v/>
      </c>
      <c r="AE186" s="10">
        <f>IF($B186="","",IF($M186&lt;&gt;"",$M186,IF($AF186&lt;&gt;"",IF(LEFT(INDEX(파견수련계획!$R$4:$R$83,$AF186),1)&lt;&gt;"⚠",INDEX(파견수련계획!$R$4:$R$83,$AF186),IF($H186="","",IF(RIGHT($H186,2)="병원",$H186,$H186&amp;"병원"))),IF($H186="","",IF(RIGHT($H186,2)="병원",$H186,$H186&amp;"병원")))))</f>
        <v/>
      </c>
      <c r="AF186" s="10">
        <f>IF(OR($B186="",TRIM($J186&amp;"")=""),"",IFERROR(MATCH(TRIM($J186&amp;"")&amp;"|파견중",파견수련계획!$Y$4:$Y$83,0),IFERROR(MATCH(TRIM($J186&amp;"")&amp;"|파견예정",파견수련계획!$Y$4:$Y$83,0),IFERROR(MATCH(TRIM($J186&amp;"")&amp;"|파견종료",파견수련계획!$Y$4:$Y$83,0),""))))</f>
        <v/>
      </c>
      <c r="AG186" s="10">
        <f>IF($B186="","",IF(AND(IF(OR($AC186="",인턴현황!$K$2=""),"",INDEX(인턴근무계획!$M$3:$R$62,$AC186,인턴현황!$K$2)&amp;"")&lt;&gt;"",LEFT(IF(OR($AC186="",인턴현황!$K$2=""),"",INDEX(인턴근무계획!$M$3:$R$62,$AC186,인턴현황!$K$2)&amp;""),1)&lt;&gt;"⚠"),LEFT(IF(OR($AC186="",인턴현황!$K$2=""),"",INDEX(인턴근무계획!$M$3:$R$62,$AC186,인턴현황!$K$2)&amp;""),FIND(" ",IF(OR($AC186="",인턴현황!$K$2=""),"",INDEX(인턴근무계획!$M$3:$R$62,$AC186,인턴현황!$K$2)&amp;""))-1),$AE186))</f>
        <v/>
      </c>
      <c r="AH186" s="17">
        <f>IF($B186="","",IF(TRIM($J186&amp;"")="",0,SUMPRODUCT((파견수련계획!$Q$4:$Q$83=TRIM($J186&amp;""))*(파견수련계획!$S$4:$S$83="서울병원")*파견수련계획!$W$4:$W$83))+IF($AG186="서울병원",MAX(0,DAY(EOMONTH(요약!$B$3,0))-N($X186)),0))</f>
        <v/>
      </c>
      <c r="AI186" s="17">
        <f>IF($B186="","",IF(TRIM($J186&amp;"")="",0,SUMPRODUCT((파견수련계획!$Q$4:$Q$83=TRIM($J186&amp;""))*(파견수련계획!$S$4:$S$83="구리병원")*파견수련계획!$W$4:$W$83))+IF($AG186="구리병원",MAX(0,DAY(EOMONTH(요약!$B$3,0))-N($X186)),0))</f>
        <v/>
      </c>
      <c r="AJ186" s="10">
        <f>IF(OR($B186="",TRIM($J186&amp;"")=""),"",IFERROR(MATCH(TRIM($J186&amp;"")&amp;"|월",파견수련계획!$Z$4:$Z$83,0),""))</f>
        <v/>
      </c>
      <c r="AK186" s="10">
        <f>IF(OR($B186="",TRIM($J186&amp;"")=""),"",IFERROR(MATCH(TRIM($J186&amp;"")&amp;"|다기관",파견수련계획!$AE$4:$AE$83,0),""))</f>
        <v/>
      </c>
      <c r="AL186" s="10">
        <f>IF($AK186="","","다기관 "&amp;TEXT(INDEX(파견수련계획!$AB$4:$AB$83,$AK186),"yyyy-mm-dd")&amp;"~"&amp;IF(ISNUMBER(INDEX(파견수련계획!$AC$4:$AC$83,$AK186)),TEXT(INDEX(파견수련계획!$AC$4:$AC$83,$AK186),"yyyy-mm-dd"),""))</f>
        <v/>
      </c>
    </row>
    <row r="187">
      <c r="A187" s="10">
        <f>IF(B187="","",ROW()-1)</f>
        <v/>
      </c>
      <c r="B187" s="18" t="n"/>
      <c r="C187" s="10">
        <f>IF($AB187="","",IF(INDEX(기본자료!$C$2:$C$1001,$AB187)="","",INDEX(기본자료!$C$2:$C$1001,$AB187)))</f>
        <v/>
      </c>
      <c r="D187" s="10">
        <f>IF($AB187="","",IF(INDEX(기본자료!$J$2:$J$1001,$AB187)="","",INDEX(기본자료!$J$2:$J$1001,$AB187)))</f>
        <v/>
      </c>
      <c r="E187" s="11">
        <f>IF($AB187="","",IF(INDEX(기본자료!$K$2:$K$1001,$AB187)="","",IF(NOT(ISNUMBER(INDEX(기본자료!$K$2:$K$1001,$AB187))),INDEX(기본자료!$K$2:$K$1001,$AB187),IF(INDEX(기본자료!$K$2:$K$1001,$AB187)&lt;1000000,INDEX(기본자료!$K$2:$K$1001,$AB187),IF(AND(INDEX(기본자료!$K$2:$K$1001,$AB187)&gt;=10000101,INT(MOD(INDEX(기본자료!$K$2:$K$1001,$AB187),10000)/100)&gt;=1,INT(MOD(INDEX(기본자료!$K$2:$K$1001,$AB187),10000)/100)&lt;=12,MOD(INDEX(기본자료!$K$2:$K$1001,$AB187),100)&gt;=1,MOD(INDEX(기본자료!$K$2:$K$1001,$AB187),100)&lt;=31),DATE(INT(INDEX(기본자료!$K$2:$K$1001,$AB187)/10000),INT(MOD(INDEX(기본자료!$K$2:$K$1001,$AB187),10000)/100),MOD(INDEX(기본자료!$K$2:$K$1001,$AB187),100)),INDEX(기본자료!$K$2:$K$1001,$AB187)&amp;"")))))</f>
        <v/>
      </c>
      <c r="F187" s="10">
        <f>IF($AB187="","",IF(INDEX(기본자료!$D$2:$D$1001,$AB187)="","",INDEX(기본자료!$D$2:$D$1001,$AB187)))</f>
        <v/>
      </c>
      <c r="G187" s="10">
        <f>IF($AB187="","",IF(INDEX(기본자료!$E$2:$E$1001,$AB187)="","",INDEX(기본자료!$E$2:$E$1001,$AB187)))</f>
        <v/>
      </c>
      <c r="H187" s="10">
        <f>IF($AB187="","",IF(INDEX(기본자료!$F$2:$F$1001,$AB187)="","",INDEX(기본자료!$F$2:$F$1001,$AB187)))</f>
        <v/>
      </c>
      <c r="I187" s="11">
        <f>IF($AB187="","",IF(INDEX(기본자료!$G$2:$G$1001,$AB187)="","",IF(NOT(ISNUMBER(INDEX(기본자료!$G$2:$G$1001,$AB187))),INDEX(기본자료!$G$2:$G$1001,$AB187),IF(INDEX(기본자료!$G$2:$G$1001,$AB187)&lt;1000000,INDEX(기본자료!$G$2:$G$1001,$AB187),IF(AND(INDEX(기본자료!$G$2:$G$1001,$AB187)&gt;=10000101,INT(MOD(INDEX(기본자료!$G$2:$G$1001,$AB187),10000)/100)&gt;=1,INT(MOD(INDEX(기본자료!$G$2:$G$1001,$AB187),10000)/100)&lt;=12,MOD(INDEX(기본자료!$G$2:$G$1001,$AB187),100)&gt;=1,MOD(INDEX(기본자료!$G$2:$G$1001,$AB187),100)&lt;=31),DATE(INT(INDEX(기본자료!$G$2:$G$1001,$AB187)/10000),INT(MOD(INDEX(기본자료!$G$2:$G$1001,$AB187),10000)/100),MOD(INDEX(기본자료!$G$2:$G$1001,$AB187),100)),INDEX(기본자료!$G$2:$G$1001,$AB187)&amp;"")))))</f>
        <v/>
      </c>
      <c r="J187" s="10">
        <f>IF($AB187="","",IF(INDEX(기본자료!$H$2:$H$1001,$AB187)="","",INDEX(기본자료!$H$2:$H$1001,$AB187)))</f>
        <v/>
      </c>
      <c r="K187" s="10">
        <f>IF($AB187="","",IF(INDEX(기본자료!$I$2:$I$1001,$AB187)="","",INDEX(기본자료!$I$2:$I$1001,$AB187)))</f>
        <v/>
      </c>
      <c r="L187" s="10">
        <f>IF($AB187="","",IF(INDEX(기본자료!$A$2:$A$1001,$AB187)="","",INDEX(기본자료!$A$2:$A$1001,$AB187)))</f>
        <v/>
      </c>
      <c r="M187" s="15" t="n"/>
      <c r="N187" s="10">
        <f>IF($B187="","",IF(AND($U187="파견중",$Q187&lt;&gt;""),$Q187,IF(AND($AD187&lt;&gt;"",LEFT($AD187,1)&lt;&gt;"⚠"),LEFT($AD187,FIND(" ",$AD187)-1),IF($H187="","",IF(RIGHT($H187,2)="병원",$H187,$H187&amp;"병원")))))</f>
        <v/>
      </c>
      <c r="O187" s="10">
        <f>IF($B187="","",IF(AND($U187="파견중",$Q187&lt;&gt;""),IF($R187&lt;&gt;"",$R187,"파견과 미입력"),IF(AND($AD187&lt;&gt;"",LEFT($AD187,1)&lt;&gt;"⚠"),MID($AD187,FIND(" ",$AD187)+1,60),IF($F187="","",IF($F187="인턴","수련교육부(인턴)",$F187)))))</f>
        <v/>
      </c>
      <c r="P187" s="10">
        <f>IF($B187="","",IF($AK187&lt;&gt;"",IF(AND(TODAY()&gt;=INDEX(파견수련계획!$AB$4:$AB$83,$AK187),OR(NOT(ISNUMBER(INDEX(파견수련계획!$AC$4:$AC$83,$AK187))),TODAY()&lt;=INDEX(파견수련계획!$AC$4:$AC$83,$AK187))),"다기관",IF($AF187="","",INDEX(파견수련계획!$T$4:$T$83,$AF187))),IF($AF187="","",INDEX(파견수련계획!$T$4:$T$83,$AF187))))</f>
        <v/>
      </c>
      <c r="Q187" s="10">
        <f>IF($AF187="","",INDEX(파견수련계획!$S$4:$S$83,$AF187))</f>
        <v/>
      </c>
      <c r="R187" s="10">
        <f>IF($AF187="","",INDEX(파견수련계획!$U$4:$U$83,$AF187))</f>
        <v/>
      </c>
      <c r="S187" s="11">
        <f>IF($AF187="","",IF(INDEX(파견수련계획!$H$4:$H$83,$AF187)="","",INDEX(파견수련계획!$H$4:$H$83,$AF187)))</f>
        <v/>
      </c>
      <c r="T187" s="11">
        <f>IF($AF187="","",IF(INDEX(파견수련계획!$I$4:$I$83,$AF187)="","",INDEX(파견수련계획!$I$4:$I$83,$AF187)))</f>
        <v/>
      </c>
      <c r="U187" s="10">
        <f>IF($AF187="","",INDEX(파견수련계획!$X$4:$X$83,$AF187))</f>
        <v/>
      </c>
      <c r="V187" s="17">
        <f>IF($AF187="","",INDEX(파견수련계획!$V$4:$V$83,$AF187))</f>
        <v/>
      </c>
      <c r="W187" s="17">
        <f>IF(AND($U187="파견중",$T187&lt;&gt;""),$T187-TODAY(),"")</f>
        <v/>
      </c>
      <c r="X187" s="17">
        <f>IF(OR($B187="",TRIM($J187&amp;"")=""),"",SUMPRODUCT((파견수련계획!$Q$4:$Q$83=TRIM($J187&amp;""))*파견수련계획!$W$4:$W$83))</f>
        <v/>
      </c>
      <c r="Y187" s="10">
        <f>IF($B187="","",IF($AG187="","",IF(IF(TRIM($J187&amp;"")="",0,SUMPRODUCT((파견수련계획!$Q$4:$Q$83=TRIM($J187&amp;""))*파견수련계획!$AD$4:$AD$83))&gt;0,$AE187,IF(N($X187)&lt;=0,$AG187,IF($AH187+$AI187=DAY(EOMONTH(요약!$B$3,0)),IF(AND($AH187&gt;=요약!$E$3,$AI187&lt;요약!$E$3),"서울병원",IF(AND($AI187&gt;=요약!$E$3,$AH187&lt;요약!$E$3),"구리병원","⚠15일 판정불가(서울 "&amp;$AH187&amp;"일/구리 "&amp;$AI187&amp;"일)")),IF($AJ187="",$AE187,IF(INDEX(파견수련계획!$T$4:$T$83,$AJ187)="통합수련",INDEX(파견수련계획!$S$4:$S$83,$AJ187),$AE187)))))))</f>
        <v/>
      </c>
      <c r="Z187" s="19">
        <f>IF($B187="","",IF($AB187="","기본자료에 없는 사번",IF(COUNTIF($B$2:$B$401,$B187)&gt;1,"중복 사번",IF($AE187="","소속(입사장소) 입력",IF(IF(TRIM($J187&amp;"")="",0,SUMPRODUCT((파견수련계획!$Q$4:$Q$83=TRIM($J187&amp;""))*(파견수련계획!$AA$4:$AA$83&lt;&gt;"")))&gt;0,"파견수련계획 입력오류 확인",IF(LEFT($Y187,1)="⚠","서울·구리 15일 판정 불가(양쪽 모두 이상/미만)",IF(IF($AC187="",0,N(INDEX(인턴근무계획!$T$3:$T$62,$AC187)))&gt;0,"인턴계획 입력오류 확인",IF(AND($AC187&lt;&gt;"",$U187&lt;&gt;"파견중",$N187&lt;&gt;$AE187),"인턴 타지역 근무: 파견 여부 확인","정상"))))))))</f>
        <v/>
      </c>
      <c r="AA187" s="5" t="n"/>
      <c r="AB187" s="10">
        <f>IF($B187="","",IFERROR(MATCH($B187,기본자료!$B$2:$B$1001,0),IFERROR(MATCH($B187&amp;"",기본자료!$B$2:$B$1001,0),IFERROR(MATCH(VALUE($B187),기본자료!$B$2:$B$1001,0),""))))</f>
        <v/>
      </c>
      <c r="AC187" s="10">
        <f>IF($B187="","",IFERROR(MATCH($B187,인턴근무계획!$D$3:$D$62,0),IFERROR(MATCH($B187&amp;"",인턴근무계획!$D$3:$D$62,0),IFERROR(MATCH(VALUE($B187),인턴근무계획!$D$3:$D$62,0),""))))</f>
        <v/>
      </c>
      <c r="AD187" s="10">
        <f>IF(OR($AC187="",인턴현황!$G$3=""),"",INDEX(인턴근무계획!$M$3:$R$62,$AC187,인턴현황!$G$3)&amp;"")</f>
        <v/>
      </c>
      <c r="AE187" s="10">
        <f>IF($B187="","",IF($M187&lt;&gt;"",$M187,IF($AF187&lt;&gt;"",IF(LEFT(INDEX(파견수련계획!$R$4:$R$83,$AF187),1)&lt;&gt;"⚠",INDEX(파견수련계획!$R$4:$R$83,$AF187),IF($H187="","",IF(RIGHT($H187,2)="병원",$H187,$H187&amp;"병원"))),IF($H187="","",IF(RIGHT($H187,2)="병원",$H187,$H187&amp;"병원")))))</f>
        <v/>
      </c>
      <c r="AF187" s="10">
        <f>IF(OR($B187="",TRIM($J187&amp;"")=""),"",IFERROR(MATCH(TRIM($J187&amp;"")&amp;"|파견중",파견수련계획!$Y$4:$Y$83,0),IFERROR(MATCH(TRIM($J187&amp;"")&amp;"|파견예정",파견수련계획!$Y$4:$Y$83,0),IFERROR(MATCH(TRIM($J187&amp;"")&amp;"|파견종료",파견수련계획!$Y$4:$Y$83,0),""))))</f>
        <v/>
      </c>
      <c r="AG187" s="10">
        <f>IF($B187="","",IF(AND(IF(OR($AC187="",인턴현황!$K$2=""),"",INDEX(인턴근무계획!$M$3:$R$62,$AC187,인턴현황!$K$2)&amp;"")&lt;&gt;"",LEFT(IF(OR($AC187="",인턴현황!$K$2=""),"",INDEX(인턴근무계획!$M$3:$R$62,$AC187,인턴현황!$K$2)&amp;""),1)&lt;&gt;"⚠"),LEFT(IF(OR($AC187="",인턴현황!$K$2=""),"",INDEX(인턴근무계획!$M$3:$R$62,$AC187,인턴현황!$K$2)&amp;""),FIND(" ",IF(OR($AC187="",인턴현황!$K$2=""),"",INDEX(인턴근무계획!$M$3:$R$62,$AC187,인턴현황!$K$2)&amp;""))-1),$AE187))</f>
        <v/>
      </c>
      <c r="AH187" s="17">
        <f>IF($B187="","",IF(TRIM($J187&amp;"")="",0,SUMPRODUCT((파견수련계획!$Q$4:$Q$83=TRIM($J187&amp;""))*(파견수련계획!$S$4:$S$83="서울병원")*파견수련계획!$W$4:$W$83))+IF($AG187="서울병원",MAX(0,DAY(EOMONTH(요약!$B$3,0))-N($X187)),0))</f>
        <v/>
      </c>
      <c r="AI187" s="17">
        <f>IF($B187="","",IF(TRIM($J187&amp;"")="",0,SUMPRODUCT((파견수련계획!$Q$4:$Q$83=TRIM($J187&amp;""))*(파견수련계획!$S$4:$S$83="구리병원")*파견수련계획!$W$4:$W$83))+IF($AG187="구리병원",MAX(0,DAY(EOMONTH(요약!$B$3,0))-N($X187)),0))</f>
        <v/>
      </c>
      <c r="AJ187" s="10">
        <f>IF(OR($B187="",TRIM($J187&amp;"")=""),"",IFERROR(MATCH(TRIM($J187&amp;"")&amp;"|월",파견수련계획!$Z$4:$Z$83,0),""))</f>
        <v/>
      </c>
      <c r="AK187" s="10">
        <f>IF(OR($B187="",TRIM($J187&amp;"")=""),"",IFERROR(MATCH(TRIM($J187&amp;"")&amp;"|다기관",파견수련계획!$AE$4:$AE$83,0),""))</f>
        <v/>
      </c>
      <c r="AL187" s="10">
        <f>IF($AK187="","","다기관 "&amp;TEXT(INDEX(파견수련계획!$AB$4:$AB$83,$AK187),"yyyy-mm-dd")&amp;"~"&amp;IF(ISNUMBER(INDEX(파견수련계획!$AC$4:$AC$83,$AK187)),TEXT(INDEX(파견수련계획!$AC$4:$AC$83,$AK187),"yyyy-mm-dd"),""))</f>
        <v/>
      </c>
    </row>
    <row r="188">
      <c r="A188" s="10">
        <f>IF(B188="","",ROW()-1)</f>
        <v/>
      </c>
      <c r="B188" s="18" t="n"/>
      <c r="C188" s="10">
        <f>IF($AB188="","",IF(INDEX(기본자료!$C$2:$C$1001,$AB188)="","",INDEX(기본자료!$C$2:$C$1001,$AB188)))</f>
        <v/>
      </c>
      <c r="D188" s="10">
        <f>IF($AB188="","",IF(INDEX(기본자료!$J$2:$J$1001,$AB188)="","",INDEX(기본자료!$J$2:$J$1001,$AB188)))</f>
        <v/>
      </c>
      <c r="E188" s="11">
        <f>IF($AB188="","",IF(INDEX(기본자료!$K$2:$K$1001,$AB188)="","",IF(NOT(ISNUMBER(INDEX(기본자료!$K$2:$K$1001,$AB188))),INDEX(기본자료!$K$2:$K$1001,$AB188),IF(INDEX(기본자료!$K$2:$K$1001,$AB188)&lt;1000000,INDEX(기본자료!$K$2:$K$1001,$AB188),IF(AND(INDEX(기본자료!$K$2:$K$1001,$AB188)&gt;=10000101,INT(MOD(INDEX(기본자료!$K$2:$K$1001,$AB188),10000)/100)&gt;=1,INT(MOD(INDEX(기본자료!$K$2:$K$1001,$AB188),10000)/100)&lt;=12,MOD(INDEX(기본자료!$K$2:$K$1001,$AB188),100)&gt;=1,MOD(INDEX(기본자료!$K$2:$K$1001,$AB188),100)&lt;=31),DATE(INT(INDEX(기본자료!$K$2:$K$1001,$AB188)/10000),INT(MOD(INDEX(기본자료!$K$2:$K$1001,$AB188),10000)/100),MOD(INDEX(기본자료!$K$2:$K$1001,$AB188),100)),INDEX(기본자료!$K$2:$K$1001,$AB188)&amp;"")))))</f>
        <v/>
      </c>
      <c r="F188" s="10">
        <f>IF($AB188="","",IF(INDEX(기본자료!$D$2:$D$1001,$AB188)="","",INDEX(기본자료!$D$2:$D$1001,$AB188)))</f>
        <v/>
      </c>
      <c r="G188" s="10">
        <f>IF($AB188="","",IF(INDEX(기본자료!$E$2:$E$1001,$AB188)="","",INDEX(기본자료!$E$2:$E$1001,$AB188)))</f>
        <v/>
      </c>
      <c r="H188" s="10">
        <f>IF($AB188="","",IF(INDEX(기본자료!$F$2:$F$1001,$AB188)="","",INDEX(기본자료!$F$2:$F$1001,$AB188)))</f>
        <v/>
      </c>
      <c r="I188" s="11">
        <f>IF($AB188="","",IF(INDEX(기본자료!$G$2:$G$1001,$AB188)="","",IF(NOT(ISNUMBER(INDEX(기본자료!$G$2:$G$1001,$AB188))),INDEX(기본자료!$G$2:$G$1001,$AB188),IF(INDEX(기본자료!$G$2:$G$1001,$AB188)&lt;1000000,INDEX(기본자료!$G$2:$G$1001,$AB188),IF(AND(INDEX(기본자료!$G$2:$G$1001,$AB188)&gt;=10000101,INT(MOD(INDEX(기본자료!$G$2:$G$1001,$AB188),10000)/100)&gt;=1,INT(MOD(INDEX(기본자료!$G$2:$G$1001,$AB188),10000)/100)&lt;=12,MOD(INDEX(기본자료!$G$2:$G$1001,$AB188),100)&gt;=1,MOD(INDEX(기본자료!$G$2:$G$1001,$AB188),100)&lt;=31),DATE(INT(INDEX(기본자료!$G$2:$G$1001,$AB188)/10000),INT(MOD(INDEX(기본자료!$G$2:$G$1001,$AB188),10000)/100),MOD(INDEX(기본자료!$G$2:$G$1001,$AB188),100)),INDEX(기본자료!$G$2:$G$1001,$AB188)&amp;"")))))</f>
        <v/>
      </c>
      <c r="J188" s="10">
        <f>IF($AB188="","",IF(INDEX(기본자료!$H$2:$H$1001,$AB188)="","",INDEX(기본자료!$H$2:$H$1001,$AB188)))</f>
        <v/>
      </c>
      <c r="K188" s="10">
        <f>IF($AB188="","",IF(INDEX(기본자료!$I$2:$I$1001,$AB188)="","",INDEX(기본자료!$I$2:$I$1001,$AB188)))</f>
        <v/>
      </c>
      <c r="L188" s="10">
        <f>IF($AB188="","",IF(INDEX(기본자료!$A$2:$A$1001,$AB188)="","",INDEX(기본자료!$A$2:$A$1001,$AB188)))</f>
        <v/>
      </c>
      <c r="M188" s="15" t="n"/>
      <c r="N188" s="10">
        <f>IF($B188="","",IF(AND($U188="파견중",$Q188&lt;&gt;""),$Q188,IF(AND($AD188&lt;&gt;"",LEFT($AD188,1)&lt;&gt;"⚠"),LEFT($AD188,FIND(" ",$AD188)-1),IF($H188="","",IF(RIGHT($H188,2)="병원",$H188,$H188&amp;"병원")))))</f>
        <v/>
      </c>
      <c r="O188" s="10">
        <f>IF($B188="","",IF(AND($U188="파견중",$Q188&lt;&gt;""),IF($R188&lt;&gt;"",$R188,"파견과 미입력"),IF(AND($AD188&lt;&gt;"",LEFT($AD188,1)&lt;&gt;"⚠"),MID($AD188,FIND(" ",$AD188)+1,60),IF($F188="","",IF($F188="인턴","수련교육부(인턴)",$F188)))))</f>
        <v/>
      </c>
      <c r="P188" s="10">
        <f>IF($B188="","",IF($AK188&lt;&gt;"",IF(AND(TODAY()&gt;=INDEX(파견수련계획!$AB$4:$AB$83,$AK188),OR(NOT(ISNUMBER(INDEX(파견수련계획!$AC$4:$AC$83,$AK188))),TODAY()&lt;=INDEX(파견수련계획!$AC$4:$AC$83,$AK188))),"다기관",IF($AF188="","",INDEX(파견수련계획!$T$4:$T$83,$AF188))),IF($AF188="","",INDEX(파견수련계획!$T$4:$T$83,$AF188))))</f>
        <v/>
      </c>
      <c r="Q188" s="10">
        <f>IF($AF188="","",INDEX(파견수련계획!$S$4:$S$83,$AF188))</f>
        <v/>
      </c>
      <c r="R188" s="10">
        <f>IF($AF188="","",INDEX(파견수련계획!$U$4:$U$83,$AF188))</f>
        <v/>
      </c>
      <c r="S188" s="11">
        <f>IF($AF188="","",IF(INDEX(파견수련계획!$H$4:$H$83,$AF188)="","",INDEX(파견수련계획!$H$4:$H$83,$AF188)))</f>
        <v/>
      </c>
      <c r="T188" s="11">
        <f>IF($AF188="","",IF(INDEX(파견수련계획!$I$4:$I$83,$AF188)="","",INDEX(파견수련계획!$I$4:$I$83,$AF188)))</f>
        <v/>
      </c>
      <c r="U188" s="10">
        <f>IF($AF188="","",INDEX(파견수련계획!$X$4:$X$83,$AF188))</f>
        <v/>
      </c>
      <c r="V188" s="17">
        <f>IF($AF188="","",INDEX(파견수련계획!$V$4:$V$83,$AF188))</f>
        <v/>
      </c>
      <c r="W188" s="17">
        <f>IF(AND($U188="파견중",$T188&lt;&gt;""),$T188-TODAY(),"")</f>
        <v/>
      </c>
      <c r="X188" s="17">
        <f>IF(OR($B188="",TRIM($J188&amp;"")=""),"",SUMPRODUCT((파견수련계획!$Q$4:$Q$83=TRIM($J188&amp;""))*파견수련계획!$W$4:$W$83))</f>
        <v/>
      </c>
      <c r="Y188" s="10">
        <f>IF($B188="","",IF($AG188="","",IF(IF(TRIM($J188&amp;"")="",0,SUMPRODUCT((파견수련계획!$Q$4:$Q$83=TRIM($J188&amp;""))*파견수련계획!$AD$4:$AD$83))&gt;0,$AE188,IF(N($X188)&lt;=0,$AG188,IF($AH188+$AI188=DAY(EOMONTH(요약!$B$3,0)),IF(AND($AH188&gt;=요약!$E$3,$AI188&lt;요약!$E$3),"서울병원",IF(AND($AI188&gt;=요약!$E$3,$AH188&lt;요약!$E$3),"구리병원","⚠15일 판정불가(서울 "&amp;$AH188&amp;"일/구리 "&amp;$AI188&amp;"일)")),IF($AJ188="",$AE188,IF(INDEX(파견수련계획!$T$4:$T$83,$AJ188)="통합수련",INDEX(파견수련계획!$S$4:$S$83,$AJ188),$AE188)))))))</f>
        <v/>
      </c>
      <c r="Z188" s="19">
        <f>IF($B188="","",IF($AB188="","기본자료에 없는 사번",IF(COUNTIF($B$2:$B$401,$B188)&gt;1,"중복 사번",IF($AE188="","소속(입사장소) 입력",IF(IF(TRIM($J188&amp;"")="",0,SUMPRODUCT((파견수련계획!$Q$4:$Q$83=TRIM($J188&amp;""))*(파견수련계획!$AA$4:$AA$83&lt;&gt;"")))&gt;0,"파견수련계획 입력오류 확인",IF(LEFT($Y188,1)="⚠","서울·구리 15일 판정 불가(양쪽 모두 이상/미만)",IF(IF($AC188="",0,N(INDEX(인턴근무계획!$T$3:$T$62,$AC188)))&gt;0,"인턴계획 입력오류 확인",IF(AND($AC188&lt;&gt;"",$U188&lt;&gt;"파견중",$N188&lt;&gt;$AE188),"인턴 타지역 근무: 파견 여부 확인","정상"))))))))</f>
        <v/>
      </c>
      <c r="AA188" s="5" t="n"/>
      <c r="AB188" s="10">
        <f>IF($B188="","",IFERROR(MATCH($B188,기본자료!$B$2:$B$1001,0),IFERROR(MATCH($B188&amp;"",기본자료!$B$2:$B$1001,0),IFERROR(MATCH(VALUE($B188),기본자료!$B$2:$B$1001,0),""))))</f>
        <v/>
      </c>
      <c r="AC188" s="10">
        <f>IF($B188="","",IFERROR(MATCH($B188,인턴근무계획!$D$3:$D$62,0),IFERROR(MATCH($B188&amp;"",인턴근무계획!$D$3:$D$62,0),IFERROR(MATCH(VALUE($B188),인턴근무계획!$D$3:$D$62,0),""))))</f>
        <v/>
      </c>
      <c r="AD188" s="10">
        <f>IF(OR($AC188="",인턴현황!$G$3=""),"",INDEX(인턴근무계획!$M$3:$R$62,$AC188,인턴현황!$G$3)&amp;"")</f>
        <v/>
      </c>
      <c r="AE188" s="10">
        <f>IF($B188="","",IF($M188&lt;&gt;"",$M188,IF($AF188&lt;&gt;"",IF(LEFT(INDEX(파견수련계획!$R$4:$R$83,$AF188),1)&lt;&gt;"⚠",INDEX(파견수련계획!$R$4:$R$83,$AF188),IF($H188="","",IF(RIGHT($H188,2)="병원",$H188,$H188&amp;"병원"))),IF($H188="","",IF(RIGHT($H188,2)="병원",$H188,$H188&amp;"병원")))))</f>
        <v/>
      </c>
      <c r="AF188" s="10">
        <f>IF(OR($B188="",TRIM($J188&amp;"")=""),"",IFERROR(MATCH(TRIM($J188&amp;"")&amp;"|파견중",파견수련계획!$Y$4:$Y$83,0),IFERROR(MATCH(TRIM($J188&amp;"")&amp;"|파견예정",파견수련계획!$Y$4:$Y$83,0),IFERROR(MATCH(TRIM($J188&amp;"")&amp;"|파견종료",파견수련계획!$Y$4:$Y$83,0),""))))</f>
        <v/>
      </c>
      <c r="AG188" s="10">
        <f>IF($B188="","",IF(AND(IF(OR($AC188="",인턴현황!$K$2=""),"",INDEX(인턴근무계획!$M$3:$R$62,$AC188,인턴현황!$K$2)&amp;"")&lt;&gt;"",LEFT(IF(OR($AC188="",인턴현황!$K$2=""),"",INDEX(인턴근무계획!$M$3:$R$62,$AC188,인턴현황!$K$2)&amp;""),1)&lt;&gt;"⚠"),LEFT(IF(OR($AC188="",인턴현황!$K$2=""),"",INDEX(인턴근무계획!$M$3:$R$62,$AC188,인턴현황!$K$2)&amp;""),FIND(" ",IF(OR($AC188="",인턴현황!$K$2=""),"",INDEX(인턴근무계획!$M$3:$R$62,$AC188,인턴현황!$K$2)&amp;""))-1),$AE188))</f>
        <v/>
      </c>
      <c r="AH188" s="17">
        <f>IF($B188="","",IF(TRIM($J188&amp;"")="",0,SUMPRODUCT((파견수련계획!$Q$4:$Q$83=TRIM($J188&amp;""))*(파견수련계획!$S$4:$S$83="서울병원")*파견수련계획!$W$4:$W$83))+IF($AG188="서울병원",MAX(0,DAY(EOMONTH(요약!$B$3,0))-N($X188)),0))</f>
        <v/>
      </c>
      <c r="AI188" s="17">
        <f>IF($B188="","",IF(TRIM($J188&amp;"")="",0,SUMPRODUCT((파견수련계획!$Q$4:$Q$83=TRIM($J188&amp;""))*(파견수련계획!$S$4:$S$83="구리병원")*파견수련계획!$W$4:$W$83))+IF($AG188="구리병원",MAX(0,DAY(EOMONTH(요약!$B$3,0))-N($X188)),0))</f>
        <v/>
      </c>
      <c r="AJ188" s="10">
        <f>IF(OR($B188="",TRIM($J188&amp;"")=""),"",IFERROR(MATCH(TRIM($J188&amp;"")&amp;"|월",파견수련계획!$Z$4:$Z$83,0),""))</f>
        <v/>
      </c>
      <c r="AK188" s="10">
        <f>IF(OR($B188="",TRIM($J188&amp;"")=""),"",IFERROR(MATCH(TRIM($J188&amp;"")&amp;"|다기관",파견수련계획!$AE$4:$AE$83,0),""))</f>
        <v/>
      </c>
      <c r="AL188" s="10">
        <f>IF($AK188="","","다기관 "&amp;TEXT(INDEX(파견수련계획!$AB$4:$AB$83,$AK188),"yyyy-mm-dd")&amp;"~"&amp;IF(ISNUMBER(INDEX(파견수련계획!$AC$4:$AC$83,$AK188)),TEXT(INDEX(파견수련계획!$AC$4:$AC$83,$AK188),"yyyy-mm-dd"),""))</f>
        <v/>
      </c>
    </row>
    <row r="189">
      <c r="A189" s="10">
        <f>IF(B189="","",ROW()-1)</f>
        <v/>
      </c>
      <c r="B189" s="18" t="n"/>
      <c r="C189" s="10">
        <f>IF($AB189="","",IF(INDEX(기본자료!$C$2:$C$1001,$AB189)="","",INDEX(기본자료!$C$2:$C$1001,$AB189)))</f>
        <v/>
      </c>
      <c r="D189" s="10">
        <f>IF($AB189="","",IF(INDEX(기본자료!$J$2:$J$1001,$AB189)="","",INDEX(기본자료!$J$2:$J$1001,$AB189)))</f>
        <v/>
      </c>
      <c r="E189" s="11">
        <f>IF($AB189="","",IF(INDEX(기본자료!$K$2:$K$1001,$AB189)="","",IF(NOT(ISNUMBER(INDEX(기본자료!$K$2:$K$1001,$AB189))),INDEX(기본자료!$K$2:$K$1001,$AB189),IF(INDEX(기본자료!$K$2:$K$1001,$AB189)&lt;1000000,INDEX(기본자료!$K$2:$K$1001,$AB189),IF(AND(INDEX(기본자료!$K$2:$K$1001,$AB189)&gt;=10000101,INT(MOD(INDEX(기본자료!$K$2:$K$1001,$AB189),10000)/100)&gt;=1,INT(MOD(INDEX(기본자료!$K$2:$K$1001,$AB189),10000)/100)&lt;=12,MOD(INDEX(기본자료!$K$2:$K$1001,$AB189),100)&gt;=1,MOD(INDEX(기본자료!$K$2:$K$1001,$AB189),100)&lt;=31),DATE(INT(INDEX(기본자료!$K$2:$K$1001,$AB189)/10000),INT(MOD(INDEX(기본자료!$K$2:$K$1001,$AB189),10000)/100),MOD(INDEX(기본자료!$K$2:$K$1001,$AB189),100)),INDEX(기본자료!$K$2:$K$1001,$AB189)&amp;"")))))</f>
        <v/>
      </c>
      <c r="F189" s="10">
        <f>IF($AB189="","",IF(INDEX(기본자료!$D$2:$D$1001,$AB189)="","",INDEX(기본자료!$D$2:$D$1001,$AB189)))</f>
        <v/>
      </c>
      <c r="G189" s="10">
        <f>IF($AB189="","",IF(INDEX(기본자료!$E$2:$E$1001,$AB189)="","",INDEX(기본자료!$E$2:$E$1001,$AB189)))</f>
        <v/>
      </c>
      <c r="H189" s="10">
        <f>IF($AB189="","",IF(INDEX(기본자료!$F$2:$F$1001,$AB189)="","",INDEX(기본자료!$F$2:$F$1001,$AB189)))</f>
        <v/>
      </c>
      <c r="I189" s="11">
        <f>IF($AB189="","",IF(INDEX(기본자료!$G$2:$G$1001,$AB189)="","",IF(NOT(ISNUMBER(INDEX(기본자료!$G$2:$G$1001,$AB189))),INDEX(기본자료!$G$2:$G$1001,$AB189),IF(INDEX(기본자료!$G$2:$G$1001,$AB189)&lt;1000000,INDEX(기본자료!$G$2:$G$1001,$AB189),IF(AND(INDEX(기본자료!$G$2:$G$1001,$AB189)&gt;=10000101,INT(MOD(INDEX(기본자료!$G$2:$G$1001,$AB189),10000)/100)&gt;=1,INT(MOD(INDEX(기본자료!$G$2:$G$1001,$AB189),10000)/100)&lt;=12,MOD(INDEX(기본자료!$G$2:$G$1001,$AB189),100)&gt;=1,MOD(INDEX(기본자료!$G$2:$G$1001,$AB189),100)&lt;=31),DATE(INT(INDEX(기본자료!$G$2:$G$1001,$AB189)/10000),INT(MOD(INDEX(기본자료!$G$2:$G$1001,$AB189),10000)/100),MOD(INDEX(기본자료!$G$2:$G$1001,$AB189),100)),INDEX(기본자료!$G$2:$G$1001,$AB189)&amp;"")))))</f>
        <v/>
      </c>
      <c r="J189" s="10">
        <f>IF($AB189="","",IF(INDEX(기본자료!$H$2:$H$1001,$AB189)="","",INDEX(기본자료!$H$2:$H$1001,$AB189)))</f>
        <v/>
      </c>
      <c r="K189" s="10">
        <f>IF($AB189="","",IF(INDEX(기본자료!$I$2:$I$1001,$AB189)="","",INDEX(기본자료!$I$2:$I$1001,$AB189)))</f>
        <v/>
      </c>
      <c r="L189" s="10">
        <f>IF($AB189="","",IF(INDEX(기본자료!$A$2:$A$1001,$AB189)="","",INDEX(기본자료!$A$2:$A$1001,$AB189)))</f>
        <v/>
      </c>
      <c r="M189" s="15" t="n"/>
      <c r="N189" s="10">
        <f>IF($B189="","",IF(AND($U189="파견중",$Q189&lt;&gt;""),$Q189,IF(AND($AD189&lt;&gt;"",LEFT($AD189,1)&lt;&gt;"⚠"),LEFT($AD189,FIND(" ",$AD189)-1),IF($H189="","",IF(RIGHT($H189,2)="병원",$H189,$H189&amp;"병원")))))</f>
        <v/>
      </c>
      <c r="O189" s="10">
        <f>IF($B189="","",IF(AND($U189="파견중",$Q189&lt;&gt;""),IF($R189&lt;&gt;"",$R189,"파견과 미입력"),IF(AND($AD189&lt;&gt;"",LEFT($AD189,1)&lt;&gt;"⚠"),MID($AD189,FIND(" ",$AD189)+1,60),IF($F189="","",IF($F189="인턴","수련교육부(인턴)",$F189)))))</f>
        <v/>
      </c>
      <c r="P189" s="10">
        <f>IF($B189="","",IF($AK189&lt;&gt;"",IF(AND(TODAY()&gt;=INDEX(파견수련계획!$AB$4:$AB$83,$AK189),OR(NOT(ISNUMBER(INDEX(파견수련계획!$AC$4:$AC$83,$AK189))),TODAY()&lt;=INDEX(파견수련계획!$AC$4:$AC$83,$AK189))),"다기관",IF($AF189="","",INDEX(파견수련계획!$T$4:$T$83,$AF189))),IF($AF189="","",INDEX(파견수련계획!$T$4:$T$83,$AF189))))</f>
        <v/>
      </c>
      <c r="Q189" s="10">
        <f>IF($AF189="","",INDEX(파견수련계획!$S$4:$S$83,$AF189))</f>
        <v/>
      </c>
      <c r="R189" s="10">
        <f>IF($AF189="","",INDEX(파견수련계획!$U$4:$U$83,$AF189))</f>
        <v/>
      </c>
      <c r="S189" s="11">
        <f>IF($AF189="","",IF(INDEX(파견수련계획!$H$4:$H$83,$AF189)="","",INDEX(파견수련계획!$H$4:$H$83,$AF189)))</f>
        <v/>
      </c>
      <c r="T189" s="11">
        <f>IF($AF189="","",IF(INDEX(파견수련계획!$I$4:$I$83,$AF189)="","",INDEX(파견수련계획!$I$4:$I$83,$AF189)))</f>
        <v/>
      </c>
      <c r="U189" s="10">
        <f>IF($AF189="","",INDEX(파견수련계획!$X$4:$X$83,$AF189))</f>
        <v/>
      </c>
      <c r="V189" s="17">
        <f>IF($AF189="","",INDEX(파견수련계획!$V$4:$V$83,$AF189))</f>
        <v/>
      </c>
      <c r="W189" s="17">
        <f>IF(AND($U189="파견중",$T189&lt;&gt;""),$T189-TODAY(),"")</f>
        <v/>
      </c>
      <c r="X189" s="17">
        <f>IF(OR($B189="",TRIM($J189&amp;"")=""),"",SUMPRODUCT((파견수련계획!$Q$4:$Q$83=TRIM($J189&amp;""))*파견수련계획!$W$4:$W$83))</f>
        <v/>
      </c>
      <c r="Y189" s="10">
        <f>IF($B189="","",IF($AG189="","",IF(IF(TRIM($J189&amp;"")="",0,SUMPRODUCT((파견수련계획!$Q$4:$Q$83=TRIM($J189&amp;""))*파견수련계획!$AD$4:$AD$83))&gt;0,$AE189,IF(N($X189)&lt;=0,$AG189,IF($AH189+$AI189=DAY(EOMONTH(요약!$B$3,0)),IF(AND($AH189&gt;=요약!$E$3,$AI189&lt;요약!$E$3),"서울병원",IF(AND($AI189&gt;=요약!$E$3,$AH189&lt;요약!$E$3),"구리병원","⚠15일 판정불가(서울 "&amp;$AH189&amp;"일/구리 "&amp;$AI189&amp;"일)")),IF($AJ189="",$AE189,IF(INDEX(파견수련계획!$T$4:$T$83,$AJ189)="통합수련",INDEX(파견수련계획!$S$4:$S$83,$AJ189),$AE189)))))))</f>
        <v/>
      </c>
      <c r="Z189" s="19">
        <f>IF($B189="","",IF($AB189="","기본자료에 없는 사번",IF(COUNTIF($B$2:$B$401,$B189)&gt;1,"중복 사번",IF($AE189="","소속(입사장소) 입력",IF(IF(TRIM($J189&amp;"")="",0,SUMPRODUCT((파견수련계획!$Q$4:$Q$83=TRIM($J189&amp;""))*(파견수련계획!$AA$4:$AA$83&lt;&gt;"")))&gt;0,"파견수련계획 입력오류 확인",IF(LEFT($Y189,1)="⚠","서울·구리 15일 판정 불가(양쪽 모두 이상/미만)",IF(IF($AC189="",0,N(INDEX(인턴근무계획!$T$3:$T$62,$AC189)))&gt;0,"인턴계획 입력오류 확인",IF(AND($AC189&lt;&gt;"",$U189&lt;&gt;"파견중",$N189&lt;&gt;$AE189),"인턴 타지역 근무: 파견 여부 확인","정상"))))))))</f>
        <v/>
      </c>
      <c r="AA189" s="5" t="n"/>
      <c r="AB189" s="10">
        <f>IF($B189="","",IFERROR(MATCH($B189,기본자료!$B$2:$B$1001,0),IFERROR(MATCH($B189&amp;"",기본자료!$B$2:$B$1001,0),IFERROR(MATCH(VALUE($B189),기본자료!$B$2:$B$1001,0),""))))</f>
        <v/>
      </c>
      <c r="AC189" s="10">
        <f>IF($B189="","",IFERROR(MATCH($B189,인턴근무계획!$D$3:$D$62,0),IFERROR(MATCH($B189&amp;"",인턴근무계획!$D$3:$D$62,0),IFERROR(MATCH(VALUE($B189),인턴근무계획!$D$3:$D$62,0),""))))</f>
        <v/>
      </c>
      <c r="AD189" s="10">
        <f>IF(OR($AC189="",인턴현황!$G$3=""),"",INDEX(인턴근무계획!$M$3:$R$62,$AC189,인턴현황!$G$3)&amp;"")</f>
        <v/>
      </c>
      <c r="AE189" s="10">
        <f>IF($B189="","",IF($M189&lt;&gt;"",$M189,IF($AF189&lt;&gt;"",IF(LEFT(INDEX(파견수련계획!$R$4:$R$83,$AF189),1)&lt;&gt;"⚠",INDEX(파견수련계획!$R$4:$R$83,$AF189),IF($H189="","",IF(RIGHT($H189,2)="병원",$H189,$H189&amp;"병원"))),IF($H189="","",IF(RIGHT($H189,2)="병원",$H189,$H189&amp;"병원")))))</f>
        <v/>
      </c>
      <c r="AF189" s="10">
        <f>IF(OR($B189="",TRIM($J189&amp;"")=""),"",IFERROR(MATCH(TRIM($J189&amp;"")&amp;"|파견중",파견수련계획!$Y$4:$Y$83,0),IFERROR(MATCH(TRIM($J189&amp;"")&amp;"|파견예정",파견수련계획!$Y$4:$Y$83,0),IFERROR(MATCH(TRIM($J189&amp;"")&amp;"|파견종료",파견수련계획!$Y$4:$Y$83,0),""))))</f>
        <v/>
      </c>
      <c r="AG189" s="10">
        <f>IF($B189="","",IF(AND(IF(OR($AC189="",인턴현황!$K$2=""),"",INDEX(인턴근무계획!$M$3:$R$62,$AC189,인턴현황!$K$2)&amp;"")&lt;&gt;"",LEFT(IF(OR($AC189="",인턴현황!$K$2=""),"",INDEX(인턴근무계획!$M$3:$R$62,$AC189,인턴현황!$K$2)&amp;""),1)&lt;&gt;"⚠"),LEFT(IF(OR($AC189="",인턴현황!$K$2=""),"",INDEX(인턴근무계획!$M$3:$R$62,$AC189,인턴현황!$K$2)&amp;""),FIND(" ",IF(OR($AC189="",인턴현황!$K$2=""),"",INDEX(인턴근무계획!$M$3:$R$62,$AC189,인턴현황!$K$2)&amp;""))-1),$AE189))</f>
        <v/>
      </c>
      <c r="AH189" s="17">
        <f>IF($B189="","",IF(TRIM($J189&amp;"")="",0,SUMPRODUCT((파견수련계획!$Q$4:$Q$83=TRIM($J189&amp;""))*(파견수련계획!$S$4:$S$83="서울병원")*파견수련계획!$W$4:$W$83))+IF($AG189="서울병원",MAX(0,DAY(EOMONTH(요약!$B$3,0))-N($X189)),0))</f>
        <v/>
      </c>
      <c r="AI189" s="17">
        <f>IF($B189="","",IF(TRIM($J189&amp;"")="",0,SUMPRODUCT((파견수련계획!$Q$4:$Q$83=TRIM($J189&amp;""))*(파견수련계획!$S$4:$S$83="구리병원")*파견수련계획!$W$4:$W$83))+IF($AG189="구리병원",MAX(0,DAY(EOMONTH(요약!$B$3,0))-N($X189)),0))</f>
        <v/>
      </c>
      <c r="AJ189" s="10">
        <f>IF(OR($B189="",TRIM($J189&amp;"")=""),"",IFERROR(MATCH(TRIM($J189&amp;"")&amp;"|월",파견수련계획!$Z$4:$Z$83,0),""))</f>
        <v/>
      </c>
      <c r="AK189" s="10">
        <f>IF(OR($B189="",TRIM($J189&amp;"")=""),"",IFERROR(MATCH(TRIM($J189&amp;"")&amp;"|다기관",파견수련계획!$AE$4:$AE$83,0),""))</f>
        <v/>
      </c>
      <c r="AL189" s="10">
        <f>IF($AK189="","","다기관 "&amp;TEXT(INDEX(파견수련계획!$AB$4:$AB$83,$AK189),"yyyy-mm-dd")&amp;"~"&amp;IF(ISNUMBER(INDEX(파견수련계획!$AC$4:$AC$83,$AK189)),TEXT(INDEX(파견수련계획!$AC$4:$AC$83,$AK189),"yyyy-mm-dd"),""))</f>
        <v/>
      </c>
    </row>
    <row r="190">
      <c r="A190" s="10">
        <f>IF(B190="","",ROW()-1)</f>
        <v/>
      </c>
      <c r="B190" s="18" t="n"/>
      <c r="C190" s="10">
        <f>IF($AB190="","",IF(INDEX(기본자료!$C$2:$C$1001,$AB190)="","",INDEX(기본자료!$C$2:$C$1001,$AB190)))</f>
        <v/>
      </c>
      <c r="D190" s="10">
        <f>IF($AB190="","",IF(INDEX(기본자료!$J$2:$J$1001,$AB190)="","",INDEX(기본자료!$J$2:$J$1001,$AB190)))</f>
        <v/>
      </c>
      <c r="E190" s="11">
        <f>IF($AB190="","",IF(INDEX(기본자료!$K$2:$K$1001,$AB190)="","",IF(NOT(ISNUMBER(INDEX(기본자료!$K$2:$K$1001,$AB190))),INDEX(기본자료!$K$2:$K$1001,$AB190),IF(INDEX(기본자료!$K$2:$K$1001,$AB190)&lt;1000000,INDEX(기본자료!$K$2:$K$1001,$AB190),IF(AND(INDEX(기본자료!$K$2:$K$1001,$AB190)&gt;=10000101,INT(MOD(INDEX(기본자료!$K$2:$K$1001,$AB190),10000)/100)&gt;=1,INT(MOD(INDEX(기본자료!$K$2:$K$1001,$AB190),10000)/100)&lt;=12,MOD(INDEX(기본자료!$K$2:$K$1001,$AB190),100)&gt;=1,MOD(INDEX(기본자료!$K$2:$K$1001,$AB190),100)&lt;=31),DATE(INT(INDEX(기본자료!$K$2:$K$1001,$AB190)/10000),INT(MOD(INDEX(기본자료!$K$2:$K$1001,$AB190),10000)/100),MOD(INDEX(기본자료!$K$2:$K$1001,$AB190),100)),INDEX(기본자료!$K$2:$K$1001,$AB190)&amp;"")))))</f>
        <v/>
      </c>
      <c r="F190" s="10">
        <f>IF($AB190="","",IF(INDEX(기본자료!$D$2:$D$1001,$AB190)="","",INDEX(기본자료!$D$2:$D$1001,$AB190)))</f>
        <v/>
      </c>
      <c r="G190" s="10">
        <f>IF($AB190="","",IF(INDEX(기본자료!$E$2:$E$1001,$AB190)="","",INDEX(기본자료!$E$2:$E$1001,$AB190)))</f>
        <v/>
      </c>
      <c r="H190" s="10">
        <f>IF($AB190="","",IF(INDEX(기본자료!$F$2:$F$1001,$AB190)="","",INDEX(기본자료!$F$2:$F$1001,$AB190)))</f>
        <v/>
      </c>
      <c r="I190" s="11">
        <f>IF($AB190="","",IF(INDEX(기본자료!$G$2:$G$1001,$AB190)="","",IF(NOT(ISNUMBER(INDEX(기본자료!$G$2:$G$1001,$AB190))),INDEX(기본자료!$G$2:$G$1001,$AB190),IF(INDEX(기본자료!$G$2:$G$1001,$AB190)&lt;1000000,INDEX(기본자료!$G$2:$G$1001,$AB190),IF(AND(INDEX(기본자료!$G$2:$G$1001,$AB190)&gt;=10000101,INT(MOD(INDEX(기본자료!$G$2:$G$1001,$AB190),10000)/100)&gt;=1,INT(MOD(INDEX(기본자료!$G$2:$G$1001,$AB190),10000)/100)&lt;=12,MOD(INDEX(기본자료!$G$2:$G$1001,$AB190),100)&gt;=1,MOD(INDEX(기본자료!$G$2:$G$1001,$AB190),100)&lt;=31),DATE(INT(INDEX(기본자료!$G$2:$G$1001,$AB190)/10000),INT(MOD(INDEX(기본자료!$G$2:$G$1001,$AB190),10000)/100),MOD(INDEX(기본자료!$G$2:$G$1001,$AB190),100)),INDEX(기본자료!$G$2:$G$1001,$AB190)&amp;"")))))</f>
        <v/>
      </c>
      <c r="J190" s="10">
        <f>IF($AB190="","",IF(INDEX(기본자료!$H$2:$H$1001,$AB190)="","",INDEX(기본자료!$H$2:$H$1001,$AB190)))</f>
        <v/>
      </c>
      <c r="K190" s="10">
        <f>IF($AB190="","",IF(INDEX(기본자료!$I$2:$I$1001,$AB190)="","",INDEX(기본자료!$I$2:$I$1001,$AB190)))</f>
        <v/>
      </c>
      <c r="L190" s="10">
        <f>IF($AB190="","",IF(INDEX(기본자료!$A$2:$A$1001,$AB190)="","",INDEX(기본자료!$A$2:$A$1001,$AB190)))</f>
        <v/>
      </c>
      <c r="M190" s="15" t="n"/>
      <c r="N190" s="10">
        <f>IF($B190="","",IF(AND($U190="파견중",$Q190&lt;&gt;""),$Q190,IF(AND($AD190&lt;&gt;"",LEFT($AD190,1)&lt;&gt;"⚠"),LEFT($AD190,FIND(" ",$AD190)-1),IF($H190="","",IF(RIGHT($H190,2)="병원",$H190,$H190&amp;"병원")))))</f>
        <v/>
      </c>
      <c r="O190" s="10">
        <f>IF($B190="","",IF(AND($U190="파견중",$Q190&lt;&gt;""),IF($R190&lt;&gt;"",$R190,"파견과 미입력"),IF(AND($AD190&lt;&gt;"",LEFT($AD190,1)&lt;&gt;"⚠"),MID($AD190,FIND(" ",$AD190)+1,60),IF($F190="","",IF($F190="인턴","수련교육부(인턴)",$F190)))))</f>
        <v/>
      </c>
      <c r="P190" s="10">
        <f>IF($B190="","",IF($AK190&lt;&gt;"",IF(AND(TODAY()&gt;=INDEX(파견수련계획!$AB$4:$AB$83,$AK190),OR(NOT(ISNUMBER(INDEX(파견수련계획!$AC$4:$AC$83,$AK190))),TODAY()&lt;=INDEX(파견수련계획!$AC$4:$AC$83,$AK190))),"다기관",IF($AF190="","",INDEX(파견수련계획!$T$4:$T$83,$AF190))),IF($AF190="","",INDEX(파견수련계획!$T$4:$T$83,$AF190))))</f>
        <v/>
      </c>
      <c r="Q190" s="10">
        <f>IF($AF190="","",INDEX(파견수련계획!$S$4:$S$83,$AF190))</f>
        <v/>
      </c>
      <c r="R190" s="10">
        <f>IF($AF190="","",INDEX(파견수련계획!$U$4:$U$83,$AF190))</f>
        <v/>
      </c>
      <c r="S190" s="11">
        <f>IF($AF190="","",IF(INDEX(파견수련계획!$H$4:$H$83,$AF190)="","",INDEX(파견수련계획!$H$4:$H$83,$AF190)))</f>
        <v/>
      </c>
      <c r="T190" s="11">
        <f>IF($AF190="","",IF(INDEX(파견수련계획!$I$4:$I$83,$AF190)="","",INDEX(파견수련계획!$I$4:$I$83,$AF190)))</f>
        <v/>
      </c>
      <c r="U190" s="10">
        <f>IF($AF190="","",INDEX(파견수련계획!$X$4:$X$83,$AF190))</f>
        <v/>
      </c>
      <c r="V190" s="17">
        <f>IF($AF190="","",INDEX(파견수련계획!$V$4:$V$83,$AF190))</f>
        <v/>
      </c>
      <c r="W190" s="17">
        <f>IF(AND($U190="파견중",$T190&lt;&gt;""),$T190-TODAY(),"")</f>
        <v/>
      </c>
      <c r="X190" s="17">
        <f>IF(OR($B190="",TRIM($J190&amp;"")=""),"",SUMPRODUCT((파견수련계획!$Q$4:$Q$83=TRIM($J190&amp;""))*파견수련계획!$W$4:$W$83))</f>
        <v/>
      </c>
      <c r="Y190" s="10">
        <f>IF($B190="","",IF($AG190="","",IF(IF(TRIM($J190&amp;"")="",0,SUMPRODUCT((파견수련계획!$Q$4:$Q$83=TRIM($J190&amp;""))*파견수련계획!$AD$4:$AD$83))&gt;0,$AE190,IF(N($X190)&lt;=0,$AG190,IF($AH190+$AI190=DAY(EOMONTH(요약!$B$3,0)),IF(AND($AH190&gt;=요약!$E$3,$AI190&lt;요약!$E$3),"서울병원",IF(AND($AI190&gt;=요약!$E$3,$AH190&lt;요약!$E$3),"구리병원","⚠15일 판정불가(서울 "&amp;$AH190&amp;"일/구리 "&amp;$AI190&amp;"일)")),IF($AJ190="",$AE190,IF(INDEX(파견수련계획!$T$4:$T$83,$AJ190)="통합수련",INDEX(파견수련계획!$S$4:$S$83,$AJ190),$AE190)))))))</f>
        <v/>
      </c>
      <c r="Z190" s="19">
        <f>IF($B190="","",IF($AB190="","기본자료에 없는 사번",IF(COUNTIF($B$2:$B$401,$B190)&gt;1,"중복 사번",IF($AE190="","소속(입사장소) 입력",IF(IF(TRIM($J190&amp;"")="",0,SUMPRODUCT((파견수련계획!$Q$4:$Q$83=TRIM($J190&amp;""))*(파견수련계획!$AA$4:$AA$83&lt;&gt;"")))&gt;0,"파견수련계획 입력오류 확인",IF(LEFT($Y190,1)="⚠","서울·구리 15일 판정 불가(양쪽 모두 이상/미만)",IF(IF($AC190="",0,N(INDEX(인턴근무계획!$T$3:$T$62,$AC190)))&gt;0,"인턴계획 입력오류 확인",IF(AND($AC190&lt;&gt;"",$U190&lt;&gt;"파견중",$N190&lt;&gt;$AE190),"인턴 타지역 근무: 파견 여부 확인","정상"))))))))</f>
        <v/>
      </c>
      <c r="AA190" s="5" t="n"/>
      <c r="AB190" s="10">
        <f>IF($B190="","",IFERROR(MATCH($B190,기본자료!$B$2:$B$1001,0),IFERROR(MATCH($B190&amp;"",기본자료!$B$2:$B$1001,0),IFERROR(MATCH(VALUE($B190),기본자료!$B$2:$B$1001,0),""))))</f>
        <v/>
      </c>
      <c r="AC190" s="10">
        <f>IF($B190="","",IFERROR(MATCH($B190,인턴근무계획!$D$3:$D$62,0),IFERROR(MATCH($B190&amp;"",인턴근무계획!$D$3:$D$62,0),IFERROR(MATCH(VALUE($B190),인턴근무계획!$D$3:$D$62,0),""))))</f>
        <v/>
      </c>
      <c r="AD190" s="10">
        <f>IF(OR($AC190="",인턴현황!$G$3=""),"",INDEX(인턴근무계획!$M$3:$R$62,$AC190,인턴현황!$G$3)&amp;"")</f>
        <v/>
      </c>
      <c r="AE190" s="10">
        <f>IF($B190="","",IF($M190&lt;&gt;"",$M190,IF($AF190&lt;&gt;"",IF(LEFT(INDEX(파견수련계획!$R$4:$R$83,$AF190),1)&lt;&gt;"⚠",INDEX(파견수련계획!$R$4:$R$83,$AF190),IF($H190="","",IF(RIGHT($H190,2)="병원",$H190,$H190&amp;"병원"))),IF($H190="","",IF(RIGHT($H190,2)="병원",$H190,$H190&amp;"병원")))))</f>
        <v/>
      </c>
      <c r="AF190" s="10">
        <f>IF(OR($B190="",TRIM($J190&amp;"")=""),"",IFERROR(MATCH(TRIM($J190&amp;"")&amp;"|파견중",파견수련계획!$Y$4:$Y$83,0),IFERROR(MATCH(TRIM($J190&amp;"")&amp;"|파견예정",파견수련계획!$Y$4:$Y$83,0),IFERROR(MATCH(TRIM($J190&amp;"")&amp;"|파견종료",파견수련계획!$Y$4:$Y$83,0),""))))</f>
        <v/>
      </c>
      <c r="AG190" s="10">
        <f>IF($B190="","",IF(AND(IF(OR($AC190="",인턴현황!$K$2=""),"",INDEX(인턴근무계획!$M$3:$R$62,$AC190,인턴현황!$K$2)&amp;"")&lt;&gt;"",LEFT(IF(OR($AC190="",인턴현황!$K$2=""),"",INDEX(인턴근무계획!$M$3:$R$62,$AC190,인턴현황!$K$2)&amp;""),1)&lt;&gt;"⚠"),LEFT(IF(OR($AC190="",인턴현황!$K$2=""),"",INDEX(인턴근무계획!$M$3:$R$62,$AC190,인턴현황!$K$2)&amp;""),FIND(" ",IF(OR($AC190="",인턴현황!$K$2=""),"",INDEX(인턴근무계획!$M$3:$R$62,$AC190,인턴현황!$K$2)&amp;""))-1),$AE190))</f>
        <v/>
      </c>
      <c r="AH190" s="17">
        <f>IF($B190="","",IF(TRIM($J190&amp;"")="",0,SUMPRODUCT((파견수련계획!$Q$4:$Q$83=TRIM($J190&amp;""))*(파견수련계획!$S$4:$S$83="서울병원")*파견수련계획!$W$4:$W$83))+IF($AG190="서울병원",MAX(0,DAY(EOMONTH(요약!$B$3,0))-N($X190)),0))</f>
        <v/>
      </c>
      <c r="AI190" s="17">
        <f>IF($B190="","",IF(TRIM($J190&amp;"")="",0,SUMPRODUCT((파견수련계획!$Q$4:$Q$83=TRIM($J190&amp;""))*(파견수련계획!$S$4:$S$83="구리병원")*파견수련계획!$W$4:$W$83))+IF($AG190="구리병원",MAX(0,DAY(EOMONTH(요약!$B$3,0))-N($X190)),0))</f>
        <v/>
      </c>
      <c r="AJ190" s="10">
        <f>IF(OR($B190="",TRIM($J190&amp;"")=""),"",IFERROR(MATCH(TRIM($J190&amp;"")&amp;"|월",파견수련계획!$Z$4:$Z$83,0),""))</f>
        <v/>
      </c>
      <c r="AK190" s="10">
        <f>IF(OR($B190="",TRIM($J190&amp;"")=""),"",IFERROR(MATCH(TRIM($J190&amp;"")&amp;"|다기관",파견수련계획!$AE$4:$AE$83,0),""))</f>
        <v/>
      </c>
      <c r="AL190" s="10">
        <f>IF($AK190="","","다기관 "&amp;TEXT(INDEX(파견수련계획!$AB$4:$AB$83,$AK190),"yyyy-mm-dd")&amp;"~"&amp;IF(ISNUMBER(INDEX(파견수련계획!$AC$4:$AC$83,$AK190)),TEXT(INDEX(파견수련계획!$AC$4:$AC$83,$AK190),"yyyy-mm-dd"),""))</f>
        <v/>
      </c>
    </row>
    <row r="191">
      <c r="A191" s="10">
        <f>IF(B191="","",ROW()-1)</f>
        <v/>
      </c>
      <c r="B191" s="18" t="n"/>
      <c r="C191" s="10">
        <f>IF($AB191="","",IF(INDEX(기본자료!$C$2:$C$1001,$AB191)="","",INDEX(기본자료!$C$2:$C$1001,$AB191)))</f>
        <v/>
      </c>
      <c r="D191" s="10">
        <f>IF($AB191="","",IF(INDEX(기본자료!$J$2:$J$1001,$AB191)="","",INDEX(기본자료!$J$2:$J$1001,$AB191)))</f>
        <v/>
      </c>
      <c r="E191" s="11">
        <f>IF($AB191="","",IF(INDEX(기본자료!$K$2:$K$1001,$AB191)="","",IF(NOT(ISNUMBER(INDEX(기본자료!$K$2:$K$1001,$AB191))),INDEX(기본자료!$K$2:$K$1001,$AB191),IF(INDEX(기본자료!$K$2:$K$1001,$AB191)&lt;1000000,INDEX(기본자료!$K$2:$K$1001,$AB191),IF(AND(INDEX(기본자료!$K$2:$K$1001,$AB191)&gt;=10000101,INT(MOD(INDEX(기본자료!$K$2:$K$1001,$AB191),10000)/100)&gt;=1,INT(MOD(INDEX(기본자료!$K$2:$K$1001,$AB191),10000)/100)&lt;=12,MOD(INDEX(기본자료!$K$2:$K$1001,$AB191),100)&gt;=1,MOD(INDEX(기본자료!$K$2:$K$1001,$AB191),100)&lt;=31),DATE(INT(INDEX(기본자료!$K$2:$K$1001,$AB191)/10000),INT(MOD(INDEX(기본자료!$K$2:$K$1001,$AB191),10000)/100),MOD(INDEX(기본자료!$K$2:$K$1001,$AB191),100)),INDEX(기본자료!$K$2:$K$1001,$AB191)&amp;"")))))</f>
        <v/>
      </c>
      <c r="F191" s="10">
        <f>IF($AB191="","",IF(INDEX(기본자료!$D$2:$D$1001,$AB191)="","",INDEX(기본자료!$D$2:$D$1001,$AB191)))</f>
        <v/>
      </c>
      <c r="G191" s="10">
        <f>IF($AB191="","",IF(INDEX(기본자료!$E$2:$E$1001,$AB191)="","",INDEX(기본자료!$E$2:$E$1001,$AB191)))</f>
        <v/>
      </c>
      <c r="H191" s="10">
        <f>IF($AB191="","",IF(INDEX(기본자료!$F$2:$F$1001,$AB191)="","",INDEX(기본자료!$F$2:$F$1001,$AB191)))</f>
        <v/>
      </c>
      <c r="I191" s="11">
        <f>IF($AB191="","",IF(INDEX(기본자료!$G$2:$G$1001,$AB191)="","",IF(NOT(ISNUMBER(INDEX(기본자료!$G$2:$G$1001,$AB191))),INDEX(기본자료!$G$2:$G$1001,$AB191),IF(INDEX(기본자료!$G$2:$G$1001,$AB191)&lt;1000000,INDEX(기본자료!$G$2:$G$1001,$AB191),IF(AND(INDEX(기본자료!$G$2:$G$1001,$AB191)&gt;=10000101,INT(MOD(INDEX(기본자료!$G$2:$G$1001,$AB191),10000)/100)&gt;=1,INT(MOD(INDEX(기본자료!$G$2:$G$1001,$AB191),10000)/100)&lt;=12,MOD(INDEX(기본자료!$G$2:$G$1001,$AB191),100)&gt;=1,MOD(INDEX(기본자료!$G$2:$G$1001,$AB191),100)&lt;=31),DATE(INT(INDEX(기본자료!$G$2:$G$1001,$AB191)/10000),INT(MOD(INDEX(기본자료!$G$2:$G$1001,$AB191),10000)/100),MOD(INDEX(기본자료!$G$2:$G$1001,$AB191),100)),INDEX(기본자료!$G$2:$G$1001,$AB191)&amp;"")))))</f>
        <v/>
      </c>
      <c r="J191" s="10">
        <f>IF($AB191="","",IF(INDEX(기본자료!$H$2:$H$1001,$AB191)="","",INDEX(기본자료!$H$2:$H$1001,$AB191)))</f>
        <v/>
      </c>
      <c r="K191" s="10">
        <f>IF($AB191="","",IF(INDEX(기본자료!$I$2:$I$1001,$AB191)="","",INDEX(기본자료!$I$2:$I$1001,$AB191)))</f>
        <v/>
      </c>
      <c r="L191" s="10">
        <f>IF($AB191="","",IF(INDEX(기본자료!$A$2:$A$1001,$AB191)="","",INDEX(기본자료!$A$2:$A$1001,$AB191)))</f>
        <v/>
      </c>
      <c r="M191" s="15" t="n"/>
      <c r="N191" s="10">
        <f>IF($B191="","",IF(AND($U191="파견중",$Q191&lt;&gt;""),$Q191,IF(AND($AD191&lt;&gt;"",LEFT($AD191,1)&lt;&gt;"⚠"),LEFT($AD191,FIND(" ",$AD191)-1),IF($H191="","",IF(RIGHT($H191,2)="병원",$H191,$H191&amp;"병원")))))</f>
        <v/>
      </c>
      <c r="O191" s="10">
        <f>IF($B191="","",IF(AND($U191="파견중",$Q191&lt;&gt;""),IF($R191&lt;&gt;"",$R191,"파견과 미입력"),IF(AND($AD191&lt;&gt;"",LEFT($AD191,1)&lt;&gt;"⚠"),MID($AD191,FIND(" ",$AD191)+1,60),IF($F191="","",IF($F191="인턴","수련교육부(인턴)",$F191)))))</f>
        <v/>
      </c>
      <c r="P191" s="10">
        <f>IF($B191="","",IF($AK191&lt;&gt;"",IF(AND(TODAY()&gt;=INDEX(파견수련계획!$AB$4:$AB$83,$AK191),OR(NOT(ISNUMBER(INDEX(파견수련계획!$AC$4:$AC$83,$AK191))),TODAY()&lt;=INDEX(파견수련계획!$AC$4:$AC$83,$AK191))),"다기관",IF($AF191="","",INDEX(파견수련계획!$T$4:$T$83,$AF191))),IF($AF191="","",INDEX(파견수련계획!$T$4:$T$83,$AF191))))</f>
        <v/>
      </c>
      <c r="Q191" s="10">
        <f>IF($AF191="","",INDEX(파견수련계획!$S$4:$S$83,$AF191))</f>
        <v/>
      </c>
      <c r="R191" s="10">
        <f>IF($AF191="","",INDEX(파견수련계획!$U$4:$U$83,$AF191))</f>
        <v/>
      </c>
      <c r="S191" s="11">
        <f>IF($AF191="","",IF(INDEX(파견수련계획!$H$4:$H$83,$AF191)="","",INDEX(파견수련계획!$H$4:$H$83,$AF191)))</f>
        <v/>
      </c>
      <c r="T191" s="11">
        <f>IF($AF191="","",IF(INDEX(파견수련계획!$I$4:$I$83,$AF191)="","",INDEX(파견수련계획!$I$4:$I$83,$AF191)))</f>
        <v/>
      </c>
      <c r="U191" s="10">
        <f>IF($AF191="","",INDEX(파견수련계획!$X$4:$X$83,$AF191))</f>
        <v/>
      </c>
      <c r="V191" s="17">
        <f>IF($AF191="","",INDEX(파견수련계획!$V$4:$V$83,$AF191))</f>
        <v/>
      </c>
      <c r="W191" s="17">
        <f>IF(AND($U191="파견중",$T191&lt;&gt;""),$T191-TODAY(),"")</f>
        <v/>
      </c>
      <c r="X191" s="17">
        <f>IF(OR($B191="",TRIM($J191&amp;"")=""),"",SUMPRODUCT((파견수련계획!$Q$4:$Q$83=TRIM($J191&amp;""))*파견수련계획!$W$4:$W$83))</f>
        <v/>
      </c>
      <c r="Y191" s="10">
        <f>IF($B191="","",IF($AG191="","",IF(IF(TRIM($J191&amp;"")="",0,SUMPRODUCT((파견수련계획!$Q$4:$Q$83=TRIM($J191&amp;""))*파견수련계획!$AD$4:$AD$83))&gt;0,$AE191,IF(N($X191)&lt;=0,$AG191,IF($AH191+$AI191=DAY(EOMONTH(요약!$B$3,0)),IF(AND($AH191&gt;=요약!$E$3,$AI191&lt;요약!$E$3),"서울병원",IF(AND($AI191&gt;=요약!$E$3,$AH191&lt;요약!$E$3),"구리병원","⚠15일 판정불가(서울 "&amp;$AH191&amp;"일/구리 "&amp;$AI191&amp;"일)")),IF($AJ191="",$AE191,IF(INDEX(파견수련계획!$T$4:$T$83,$AJ191)="통합수련",INDEX(파견수련계획!$S$4:$S$83,$AJ191),$AE191)))))))</f>
        <v/>
      </c>
      <c r="Z191" s="19">
        <f>IF($B191="","",IF($AB191="","기본자료에 없는 사번",IF(COUNTIF($B$2:$B$401,$B191)&gt;1,"중복 사번",IF($AE191="","소속(입사장소) 입력",IF(IF(TRIM($J191&amp;"")="",0,SUMPRODUCT((파견수련계획!$Q$4:$Q$83=TRIM($J191&amp;""))*(파견수련계획!$AA$4:$AA$83&lt;&gt;"")))&gt;0,"파견수련계획 입력오류 확인",IF(LEFT($Y191,1)="⚠","서울·구리 15일 판정 불가(양쪽 모두 이상/미만)",IF(IF($AC191="",0,N(INDEX(인턴근무계획!$T$3:$T$62,$AC191)))&gt;0,"인턴계획 입력오류 확인",IF(AND($AC191&lt;&gt;"",$U191&lt;&gt;"파견중",$N191&lt;&gt;$AE191),"인턴 타지역 근무: 파견 여부 확인","정상"))))))))</f>
        <v/>
      </c>
      <c r="AA191" s="5" t="n"/>
      <c r="AB191" s="10">
        <f>IF($B191="","",IFERROR(MATCH($B191,기본자료!$B$2:$B$1001,0),IFERROR(MATCH($B191&amp;"",기본자료!$B$2:$B$1001,0),IFERROR(MATCH(VALUE($B191),기본자료!$B$2:$B$1001,0),""))))</f>
        <v/>
      </c>
      <c r="AC191" s="10">
        <f>IF($B191="","",IFERROR(MATCH($B191,인턴근무계획!$D$3:$D$62,0),IFERROR(MATCH($B191&amp;"",인턴근무계획!$D$3:$D$62,0),IFERROR(MATCH(VALUE($B191),인턴근무계획!$D$3:$D$62,0),""))))</f>
        <v/>
      </c>
      <c r="AD191" s="10">
        <f>IF(OR($AC191="",인턴현황!$G$3=""),"",INDEX(인턴근무계획!$M$3:$R$62,$AC191,인턴현황!$G$3)&amp;"")</f>
        <v/>
      </c>
      <c r="AE191" s="10">
        <f>IF($B191="","",IF($M191&lt;&gt;"",$M191,IF($AF191&lt;&gt;"",IF(LEFT(INDEX(파견수련계획!$R$4:$R$83,$AF191),1)&lt;&gt;"⚠",INDEX(파견수련계획!$R$4:$R$83,$AF191),IF($H191="","",IF(RIGHT($H191,2)="병원",$H191,$H191&amp;"병원"))),IF($H191="","",IF(RIGHT($H191,2)="병원",$H191,$H191&amp;"병원")))))</f>
        <v/>
      </c>
      <c r="AF191" s="10">
        <f>IF(OR($B191="",TRIM($J191&amp;"")=""),"",IFERROR(MATCH(TRIM($J191&amp;"")&amp;"|파견중",파견수련계획!$Y$4:$Y$83,0),IFERROR(MATCH(TRIM($J191&amp;"")&amp;"|파견예정",파견수련계획!$Y$4:$Y$83,0),IFERROR(MATCH(TRIM($J191&amp;"")&amp;"|파견종료",파견수련계획!$Y$4:$Y$83,0),""))))</f>
        <v/>
      </c>
      <c r="AG191" s="10">
        <f>IF($B191="","",IF(AND(IF(OR($AC191="",인턴현황!$K$2=""),"",INDEX(인턴근무계획!$M$3:$R$62,$AC191,인턴현황!$K$2)&amp;"")&lt;&gt;"",LEFT(IF(OR($AC191="",인턴현황!$K$2=""),"",INDEX(인턴근무계획!$M$3:$R$62,$AC191,인턴현황!$K$2)&amp;""),1)&lt;&gt;"⚠"),LEFT(IF(OR($AC191="",인턴현황!$K$2=""),"",INDEX(인턴근무계획!$M$3:$R$62,$AC191,인턴현황!$K$2)&amp;""),FIND(" ",IF(OR($AC191="",인턴현황!$K$2=""),"",INDEX(인턴근무계획!$M$3:$R$62,$AC191,인턴현황!$K$2)&amp;""))-1),$AE191))</f>
        <v/>
      </c>
      <c r="AH191" s="17">
        <f>IF($B191="","",IF(TRIM($J191&amp;"")="",0,SUMPRODUCT((파견수련계획!$Q$4:$Q$83=TRIM($J191&amp;""))*(파견수련계획!$S$4:$S$83="서울병원")*파견수련계획!$W$4:$W$83))+IF($AG191="서울병원",MAX(0,DAY(EOMONTH(요약!$B$3,0))-N($X191)),0))</f>
        <v/>
      </c>
      <c r="AI191" s="17">
        <f>IF($B191="","",IF(TRIM($J191&amp;"")="",0,SUMPRODUCT((파견수련계획!$Q$4:$Q$83=TRIM($J191&amp;""))*(파견수련계획!$S$4:$S$83="구리병원")*파견수련계획!$W$4:$W$83))+IF($AG191="구리병원",MAX(0,DAY(EOMONTH(요약!$B$3,0))-N($X191)),0))</f>
        <v/>
      </c>
      <c r="AJ191" s="10">
        <f>IF(OR($B191="",TRIM($J191&amp;"")=""),"",IFERROR(MATCH(TRIM($J191&amp;"")&amp;"|월",파견수련계획!$Z$4:$Z$83,0),""))</f>
        <v/>
      </c>
      <c r="AK191" s="10">
        <f>IF(OR($B191="",TRIM($J191&amp;"")=""),"",IFERROR(MATCH(TRIM($J191&amp;"")&amp;"|다기관",파견수련계획!$AE$4:$AE$83,0),""))</f>
        <v/>
      </c>
      <c r="AL191" s="10">
        <f>IF($AK191="","","다기관 "&amp;TEXT(INDEX(파견수련계획!$AB$4:$AB$83,$AK191),"yyyy-mm-dd")&amp;"~"&amp;IF(ISNUMBER(INDEX(파견수련계획!$AC$4:$AC$83,$AK191)),TEXT(INDEX(파견수련계획!$AC$4:$AC$83,$AK191),"yyyy-mm-dd"),""))</f>
        <v/>
      </c>
    </row>
    <row r="192">
      <c r="A192" s="10">
        <f>IF(B192="","",ROW()-1)</f>
        <v/>
      </c>
      <c r="B192" s="18" t="n"/>
      <c r="C192" s="10">
        <f>IF($AB192="","",IF(INDEX(기본자료!$C$2:$C$1001,$AB192)="","",INDEX(기본자료!$C$2:$C$1001,$AB192)))</f>
        <v/>
      </c>
      <c r="D192" s="10">
        <f>IF($AB192="","",IF(INDEX(기본자료!$J$2:$J$1001,$AB192)="","",INDEX(기본자료!$J$2:$J$1001,$AB192)))</f>
        <v/>
      </c>
      <c r="E192" s="11">
        <f>IF($AB192="","",IF(INDEX(기본자료!$K$2:$K$1001,$AB192)="","",IF(NOT(ISNUMBER(INDEX(기본자료!$K$2:$K$1001,$AB192))),INDEX(기본자료!$K$2:$K$1001,$AB192),IF(INDEX(기본자료!$K$2:$K$1001,$AB192)&lt;1000000,INDEX(기본자료!$K$2:$K$1001,$AB192),IF(AND(INDEX(기본자료!$K$2:$K$1001,$AB192)&gt;=10000101,INT(MOD(INDEX(기본자료!$K$2:$K$1001,$AB192),10000)/100)&gt;=1,INT(MOD(INDEX(기본자료!$K$2:$K$1001,$AB192),10000)/100)&lt;=12,MOD(INDEX(기본자료!$K$2:$K$1001,$AB192),100)&gt;=1,MOD(INDEX(기본자료!$K$2:$K$1001,$AB192),100)&lt;=31),DATE(INT(INDEX(기본자료!$K$2:$K$1001,$AB192)/10000),INT(MOD(INDEX(기본자료!$K$2:$K$1001,$AB192),10000)/100),MOD(INDEX(기본자료!$K$2:$K$1001,$AB192),100)),INDEX(기본자료!$K$2:$K$1001,$AB192)&amp;"")))))</f>
        <v/>
      </c>
      <c r="F192" s="10">
        <f>IF($AB192="","",IF(INDEX(기본자료!$D$2:$D$1001,$AB192)="","",INDEX(기본자료!$D$2:$D$1001,$AB192)))</f>
        <v/>
      </c>
      <c r="G192" s="10">
        <f>IF($AB192="","",IF(INDEX(기본자료!$E$2:$E$1001,$AB192)="","",INDEX(기본자료!$E$2:$E$1001,$AB192)))</f>
        <v/>
      </c>
      <c r="H192" s="10">
        <f>IF($AB192="","",IF(INDEX(기본자료!$F$2:$F$1001,$AB192)="","",INDEX(기본자료!$F$2:$F$1001,$AB192)))</f>
        <v/>
      </c>
      <c r="I192" s="11">
        <f>IF($AB192="","",IF(INDEX(기본자료!$G$2:$G$1001,$AB192)="","",IF(NOT(ISNUMBER(INDEX(기본자료!$G$2:$G$1001,$AB192))),INDEX(기본자료!$G$2:$G$1001,$AB192),IF(INDEX(기본자료!$G$2:$G$1001,$AB192)&lt;1000000,INDEX(기본자료!$G$2:$G$1001,$AB192),IF(AND(INDEX(기본자료!$G$2:$G$1001,$AB192)&gt;=10000101,INT(MOD(INDEX(기본자료!$G$2:$G$1001,$AB192),10000)/100)&gt;=1,INT(MOD(INDEX(기본자료!$G$2:$G$1001,$AB192),10000)/100)&lt;=12,MOD(INDEX(기본자료!$G$2:$G$1001,$AB192),100)&gt;=1,MOD(INDEX(기본자료!$G$2:$G$1001,$AB192),100)&lt;=31),DATE(INT(INDEX(기본자료!$G$2:$G$1001,$AB192)/10000),INT(MOD(INDEX(기본자료!$G$2:$G$1001,$AB192),10000)/100),MOD(INDEX(기본자료!$G$2:$G$1001,$AB192),100)),INDEX(기본자료!$G$2:$G$1001,$AB192)&amp;"")))))</f>
        <v/>
      </c>
      <c r="J192" s="10">
        <f>IF($AB192="","",IF(INDEX(기본자료!$H$2:$H$1001,$AB192)="","",INDEX(기본자료!$H$2:$H$1001,$AB192)))</f>
        <v/>
      </c>
      <c r="K192" s="10">
        <f>IF($AB192="","",IF(INDEX(기본자료!$I$2:$I$1001,$AB192)="","",INDEX(기본자료!$I$2:$I$1001,$AB192)))</f>
        <v/>
      </c>
      <c r="L192" s="10">
        <f>IF($AB192="","",IF(INDEX(기본자료!$A$2:$A$1001,$AB192)="","",INDEX(기본자료!$A$2:$A$1001,$AB192)))</f>
        <v/>
      </c>
      <c r="M192" s="15" t="n"/>
      <c r="N192" s="10">
        <f>IF($B192="","",IF(AND($U192="파견중",$Q192&lt;&gt;""),$Q192,IF(AND($AD192&lt;&gt;"",LEFT($AD192,1)&lt;&gt;"⚠"),LEFT($AD192,FIND(" ",$AD192)-1),IF($H192="","",IF(RIGHT($H192,2)="병원",$H192,$H192&amp;"병원")))))</f>
        <v/>
      </c>
      <c r="O192" s="10">
        <f>IF($B192="","",IF(AND($U192="파견중",$Q192&lt;&gt;""),IF($R192&lt;&gt;"",$R192,"파견과 미입력"),IF(AND($AD192&lt;&gt;"",LEFT($AD192,1)&lt;&gt;"⚠"),MID($AD192,FIND(" ",$AD192)+1,60),IF($F192="","",IF($F192="인턴","수련교육부(인턴)",$F192)))))</f>
        <v/>
      </c>
      <c r="P192" s="10">
        <f>IF($B192="","",IF($AK192&lt;&gt;"",IF(AND(TODAY()&gt;=INDEX(파견수련계획!$AB$4:$AB$83,$AK192),OR(NOT(ISNUMBER(INDEX(파견수련계획!$AC$4:$AC$83,$AK192))),TODAY()&lt;=INDEX(파견수련계획!$AC$4:$AC$83,$AK192))),"다기관",IF($AF192="","",INDEX(파견수련계획!$T$4:$T$83,$AF192))),IF($AF192="","",INDEX(파견수련계획!$T$4:$T$83,$AF192))))</f>
        <v/>
      </c>
      <c r="Q192" s="10">
        <f>IF($AF192="","",INDEX(파견수련계획!$S$4:$S$83,$AF192))</f>
        <v/>
      </c>
      <c r="R192" s="10">
        <f>IF($AF192="","",INDEX(파견수련계획!$U$4:$U$83,$AF192))</f>
        <v/>
      </c>
      <c r="S192" s="11">
        <f>IF($AF192="","",IF(INDEX(파견수련계획!$H$4:$H$83,$AF192)="","",INDEX(파견수련계획!$H$4:$H$83,$AF192)))</f>
        <v/>
      </c>
      <c r="T192" s="11">
        <f>IF($AF192="","",IF(INDEX(파견수련계획!$I$4:$I$83,$AF192)="","",INDEX(파견수련계획!$I$4:$I$83,$AF192)))</f>
        <v/>
      </c>
      <c r="U192" s="10">
        <f>IF($AF192="","",INDEX(파견수련계획!$X$4:$X$83,$AF192))</f>
        <v/>
      </c>
      <c r="V192" s="17">
        <f>IF($AF192="","",INDEX(파견수련계획!$V$4:$V$83,$AF192))</f>
        <v/>
      </c>
      <c r="W192" s="17">
        <f>IF(AND($U192="파견중",$T192&lt;&gt;""),$T192-TODAY(),"")</f>
        <v/>
      </c>
      <c r="X192" s="17">
        <f>IF(OR($B192="",TRIM($J192&amp;"")=""),"",SUMPRODUCT((파견수련계획!$Q$4:$Q$83=TRIM($J192&amp;""))*파견수련계획!$W$4:$W$83))</f>
        <v/>
      </c>
      <c r="Y192" s="10">
        <f>IF($B192="","",IF($AG192="","",IF(IF(TRIM($J192&amp;"")="",0,SUMPRODUCT((파견수련계획!$Q$4:$Q$83=TRIM($J192&amp;""))*파견수련계획!$AD$4:$AD$83))&gt;0,$AE192,IF(N($X192)&lt;=0,$AG192,IF($AH192+$AI192=DAY(EOMONTH(요약!$B$3,0)),IF(AND($AH192&gt;=요약!$E$3,$AI192&lt;요약!$E$3),"서울병원",IF(AND($AI192&gt;=요약!$E$3,$AH192&lt;요약!$E$3),"구리병원","⚠15일 판정불가(서울 "&amp;$AH192&amp;"일/구리 "&amp;$AI192&amp;"일)")),IF($AJ192="",$AE192,IF(INDEX(파견수련계획!$T$4:$T$83,$AJ192)="통합수련",INDEX(파견수련계획!$S$4:$S$83,$AJ192),$AE192)))))))</f>
        <v/>
      </c>
      <c r="Z192" s="19">
        <f>IF($B192="","",IF($AB192="","기본자료에 없는 사번",IF(COUNTIF($B$2:$B$401,$B192)&gt;1,"중복 사번",IF($AE192="","소속(입사장소) 입력",IF(IF(TRIM($J192&amp;"")="",0,SUMPRODUCT((파견수련계획!$Q$4:$Q$83=TRIM($J192&amp;""))*(파견수련계획!$AA$4:$AA$83&lt;&gt;"")))&gt;0,"파견수련계획 입력오류 확인",IF(LEFT($Y192,1)="⚠","서울·구리 15일 판정 불가(양쪽 모두 이상/미만)",IF(IF($AC192="",0,N(INDEX(인턴근무계획!$T$3:$T$62,$AC192)))&gt;0,"인턴계획 입력오류 확인",IF(AND($AC192&lt;&gt;"",$U192&lt;&gt;"파견중",$N192&lt;&gt;$AE192),"인턴 타지역 근무: 파견 여부 확인","정상"))))))))</f>
        <v/>
      </c>
      <c r="AA192" s="5" t="n"/>
      <c r="AB192" s="10">
        <f>IF($B192="","",IFERROR(MATCH($B192,기본자료!$B$2:$B$1001,0),IFERROR(MATCH($B192&amp;"",기본자료!$B$2:$B$1001,0),IFERROR(MATCH(VALUE($B192),기본자료!$B$2:$B$1001,0),""))))</f>
        <v/>
      </c>
      <c r="AC192" s="10">
        <f>IF($B192="","",IFERROR(MATCH($B192,인턴근무계획!$D$3:$D$62,0),IFERROR(MATCH($B192&amp;"",인턴근무계획!$D$3:$D$62,0),IFERROR(MATCH(VALUE($B192),인턴근무계획!$D$3:$D$62,0),""))))</f>
        <v/>
      </c>
      <c r="AD192" s="10">
        <f>IF(OR($AC192="",인턴현황!$G$3=""),"",INDEX(인턴근무계획!$M$3:$R$62,$AC192,인턴현황!$G$3)&amp;"")</f>
        <v/>
      </c>
      <c r="AE192" s="10">
        <f>IF($B192="","",IF($M192&lt;&gt;"",$M192,IF($AF192&lt;&gt;"",IF(LEFT(INDEX(파견수련계획!$R$4:$R$83,$AF192),1)&lt;&gt;"⚠",INDEX(파견수련계획!$R$4:$R$83,$AF192),IF($H192="","",IF(RIGHT($H192,2)="병원",$H192,$H192&amp;"병원"))),IF($H192="","",IF(RIGHT($H192,2)="병원",$H192,$H192&amp;"병원")))))</f>
        <v/>
      </c>
      <c r="AF192" s="10">
        <f>IF(OR($B192="",TRIM($J192&amp;"")=""),"",IFERROR(MATCH(TRIM($J192&amp;"")&amp;"|파견중",파견수련계획!$Y$4:$Y$83,0),IFERROR(MATCH(TRIM($J192&amp;"")&amp;"|파견예정",파견수련계획!$Y$4:$Y$83,0),IFERROR(MATCH(TRIM($J192&amp;"")&amp;"|파견종료",파견수련계획!$Y$4:$Y$83,0),""))))</f>
        <v/>
      </c>
      <c r="AG192" s="10">
        <f>IF($B192="","",IF(AND(IF(OR($AC192="",인턴현황!$K$2=""),"",INDEX(인턴근무계획!$M$3:$R$62,$AC192,인턴현황!$K$2)&amp;"")&lt;&gt;"",LEFT(IF(OR($AC192="",인턴현황!$K$2=""),"",INDEX(인턴근무계획!$M$3:$R$62,$AC192,인턴현황!$K$2)&amp;""),1)&lt;&gt;"⚠"),LEFT(IF(OR($AC192="",인턴현황!$K$2=""),"",INDEX(인턴근무계획!$M$3:$R$62,$AC192,인턴현황!$K$2)&amp;""),FIND(" ",IF(OR($AC192="",인턴현황!$K$2=""),"",INDEX(인턴근무계획!$M$3:$R$62,$AC192,인턴현황!$K$2)&amp;""))-1),$AE192))</f>
        <v/>
      </c>
      <c r="AH192" s="17">
        <f>IF($B192="","",IF(TRIM($J192&amp;"")="",0,SUMPRODUCT((파견수련계획!$Q$4:$Q$83=TRIM($J192&amp;""))*(파견수련계획!$S$4:$S$83="서울병원")*파견수련계획!$W$4:$W$83))+IF($AG192="서울병원",MAX(0,DAY(EOMONTH(요약!$B$3,0))-N($X192)),0))</f>
        <v/>
      </c>
      <c r="AI192" s="17">
        <f>IF($B192="","",IF(TRIM($J192&amp;"")="",0,SUMPRODUCT((파견수련계획!$Q$4:$Q$83=TRIM($J192&amp;""))*(파견수련계획!$S$4:$S$83="구리병원")*파견수련계획!$W$4:$W$83))+IF($AG192="구리병원",MAX(0,DAY(EOMONTH(요약!$B$3,0))-N($X192)),0))</f>
        <v/>
      </c>
      <c r="AJ192" s="10">
        <f>IF(OR($B192="",TRIM($J192&amp;"")=""),"",IFERROR(MATCH(TRIM($J192&amp;"")&amp;"|월",파견수련계획!$Z$4:$Z$83,0),""))</f>
        <v/>
      </c>
      <c r="AK192" s="10">
        <f>IF(OR($B192="",TRIM($J192&amp;"")=""),"",IFERROR(MATCH(TRIM($J192&amp;"")&amp;"|다기관",파견수련계획!$AE$4:$AE$83,0),""))</f>
        <v/>
      </c>
      <c r="AL192" s="10">
        <f>IF($AK192="","","다기관 "&amp;TEXT(INDEX(파견수련계획!$AB$4:$AB$83,$AK192),"yyyy-mm-dd")&amp;"~"&amp;IF(ISNUMBER(INDEX(파견수련계획!$AC$4:$AC$83,$AK192)),TEXT(INDEX(파견수련계획!$AC$4:$AC$83,$AK192),"yyyy-mm-dd"),""))</f>
        <v/>
      </c>
    </row>
    <row r="193">
      <c r="A193" s="10">
        <f>IF(B193="","",ROW()-1)</f>
        <v/>
      </c>
      <c r="B193" s="18" t="n"/>
      <c r="C193" s="10">
        <f>IF($AB193="","",IF(INDEX(기본자료!$C$2:$C$1001,$AB193)="","",INDEX(기본자료!$C$2:$C$1001,$AB193)))</f>
        <v/>
      </c>
      <c r="D193" s="10">
        <f>IF($AB193="","",IF(INDEX(기본자료!$J$2:$J$1001,$AB193)="","",INDEX(기본자료!$J$2:$J$1001,$AB193)))</f>
        <v/>
      </c>
      <c r="E193" s="11">
        <f>IF($AB193="","",IF(INDEX(기본자료!$K$2:$K$1001,$AB193)="","",IF(NOT(ISNUMBER(INDEX(기본자료!$K$2:$K$1001,$AB193))),INDEX(기본자료!$K$2:$K$1001,$AB193),IF(INDEX(기본자료!$K$2:$K$1001,$AB193)&lt;1000000,INDEX(기본자료!$K$2:$K$1001,$AB193),IF(AND(INDEX(기본자료!$K$2:$K$1001,$AB193)&gt;=10000101,INT(MOD(INDEX(기본자료!$K$2:$K$1001,$AB193),10000)/100)&gt;=1,INT(MOD(INDEX(기본자료!$K$2:$K$1001,$AB193),10000)/100)&lt;=12,MOD(INDEX(기본자료!$K$2:$K$1001,$AB193),100)&gt;=1,MOD(INDEX(기본자료!$K$2:$K$1001,$AB193),100)&lt;=31),DATE(INT(INDEX(기본자료!$K$2:$K$1001,$AB193)/10000),INT(MOD(INDEX(기본자료!$K$2:$K$1001,$AB193),10000)/100),MOD(INDEX(기본자료!$K$2:$K$1001,$AB193),100)),INDEX(기본자료!$K$2:$K$1001,$AB193)&amp;"")))))</f>
        <v/>
      </c>
      <c r="F193" s="10">
        <f>IF($AB193="","",IF(INDEX(기본자료!$D$2:$D$1001,$AB193)="","",INDEX(기본자료!$D$2:$D$1001,$AB193)))</f>
        <v/>
      </c>
      <c r="G193" s="10">
        <f>IF($AB193="","",IF(INDEX(기본자료!$E$2:$E$1001,$AB193)="","",INDEX(기본자료!$E$2:$E$1001,$AB193)))</f>
        <v/>
      </c>
      <c r="H193" s="10">
        <f>IF($AB193="","",IF(INDEX(기본자료!$F$2:$F$1001,$AB193)="","",INDEX(기본자료!$F$2:$F$1001,$AB193)))</f>
        <v/>
      </c>
      <c r="I193" s="11">
        <f>IF($AB193="","",IF(INDEX(기본자료!$G$2:$G$1001,$AB193)="","",IF(NOT(ISNUMBER(INDEX(기본자료!$G$2:$G$1001,$AB193))),INDEX(기본자료!$G$2:$G$1001,$AB193),IF(INDEX(기본자료!$G$2:$G$1001,$AB193)&lt;1000000,INDEX(기본자료!$G$2:$G$1001,$AB193),IF(AND(INDEX(기본자료!$G$2:$G$1001,$AB193)&gt;=10000101,INT(MOD(INDEX(기본자료!$G$2:$G$1001,$AB193),10000)/100)&gt;=1,INT(MOD(INDEX(기본자료!$G$2:$G$1001,$AB193),10000)/100)&lt;=12,MOD(INDEX(기본자료!$G$2:$G$1001,$AB193),100)&gt;=1,MOD(INDEX(기본자료!$G$2:$G$1001,$AB193),100)&lt;=31),DATE(INT(INDEX(기본자료!$G$2:$G$1001,$AB193)/10000),INT(MOD(INDEX(기본자료!$G$2:$G$1001,$AB193),10000)/100),MOD(INDEX(기본자료!$G$2:$G$1001,$AB193),100)),INDEX(기본자료!$G$2:$G$1001,$AB193)&amp;"")))))</f>
        <v/>
      </c>
      <c r="J193" s="10">
        <f>IF($AB193="","",IF(INDEX(기본자료!$H$2:$H$1001,$AB193)="","",INDEX(기본자료!$H$2:$H$1001,$AB193)))</f>
        <v/>
      </c>
      <c r="K193" s="10">
        <f>IF($AB193="","",IF(INDEX(기본자료!$I$2:$I$1001,$AB193)="","",INDEX(기본자료!$I$2:$I$1001,$AB193)))</f>
        <v/>
      </c>
      <c r="L193" s="10">
        <f>IF($AB193="","",IF(INDEX(기본자료!$A$2:$A$1001,$AB193)="","",INDEX(기본자료!$A$2:$A$1001,$AB193)))</f>
        <v/>
      </c>
      <c r="M193" s="15" t="n"/>
      <c r="N193" s="10">
        <f>IF($B193="","",IF(AND($U193="파견중",$Q193&lt;&gt;""),$Q193,IF(AND($AD193&lt;&gt;"",LEFT($AD193,1)&lt;&gt;"⚠"),LEFT($AD193,FIND(" ",$AD193)-1),IF($H193="","",IF(RIGHT($H193,2)="병원",$H193,$H193&amp;"병원")))))</f>
        <v/>
      </c>
      <c r="O193" s="10">
        <f>IF($B193="","",IF(AND($U193="파견중",$Q193&lt;&gt;""),IF($R193&lt;&gt;"",$R193,"파견과 미입력"),IF(AND($AD193&lt;&gt;"",LEFT($AD193,1)&lt;&gt;"⚠"),MID($AD193,FIND(" ",$AD193)+1,60),IF($F193="","",IF($F193="인턴","수련교육부(인턴)",$F193)))))</f>
        <v/>
      </c>
      <c r="P193" s="10">
        <f>IF($B193="","",IF($AK193&lt;&gt;"",IF(AND(TODAY()&gt;=INDEX(파견수련계획!$AB$4:$AB$83,$AK193),OR(NOT(ISNUMBER(INDEX(파견수련계획!$AC$4:$AC$83,$AK193))),TODAY()&lt;=INDEX(파견수련계획!$AC$4:$AC$83,$AK193))),"다기관",IF($AF193="","",INDEX(파견수련계획!$T$4:$T$83,$AF193))),IF($AF193="","",INDEX(파견수련계획!$T$4:$T$83,$AF193))))</f>
        <v/>
      </c>
      <c r="Q193" s="10">
        <f>IF($AF193="","",INDEX(파견수련계획!$S$4:$S$83,$AF193))</f>
        <v/>
      </c>
      <c r="R193" s="10">
        <f>IF($AF193="","",INDEX(파견수련계획!$U$4:$U$83,$AF193))</f>
        <v/>
      </c>
      <c r="S193" s="11">
        <f>IF($AF193="","",IF(INDEX(파견수련계획!$H$4:$H$83,$AF193)="","",INDEX(파견수련계획!$H$4:$H$83,$AF193)))</f>
        <v/>
      </c>
      <c r="T193" s="11">
        <f>IF($AF193="","",IF(INDEX(파견수련계획!$I$4:$I$83,$AF193)="","",INDEX(파견수련계획!$I$4:$I$83,$AF193)))</f>
        <v/>
      </c>
      <c r="U193" s="10">
        <f>IF($AF193="","",INDEX(파견수련계획!$X$4:$X$83,$AF193))</f>
        <v/>
      </c>
      <c r="V193" s="17">
        <f>IF($AF193="","",INDEX(파견수련계획!$V$4:$V$83,$AF193))</f>
        <v/>
      </c>
      <c r="W193" s="17">
        <f>IF(AND($U193="파견중",$T193&lt;&gt;""),$T193-TODAY(),"")</f>
        <v/>
      </c>
      <c r="X193" s="17">
        <f>IF(OR($B193="",TRIM($J193&amp;"")=""),"",SUMPRODUCT((파견수련계획!$Q$4:$Q$83=TRIM($J193&amp;""))*파견수련계획!$W$4:$W$83))</f>
        <v/>
      </c>
      <c r="Y193" s="10">
        <f>IF($B193="","",IF($AG193="","",IF(IF(TRIM($J193&amp;"")="",0,SUMPRODUCT((파견수련계획!$Q$4:$Q$83=TRIM($J193&amp;""))*파견수련계획!$AD$4:$AD$83))&gt;0,$AE193,IF(N($X193)&lt;=0,$AG193,IF($AH193+$AI193=DAY(EOMONTH(요약!$B$3,0)),IF(AND($AH193&gt;=요약!$E$3,$AI193&lt;요약!$E$3),"서울병원",IF(AND($AI193&gt;=요약!$E$3,$AH193&lt;요약!$E$3),"구리병원","⚠15일 판정불가(서울 "&amp;$AH193&amp;"일/구리 "&amp;$AI193&amp;"일)")),IF($AJ193="",$AE193,IF(INDEX(파견수련계획!$T$4:$T$83,$AJ193)="통합수련",INDEX(파견수련계획!$S$4:$S$83,$AJ193),$AE193)))))))</f>
        <v/>
      </c>
      <c r="Z193" s="19">
        <f>IF($B193="","",IF($AB193="","기본자료에 없는 사번",IF(COUNTIF($B$2:$B$401,$B193)&gt;1,"중복 사번",IF($AE193="","소속(입사장소) 입력",IF(IF(TRIM($J193&amp;"")="",0,SUMPRODUCT((파견수련계획!$Q$4:$Q$83=TRIM($J193&amp;""))*(파견수련계획!$AA$4:$AA$83&lt;&gt;"")))&gt;0,"파견수련계획 입력오류 확인",IF(LEFT($Y193,1)="⚠","서울·구리 15일 판정 불가(양쪽 모두 이상/미만)",IF(IF($AC193="",0,N(INDEX(인턴근무계획!$T$3:$T$62,$AC193)))&gt;0,"인턴계획 입력오류 확인",IF(AND($AC193&lt;&gt;"",$U193&lt;&gt;"파견중",$N193&lt;&gt;$AE193),"인턴 타지역 근무: 파견 여부 확인","정상"))))))))</f>
        <v/>
      </c>
      <c r="AA193" s="5" t="n"/>
      <c r="AB193" s="10">
        <f>IF($B193="","",IFERROR(MATCH($B193,기본자료!$B$2:$B$1001,0),IFERROR(MATCH($B193&amp;"",기본자료!$B$2:$B$1001,0),IFERROR(MATCH(VALUE($B193),기본자료!$B$2:$B$1001,0),""))))</f>
        <v/>
      </c>
      <c r="AC193" s="10">
        <f>IF($B193="","",IFERROR(MATCH($B193,인턴근무계획!$D$3:$D$62,0),IFERROR(MATCH($B193&amp;"",인턴근무계획!$D$3:$D$62,0),IFERROR(MATCH(VALUE($B193),인턴근무계획!$D$3:$D$62,0),""))))</f>
        <v/>
      </c>
      <c r="AD193" s="10">
        <f>IF(OR($AC193="",인턴현황!$G$3=""),"",INDEX(인턴근무계획!$M$3:$R$62,$AC193,인턴현황!$G$3)&amp;"")</f>
        <v/>
      </c>
      <c r="AE193" s="10">
        <f>IF($B193="","",IF($M193&lt;&gt;"",$M193,IF($AF193&lt;&gt;"",IF(LEFT(INDEX(파견수련계획!$R$4:$R$83,$AF193),1)&lt;&gt;"⚠",INDEX(파견수련계획!$R$4:$R$83,$AF193),IF($H193="","",IF(RIGHT($H193,2)="병원",$H193,$H193&amp;"병원"))),IF($H193="","",IF(RIGHT($H193,2)="병원",$H193,$H193&amp;"병원")))))</f>
        <v/>
      </c>
      <c r="AF193" s="10">
        <f>IF(OR($B193="",TRIM($J193&amp;"")=""),"",IFERROR(MATCH(TRIM($J193&amp;"")&amp;"|파견중",파견수련계획!$Y$4:$Y$83,0),IFERROR(MATCH(TRIM($J193&amp;"")&amp;"|파견예정",파견수련계획!$Y$4:$Y$83,0),IFERROR(MATCH(TRIM($J193&amp;"")&amp;"|파견종료",파견수련계획!$Y$4:$Y$83,0),""))))</f>
        <v/>
      </c>
      <c r="AG193" s="10">
        <f>IF($B193="","",IF(AND(IF(OR($AC193="",인턴현황!$K$2=""),"",INDEX(인턴근무계획!$M$3:$R$62,$AC193,인턴현황!$K$2)&amp;"")&lt;&gt;"",LEFT(IF(OR($AC193="",인턴현황!$K$2=""),"",INDEX(인턴근무계획!$M$3:$R$62,$AC193,인턴현황!$K$2)&amp;""),1)&lt;&gt;"⚠"),LEFT(IF(OR($AC193="",인턴현황!$K$2=""),"",INDEX(인턴근무계획!$M$3:$R$62,$AC193,인턴현황!$K$2)&amp;""),FIND(" ",IF(OR($AC193="",인턴현황!$K$2=""),"",INDEX(인턴근무계획!$M$3:$R$62,$AC193,인턴현황!$K$2)&amp;""))-1),$AE193))</f>
        <v/>
      </c>
      <c r="AH193" s="17">
        <f>IF($B193="","",IF(TRIM($J193&amp;"")="",0,SUMPRODUCT((파견수련계획!$Q$4:$Q$83=TRIM($J193&amp;""))*(파견수련계획!$S$4:$S$83="서울병원")*파견수련계획!$W$4:$W$83))+IF($AG193="서울병원",MAX(0,DAY(EOMONTH(요약!$B$3,0))-N($X193)),0))</f>
        <v/>
      </c>
      <c r="AI193" s="17">
        <f>IF($B193="","",IF(TRIM($J193&amp;"")="",0,SUMPRODUCT((파견수련계획!$Q$4:$Q$83=TRIM($J193&amp;""))*(파견수련계획!$S$4:$S$83="구리병원")*파견수련계획!$W$4:$W$83))+IF($AG193="구리병원",MAX(0,DAY(EOMONTH(요약!$B$3,0))-N($X193)),0))</f>
        <v/>
      </c>
      <c r="AJ193" s="10">
        <f>IF(OR($B193="",TRIM($J193&amp;"")=""),"",IFERROR(MATCH(TRIM($J193&amp;"")&amp;"|월",파견수련계획!$Z$4:$Z$83,0),""))</f>
        <v/>
      </c>
      <c r="AK193" s="10">
        <f>IF(OR($B193="",TRIM($J193&amp;"")=""),"",IFERROR(MATCH(TRIM($J193&amp;"")&amp;"|다기관",파견수련계획!$AE$4:$AE$83,0),""))</f>
        <v/>
      </c>
      <c r="AL193" s="10">
        <f>IF($AK193="","","다기관 "&amp;TEXT(INDEX(파견수련계획!$AB$4:$AB$83,$AK193),"yyyy-mm-dd")&amp;"~"&amp;IF(ISNUMBER(INDEX(파견수련계획!$AC$4:$AC$83,$AK193)),TEXT(INDEX(파견수련계획!$AC$4:$AC$83,$AK193),"yyyy-mm-dd"),""))</f>
        <v/>
      </c>
    </row>
    <row r="194">
      <c r="A194" s="10">
        <f>IF(B194="","",ROW()-1)</f>
        <v/>
      </c>
      <c r="B194" s="18" t="n"/>
      <c r="C194" s="10">
        <f>IF($AB194="","",IF(INDEX(기본자료!$C$2:$C$1001,$AB194)="","",INDEX(기본자료!$C$2:$C$1001,$AB194)))</f>
        <v/>
      </c>
      <c r="D194" s="10">
        <f>IF($AB194="","",IF(INDEX(기본자료!$J$2:$J$1001,$AB194)="","",INDEX(기본자료!$J$2:$J$1001,$AB194)))</f>
        <v/>
      </c>
      <c r="E194" s="11">
        <f>IF($AB194="","",IF(INDEX(기본자료!$K$2:$K$1001,$AB194)="","",IF(NOT(ISNUMBER(INDEX(기본자료!$K$2:$K$1001,$AB194))),INDEX(기본자료!$K$2:$K$1001,$AB194),IF(INDEX(기본자료!$K$2:$K$1001,$AB194)&lt;1000000,INDEX(기본자료!$K$2:$K$1001,$AB194),IF(AND(INDEX(기본자료!$K$2:$K$1001,$AB194)&gt;=10000101,INT(MOD(INDEX(기본자료!$K$2:$K$1001,$AB194),10000)/100)&gt;=1,INT(MOD(INDEX(기본자료!$K$2:$K$1001,$AB194),10000)/100)&lt;=12,MOD(INDEX(기본자료!$K$2:$K$1001,$AB194),100)&gt;=1,MOD(INDEX(기본자료!$K$2:$K$1001,$AB194),100)&lt;=31),DATE(INT(INDEX(기본자료!$K$2:$K$1001,$AB194)/10000),INT(MOD(INDEX(기본자료!$K$2:$K$1001,$AB194),10000)/100),MOD(INDEX(기본자료!$K$2:$K$1001,$AB194),100)),INDEX(기본자료!$K$2:$K$1001,$AB194)&amp;"")))))</f>
        <v/>
      </c>
      <c r="F194" s="10">
        <f>IF($AB194="","",IF(INDEX(기본자료!$D$2:$D$1001,$AB194)="","",INDEX(기본자료!$D$2:$D$1001,$AB194)))</f>
        <v/>
      </c>
      <c r="G194" s="10">
        <f>IF($AB194="","",IF(INDEX(기본자료!$E$2:$E$1001,$AB194)="","",INDEX(기본자료!$E$2:$E$1001,$AB194)))</f>
        <v/>
      </c>
      <c r="H194" s="10">
        <f>IF($AB194="","",IF(INDEX(기본자료!$F$2:$F$1001,$AB194)="","",INDEX(기본자료!$F$2:$F$1001,$AB194)))</f>
        <v/>
      </c>
      <c r="I194" s="11">
        <f>IF($AB194="","",IF(INDEX(기본자료!$G$2:$G$1001,$AB194)="","",IF(NOT(ISNUMBER(INDEX(기본자료!$G$2:$G$1001,$AB194))),INDEX(기본자료!$G$2:$G$1001,$AB194),IF(INDEX(기본자료!$G$2:$G$1001,$AB194)&lt;1000000,INDEX(기본자료!$G$2:$G$1001,$AB194),IF(AND(INDEX(기본자료!$G$2:$G$1001,$AB194)&gt;=10000101,INT(MOD(INDEX(기본자료!$G$2:$G$1001,$AB194),10000)/100)&gt;=1,INT(MOD(INDEX(기본자료!$G$2:$G$1001,$AB194),10000)/100)&lt;=12,MOD(INDEX(기본자료!$G$2:$G$1001,$AB194),100)&gt;=1,MOD(INDEX(기본자료!$G$2:$G$1001,$AB194),100)&lt;=31),DATE(INT(INDEX(기본자료!$G$2:$G$1001,$AB194)/10000),INT(MOD(INDEX(기본자료!$G$2:$G$1001,$AB194),10000)/100),MOD(INDEX(기본자료!$G$2:$G$1001,$AB194),100)),INDEX(기본자료!$G$2:$G$1001,$AB194)&amp;"")))))</f>
        <v/>
      </c>
      <c r="J194" s="10">
        <f>IF($AB194="","",IF(INDEX(기본자료!$H$2:$H$1001,$AB194)="","",INDEX(기본자료!$H$2:$H$1001,$AB194)))</f>
        <v/>
      </c>
      <c r="K194" s="10">
        <f>IF($AB194="","",IF(INDEX(기본자료!$I$2:$I$1001,$AB194)="","",INDEX(기본자료!$I$2:$I$1001,$AB194)))</f>
        <v/>
      </c>
      <c r="L194" s="10">
        <f>IF($AB194="","",IF(INDEX(기본자료!$A$2:$A$1001,$AB194)="","",INDEX(기본자료!$A$2:$A$1001,$AB194)))</f>
        <v/>
      </c>
      <c r="M194" s="15" t="n"/>
      <c r="N194" s="10">
        <f>IF($B194="","",IF(AND($U194="파견중",$Q194&lt;&gt;""),$Q194,IF(AND($AD194&lt;&gt;"",LEFT($AD194,1)&lt;&gt;"⚠"),LEFT($AD194,FIND(" ",$AD194)-1),IF($H194="","",IF(RIGHT($H194,2)="병원",$H194,$H194&amp;"병원")))))</f>
        <v/>
      </c>
      <c r="O194" s="10">
        <f>IF($B194="","",IF(AND($U194="파견중",$Q194&lt;&gt;""),IF($R194&lt;&gt;"",$R194,"파견과 미입력"),IF(AND($AD194&lt;&gt;"",LEFT($AD194,1)&lt;&gt;"⚠"),MID($AD194,FIND(" ",$AD194)+1,60),IF($F194="","",IF($F194="인턴","수련교육부(인턴)",$F194)))))</f>
        <v/>
      </c>
      <c r="P194" s="10">
        <f>IF($B194="","",IF($AK194&lt;&gt;"",IF(AND(TODAY()&gt;=INDEX(파견수련계획!$AB$4:$AB$83,$AK194),OR(NOT(ISNUMBER(INDEX(파견수련계획!$AC$4:$AC$83,$AK194))),TODAY()&lt;=INDEX(파견수련계획!$AC$4:$AC$83,$AK194))),"다기관",IF($AF194="","",INDEX(파견수련계획!$T$4:$T$83,$AF194))),IF($AF194="","",INDEX(파견수련계획!$T$4:$T$83,$AF194))))</f>
        <v/>
      </c>
      <c r="Q194" s="10">
        <f>IF($AF194="","",INDEX(파견수련계획!$S$4:$S$83,$AF194))</f>
        <v/>
      </c>
      <c r="R194" s="10">
        <f>IF($AF194="","",INDEX(파견수련계획!$U$4:$U$83,$AF194))</f>
        <v/>
      </c>
      <c r="S194" s="11">
        <f>IF($AF194="","",IF(INDEX(파견수련계획!$H$4:$H$83,$AF194)="","",INDEX(파견수련계획!$H$4:$H$83,$AF194)))</f>
        <v/>
      </c>
      <c r="T194" s="11">
        <f>IF($AF194="","",IF(INDEX(파견수련계획!$I$4:$I$83,$AF194)="","",INDEX(파견수련계획!$I$4:$I$83,$AF194)))</f>
        <v/>
      </c>
      <c r="U194" s="10">
        <f>IF($AF194="","",INDEX(파견수련계획!$X$4:$X$83,$AF194))</f>
        <v/>
      </c>
      <c r="V194" s="17">
        <f>IF($AF194="","",INDEX(파견수련계획!$V$4:$V$83,$AF194))</f>
        <v/>
      </c>
      <c r="W194" s="17">
        <f>IF(AND($U194="파견중",$T194&lt;&gt;""),$T194-TODAY(),"")</f>
        <v/>
      </c>
      <c r="X194" s="17">
        <f>IF(OR($B194="",TRIM($J194&amp;"")=""),"",SUMPRODUCT((파견수련계획!$Q$4:$Q$83=TRIM($J194&amp;""))*파견수련계획!$W$4:$W$83))</f>
        <v/>
      </c>
      <c r="Y194" s="10">
        <f>IF($B194="","",IF($AG194="","",IF(IF(TRIM($J194&amp;"")="",0,SUMPRODUCT((파견수련계획!$Q$4:$Q$83=TRIM($J194&amp;""))*파견수련계획!$AD$4:$AD$83))&gt;0,$AE194,IF(N($X194)&lt;=0,$AG194,IF($AH194+$AI194=DAY(EOMONTH(요약!$B$3,0)),IF(AND($AH194&gt;=요약!$E$3,$AI194&lt;요약!$E$3),"서울병원",IF(AND($AI194&gt;=요약!$E$3,$AH194&lt;요약!$E$3),"구리병원","⚠15일 판정불가(서울 "&amp;$AH194&amp;"일/구리 "&amp;$AI194&amp;"일)")),IF($AJ194="",$AE194,IF(INDEX(파견수련계획!$T$4:$T$83,$AJ194)="통합수련",INDEX(파견수련계획!$S$4:$S$83,$AJ194),$AE194)))))))</f>
        <v/>
      </c>
      <c r="Z194" s="19">
        <f>IF($B194="","",IF($AB194="","기본자료에 없는 사번",IF(COUNTIF($B$2:$B$401,$B194)&gt;1,"중복 사번",IF($AE194="","소속(입사장소) 입력",IF(IF(TRIM($J194&amp;"")="",0,SUMPRODUCT((파견수련계획!$Q$4:$Q$83=TRIM($J194&amp;""))*(파견수련계획!$AA$4:$AA$83&lt;&gt;"")))&gt;0,"파견수련계획 입력오류 확인",IF(LEFT($Y194,1)="⚠","서울·구리 15일 판정 불가(양쪽 모두 이상/미만)",IF(IF($AC194="",0,N(INDEX(인턴근무계획!$T$3:$T$62,$AC194)))&gt;0,"인턴계획 입력오류 확인",IF(AND($AC194&lt;&gt;"",$U194&lt;&gt;"파견중",$N194&lt;&gt;$AE194),"인턴 타지역 근무: 파견 여부 확인","정상"))))))))</f>
        <v/>
      </c>
      <c r="AA194" s="5" t="n"/>
      <c r="AB194" s="10">
        <f>IF($B194="","",IFERROR(MATCH($B194,기본자료!$B$2:$B$1001,0),IFERROR(MATCH($B194&amp;"",기본자료!$B$2:$B$1001,0),IFERROR(MATCH(VALUE($B194),기본자료!$B$2:$B$1001,0),""))))</f>
        <v/>
      </c>
      <c r="AC194" s="10">
        <f>IF($B194="","",IFERROR(MATCH($B194,인턴근무계획!$D$3:$D$62,0),IFERROR(MATCH($B194&amp;"",인턴근무계획!$D$3:$D$62,0),IFERROR(MATCH(VALUE($B194),인턴근무계획!$D$3:$D$62,0),""))))</f>
        <v/>
      </c>
      <c r="AD194" s="10">
        <f>IF(OR($AC194="",인턴현황!$G$3=""),"",INDEX(인턴근무계획!$M$3:$R$62,$AC194,인턴현황!$G$3)&amp;"")</f>
        <v/>
      </c>
      <c r="AE194" s="10">
        <f>IF($B194="","",IF($M194&lt;&gt;"",$M194,IF($AF194&lt;&gt;"",IF(LEFT(INDEX(파견수련계획!$R$4:$R$83,$AF194),1)&lt;&gt;"⚠",INDEX(파견수련계획!$R$4:$R$83,$AF194),IF($H194="","",IF(RIGHT($H194,2)="병원",$H194,$H194&amp;"병원"))),IF($H194="","",IF(RIGHT($H194,2)="병원",$H194,$H194&amp;"병원")))))</f>
        <v/>
      </c>
      <c r="AF194" s="10">
        <f>IF(OR($B194="",TRIM($J194&amp;"")=""),"",IFERROR(MATCH(TRIM($J194&amp;"")&amp;"|파견중",파견수련계획!$Y$4:$Y$83,0),IFERROR(MATCH(TRIM($J194&amp;"")&amp;"|파견예정",파견수련계획!$Y$4:$Y$83,0),IFERROR(MATCH(TRIM($J194&amp;"")&amp;"|파견종료",파견수련계획!$Y$4:$Y$83,0),""))))</f>
        <v/>
      </c>
      <c r="AG194" s="10">
        <f>IF($B194="","",IF(AND(IF(OR($AC194="",인턴현황!$K$2=""),"",INDEX(인턴근무계획!$M$3:$R$62,$AC194,인턴현황!$K$2)&amp;"")&lt;&gt;"",LEFT(IF(OR($AC194="",인턴현황!$K$2=""),"",INDEX(인턴근무계획!$M$3:$R$62,$AC194,인턴현황!$K$2)&amp;""),1)&lt;&gt;"⚠"),LEFT(IF(OR($AC194="",인턴현황!$K$2=""),"",INDEX(인턴근무계획!$M$3:$R$62,$AC194,인턴현황!$K$2)&amp;""),FIND(" ",IF(OR($AC194="",인턴현황!$K$2=""),"",INDEX(인턴근무계획!$M$3:$R$62,$AC194,인턴현황!$K$2)&amp;""))-1),$AE194))</f>
        <v/>
      </c>
      <c r="AH194" s="17">
        <f>IF($B194="","",IF(TRIM($J194&amp;"")="",0,SUMPRODUCT((파견수련계획!$Q$4:$Q$83=TRIM($J194&amp;""))*(파견수련계획!$S$4:$S$83="서울병원")*파견수련계획!$W$4:$W$83))+IF($AG194="서울병원",MAX(0,DAY(EOMONTH(요약!$B$3,0))-N($X194)),0))</f>
        <v/>
      </c>
      <c r="AI194" s="17">
        <f>IF($B194="","",IF(TRIM($J194&amp;"")="",0,SUMPRODUCT((파견수련계획!$Q$4:$Q$83=TRIM($J194&amp;""))*(파견수련계획!$S$4:$S$83="구리병원")*파견수련계획!$W$4:$W$83))+IF($AG194="구리병원",MAX(0,DAY(EOMONTH(요약!$B$3,0))-N($X194)),0))</f>
        <v/>
      </c>
      <c r="AJ194" s="10">
        <f>IF(OR($B194="",TRIM($J194&amp;"")=""),"",IFERROR(MATCH(TRIM($J194&amp;"")&amp;"|월",파견수련계획!$Z$4:$Z$83,0),""))</f>
        <v/>
      </c>
      <c r="AK194" s="10">
        <f>IF(OR($B194="",TRIM($J194&amp;"")=""),"",IFERROR(MATCH(TRIM($J194&amp;"")&amp;"|다기관",파견수련계획!$AE$4:$AE$83,0),""))</f>
        <v/>
      </c>
      <c r="AL194" s="10">
        <f>IF($AK194="","","다기관 "&amp;TEXT(INDEX(파견수련계획!$AB$4:$AB$83,$AK194),"yyyy-mm-dd")&amp;"~"&amp;IF(ISNUMBER(INDEX(파견수련계획!$AC$4:$AC$83,$AK194)),TEXT(INDEX(파견수련계획!$AC$4:$AC$83,$AK194),"yyyy-mm-dd"),""))</f>
        <v/>
      </c>
    </row>
    <row r="195">
      <c r="A195" s="10">
        <f>IF(B195="","",ROW()-1)</f>
        <v/>
      </c>
      <c r="B195" s="18" t="n"/>
      <c r="C195" s="10">
        <f>IF($AB195="","",IF(INDEX(기본자료!$C$2:$C$1001,$AB195)="","",INDEX(기본자료!$C$2:$C$1001,$AB195)))</f>
        <v/>
      </c>
      <c r="D195" s="10">
        <f>IF($AB195="","",IF(INDEX(기본자료!$J$2:$J$1001,$AB195)="","",INDEX(기본자료!$J$2:$J$1001,$AB195)))</f>
        <v/>
      </c>
      <c r="E195" s="11">
        <f>IF($AB195="","",IF(INDEX(기본자료!$K$2:$K$1001,$AB195)="","",IF(NOT(ISNUMBER(INDEX(기본자료!$K$2:$K$1001,$AB195))),INDEX(기본자료!$K$2:$K$1001,$AB195),IF(INDEX(기본자료!$K$2:$K$1001,$AB195)&lt;1000000,INDEX(기본자료!$K$2:$K$1001,$AB195),IF(AND(INDEX(기본자료!$K$2:$K$1001,$AB195)&gt;=10000101,INT(MOD(INDEX(기본자료!$K$2:$K$1001,$AB195),10000)/100)&gt;=1,INT(MOD(INDEX(기본자료!$K$2:$K$1001,$AB195),10000)/100)&lt;=12,MOD(INDEX(기본자료!$K$2:$K$1001,$AB195),100)&gt;=1,MOD(INDEX(기본자료!$K$2:$K$1001,$AB195),100)&lt;=31),DATE(INT(INDEX(기본자료!$K$2:$K$1001,$AB195)/10000),INT(MOD(INDEX(기본자료!$K$2:$K$1001,$AB195),10000)/100),MOD(INDEX(기본자료!$K$2:$K$1001,$AB195),100)),INDEX(기본자료!$K$2:$K$1001,$AB195)&amp;"")))))</f>
        <v/>
      </c>
      <c r="F195" s="10">
        <f>IF($AB195="","",IF(INDEX(기본자료!$D$2:$D$1001,$AB195)="","",INDEX(기본자료!$D$2:$D$1001,$AB195)))</f>
        <v/>
      </c>
      <c r="G195" s="10">
        <f>IF($AB195="","",IF(INDEX(기본자료!$E$2:$E$1001,$AB195)="","",INDEX(기본자료!$E$2:$E$1001,$AB195)))</f>
        <v/>
      </c>
      <c r="H195" s="10">
        <f>IF($AB195="","",IF(INDEX(기본자료!$F$2:$F$1001,$AB195)="","",INDEX(기본자료!$F$2:$F$1001,$AB195)))</f>
        <v/>
      </c>
      <c r="I195" s="11">
        <f>IF($AB195="","",IF(INDEX(기본자료!$G$2:$G$1001,$AB195)="","",IF(NOT(ISNUMBER(INDEX(기본자료!$G$2:$G$1001,$AB195))),INDEX(기본자료!$G$2:$G$1001,$AB195),IF(INDEX(기본자료!$G$2:$G$1001,$AB195)&lt;1000000,INDEX(기본자료!$G$2:$G$1001,$AB195),IF(AND(INDEX(기본자료!$G$2:$G$1001,$AB195)&gt;=10000101,INT(MOD(INDEX(기본자료!$G$2:$G$1001,$AB195),10000)/100)&gt;=1,INT(MOD(INDEX(기본자료!$G$2:$G$1001,$AB195),10000)/100)&lt;=12,MOD(INDEX(기본자료!$G$2:$G$1001,$AB195),100)&gt;=1,MOD(INDEX(기본자료!$G$2:$G$1001,$AB195),100)&lt;=31),DATE(INT(INDEX(기본자료!$G$2:$G$1001,$AB195)/10000),INT(MOD(INDEX(기본자료!$G$2:$G$1001,$AB195),10000)/100),MOD(INDEX(기본자료!$G$2:$G$1001,$AB195),100)),INDEX(기본자료!$G$2:$G$1001,$AB195)&amp;"")))))</f>
        <v/>
      </c>
      <c r="J195" s="10">
        <f>IF($AB195="","",IF(INDEX(기본자료!$H$2:$H$1001,$AB195)="","",INDEX(기본자료!$H$2:$H$1001,$AB195)))</f>
        <v/>
      </c>
      <c r="K195" s="10">
        <f>IF($AB195="","",IF(INDEX(기본자료!$I$2:$I$1001,$AB195)="","",INDEX(기본자료!$I$2:$I$1001,$AB195)))</f>
        <v/>
      </c>
      <c r="L195" s="10">
        <f>IF($AB195="","",IF(INDEX(기본자료!$A$2:$A$1001,$AB195)="","",INDEX(기본자료!$A$2:$A$1001,$AB195)))</f>
        <v/>
      </c>
      <c r="M195" s="15" t="n"/>
      <c r="N195" s="10">
        <f>IF($B195="","",IF(AND($U195="파견중",$Q195&lt;&gt;""),$Q195,IF(AND($AD195&lt;&gt;"",LEFT($AD195,1)&lt;&gt;"⚠"),LEFT($AD195,FIND(" ",$AD195)-1),IF($H195="","",IF(RIGHT($H195,2)="병원",$H195,$H195&amp;"병원")))))</f>
        <v/>
      </c>
      <c r="O195" s="10">
        <f>IF($B195="","",IF(AND($U195="파견중",$Q195&lt;&gt;""),IF($R195&lt;&gt;"",$R195,"파견과 미입력"),IF(AND($AD195&lt;&gt;"",LEFT($AD195,1)&lt;&gt;"⚠"),MID($AD195,FIND(" ",$AD195)+1,60),IF($F195="","",IF($F195="인턴","수련교육부(인턴)",$F195)))))</f>
        <v/>
      </c>
      <c r="P195" s="10">
        <f>IF($B195="","",IF($AK195&lt;&gt;"",IF(AND(TODAY()&gt;=INDEX(파견수련계획!$AB$4:$AB$83,$AK195),OR(NOT(ISNUMBER(INDEX(파견수련계획!$AC$4:$AC$83,$AK195))),TODAY()&lt;=INDEX(파견수련계획!$AC$4:$AC$83,$AK195))),"다기관",IF($AF195="","",INDEX(파견수련계획!$T$4:$T$83,$AF195))),IF($AF195="","",INDEX(파견수련계획!$T$4:$T$83,$AF195))))</f>
        <v/>
      </c>
      <c r="Q195" s="10">
        <f>IF($AF195="","",INDEX(파견수련계획!$S$4:$S$83,$AF195))</f>
        <v/>
      </c>
      <c r="R195" s="10">
        <f>IF($AF195="","",INDEX(파견수련계획!$U$4:$U$83,$AF195))</f>
        <v/>
      </c>
      <c r="S195" s="11">
        <f>IF($AF195="","",IF(INDEX(파견수련계획!$H$4:$H$83,$AF195)="","",INDEX(파견수련계획!$H$4:$H$83,$AF195)))</f>
        <v/>
      </c>
      <c r="T195" s="11">
        <f>IF($AF195="","",IF(INDEX(파견수련계획!$I$4:$I$83,$AF195)="","",INDEX(파견수련계획!$I$4:$I$83,$AF195)))</f>
        <v/>
      </c>
      <c r="U195" s="10">
        <f>IF($AF195="","",INDEX(파견수련계획!$X$4:$X$83,$AF195))</f>
        <v/>
      </c>
      <c r="V195" s="17">
        <f>IF($AF195="","",INDEX(파견수련계획!$V$4:$V$83,$AF195))</f>
        <v/>
      </c>
      <c r="W195" s="17">
        <f>IF(AND($U195="파견중",$T195&lt;&gt;""),$T195-TODAY(),"")</f>
        <v/>
      </c>
      <c r="X195" s="17">
        <f>IF(OR($B195="",TRIM($J195&amp;"")=""),"",SUMPRODUCT((파견수련계획!$Q$4:$Q$83=TRIM($J195&amp;""))*파견수련계획!$W$4:$W$83))</f>
        <v/>
      </c>
      <c r="Y195" s="10">
        <f>IF($B195="","",IF($AG195="","",IF(IF(TRIM($J195&amp;"")="",0,SUMPRODUCT((파견수련계획!$Q$4:$Q$83=TRIM($J195&amp;""))*파견수련계획!$AD$4:$AD$83))&gt;0,$AE195,IF(N($X195)&lt;=0,$AG195,IF($AH195+$AI195=DAY(EOMONTH(요약!$B$3,0)),IF(AND($AH195&gt;=요약!$E$3,$AI195&lt;요약!$E$3),"서울병원",IF(AND($AI195&gt;=요약!$E$3,$AH195&lt;요약!$E$3),"구리병원","⚠15일 판정불가(서울 "&amp;$AH195&amp;"일/구리 "&amp;$AI195&amp;"일)")),IF($AJ195="",$AE195,IF(INDEX(파견수련계획!$T$4:$T$83,$AJ195)="통합수련",INDEX(파견수련계획!$S$4:$S$83,$AJ195),$AE195)))))))</f>
        <v/>
      </c>
      <c r="Z195" s="19">
        <f>IF($B195="","",IF($AB195="","기본자료에 없는 사번",IF(COUNTIF($B$2:$B$401,$B195)&gt;1,"중복 사번",IF($AE195="","소속(입사장소) 입력",IF(IF(TRIM($J195&amp;"")="",0,SUMPRODUCT((파견수련계획!$Q$4:$Q$83=TRIM($J195&amp;""))*(파견수련계획!$AA$4:$AA$83&lt;&gt;"")))&gt;0,"파견수련계획 입력오류 확인",IF(LEFT($Y195,1)="⚠","서울·구리 15일 판정 불가(양쪽 모두 이상/미만)",IF(IF($AC195="",0,N(INDEX(인턴근무계획!$T$3:$T$62,$AC195)))&gt;0,"인턴계획 입력오류 확인",IF(AND($AC195&lt;&gt;"",$U195&lt;&gt;"파견중",$N195&lt;&gt;$AE195),"인턴 타지역 근무: 파견 여부 확인","정상"))))))))</f>
        <v/>
      </c>
      <c r="AA195" s="5" t="n"/>
      <c r="AB195" s="10">
        <f>IF($B195="","",IFERROR(MATCH($B195,기본자료!$B$2:$B$1001,0),IFERROR(MATCH($B195&amp;"",기본자료!$B$2:$B$1001,0),IFERROR(MATCH(VALUE($B195),기본자료!$B$2:$B$1001,0),""))))</f>
        <v/>
      </c>
      <c r="AC195" s="10">
        <f>IF($B195="","",IFERROR(MATCH($B195,인턴근무계획!$D$3:$D$62,0),IFERROR(MATCH($B195&amp;"",인턴근무계획!$D$3:$D$62,0),IFERROR(MATCH(VALUE($B195),인턴근무계획!$D$3:$D$62,0),""))))</f>
        <v/>
      </c>
      <c r="AD195" s="10">
        <f>IF(OR($AC195="",인턴현황!$G$3=""),"",INDEX(인턴근무계획!$M$3:$R$62,$AC195,인턴현황!$G$3)&amp;"")</f>
        <v/>
      </c>
      <c r="AE195" s="10">
        <f>IF($B195="","",IF($M195&lt;&gt;"",$M195,IF($AF195&lt;&gt;"",IF(LEFT(INDEX(파견수련계획!$R$4:$R$83,$AF195),1)&lt;&gt;"⚠",INDEX(파견수련계획!$R$4:$R$83,$AF195),IF($H195="","",IF(RIGHT($H195,2)="병원",$H195,$H195&amp;"병원"))),IF($H195="","",IF(RIGHT($H195,2)="병원",$H195,$H195&amp;"병원")))))</f>
        <v/>
      </c>
      <c r="AF195" s="10">
        <f>IF(OR($B195="",TRIM($J195&amp;"")=""),"",IFERROR(MATCH(TRIM($J195&amp;"")&amp;"|파견중",파견수련계획!$Y$4:$Y$83,0),IFERROR(MATCH(TRIM($J195&amp;"")&amp;"|파견예정",파견수련계획!$Y$4:$Y$83,0),IFERROR(MATCH(TRIM($J195&amp;"")&amp;"|파견종료",파견수련계획!$Y$4:$Y$83,0),""))))</f>
        <v/>
      </c>
      <c r="AG195" s="10">
        <f>IF($B195="","",IF(AND(IF(OR($AC195="",인턴현황!$K$2=""),"",INDEX(인턴근무계획!$M$3:$R$62,$AC195,인턴현황!$K$2)&amp;"")&lt;&gt;"",LEFT(IF(OR($AC195="",인턴현황!$K$2=""),"",INDEX(인턴근무계획!$M$3:$R$62,$AC195,인턴현황!$K$2)&amp;""),1)&lt;&gt;"⚠"),LEFT(IF(OR($AC195="",인턴현황!$K$2=""),"",INDEX(인턴근무계획!$M$3:$R$62,$AC195,인턴현황!$K$2)&amp;""),FIND(" ",IF(OR($AC195="",인턴현황!$K$2=""),"",INDEX(인턴근무계획!$M$3:$R$62,$AC195,인턴현황!$K$2)&amp;""))-1),$AE195))</f>
        <v/>
      </c>
      <c r="AH195" s="17">
        <f>IF($B195="","",IF(TRIM($J195&amp;"")="",0,SUMPRODUCT((파견수련계획!$Q$4:$Q$83=TRIM($J195&amp;""))*(파견수련계획!$S$4:$S$83="서울병원")*파견수련계획!$W$4:$W$83))+IF($AG195="서울병원",MAX(0,DAY(EOMONTH(요약!$B$3,0))-N($X195)),0))</f>
        <v/>
      </c>
      <c r="AI195" s="17">
        <f>IF($B195="","",IF(TRIM($J195&amp;"")="",0,SUMPRODUCT((파견수련계획!$Q$4:$Q$83=TRIM($J195&amp;""))*(파견수련계획!$S$4:$S$83="구리병원")*파견수련계획!$W$4:$W$83))+IF($AG195="구리병원",MAX(0,DAY(EOMONTH(요약!$B$3,0))-N($X195)),0))</f>
        <v/>
      </c>
      <c r="AJ195" s="10">
        <f>IF(OR($B195="",TRIM($J195&amp;"")=""),"",IFERROR(MATCH(TRIM($J195&amp;"")&amp;"|월",파견수련계획!$Z$4:$Z$83,0),""))</f>
        <v/>
      </c>
      <c r="AK195" s="10">
        <f>IF(OR($B195="",TRIM($J195&amp;"")=""),"",IFERROR(MATCH(TRIM($J195&amp;"")&amp;"|다기관",파견수련계획!$AE$4:$AE$83,0),""))</f>
        <v/>
      </c>
      <c r="AL195" s="10">
        <f>IF($AK195="","","다기관 "&amp;TEXT(INDEX(파견수련계획!$AB$4:$AB$83,$AK195),"yyyy-mm-dd")&amp;"~"&amp;IF(ISNUMBER(INDEX(파견수련계획!$AC$4:$AC$83,$AK195)),TEXT(INDEX(파견수련계획!$AC$4:$AC$83,$AK195),"yyyy-mm-dd"),""))</f>
        <v/>
      </c>
    </row>
    <row r="196">
      <c r="A196" s="10">
        <f>IF(B196="","",ROW()-1)</f>
        <v/>
      </c>
      <c r="B196" s="18" t="n"/>
      <c r="C196" s="10">
        <f>IF($AB196="","",IF(INDEX(기본자료!$C$2:$C$1001,$AB196)="","",INDEX(기본자료!$C$2:$C$1001,$AB196)))</f>
        <v/>
      </c>
      <c r="D196" s="10">
        <f>IF($AB196="","",IF(INDEX(기본자료!$J$2:$J$1001,$AB196)="","",INDEX(기본자료!$J$2:$J$1001,$AB196)))</f>
        <v/>
      </c>
      <c r="E196" s="11">
        <f>IF($AB196="","",IF(INDEX(기본자료!$K$2:$K$1001,$AB196)="","",IF(NOT(ISNUMBER(INDEX(기본자료!$K$2:$K$1001,$AB196))),INDEX(기본자료!$K$2:$K$1001,$AB196),IF(INDEX(기본자료!$K$2:$K$1001,$AB196)&lt;1000000,INDEX(기본자료!$K$2:$K$1001,$AB196),IF(AND(INDEX(기본자료!$K$2:$K$1001,$AB196)&gt;=10000101,INT(MOD(INDEX(기본자료!$K$2:$K$1001,$AB196),10000)/100)&gt;=1,INT(MOD(INDEX(기본자료!$K$2:$K$1001,$AB196),10000)/100)&lt;=12,MOD(INDEX(기본자료!$K$2:$K$1001,$AB196),100)&gt;=1,MOD(INDEX(기본자료!$K$2:$K$1001,$AB196),100)&lt;=31),DATE(INT(INDEX(기본자료!$K$2:$K$1001,$AB196)/10000),INT(MOD(INDEX(기본자료!$K$2:$K$1001,$AB196),10000)/100),MOD(INDEX(기본자료!$K$2:$K$1001,$AB196),100)),INDEX(기본자료!$K$2:$K$1001,$AB196)&amp;"")))))</f>
        <v/>
      </c>
      <c r="F196" s="10">
        <f>IF($AB196="","",IF(INDEX(기본자료!$D$2:$D$1001,$AB196)="","",INDEX(기본자료!$D$2:$D$1001,$AB196)))</f>
        <v/>
      </c>
      <c r="G196" s="10">
        <f>IF($AB196="","",IF(INDEX(기본자료!$E$2:$E$1001,$AB196)="","",INDEX(기본자료!$E$2:$E$1001,$AB196)))</f>
        <v/>
      </c>
      <c r="H196" s="10">
        <f>IF($AB196="","",IF(INDEX(기본자료!$F$2:$F$1001,$AB196)="","",INDEX(기본자료!$F$2:$F$1001,$AB196)))</f>
        <v/>
      </c>
      <c r="I196" s="11">
        <f>IF($AB196="","",IF(INDEX(기본자료!$G$2:$G$1001,$AB196)="","",IF(NOT(ISNUMBER(INDEX(기본자료!$G$2:$G$1001,$AB196))),INDEX(기본자료!$G$2:$G$1001,$AB196),IF(INDEX(기본자료!$G$2:$G$1001,$AB196)&lt;1000000,INDEX(기본자료!$G$2:$G$1001,$AB196),IF(AND(INDEX(기본자료!$G$2:$G$1001,$AB196)&gt;=10000101,INT(MOD(INDEX(기본자료!$G$2:$G$1001,$AB196),10000)/100)&gt;=1,INT(MOD(INDEX(기본자료!$G$2:$G$1001,$AB196),10000)/100)&lt;=12,MOD(INDEX(기본자료!$G$2:$G$1001,$AB196),100)&gt;=1,MOD(INDEX(기본자료!$G$2:$G$1001,$AB196),100)&lt;=31),DATE(INT(INDEX(기본자료!$G$2:$G$1001,$AB196)/10000),INT(MOD(INDEX(기본자료!$G$2:$G$1001,$AB196),10000)/100),MOD(INDEX(기본자료!$G$2:$G$1001,$AB196),100)),INDEX(기본자료!$G$2:$G$1001,$AB196)&amp;"")))))</f>
        <v/>
      </c>
      <c r="J196" s="10">
        <f>IF($AB196="","",IF(INDEX(기본자료!$H$2:$H$1001,$AB196)="","",INDEX(기본자료!$H$2:$H$1001,$AB196)))</f>
        <v/>
      </c>
      <c r="K196" s="10">
        <f>IF($AB196="","",IF(INDEX(기본자료!$I$2:$I$1001,$AB196)="","",INDEX(기본자료!$I$2:$I$1001,$AB196)))</f>
        <v/>
      </c>
      <c r="L196" s="10">
        <f>IF($AB196="","",IF(INDEX(기본자료!$A$2:$A$1001,$AB196)="","",INDEX(기본자료!$A$2:$A$1001,$AB196)))</f>
        <v/>
      </c>
      <c r="M196" s="15" t="n"/>
      <c r="N196" s="10">
        <f>IF($B196="","",IF(AND($U196="파견중",$Q196&lt;&gt;""),$Q196,IF(AND($AD196&lt;&gt;"",LEFT($AD196,1)&lt;&gt;"⚠"),LEFT($AD196,FIND(" ",$AD196)-1),IF($H196="","",IF(RIGHT($H196,2)="병원",$H196,$H196&amp;"병원")))))</f>
        <v/>
      </c>
      <c r="O196" s="10">
        <f>IF($B196="","",IF(AND($U196="파견중",$Q196&lt;&gt;""),IF($R196&lt;&gt;"",$R196,"파견과 미입력"),IF(AND($AD196&lt;&gt;"",LEFT($AD196,1)&lt;&gt;"⚠"),MID($AD196,FIND(" ",$AD196)+1,60),IF($F196="","",IF($F196="인턴","수련교육부(인턴)",$F196)))))</f>
        <v/>
      </c>
      <c r="P196" s="10">
        <f>IF($B196="","",IF($AK196&lt;&gt;"",IF(AND(TODAY()&gt;=INDEX(파견수련계획!$AB$4:$AB$83,$AK196),OR(NOT(ISNUMBER(INDEX(파견수련계획!$AC$4:$AC$83,$AK196))),TODAY()&lt;=INDEX(파견수련계획!$AC$4:$AC$83,$AK196))),"다기관",IF($AF196="","",INDEX(파견수련계획!$T$4:$T$83,$AF196))),IF($AF196="","",INDEX(파견수련계획!$T$4:$T$83,$AF196))))</f>
        <v/>
      </c>
      <c r="Q196" s="10">
        <f>IF($AF196="","",INDEX(파견수련계획!$S$4:$S$83,$AF196))</f>
        <v/>
      </c>
      <c r="R196" s="10">
        <f>IF($AF196="","",INDEX(파견수련계획!$U$4:$U$83,$AF196))</f>
        <v/>
      </c>
      <c r="S196" s="11">
        <f>IF($AF196="","",IF(INDEX(파견수련계획!$H$4:$H$83,$AF196)="","",INDEX(파견수련계획!$H$4:$H$83,$AF196)))</f>
        <v/>
      </c>
      <c r="T196" s="11">
        <f>IF($AF196="","",IF(INDEX(파견수련계획!$I$4:$I$83,$AF196)="","",INDEX(파견수련계획!$I$4:$I$83,$AF196)))</f>
        <v/>
      </c>
      <c r="U196" s="10">
        <f>IF($AF196="","",INDEX(파견수련계획!$X$4:$X$83,$AF196))</f>
        <v/>
      </c>
      <c r="V196" s="17">
        <f>IF($AF196="","",INDEX(파견수련계획!$V$4:$V$83,$AF196))</f>
        <v/>
      </c>
      <c r="W196" s="17">
        <f>IF(AND($U196="파견중",$T196&lt;&gt;""),$T196-TODAY(),"")</f>
        <v/>
      </c>
      <c r="X196" s="17">
        <f>IF(OR($B196="",TRIM($J196&amp;"")=""),"",SUMPRODUCT((파견수련계획!$Q$4:$Q$83=TRIM($J196&amp;""))*파견수련계획!$W$4:$W$83))</f>
        <v/>
      </c>
      <c r="Y196" s="10">
        <f>IF($B196="","",IF($AG196="","",IF(IF(TRIM($J196&amp;"")="",0,SUMPRODUCT((파견수련계획!$Q$4:$Q$83=TRIM($J196&amp;""))*파견수련계획!$AD$4:$AD$83))&gt;0,$AE196,IF(N($X196)&lt;=0,$AG196,IF($AH196+$AI196=DAY(EOMONTH(요약!$B$3,0)),IF(AND($AH196&gt;=요약!$E$3,$AI196&lt;요약!$E$3),"서울병원",IF(AND($AI196&gt;=요약!$E$3,$AH196&lt;요약!$E$3),"구리병원","⚠15일 판정불가(서울 "&amp;$AH196&amp;"일/구리 "&amp;$AI196&amp;"일)")),IF($AJ196="",$AE196,IF(INDEX(파견수련계획!$T$4:$T$83,$AJ196)="통합수련",INDEX(파견수련계획!$S$4:$S$83,$AJ196),$AE196)))))))</f>
        <v/>
      </c>
      <c r="Z196" s="19">
        <f>IF($B196="","",IF($AB196="","기본자료에 없는 사번",IF(COUNTIF($B$2:$B$401,$B196)&gt;1,"중복 사번",IF($AE196="","소속(입사장소) 입력",IF(IF(TRIM($J196&amp;"")="",0,SUMPRODUCT((파견수련계획!$Q$4:$Q$83=TRIM($J196&amp;""))*(파견수련계획!$AA$4:$AA$83&lt;&gt;"")))&gt;0,"파견수련계획 입력오류 확인",IF(LEFT($Y196,1)="⚠","서울·구리 15일 판정 불가(양쪽 모두 이상/미만)",IF(IF($AC196="",0,N(INDEX(인턴근무계획!$T$3:$T$62,$AC196)))&gt;0,"인턴계획 입력오류 확인",IF(AND($AC196&lt;&gt;"",$U196&lt;&gt;"파견중",$N196&lt;&gt;$AE196),"인턴 타지역 근무: 파견 여부 확인","정상"))))))))</f>
        <v/>
      </c>
      <c r="AA196" s="5" t="n"/>
      <c r="AB196" s="10">
        <f>IF($B196="","",IFERROR(MATCH($B196,기본자료!$B$2:$B$1001,0),IFERROR(MATCH($B196&amp;"",기본자료!$B$2:$B$1001,0),IFERROR(MATCH(VALUE($B196),기본자료!$B$2:$B$1001,0),""))))</f>
        <v/>
      </c>
      <c r="AC196" s="10">
        <f>IF($B196="","",IFERROR(MATCH($B196,인턴근무계획!$D$3:$D$62,0),IFERROR(MATCH($B196&amp;"",인턴근무계획!$D$3:$D$62,0),IFERROR(MATCH(VALUE($B196),인턴근무계획!$D$3:$D$62,0),""))))</f>
        <v/>
      </c>
      <c r="AD196" s="10">
        <f>IF(OR($AC196="",인턴현황!$G$3=""),"",INDEX(인턴근무계획!$M$3:$R$62,$AC196,인턴현황!$G$3)&amp;"")</f>
        <v/>
      </c>
      <c r="AE196" s="10">
        <f>IF($B196="","",IF($M196&lt;&gt;"",$M196,IF($AF196&lt;&gt;"",IF(LEFT(INDEX(파견수련계획!$R$4:$R$83,$AF196),1)&lt;&gt;"⚠",INDEX(파견수련계획!$R$4:$R$83,$AF196),IF($H196="","",IF(RIGHT($H196,2)="병원",$H196,$H196&amp;"병원"))),IF($H196="","",IF(RIGHT($H196,2)="병원",$H196,$H196&amp;"병원")))))</f>
        <v/>
      </c>
      <c r="AF196" s="10">
        <f>IF(OR($B196="",TRIM($J196&amp;"")=""),"",IFERROR(MATCH(TRIM($J196&amp;"")&amp;"|파견중",파견수련계획!$Y$4:$Y$83,0),IFERROR(MATCH(TRIM($J196&amp;"")&amp;"|파견예정",파견수련계획!$Y$4:$Y$83,0),IFERROR(MATCH(TRIM($J196&amp;"")&amp;"|파견종료",파견수련계획!$Y$4:$Y$83,0),""))))</f>
        <v/>
      </c>
      <c r="AG196" s="10">
        <f>IF($B196="","",IF(AND(IF(OR($AC196="",인턴현황!$K$2=""),"",INDEX(인턴근무계획!$M$3:$R$62,$AC196,인턴현황!$K$2)&amp;"")&lt;&gt;"",LEFT(IF(OR($AC196="",인턴현황!$K$2=""),"",INDEX(인턴근무계획!$M$3:$R$62,$AC196,인턴현황!$K$2)&amp;""),1)&lt;&gt;"⚠"),LEFT(IF(OR($AC196="",인턴현황!$K$2=""),"",INDEX(인턴근무계획!$M$3:$R$62,$AC196,인턴현황!$K$2)&amp;""),FIND(" ",IF(OR($AC196="",인턴현황!$K$2=""),"",INDEX(인턴근무계획!$M$3:$R$62,$AC196,인턴현황!$K$2)&amp;""))-1),$AE196))</f>
        <v/>
      </c>
      <c r="AH196" s="17">
        <f>IF($B196="","",IF(TRIM($J196&amp;"")="",0,SUMPRODUCT((파견수련계획!$Q$4:$Q$83=TRIM($J196&amp;""))*(파견수련계획!$S$4:$S$83="서울병원")*파견수련계획!$W$4:$W$83))+IF($AG196="서울병원",MAX(0,DAY(EOMONTH(요약!$B$3,0))-N($X196)),0))</f>
        <v/>
      </c>
      <c r="AI196" s="17">
        <f>IF($B196="","",IF(TRIM($J196&amp;"")="",0,SUMPRODUCT((파견수련계획!$Q$4:$Q$83=TRIM($J196&amp;""))*(파견수련계획!$S$4:$S$83="구리병원")*파견수련계획!$W$4:$W$83))+IF($AG196="구리병원",MAX(0,DAY(EOMONTH(요약!$B$3,0))-N($X196)),0))</f>
        <v/>
      </c>
      <c r="AJ196" s="10">
        <f>IF(OR($B196="",TRIM($J196&amp;"")=""),"",IFERROR(MATCH(TRIM($J196&amp;"")&amp;"|월",파견수련계획!$Z$4:$Z$83,0),""))</f>
        <v/>
      </c>
      <c r="AK196" s="10">
        <f>IF(OR($B196="",TRIM($J196&amp;"")=""),"",IFERROR(MATCH(TRIM($J196&amp;"")&amp;"|다기관",파견수련계획!$AE$4:$AE$83,0),""))</f>
        <v/>
      </c>
      <c r="AL196" s="10">
        <f>IF($AK196="","","다기관 "&amp;TEXT(INDEX(파견수련계획!$AB$4:$AB$83,$AK196),"yyyy-mm-dd")&amp;"~"&amp;IF(ISNUMBER(INDEX(파견수련계획!$AC$4:$AC$83,$AK196)),TEXT(INDEX(파견수련계획!$AC$4:$AC$83,$AK196),"yyyy-mm-dd"),""))</f>
        <v/>
      </c>
    </row>
    <row r="197">
      <c r="A197" s="10">
        <f>IF(B197="","",ROW()-1)</f>
        <v/>
      </c>
      <c r="B197" s="18" t="n"/>
      <c r="C197" s="10">
        <f>IF($AB197="","",IF(INDEX(기본자료!$C$2:$C$1001,$AB197)="","",INDEX(기본자료!$C$2:$C$1001,$AB197)))</f>
        <v/>
      </c>
      <c r="D197" s="10">
        <f>IF($AB197="","",IF(INDEX(기본자료!$J$2:$J$1001,$AB197)="","",INDEX(기본자료!$J$2:$J$1001,$AB197)))</f>
        <v/>
      </c>
      <c r="E197" s="11">
        <f>IF($AB197="","",IF(INDEX(기본자료!$K$2:$K$1001,$AB197)="","",IF(NOT(ISNUMBER(INDEX(기본자료!$K$2:$K$1001,$AB197))),INDEX(기본자료!$K$2:$K$1001,$AB197),IF(INDEX(기본자료!$K$2:$K$1001,$AB197)&lt;1000000,INDEX(기본자료!$K$2:$K$1001,$AB197),IF(AND(INDEX(기본자료!$K$2:$K$1001,$AB197)&gt;=10000101,INT(MOD(INDEX(기본자료!$K$2:$K$1001,$AB197),10000)/100)&gt;=1,INT(MOD(INDEX(기본자료!$K$2:$K$1001,$AB197),10000)/100)&lt;=12,MOD(INDEX(기본자료!$K$2:$K$1001,$AB197),100)&gt;=1,MOD(INDEX(기본자료!$K$2:$K$1001,$AB197),100)&lt;=31),DATE(INT(INDEX(기본자료!$K$2:$K$1001,$AB197)/10000),INT(MOD(INDEX(기본자료!$K$2:$K$1001,$AB197),10000)/100),MOD(INDEX(기본자료!$K$2:$K$1001,$AB197),100)),INDEX(기본자료!$K$2:$K$1001,$AB197)&amp;"")))))</f>
        <v/>
      </c>
      <c r="F197" s="10">
        <f>IF($AB197="","",IF(INDEX(기본자료!$D$2:$D$1001,$AB197)="","",INDEX(기본자료!$D$2:$D$1001,$AB197)))</f>
        <v/>
      </c>
      <c r="G197" s="10">
        <f>IF($AB197="","",IF(INDEX(기본자료!$E$2:$E$1001,$AB197)="","",INDEX(기본자료!$E$2:$E$1001,$AB197)))</f>
        <v/>
      </c>
      <c r="H197" s="10">
        <f>IF($AB197="","",IF(INDEX(기본자료!$F$2:$F$1001,$AB197)="","",INDEX(기본자료!$F$2:$F$1001,$AB197)))</f>
        <v/>
      </c>
      <c r="I197" s="11">
        <f>IF($AB197="","",IF(INDEX(기본자료!$G$2:$G$1001,$AB197)="","",IF(NOT(ISNUMBER(INDEX(기본자료!$G$2:$G$1001,$AB197))),INDEX(기본자료!$G$2:$G$1001,$AB197),IF(INDEX(기본자료!$G$2:$G$1001,$AB197)&lt;1000000,INDEX(기본자료!$G$2:$G$1001,$AB197),IF(AND(INDEX(기본자료!$G$2:$G$1001,$AB197)&gt;=10000101,INT(MOD(INDEX(기본자료!$G$2:$G$1001,$AB197),10000)/100)&gt;=1,INT(MOD(INDEX(기본자료!$G$2:$G$1001,$AB197),10000)/100)&lt;=12,MOD(INDEX(기본자료!$G$2:$G$1001,$AB197),100)&gt;=1,MOD(INDEX(기본자료!$G$2:$G$1001,$AB197),100)&lt;=31),DATE(INT(INDEX(기본자료!$G$2:$G$1001,$AB197)/10000),INT(MOD(INDEX(기본자료!$G$2:$G$1001,$AB197),10000)/100),MOD(INDEX(기본자료!$G$2:$G$1001,$AB197),100)),INDEX(기본자료!$G$2:$G$1001,$AB197)&amp;"")))))</f>
        <v/>
      </c>
      <c r="J197" s="10">
        <f>IF($AB197="","",IF(INDEX(기본자료!$H$2:$H$1001,$AB197)="","",INDEX(기본자료!$H$2:$H$1001,$AB197)))</f>
        <v/>
      </c>
      <c r="K197" s="10">
        <f>IF($AB197="","",IF(INDEX(기본자료!$I$2:$I$1001,$AB197)="","",INDEX(기본자료!$I$2:$I$1001,$AB197)))</f>
        <v/>
      </c>
      <c r="L197" s="10">
        <f>IF($AB197="","",IF(INDEX(기본자료!$A$2:$A$1001,$AB197)="","",INDEX(기본자료!$A$2:$A$1001,$AB197)))</f>
        <v/>
      </c>
      <c r="M197" s="15" t="n"/>
      <c r="N197" s="10">
        <f>IF($B197="","",IF(AND($U197="파견중",$Q197&lt;&gt;""),$Q197,IF(AND($AD197&lt;&gt;"",LEFT($AD197,1)&lt;&gt;"⚠"),LEFT($AD197,FIND(" ",$AD197)-1),IF($H197="","",IF(RIGHT($H197,2)="병원",$H197,$H197&amp;"병원")))))</f>
        <v/>
      </c>
      <c r="O197" s="10">
        <f>IF($B197="","",IF(AND($U197="파견중",$Q197&lt;&gt;""),IF($R197&lt;&gt;"",$R197,"파견과 미입력"),IF(AND($AD197&lt;&gt;"",LEFT($AD197,1)&lt;&gt;"⚠"),MID($AD197,FIND(" ",$AD197)+1,60),IF($F197="","",IF($F197="인턴","수련교육부(인턴)",$F197)))))</f>
        <v/>
      </c>
      <c r="P197" s="10">
        <f>IF($B197="","",IF($AK197&lt;&gt;"",IF(AND(TODAY()&gt;=INDEX(파견수련계획!$AB$4:$AB$83,$AK197),OR(NOT(ISNUMBER(INDEX(파견수련계획!$AC$4:$AC$83,$AK197))),TODAY()&lt;=INDEX(파견수련계획!$AC$4:$AC$83,$AK197))),"다기관",IF($AF197="","",INDEX(파견수련계획!$T$4:$T$83,$AF197))),IF($AF197="","",INDEX(파견수련계획!$T$4:$T$83,$AF197))))</f>
        <v/>
      </c>
      <c r="Q197" s="10">
        <f>IF($AF197="","",INDEX(파견수련계획!$S$4:$S$83,$AF197))</f>
        <v/>
      </c>
      <c r="R197" s="10">
        <f>IF($AF197="","",INDEX(파견수련계획!$U$4:$U$83,$AF197))</f>
        <v/>
      </c>
      <c r="S197" s="11">
        <f>IF($AF197="","",IF(INDEX(파견수련계획!$H$4:$H$83,$AF197)="","",INDEX(파견수련계획!$H$4:$H$83,$AF197)))</f>
        <v/>
      </c>
      <c r="T197" s="11">
        <f>IF($AF197="","",IF(INDEX(파견수련계획!$I$4:$I$83,$AF197)="","",INDEX(파견수련계획!$I$4:$I$83,$AF197)))</f>
        <v/>
      </c>
      <c r="U197" s="10">
        <f>IF($AF197="","",INDEX(파견수련계획!$X$4:$X$83,$AF197))</f>
        <v/>
      </c>
      <c r="V197" s="17">
        <f>IF($AF197="","",INDEX(파견수련계획!$V$4:$V$83,$AF197))</f>
        <v/>
      </c>
      <c r="W197" s="17">
        <f>IF(AND($U197="파견중",$T197&lt;&gt;""),$T197-TODAY(),"")</f>
        <v/>
      </c>
      <c r="X197" s="17">
        <f>IF(OR($B197="",TRIM($J197&amp;"")=""),"",SUMPRODUCT((파견수련계획!$Q$4:$Q$83=TRIM($J197&amp;""))*파견수련계획!$W$4:$W$83))</f>
        <v/>
      </c>
      <c r="Y197" s="10">
        <f>IF($B197="","",IF($AG197="","",IF(IF(TRIM($J197&amp;"")="",0,SUMPRODUCT((파견수련계획!$Q$4:$Q$83=TRIM($J197&amp;""))*파견수련계획!$AD$4:$AD$83))&gt;0,$AE197,IF(N($X197)&lt;=0,$AG197,IF($AH197+$AI197=DAY(EOMONTH(요약!$B$3,0)),IF(AND($AH197&gt;=요약!$E$3,$AI197&lt;요약!$E$3),"서울병원",IF(AND($AI197&gt;=요약!$E$3,$AH197&lt;요약!$E$3),"구리병원","⚠15일 판정불가(서울 "&amp;$AH197&amp;"일/구리 "&amp;$AI197&amp;"일)")),IF($AJ197="",$AE197,IF(INDEX(파견수련계획!$T$4:$T$83,$AJ197)="통합수련",INDEX(파견수련계획!$S$4:$S$83,$AJ197),$AE197)))))))</f>
        <v/>
      </c>
      <c r="Z197" s="19">
        <f>IF($B197="","",IF($AB197="","기본자료에 없는 사번",IF(COUNTIF($B$2:$B$401,$B197)&gt;1,"중복 사번",IF($AE197="","소속(입사장소) 입력",IF(IF(TRIM($J197&amp;"")="",0,SUMPRODUCT((파견수련계획!$Q$4:$Q$83=TRIM($J197&amp;""))*(파견수련계획!$AA$4:$AA$83&lt;&gt;"")))&gt;0,"파견수련계획 입력오류 확인",IF(LEFT($Y197,1)="⚠","서울·구리 15일 판정 불가(양쪽 모두 이상/미만)",IF(IF($AC197="",0,N(INDEX(인턴근무계획!$T$3:$T$62,$AC197)))&gt;0,"인턴계획 입력오류 확인",IF(AND($AC197&lt;&gt;"",$U197&lt;&gt;"파견중",$N197&lt;&gt;$AE197),"인턴 타지역 근무: 파견 여부 확인","정상"))))))))</f>
        <v/>
      </c>
      <c r="AA197" s="5" t="n"/>
      <c r="AB197" s="10">
        <f>IF($B197="","",IFERROR(MATCH($B197,기본자료!$B$2:$B$1001,0),IFERROR(MATCH($B197&amp;"",기본자료!$B$2:$B$1001,0),IFERROR(MATCH(VALUE($B197),기본자료!$B$2:$B$1001,0),""))))</f>
        <v/>
      </c>
      <c r="AC197" s="10">
        <f>IF($B197="","",IFERROR(MATCH($B197,인턴근무계획!$D$3:$D$62,0),IFERROR(MATCH($B197&amp;"",인턴근무계획!$D$3:$D$62,0),IFERROR(MATCH(VALUE($B197),인턴근무계획!$D$3:$D$62,0),""))))</f>
        <v/>
      </c>
      <c r="AD197" s="10">
        <f>IF(OR($AC197="",인턴현황!$G$3=""),"",INDEX(인턴근무계획!$M$3:$R$62,$AC197,인턴현황!$G$3)&amp;"")</f>
        <v/>
      </c>
      <c r="AE197" s="10">
        <f>IF($B197="","",IF($M197&lt;&gt;"",$M197,IF($AF197&lt;&gt;"",IF(LEFT(INDEX(파견수련계획!$R$4:$R$83,$AF197),1)&lt;&gt;"⚠",INDEX(파견수련계획!$R$4:$R$83,$AF197),IF($H197="","",IF(RIGHT($H197,2)="병원",$H197,$H197&amp;"병원"))),IF($H197="","",IF(RIGHT($H197,2)="병원",$H197,$H197&amp;"병원")))))</f>
        <v/>
      </c>
      <c r="AF197" s="10">
        <f>IF(OR($B197="",TRIM($J197&amp;"")=""),"",IFERROR(MATCH(TRIM($J197&amp;"")&amp;"|파견중",파견수련계획!$Y$4:$Y$83,0),IFERROR(MATCH(TRIM($J197&amp;"")&amp;"|파견예정",파견수련계획!$Y$4:$Y$83,0),IFERROR(MATCH(TRIM($J197&amp;"")&amp;"|파견종료",파견수련계획!$Y$4:$Y$83,0),""))))</f>
        <v/>
      </c>
      <c r="AG197" s="10">
        <f>IF($B197="","",IF(AND(IF(OR($AC197="",인턴현황!$K$2=""),"",INDEX(인턴근무계획!$M$3:$R$62,$AC197,인턴현황!$K$2)&amp;"")&lt;&gt;"",LEFT(IF(OR($AC197="",인턴현황!$K$2=""),"",INDEX(인턴근무계획!$M$3:$R$62,$AC197,인턴현황!$K$2)&amp;""),1)&lt;&gt;"⚠"),LEFT(IF(OR($AC197="",인턴현황!$K$2=""),"",INDEX(인턴근무계획!$M$3:$R$62,$AC197,인턴현황!$K$2)&amp;""),FIND(" ",IF(OR($AC197="",인턴현황!$K$2=""),"",INDEX(인턴근무계획!$M$3:$R$62,$AC197,인턴현황!$K$2)&amp;""))-1),$AE197))</f>
        <v/>
      </c>
      <c r="AH197" s="17">
        <f>IF($B197="","",IF(TRIM($J197&amp;"")="",0,SUMPRODUCT((파견수련계획!$Q$4:$Q$83=TRIM($J197&amp;""))*(파견수련계획!$S$4:$S$83="서울병원")*파견수련계획!$W$4:$W$83))+IF($AG197="서울병원",MAX(0,DAY(EOMONTH(요약!$B$3,0))-N($X197)),0))</f>
        <v/>
      </c>
      <c r="AI197" s="17">
        <f>IF($B197="","",IF(TRIM($J197&amp;"")="",0,SUMPRODUCT((파견수련계획!$Q$4:$Q$83=TRIM($J197&amp;""))*(파견수련계획!$S$4:$S$83="구리병원")*파견수련계획!$W$4:$W$83))+IF($AG197="구리병원",MAX(0,DAY(EOMONTH(요약!$B$3,0))-N($X197)),0))</f>
        <v/>
      </c>
      <c r="AJ197" s="10">
        <f>IF(OR($B197="",TRIM($J197&amp;"")=""),"",IFERROR(MATCH(TRIM($J197&amp;"")&amp;"|월",파견수련계획!$Z$4:$Z$83,0),""))</f>
        <v/>
      </c>
      <c r="AK197" s="10">
        <f>IF(OR($B197="",TRIM($J197&amp;"")=""),"",IFERROR(MATCH(TRIM($J197&amp;"")&amp;"|다기관",파견수련계획!$AE$4:$AE$83,0),""))</f>
        <v/>
      </c>
      <c r="AL197" s="10">
        <f>IF($AK197="","","다기관 "&amp;TEXT(INDEX(파견수련계획!$AB$4:$AB$83,$AK197),"yyyy-mm-dd")&amp;"~"&amp;IF(ISNUMBER(INDEX(파견수련계획!$AC$4:$AC$83,$AK197)),TEXT(INDEX(파견수련계획!$AC$4:$AC$83,$AK197),"yyyy-mm-dd"),""))</f>
        <v/>
      </c>
    </row>
    <row r="198">
      <c r="A198" s="10">
        <f>IF(B198="","",ROW()-1)</f>
        <v/>
      </c>
      <c r="B198" s="18" t="n"/>
      <c r="C198" s="10">
        <f>IF($AB198="","",IF(INDEX(기본자료!$C$2:$C$1001,$AB198)="","",INDEX(기본자료!$C$2:$C$1001,$AB198)))</f>
        <v/>
      </c>
      <c r="D198" s="10">
        <f>IF($AB198="","",IF(INDEX(기본자료!$J$2:$J$1001,$AB198)="","",INDEX(기본자료!$J$2:$J$1001,$AB198)))</f>
        <v/>
      </c>
      <c r="E198" s="11">
        <f>IF($AB198="","",IF(INDEX(기본자료!$K$2:$K$1001,$AB198)="","",IF(NOT(ISNUMBER(INDEX(기본자료!$K$2:$K$1001,$AB198))),INDEX(기본자료!$K$2:$K$1001,$AB198),IF(INDEX(기본자료!$K$2:$K$1001,$AB198)&lt;1000000,INDEX(기본자료!$K$2:$K$1001,$AB198),IF(AND(INDEX(기본자료!$K$2:$K$1001,$AB198)&gt;=10000101,INT(MOD(INDEX(기본자료!$K$2:$K$1001,$AB198),10000)/100)&gt;=1,INT(MOD(INDEX(기본자료!$K$2:$K$1001,$AB198),10000)/100)&lt;=12,MOD(INDEX(기본자료!$K$2:$K$1001,$AB198),100)&gt;=1,MOD(INDEX(기본자료!$K$2:$K$1001,$AB198),100)&lt;=31),DATE(INT(INDEX(기본자료!$K$2:$K$1001,$AB198)/10000),INT(MOD(INDEX(기본자료!$K$2:$K$1001,$AB198),10000)/100),MOD(INDEX(기본자료!$K$2:$K$1001,$AB198),100)),INDEX(기본자료!$K$2:$K$1001,$AB198)&amp;"")))))</f>
        <v/>
      </c>
      <c r="F198" s="10">
        <f>IF($AB198="","",IF(INDEX(기본자료!$D$2:$D$1001,$AB198)="","",INDEX(기본자료!$D$2:$D$1001,$AB198)))</f>
        <v/>
      </c>
      <c r="G198" s="10">
        <f>IF($AB198="","",IF(INDEX(기본자료!$E$2:$E$1001,$AB198)="","",INDEX(기본자료!$E$2:$E$1001,$AB198)))</f>
        <v/>
      </c>
      <c r="H198" s="10">
        <f>IF($AB198="","",IF(INDEX(기본자료!$F$2:$F$1001,$AB198)="","",INDEX(기본자료!$F$2:$F$1001,$AB198)))</f>
        <v/>
      </c>
      <c r="I198" s="11">
        <f>IF($AB198="","",IF(INDEX(기본자료!$G$2:$G$1001,$AB198)="","",IF(NOT(ISNUMBER(INDEX(기본자료!$G$2:$G$1001,$AB198))),INDEX(기본자료!$G$2:$G$1001,$AB198),IF(INDEX(기본자료!$G$2:$G$1001,$AB198)&lt;1000000,INDEX(기본자료!$G$2:$G$1001,$AB198),IF(AND(INDEX(기본자료!$G$2:$G$1001,$AB198)&gt;=10000101,INT(MOD(INDEX(기본자료!$G$2:$G$1001,$AB198),10000)/100)&gt;=1,INT(MOD(INDEX(기본자료!$G$2:$G$1001,$AB198),10000)/100)&lt;=12,MOD(INDEX(기본자료!$G$2:$G$1001,$AB198),100)&gt;=1,MOD(INDEX(기본자료!$G$2:$G$1001,$AB198),100)&lt;=31),DATE(INT(INDEX(기본자료!$G$2:$G$1001,$AB198)/10000),INT(MOD(INDEX(기본자료!$G$2:$G$1001,$AB198),10000)/100),MOD(INDEX(기본자료!$G$2:$G$1001,$AB198),100)),INDEX(기본자료!$G$2:$G$1001,$AB198)&amp;"")))))</f>
        <v/>
      </c>
      <c r="J198" s="10">
        <f>IF($AB198="","",IF(INDEX(기본자료!$H$2:$H$1001,$AB198)="","",INDEX(기본자료!$H$2:$H$1001,$AB198)))</f>
        <v/>
      </c>
      <c r="K198" s="10">
        <f>IF($AB198="","",IF(INDEX(기본자료!$I$2:$I$1001,$AB198)="","",INDEX(기본자료!$I$2:$I$1001,$AB198)))</f>
        <v/>
      </c>
      <c r="L198" s="10">
        <f>IF($AB198="","",IF(INDEX(기본자료!$A$2:$A$1001,$AB198)="","",INDEX(기본자료!$A$2:$A$1001,$AB198)))</f>
        <v/>
      </c>
      <c r="M198" s="15" t="n"/>
      <c r="N198" s="10">
        <f>IF($B198="","",IF(AND($U198="파견중",$Q198&lt;&gt;""),$Q198,IF(AND($AD198&lt;&gt;"",LEFT($AD198,1)&lt;&gt;"⚠"),LEFT($AD198,FIND(" ",$AD198)-1),IF($H198="","",IF(RIGHT($H198,2)="병원",$H198,$H198&amp;"병원")))))</f>
        <v/>
      </c>
      <c r="O198" s="10">
        <f>IF($B198="","",IF(AND($U198="파견중",$Q198&lt;&gt;""),IF($R198&lt;&gt;"",$R198,"파견과 미입력"),IF(AND($AD198&lt;&gt;"",LEFT($AD198,1)&lt;&gt;"⚠"),MID($AD198,FIND(" ",$AD198)+1,60),IF($F198="","",IF($F198="인턴","수련교육부(인턴)",$F198)))))</f>
        <v/>
      </c>
      <c r="P198" s="10">
        <f>IF($B198="","",IF($AK198&lt;&gt;"",IF(AND(TODAY()&gt;=INDEX(파견수련계획!$AB$4:$AB$83,$AK198),OR(NOT(ISNUMBER(INDEX(파견수련계획!$AC$4:$AC$83,$AK198))),TODAY()&lt;=INDEX(파견수련계획!$AC$4:$AC$83,$AK198))),"다기관",IF($AF198="","",INDEX(파견수련계획!$T$4:$T$83,$AF198))),IF($AF198="","",INDEX(파견수련계획!$T$4:$T$83,$AF198))))</f>
        <v/>
      </c>
      <c r="Q198" s="10">
        <f>IF($AF198="","",INDEX(파견수련계획!$S$4:$S$83,$AF198))</f>
        <v/>
      </c>
      <c r="R198" s="10">
        <f>IF($AF198="","",INDEX(파견수련계획!$U$4:$U$83,$AF198))</f>
        <v/>
      </c>
      <c r="S198" s="11">
        <f>IF($AF198="","",IF(INDEX(파견수련계획!$H$4:$H$83,$AF198)="","",INDEX(파견수련계획!$H$4:$H$83,$AF198)))</f>
        <v/>
      </c>
      <c r="T198" s="11">
        <f>IF($AF198="","",IF(INDEX(파견수련계획!$I$4:$I$83,$AF198)="","",INDEX(파견수련계획!$I$4:$I$83,$AF198)))</f>
        <v/>
      </c>
      <c r="U198" s="10">
        <f>IF($AF198="","",INDEX(파견수련계획!$X$4:$X$83,$AF198))</f>
        <v/>
      </c>
      <c r="V198" s="17">
        <f>IF($AF198="","",INDEX(파견수련계획!$V$4:$V$83,$AF198))</f>
        <v/>
      </c>
      <c r="W198" s="17">
        <f>IF(AND($U198="파견중",$T198&lt;&gt;""),$T198-TODAY(),"")</f>
        <v/>
      </c>
      <c r="X198" s="17">
        <f>IF(OR($B198="",TRIM($J198&amp;"")=""),"",SUMPRODUCT((파견수련계획!$Q$4:$Q$83=TRIM($J198&amp;""))*파견수련계획!$W$4:$W$83))</f>
        <v/>
      </c>
      <c r="Y198" s="10">
        <f>IF($B198="","",IF($AG198="","",IF(IF(TRIM($J198&amp;"")="",0,SUMPRODUCT((파견수련계획!$Q$4:$Q$83=TRIM($J198&amp;""))*파견수련계획!$AD$4:$AD$83))&gt;0,$AE198,IF(N($X198)&lt;=0,$AG198,IF($AH198+$AI198=DAY(EOMONTH(요약!$B$3,0)),IF(AND($AH198&gt;=요약!$E$3,$AI198&lt;요약!$E$3),"서울병원",IF(AND($AI198&gt;=요약!$E$3,$AH198&lt;요약!$E$3),"구리병원","⚠15일 판정불가(서울 "&amp;$AH198&amp;"일/구리 "&amp;$AI198&amp;"일)")),IF($AJ198="",$AE198,IF(INDEX(파견수련계획!$T$4:$T$83,$AJ198)="통합수련",INDEX(파견수련계획!$S$4:$S$83,$AJ198),$AE198)))))))</f>
        <v/>
      </c>
      <c r="Z198" s="19">
        <f>IF($B198="","",IF($AB198="","기본자료에 없는 사번",IF(COUNTIF($B$2:$B$401,$B198)&gt;1,"중복 사번",IF($AE198="","소속(입사장소) 입력",IF(IF(TRIM($J198&amp;"")="",0,SUMPRODUCT((파견수련계획!$Q$4:$Q$83=TRIM($J198&amp;""))*(파견수련계획!$AA$4:$AA$83&lt;&gt;"")))&gt;0,"파견수련계획 입력오류 확인",IF(LEFT($Y198,1)="⚠","서울·구리 15일 판정 불가(양쪽 모두 이상/미만)",IF(IF($AC198="",0,N(INDEX(인턴근무계획!$T$3:$T$62,$AC198)))&gt;0,"인턴계획 입력오류 확인",IF(AND($AC198&lt;&gt;"",$U198&lt;&gt;"파견중",$N198&lt;&gt;$AE198),"인턴 타지역 근무: 파견 여부 확인","정상"))))))))</f>
        <v/>
      </c>
      <c r="AA198" s="5" t="n"/>
      <c r="AB198" s="10">
        <f>IF($B198="","",IFERROR(MATCH($B198,기본자료!$B$2:$B$1001,0),IFERROR(MATCH($B198&amp;"",기본자료!$B$2:$B$1001,0),IFERROR(MATCH(VALUE($B198),기본자료!$B$2:$B$1001,0),""))))</f>
        <v/>
      </c>
      <c r="AC198" s="10">
        <f>IF($B198="","",IFERROR(MATCH($B198,인턴근무계획!$D$3:$D$62,0),IFERROR(MATCH($B198&amp;"",인턴근무계획!$D$3:$D$62,0),IFERROR(MATCH(VALUE($B198),인턴근무계획!$D$3:$D$62,0),""))))</f>
        <v/>
      </c>
      <c r="AD198" s="10">
        <f>IF(OR($AC198="",인턴현황!$G$3=""),"",INDEX(인턴근무계획!$M$3:$R$62,$AC198,인턴현황!$G$3)&amp;"")</f>
        <v/>
      </c>
      <c r="AE198" s="10">
        <f>IF($B198="","",IF($M198&lt;&gt;"",$M198,IF($AF198&lt;&gt;"",IF(LEFT(INDEX(파견수련계획!$R$4:$R$83,$AF198),1)&lt;&gt;"⚠",INDEX(파견수련계획!$R$4:$R$83,$AF198),IF($H198="","",IF(RIGHT($H198,2)="병원",$H198,$H198&amp;"병원"))),IF($H198="","",IF(RIGHT($H198,2)="병원",$H198,$H198&amp;"병원")))))</f>
        <v/>
      </c>
      <c r="AF198" s="10">
        <f>IF(OR($B198="",TRIM($J198&amp;"")=""),"",IFERROR(MATCH(TRIM($J198&amp;"")&amp;"|파견중",파견수련계획!$Y$4:$Y$83,0),IFERROR(MATCH(TRIM($J198&amp;"")&amp;"|파견예정",파견수련계획!$Y$4:$Y$83,0),IFERROR(MATCH(TRIM($J198&amp;"")&amp;"|파견종료",파견수련계획!$Y$4:$Y$83,0),""))))</f>
        <v/>
      </c>
      <c r="AG198" s="10">
        <f>IF($B198="","",IF(AND(IF(OR($AC198="",인턴현황!$K$2=""),"",INDEX(인턴근무계획!$M$3:$R$62,$AC198,인턴현황!$K$2)&amp;"")&lt;&gt;"",LEFT(IF(OR($AC198="",인턴현황!$K$2=""),"",INDEX(인턴근무계획!$M$3:$R$62,$AC198,인턴현황!$K$2)&amp;""),1)&lt;&gt;"⚠"),LEFT(IF(OR($AC198="",인턴현황!$K$2=""),"",INDEX(인턴근무계획!$M$3:$R$62,$AC198,인턴현황!$K$2)&amp;""),FIND(" ",IF(OR($AC198="",인턴현황!$K$2=""),"",INDEX(인턴근무계획!$M$3:$R$62,$AC198,인턴현황!$K$2)&amp;""))-1),$AE198))</f>
        <v/>
      </c>
      <c r="AH198" s="17">
        <f>IF($B198="","",IF(TRIM($J198&amp;"")="",0,SUMPRODUCT((파견수련계획!$Q$4:$Q$83=TRIM($J198&amp;""))*(파견수련계획!$S$4:$S$83="서울병원")*파견수련계획!$W$4:$W$83))+IF($AG198="서울병원",MAX(0,DAY(EOMONTH(요약!$B$3,0))-N($X198)),0))</f>
        <v/>
      </c>
      <c r="AI198" s="17">
        <f>IF($B198="","",IF(TRIM($J198&amp;"")="",0,SUMPRODUCT((파견수련계획!$Q$4:$Q$83=TRIM($J198&amp;""))*(파견수련계획!$S$4:$S$83="구리병원")*파견수련계획!$W$4:$W$83))+IF($AG198="구리병원",MAX(0,DAY(EOMONTH(요약!$B$3,0))-N($X198)),0))</f>
        <v/>
      </c>
      <c r="AJ198" s="10">
        <f>IF(OR($B198="",TRIM($J198&amp;"")=""),"",IFERROR(MATCH(TRIM($J198&amp;"")&amp;"|월",파견수련계획!$Z$4:$Z$83,0),""))</f>
        <v/>
      </c>
      <c r="AK198" s="10">
        <f>IF(OR($B198="",TRIM($J198&amp;"")=""),"",IFERROR(MATCH(TRIM($J198&amp;"")&amp;"|다기관",파견수련계획!$AE$4:$AE$83,0),""))</f>
        <v/>
      </c>
      <c r="AL198" s="10">
        <f>IF($AK198="","","다기관 "&amp;TEXT(INDEX(파견수련계획!$AB$4:$AB$83,$AK198),"yyyy-mm-dd")&amp;"~"&amp;IF(ISNUMBER(INDEX(파견수련계획!$AC$4:$AC$83,$AK198)),TEXT(INDEX(파견수련계획!$AC$4:$AC$83,$AK198),"yyyy-mm-dd"),""))</f>
        <v/>
      </c>
    </row>
    <row r="199">
      <c r="A199" s="10">
        <f>IF(B199="","",ROW()-1)</f>
        <v/>
      </c>
      <c r="B199" s="18" t="n"/>
      <c r="C199" s="10">
        <f>IF($AB199="","",IF(INDEX(기본자료!$C$2:$C$1001,$AB199)="","",INDEX(기본자료!$C$2:$C$1001,$AB199)))</f>
        <v/>
      </c>
      <c r="D199" s="10">
        <f>IF($AB199="","",IF(INDEX(기본자료!$J$2:$J$1001,$AB199)="","",INDEX(기본자료!$J$2:$J$1001,$AB199)))</f>
        <v/>
      </c>
      <c r="E199" s="11">
        <f>IF($AB199="","",IF(INDEX(기본자료!$K$2:$K$1001,$AB199)="","",IF(NOT(ISNUMBER(INDEX(기본자료!$K$2:$K$1001,$AB199))),INDEX(기본자료!$K$2:$K$1001,$AB199),IF(INDEX(기본자료!$K$2:$K$1001,$AB199)&lt;1000000,INDEX(기본자료!$K$2:$K$1001,$AB199),IF(AND(INDEX(기본자료!$K$2:$K$1001,$AB199)&gt;=10000101,INT(MOD(INDEX(기본자료!$K$2:$K$1001,$AB199),10000)/100)&gt;=1,INT(MOD(INDEX(기본자료!$K$2:$K$1001,$AB199),10000)/100)&lt;=12,MOD(INDEX(기본자료!$K$2:$K$1001,$AB199),100)&gt;=1,MOD(INDEX(기본자료!$K$2:$K$1001,$AB199),100)&lt;=31),DATE(INT(INDEX(기본자료!$K$2:$K$1001,$AB199)/10000),INT(MOD(INDEX(기본자료!$K$2:$K$1001,$AB199),10000)/100),MOD(INDEX(기본자료!$K$2:$K$1001,$AB199),100)),INDEX(기본자료!$K$2:$K$1001,$AB199)&amp;"")))))</f>
        <v/>
      </c>
      <c r="F199" s="10">
        <f>IF($AB199="","",IF(INDEX(기본자료!$D$2:$D$1001,$AB199)="","",INDEX(기본자료!$D$2:$D$1001,$AB199)))</f>
        <v/>
      </c>
      <c r="G199" s="10">
        <f>IF($AB199="","",IF(INDEX(기본자료!$E$2:$E$1001,$AB199)="","",INDEX(기본자료!$E$2:$E$1001,$AB199)))</f>
        <v/>
      </c>
      <c r="H199" s="10">
        <f>IF($AB199="","",IF(INDEX(기본자료!$F$2:$F$1001,$AB199)="","",INDEX(기본자료!$F$2:$F$1001,$AB199)))</f>
        <v/>
      </c>
      <c r="I199" s="11">
        <f>IF($AB199="","",IF(INDEX(기본자료!$G$2:$G$1001,$AB199)="","",IF(NOT(ISNUMBER(INDEX(기본자료!$G$2:$G$1001,$AB199))),INDEX(기본자료!$G$2:$G$1001,$AB199),IF(INDEX(기본자료!$G$2:$G$1001,$AB199)&lt;1000000,INDEX(기본자료!$G$2:$G$1001,$AB199),IF(AND(INDEX(기본자료!$G$2:$G$1001,$AB199)&gt;=10000101,INT(MOD(INDEX(기본자료!$G$2:$G$1001,$AB199),10000)/100)&gt;=1,INT(MOD(INDEX(기본자료!$G$2:$G$1001,$AB199),10000)/100)&lt;=12,MOD(INDEX(기본자료!$G$2:$G$1001,$AB199),100)&gt;=1,MOD(INDEX(기본자료!$G$2:$G$1001,$AB199),100)&lt;=31),DATE(INT(INDEX(기본자료!$G$2:$G$1001,$AB199)/10000),INT(MOD(INDEX(기본자료!$G$2:$G$1001,$AB199),10000)/100),MOD(INDEX(기본자료!$G$2:$G$1001,$AB199),100)),INDEX(기본자료!$G$2:$G$1001,$AB199)&amp;"")))))</f>
        <v/>
      </c>
      <c r="J199" s="10">
        <f>IF($AB199="","",IF(INDEX(기본자료!$H$2:$H$1001,$AB199)="","",INDEX(기본자료!$H$2:$H$1001,$AB199)))</f>
        <v/>
      </c>
      <c r="K199" s="10">
        <f>IF($AB199="","",IF(INDEX(기본자료!$I$2:$I$1001,$AB199)="","",INDEX(기본자료!$I$2:$I$1001,$AB199)))</f>
        <v/>
      </c>
      <c r="L199" s="10">
        <f>IF($AB199="","",IF(INDEX(기본자료!$A$2:$A$1001,$AB199)="","",INDEX(기본자료!$A$2:$A$1001,$AB199)))</f>
        <v/>
      </c>
      <c r="M199" s="15" t="n"/>
      <c r="N199" s="10">
        <f>IF($B199="","",IF(AND($U199="파견중",$Q199&lt;&gt;""),$Q199,IF(AND($AD199&lt;&gt;"",LEFT($AD199,1)&lt;&gt;"⚠"),LEFT($AD199,FIND(" ",$AD199)-1),IF($H199="","",IF(RIGHT($H199,2)="병원",$H199,$H199&amp;"병원")))))</f>
        <v/>
      </c>
      <c r="O199" s="10">
        <f>IF($B199="","",IF(AND($U199="파견중",$Q199&lt;&gt;""),IF($R199&lt;&gt;"",$R199,"파견과 미입력"),IF(AND($AD199&lt;&gt;"",LEFT($AD199,1)&lt;&gt;"⚠"),MID($AD199,FIND(" ",$AD199)+1,60),IF($F199="","",IF($F199="인턴","수련교육부(인턴)",$F199)))))</f>
        <v/>
      </c>
      <c r="P199" s="10">
        <f>IF($B199="","",IF($AK199&lt;&gt;"",IF(AND(TODAY()&gt;=INDEX(파견수련계획!$AB$4:$AB$83,$AK199),OR(NOT(ISNUMBER(INDEX(파견수련계획!$AC$4:$AC$83,$AK199))),TODAY()&lt;=INDEX(파견수련계획!$AC$4:$AC$83,$AK199))),"다기관",IF($AF199="","",INDEX(파견수련계획!$T$4:$T$83,$AF199))),IF($AF199="","",INDEX(파견수련계획!$T$4:$T$83,$AF199))))</f>
        <v/>
      </c>
      <c r="Q199" s="10">
        <f>IF($AF199="","",INDEX(파견수련계획!$S$4:$S$83,$AF199))</f>
        <v/>
      </c>
      <c r="R199" s="10">
        <f>IF($AF199="","",INDEX(파견수련계획!$U$4:$U$83,$AF199))</f>
        <v/>
      </c>
      <c r="S199" s="11">
        <f>IF($AF199="","",IF(INDEX(파견수련계획!$H$4:$H$83,$AF199)="","",INDEX(파견수련계획!$H$4:$H$83,$AF199)))</f>
        <v/>
      </c>
      <c r="T199" s="11">
        <f>IF($AF199="","",IF(INDEX(파견수련계획!$I$4:$I$83,$AF199)="","",INDEX(파견수련계획!$I$4:$I$83,$AF199)))</f>
        <v/>
      </c>
      <c r="U199" s="10">
        <f>IF($AF199="","",INDEX(파견수련계획!$X$4:$X$83,$AF199))</f>
        <v/>
      </c>
      <c r="V199" s="17">
        <f>IF($AF199="","",INDEX(파견수련계획!$V$4:$V$83,$AF199))</f>
        <v/>
      </c>
      <c r="W199" s="17">
        <f>IF(AND($U199="파견중",$T199&lt;&gt;""),$T199-TODAY(),"")</f>
        <v/>
      </c>
      <c r="X199" s="17">
        <f>IF(OR($B199="",TRIM($J199&amp;"")=""),"",SUMPRODUCT((파견수련계획!$Q$4:$Q$83=TRIM($J199&amp;""))*파견수련계획!$W$4:$W$83))</f>
        <v/>
      </c>
      <c r="Y199" s="10">
        <f>IF($B199="","",IF($AG199="","",IF(IF(TRIM($J199&amp;"")="",0,SUMPRODUCT((파견수련계획!$Q$4:$Q$83=TRIM($J199&amp;""))*파견수련계획!$AD$4:$AD$83))&gt;0,$AE199,IF(N($X199)&lt;=0,$AG199,IF($AH199+$AI199=DAY(EOMONTH(요약!$B$3,0)),IF(AND($AH199&gt;=요약!$E$3,$AI199&lt;요약!$E$3),"서울병원",IF(AND($AI199&gt;=요약!$E$3,$AH199&lt;요약!$E$3),"구리병원","⚠15일 판정불가(서울 "&amp;$AH199&amp;"일/구리 "&amp;$AI199&amp;"일)")),IF($AJ199="",$AE199,IF(INDEX(파견수련계획!$T$4:$T$83,$AJ199)="통합수련",INDEX(파견수련계획!$S$4:$S$83,$AJ199),$AE199)))))))</f>
        <v/>
      </c>
      <c r="Z199" s="19">
        <f>IF($B199="","",IF($AB199="","기본자료에 없는 사번",IF(COUNTIF($B$2:$B$401,$B199)&gt;1,"중복 사번",IF($AE199="","소속(입사장소) 입력",IF(IF(TRIM($J199&amp;"")="",0,SUMPRODUCT((파견수련계획!$Q$4:$Q$83=TRIM($J199&amp;""))*(파견수련계획!$AA$4:$AA$83&lt;&gt;"")))&gt;0,"파견수련계획 입력오류 확인",IF(LEFT($Y199,1)="⚠","서울·구리 15일 판정 불가(양쪽 모두 이상/미만)",IF(IF($AC199="",0,N(INDEX(인턴근무계획!$T$3:$T$62,$AC199)))&gt;0,"인턴계획 입력오류 확인",IF(AND($AC199&lt;&gt;"",$U199&lt;&gt;"파견중",$N199&lt;&gt;$AE199),"인턴 타지역 근무: 파견 여부 확인","정상"))))))))</f>
        <v/>
      </c>
      <c r="AA199" s="5" t="n"/>
      <c r="AB199" s="10">
        <f>IF($B199="","",IFERROR(MATCH($B199,기본자료!$B$2:$B$1001,0),IFERROR(MATCH($B199&amp;"",기본자료!$B$2:$B$1001,0),IFERROR(MATCH(VALUE($B199),기본자료!$B$2:$B$1001,0),""))))</f>
        <v/>
      </c>
      <c r="AC199" s="10">
        <f>IF($B199="","",IFERROR(MATCH($B199,인턴근무계획!$D$3:$D$62,0),IFERROR(MATCH($B199&amp;"",인턴근무계획!$D$3:$D$62,0),IFERROR(MATCH(VALUE($B199),인턴근무계획!$D$3:$D$62,0),""))))</f>
        <v/>
      </c>
      <c r="AD199" s="10">
        <f>IF(OR($AC199="",인턴현황!$G$3=""),"",INDEX(인턴근무계획!$M$3:$R$62,$AC199,인턴현황!$G$3)&amp;"")</f>
        <v/>
      </c>
      <c r="AE199" s="10">
        <f>IF($B199="","",IF($M199&lt;&gt;"",$M199,IF($AF199&lt;&gt;"",IF(LEFT(INDEX(파견수련계획!$R$4:$R$83,$AF199),1)&lt;&gt;"⚠",INDEX(파견수련계획!$R$4:$R$83,$AF199),IF($H199="","",IF(RIGHT($H199,2)="병원",$H199,$H199&amp;"병원"))),IF($H199="","",IF(RIGHT($H199,2)="병원",$H199,$H199&amp;"병원")))))</f>
        <v/>
      </c>
      <c r="AF199" s="10">
        <f>IF(OR($B199="",TRIM($J199&amp;"")=""),"",IFERROR(MATCH(TRIM($J199&amp;"")&amp;"|파견중",파견수련계획!$Y$4:$Y$83,0),IFERROR(MATCH(TRIM($J199&amp;"")&amp;"|파견예정",파견수련계획!$Y$4:$Y$83,0),IFERROR(MATCH(TRIM($J199&amp;"")&amp;"|파견종료",파견수련계획!$Y$4:$Y$83,0),""))))</f>
        <v/>
      </c>
      <c r="AG199" s="10">
        <f>IF($B199="","",IF(AND(IF(OR($AC199="",인턴현황!$K$2=""),"",INDEX(인턴근무계획!$M$3:$R$62,$AC199,인턴현황!$K$2)&amp;"")&lt;&gt;"",LEFT(IF(OR($AC199="",인턴현황!$K$2=""),"",INDEX(인턴근무계획!$M$3:$R$62,$AC199,인턴현황!$K$2)&amp;""),1)&lt;&gt;"⚠"),LEFT(IF(OR($AC199="",인턴현황!$K$2=""),"",INDEX(인턴근무계획!$M$3:$R$62,$AC199,인턴현황!$K$2)&amp;""),FIND(" ",IF(OR($AC199="",인턴현황!$K$2=""),"",INDEX(인턴근무계획!$M$3:$R$62,$AC199,인턴현황!$K$2)&amp;""))-1),$AE199))</f>
        <v/>
      </c>
      <c r="AH199" s="17">
        <f>IF($B199="","",IF(TRIM($J199&amp;"")="",0,SUMPRODUCT((파견수련계획!$Q$4:$Q$83=TRIM($J199&amp;""))*(파견수련계획!$S$4:$S$83="서울병원")*파견수련계획!$W$4:$W$83))+IF($AG199="서울병원",MAX(0,DAY(EOMONTH(요약!$B$3,0))-N($X199)),0))</f>
        <v/>
      </c>
      <c r="AI199" s="17">
        <f>IF($B199="","",IF(TRIM($J199&amp;"")="",0,SUMPRODUCT((파견수련계획!$Q$4:$Q$83=TRIM($J199&amp;""))*(파견수련계획!$S$4:$S$83="구리병원")*파견수련계획!$W$4:$W$83))+IF($AG199="구리병원",MAX(0,DAY(EOMONTH(요약!$B$3,0))-N($X199)),0))</f>
        <v/>
      </c>
      <c r="AJ199" s="10">
        <f>IF(OR($B199="",TRIM($J199&amp;"")=""),"",IFERROR(MATCH(TRIM($J199&amp;"")&amp;"|월",파견수련계획!$Z$4:$Z$83,0),""))</f>
        <v/>
      </c>
      <c r="AK199" s="10">
        <f>IF(OR($B199="",TRIM($J199&amp;"")=""),"",IFERROR(MATCH(TRIM($J199&amp;"")&amp;"|다기관",파견수련계획!$AE$4:$AE$83,0),""))</f>
        <v/>
      </c>
      <c r="AL199" s="10">
        <f>IF($AK199="","","다기관 "&amp;TEXT(INDEX(파견수련계획!$AB$4:$AB$83,$AK199),"yyyy-mm-dd")&amp;"~"&amp;IF(ISNUMBER(INDEX(파견수련계획!$AC$4:$AC$83,$AK199)),TEXT(INDEX(파견수련계획!$AC$4:$AC$83,$AK199),"yyyy-mm-dd"),""))</f>
        <v/>
      </c>
    </row>
    <row r="200">
      <c r="A200" s="10">
        <f>IF(B200="","",ROW()-1)</f>
        <v/>
      </c>
      <c r="B200" s="18" t="n"/>
      <c r="C200" s="10">
        <f>IF($AB200="","",IF(INDEX(기본자료!$C$2:$C$1001,$AB200)="","",INDEX(기본자료!$C$2:$C$1001,$AB200)))</f>
        <v/>
      </c>
      <c r="D200" s="10">
        <f>IF($AB200="","",IF(INDEX(기본자료!$J$2:$J$1001,$AB200)="","",INDEX(기본자료!$J$2:$J$1001,$AB200)))</f>
        <v/>
      </c>
      <c r="E200" s="11">
        <f>IF($AB200="","",IF(INDEX(기본자료!$K$2:$K$1001,$AB200)="","",IF(NOT(ISNUMBER(INDEX(기본자료!$K$2:$K$1001,$AB200))),INDEX(기본자료!$K$2:$K$1001,$AB200),IF(INDEX(기본자료!$K$2:$K$1001,$AB200)&lt;1000000,INDEX(기본자료!$K$2:$K$1001,$AB200),IF(AND(INDEX(기본자료!$K$2:$K$1001,$AB200)&gt;=10000101,INT(MOD(INDEX(기본자료!$K$2:$K$1001,$AB200),10000)/100)&gt;=1,INT(MOD(INDEX(기본자료!$K$2:$K$1001,$AB200),10000)/100)&lt;=12,MOD(INDEX(기본자료!$K$2:$K$1001,$AB200),100)&gt;=1,MOD(INDEX(기본자료!$K$2:$K$1001,$AB200),100)&lt;=31),DATE(INT(INDEX(기본자료!$K$2:$K$1001,$AB200)/10000),INT(MOD(INDEX(기본자료!$K$2:$K$1001,$AB200),10000)/100),MOD(INDEX(기본자료!$K$2:$K$1001,$AB200),100)),INDEX(기본자료!$K$2:$K$1001,$AB200)&amp;"")))))</f>
        <v/>
      </c>
      <c r="F200" s="10">
        <f>IF($AB200="","",IF(INDEX(기본자료!$D$2:$D$1001,$AB200)="","",INDEX(기본자료!$D$2:$D$1001,$AB200)))</f>
        <v/>
      </c>
      <c r="G200" s="10">
        <f>IF($AB200="","",IF(INDEX(기본자료!$E$2:$E$1001,$AB200)="","",INDEX(기본자료!$E$2:$E$1001,$AB200)))</f>
        <v/>
      </c>
      <c r="H200" s="10">
        <f>IF($AB200="","",IF(INDEX(기본자료!$F$2:$F$1001,$AB200)="","",INDEX(기본자료!$F$2:$F$1001,$AB200)))</f>
        <v/>
      </c>
      <c r="I200" s="11">
        <f>IF($AB200="","",IF(INDEX(기본자료!$G$2:$G$1001,$AB200)="","",IF(NOT(ISNUMBER(INDEX(기본자료!$G$2:$G$1001,$AB200))),INDEX(기본자료!$G$2:$G$1001,$AB200),IF(INDEX(기본자료!$G$2:$G$1001,$AB200)&lt;1000000,INDEX(기본자료!$G$2:$G$1001,$AB200),IF(AND(INDEX(기본자료!$G$2:$G$1001,$AB200)&gt;=10000101,INT(MOD(INDEX(기본자료!$G$2:$G$1001,$AB200),10000)/100)&gt;=1,INT(MOD(INDEX(기본자료!$G$2:$G$1001,$AB200),10000)/100)&lt;=12,MOD(INDEX(기본자료!$G$2:$G$1001,$AB200),100)&gt;=1,MOD(INDEX(기본자료!$G$2:$G$1001,$AB200),100)&lt;=31),DATE(INT(INDEX(기본자료!$G$2:$G$1001,$AB200)/10000),INT(MOD(INDEX(기본자료!$G$2:$G$1001,$AB200),10000)/100),MOD(INDEX(기본자료!$G$2:$G$1001,$AB200),100)),INDEX(기본자료!$G$2:$G$1001,$AB200)&amp;"")))))</f>
        <v/>
      </c>
      <c r="J200" s="10">
        <f>IF($AB200="","",IF(INDEX(기본자료!$H$2:$H$1001,$AB200)="","",INDEX(기본자료!$H$2:$H$1001,$AB200)))</f>
        <v/>
      </c>
      <c r="K200" s="10">
        <f>IF($AB200="","",IF(INDEX(기본자료!$I$2:$I$1001,$AB200)="","",INDEX(기본자료!$I$2:$I$1001,$AB200)))</f>
        <v/>
      </c>
      <c r="L200" s="10">
        <f>IF($AB200="","",IF(INDEX(기본자료!$A$2:$A$1001,$AB200)="","",INDEX(기본자료!$A$2:$A$1001,$AB200)))</f>
        <v/>
      </c>
      <c r="M200" s="15" t="n"/>
      <c r="N200" s="10">
        <f>IF($B200="","",IF(AND($U200="파견중",$Q200&lt;&gt;""),$Q200,IF(AND($AD200&lt;&gt;"",LEFT($AD200,1)&lt;&gt;"⚠"),LEFT($AD200,FIND(" ",$AD200)-1),IF($H200="","",IF(RIGHT($H200,2)="병원",$H200,$H200&amp;"병원")))))</f>
        <v/>
      </c>
      <c r="O200" s="10">
        <f>IF($B200="","",IF(AND($U200="파견중",$Q200&lt;&gt;""),IF($R200&lt;&gt;"",$R200,"파견과 미입력"),IF(AND($AD200&lt;&gt;"",LEFT($AD200,1)&lt;&gt;"⚠"),MID($AD200,FIND(" ",$AD200)+1,60),IF($F200="","",IF($F200="인턴","수련교육부(인턴)",$F200)))))</f>
        <v/>
      </c>
      <c r="P200" s="10">
        <f>IF($B200="","",IF($AK200&lt;&gt;"",IF(AND(TODAY()&gt;=INDEX(파견수련계획!$AB$4:$AB$83,$AK200),OR(NOT(ISNUMBER(INDEX(파견수련계획!$AC$4:$AC$83,$AK200))),TODAY()&lt;=INDEX(파견수련계획!$AC$4:$AC$83,$AK200))),"다기관",IF($AF200="","",INDEX(파견수련계획!$T$4:$T$83,$AF200))),IF($AF200="","",INDEX(파견수련계획!$T$4:$T$83,$AF200))))</f>
        <v/>
      </c>
      <c r="Q200" s="10">
        <f>IF($AF200="","",INDEX(파견수련계획!$S$4:$S$83,$AF200))</f>
        <v/>
      </c>
      <c r="R200" s="10">
        <f>IF($AF200="","",INDEX(파견수련계획!$U$4:$U$83,$AF200))</f>
        <v/>
      </c>
      <c r="S200" s="11">
        <f>IF($AF200="","",IF(INDEX(파견수련계획!$H$4:$H$83,$AF200)="","",INDEX(파견수련계획!$H$4:$H$83,$AF200)))</f>
        <v/>
      </c>
      <c r="T200" s="11">
        <f>IF($AF200="","",IF(INDEX(파견수련계획!$I$4:$I$83,$AF200)="","",INDEX(파견수련계획!$I$4:$I$83,$AF200)))</f>
        <v/>
      </c>
      <c r="U200" s="10">
        <f>IF($AF200="","",INDEX(파견수련계획!$X$4:$X$83,$AF200))</f>
        <v/>
      </c>
      <c r="V200" s="17">
        <f>IF($AF200="","",INDEX(파견수련계획!$V$4:$V$83,$AF200))</f>
        <v/>
      </c>
      <c r="W200" s="17">
        <f>IF(AND($U200="파견중",$T200&lt;&gt;""),$T200-TODAY(),"")</f>
        <v/>
      </c>
      <c r="X200" s="17">
        <f>IF(OR($B200="",TRIM($J200&amp;"")=""),"",SUMPRODUCT((파견수련계획!$Q$4:$Q$83=TRIM($J200&amp;""))*파견수련계획!$W$4:$W$83))</f>
        <v/>
      </c>
      <c r="Y200" s="10">
        <f>IF($B200="","",IF($AG200="","",IF(IF(TRIM($J200&amp;"")="",0,SUMPRODUCT((파견수련계획!$Q$4:$Q$83=TRIM($J200&amp;""))*파견수련계획!$AD$4:$AD$83))&gt;0,$AE200,IF(N($X200)&lt;=0,$AG200,IF($AH200+$AI200=DAY(EOMONTH(요약!$B$3,0)),IF(AND($AH200&gt;=요약!$E$3,$AI200&lt;요약!$E$3),"서울병원",IF(AND($AI200&gt;=요약!$E$3,$AH200&lt;요약!$E$3),"구리병원","⚠15일 판정불가(서울 "&amp;$AH200&amp;"일/구리 "&amp;$AI200&amp;"일)")),IF($AJ200="",$AE200,IF(INDEX(파견수련계획!$T$4:$T$83,$AJ200)="통합수련",INDEX(파견수련계획!$S$4:$S$83,$AJ200),$AE200)))))))</f>
        <v/>
      </c>
      <c r="Z200" s="19">
        <f>IF($B200="","",IF($AB200="","기본자료에 없는 사번",IF(COUNTIF($B$2:$B$401,$B200)&gt;1,"중복 사번",IF($AE200="","소속(입사장소) 입력",IF(IF(TRIM($J200&amp;"")="",0,SUMPRODUCT((파견수련계획!$Q$4:$Q$83=TRIM($J200&amp;""))*(파견수련계획!$AA$4:$AA$83&lt;&gt;"")))&gt;0,"파견수련계획 입력오류 확인",IF(LEFT($Y200,1)="⚠","서울·구리 15일 판정 불가(양쪽 모두 이상/미만)",IF(IF($AC200="",0,N(INDEX(인턴근무계획!$T$3:$T$62,$AC200)))&gt;0,"인턴계획 입력오류 확인",IF(AND($AC200&lt;&gt;"",$U200&lt;&gt;"파견중",$N200&lt;&gt;$AE200),"인턴 타지역 근무: 파견 여부 확인","정상"))))))))</f>
        <v/>
      </c>
      <c r="AA200" s="5" t="n"/>
      <c r="AB200" s="10">
        <f>IF($B200="","",IFERROR(MATCH($B200,기본자료!$B$2:$B$1001,0),IFERROR(MATCH($B200&amp;"",기본자료!$B$2:$B$1001,0),IFERROR(MATCH(VALUE($B200),기본자료!$B$2:$B$1001,0),""))))</f>
        <v/>
      </c>
      <c r="AC200" s="10">
        <f>IF($B200="","",IFERROR(MATCH($B200,인턴근무계획!$D$3:$D$62,0),IFERROR(MATCH($B200&amp;"",인턴근무계획!$D$3:$D$62,0),IFERROR(MATCH(VALUE($B200),인턴근무계획!$D$3:$D$62,0),""))))</f>
        <v/>
      </c>
      <c r="AD200" s="10">
        <f>IF(OR($AC200="",인턴현황!$G$3=""),"",INDEX(인턴근무계획!$M$3:$R$62,$AC200,인턴현황!$G$3)&amp;"")</f>
        <v/>
      </c>
      <c r="AE200" s="10">
        <f>IF($B200="","",IF($M200&lt;&gt;"",$M200,IF($AF200&lt;&gt;"",IF(LEFT(INDEX(파견수련계획!$R$4:$R$83,$AF200),1)&lt;&gt;"⚠",INDEX(파견수련계획!$R$4:$R$83,$AF200),IF($H200="","",IF(RIGHT($H200,2)="병원",$H200,$H200&amp;"병원"))),IF($H200="","",IF(RIGHT($H200,2)="병원",$H200,$H200&amp;"병원")))))</f>
        <v/>
      </c>
      <c r="AF200" s="10">
        <f>IF(OR($B200="",TRIM($J200&amp;"")=""),"",IFERROR(MATCH(TRIM($J200&amp;"")&amp;"|파견중",파견수련계획!$Y$4:$Y$83,0),IFERROR(MATCH(TRIM($J200&amp;"")&amp;"|파견예정",파견수련계획!$Y$4:$Y$83,0),IFERROR(MATCH(TRIM($J200&amp;"")&amp;"|파견종료",파견수련계획!$Y$4:$Y$83,0),""))))</f>
        <v/>
      </c>
      <c r="AG200" s="10">
        <f>IF($B200="","",IF(AND(IF(OR($AC200="",인턴현황!$K$2=""),"",INDEX(인턴근무계획!$M$3:$R$62,$AC200,인턴현황!$K$2)&amp;"")&lt;&gt;"",LEFT(IF(OR($AC200="",인턴현황!$K$2=""),"",INDEX(인턴근무계획!$M$3:$R$62,$AC200,인턴현황!$K$2)&amp;""),1)&lt;&gt;"⚠"),LEFT(IF(OR($AC200="",인턴현황!$K$2=""),"",INDEX(인턴근무계획!$M$3:$R$62,$AC200,인턴현황!$K$2)&amp;""),FIND(" ",IF(OR($AC200="",인턴현황!$K$2=""),"",INDEX(인턴근무계획!$M$3:$R$62,$AC200,인턴현황!$K$2)&amp;""))-1),$AE200))</f>
        <v/>
      </c>
      <c r="AH200" s="17">
        <f>IF($B200="","",IF(TRIM($J200&amp;"")="",0,SUMPRODUCT((파견수련계획!$Q$4:$Q$83=TRIM($J200&amp;""))*(파견수련계획!$S$4:$S$83="서울병원")*파견수련계획!$W$4:$W$83))+IF($AG200="서울병원",MAX(0,DAY(EOMONTH(요약!$B$3,0))-N($X200)),0))</f>
        <v/>
      </c>
      <c r="AI200" s="17">
        <f>IF($B200="","",IF(TRIM($J200&amp;"")="",0,SUMPRODUCT((파견수련계획!$Q$4:$Q$83=TRIM($J200&amp;""))*(파견수련계획!$S$4:$S$83="구리병원")*파견수련계획!$W$4:$W$83))+IF($AG200="구리병원",MAX(0,DAY(EOMONTH(요약!$B$3,0))-N($X200)),0))</f>
        <v/>
      </c>
      <c r="AJ200" s="10">
        <f>IF(OR($B200="",TRIM($J200&amp;"")=""),"",IFERROR(MATCH(TRIM($J200&amp;"")&amp;"|월",파견수련계획!$Z$4:$Z$83,0),""))</f>
        <v/>
      </c>
      <c r="AK200" s="10">
        <f>IF(OR($B200="",TRIM($J200&amp;"")=""),"",IFERROR(MATCH(TRIM($J200&amp;"")&amp;"|다기관",파견수련계획!$AE$4:$AE$83,0),""))</f>
        <v/>
      </c>
      <c r="AL200" s="10">
        <f>IF($AK200="","","다기관 "&amp;TEXT(INDEX(파견수련계획!$AB$4:$AB$83,$AK200),"yyyy-mm-dd")&amp;"~"&amp;IF(ISNUMBER(INDEX(파견수련계획!$AC$4:$AC$83,$AK200)),TEXT(INDEX(파견수련계획!$AC$4:$AC$83,$AK200),"yyyy-mm-dd"),""))</f>
        <v/>
      </c>
    </row>
    <row r="201">
      <c r="A201" s="10">
        <f>IF(B201="","",ROW()-1)</f>
        <v/>
      </c>
      <c r="B201" s="18" t="n"/>
      <c r="C201" s="10">
        <f>IF($AB201="","",IF(INDEX(기본자료!$C$2:$C$1001,$AB201)="","",INDEX(기본자료!$C$2:$C$1001,$AB201)))</f>
        <v/>
      </c>
      <c r="D201" s="10">
        <f>IF($AB201="","",IF(INDEX(기본자료!$J$2:$J$1001,$AB201)="","",INDEX(기본자료!$J$2:$J$1001,$AB201)))</f>
        <v/>
      </c>
      <c r="E201" s="11">
        <f>IF($AB201="","",IF(INDEX(기본자료!$K$2:$K$1001,$AB201)="","",IF(NOT(ISNUMBER(INDEX(기본자료!$K$2:$K$1001,$AB201))),INDEX(기본자료!$K$2:$K$1001,$AB201),IF(INDEX(기본자료!$K$2:$K$1001,$AB201)&lt;1000000,INDEX(기본자료!$K$2:$K$1001,$AB201),IF(AND(INDEX(기본자료!$K$2:$K$1001,$AB201)&gt;=10000101,INT(MOD(INDEX(기본자료!$K$2:$K$1001,$AB201),10000)/100)&gt;=1,INT(MOD(INDEX(기본자료!$K$2:$K$1001,$AB201),10000)/100)&lt;=12,MOD(INDEX(기본자료!$K$2:$K$1001,$AB201),100)&gt;=1,MOD(INDEX(기본자료!$K$2:$K$1001,$AB201),100)&lt;=31),DATE(INT(INDEX(기본자료!$K$2:$K$1001,$AB201)/10000),INT(MOD(INDEX(기본자료!$K$2:$K$1001,$AB201),10000)/100),MOD(INDEX(기본자료!$K$2:$K$1001,$AB201),100)),INDEX(기본자료!$K$2:$K$1001,$AB201)&amp;"")))))</f>
        <v/>
      </c>
      <c r="F201" s="10">
        <f>IF($AB201="","",IF(INDEX(기본자료!$D$2:$D$1001,$AB201)="","",INDEX(기본자료!$D$2:$D$1001,$AB201)))</f>
        <v/>
      </c>
      <c r="G201" s="10">
        <f>IF($AB201="","",IF(INDEX(기본자료!$E$2:$E$1001,$AB201)="","",INDEX(기본자료!$E$2:$E$1001,$AB201)))</f>
        <v/>
      </c>
      <c r="H201" s="10">
        <f>IF($AB201="","",IF(INDEX(기본자료!$F$2:$F$1001,$AB201)="","",INDEX(기본자료!$F$2:$F$1001,$AB201)))</f>
        <v/>
      </c>
      <c r="I201" s="11">
        <f>IF($AB201="","",IF(INDEX(기본자료!$G$2:$G$1001,$AB201)="","",IF(NOT(ISNUMBER(INDEX(기본자료!$G$2:$G$1001,$AB201))),INDEX(기본자료!$G$2:$G$1001,$AB201),IF(INDEX(기본자료!$G$2:$G$1001,$AB201)&lt;1000000,INDEX(기본자료!$G$2:$G$1001,$AB201),IF(AND(INDEX(기본자료!$G$2:$G$1001,$AB201)&gt;=10000101,INT(MOD(INDEX(기본자료!$G$2:$G$1001,$AB201),10000)/100)&gt;=1,INT(MOD(INDEX(기본자료!$G$2:$G$1001,$AB201),10000)/100)&lt;=12,MOD(INDEX(기본자료!$G$2:$G$1001,$AB201),100)&gt;=1,MOD(INDEX(기본자료!$G$2:$G$1001,$AB201),100)&lt;=31),DATE(INT(INDEX(기본자료!$G$2:$G$1001,$AB201)/10000),INT(MOD(INDEX(기본자료!$G$2:$G$1001,$AB201),10000)/100),MOD(INDEX(기본자료!$G$2:$G$1001,$AB201),100)),INDEX(기본자료!$G$2:$G$1001,$AB201)&amp;"")))))</f>
        <v/>
      </c>
      <c r="J201" s="10">
        <f>IF($AB201="","",IF(INDEX(기본자료!$H$2:$H$1001,$AB201)="","",INDEX(기본자료!$H$2:$H$1001,$AB201)))</f>
        <v/>
      </c>
      <c r="K201" s="10">
        <f>IF($AB201="","",IF(INDEX(기본자료!$I$2:$I$1001,$AB201)="","",INDEX(기본자료!$I$2:$I$1001,$AB201)))</f>
        <v/>
      </c>
      <c r="L201" s="10">
        <f>IF($AB201="","",IF(INDEX(기본자료!$A$2:$A$1001,$AB201)="","",INDEX(기본자료!$A$2:$A$1001,$AB201)))</f>
        <v/>
      </c>
      <c r="M201" s="15" t="n"/>
      <c r="N201" s="10">
        <f>IF($B201="","",IF(AND($U201="파견중",$Q201&lt;&gt;""),$Q201,IF(AND($AD201&lt;&gt;"",LEFT($AD201,1)&lt;&gt;"⚠"),LEFT($AD201,FIND(" ",$AD201)-1),IF($H201="","",IF(RIGHT($H201,2)="병원",$H201,$H201&amp;"병원")))))</f>
        <v/>
      </c>
      <c r="O201" s="10">
        <f>IF($B201="","",IF(AND($U201="파견중",$Q201&lt;&gt;""),IF($R201&lt;&gt;"",$R201,"파견과 미입력"),IF(AND($AD201&lt;&gt;"",LEFT($AD201,1)&lt;&gt;"⚠"),MID($AD201,FIND(" ",$AD201)+1,60),IF($F201="","",IF($F201="인턴","수련교육부(인턴)",$F201)))))</f>
        <v/>
      </c>
      <c r="P201" s="10">
        <f>IF($B201="","",IF($AK201&lt;&gt;"",IF(AND(TODAY()&gt;=INDEX(파견수련계획!$AB$4:$AB$83,$AK201),OR(NOT(ISNUMBER(INDEX(파견수련계획!$AC$4:$AC$83,$AK201))),TODAY()&lt;=INDEX(파견수련계획!$AC$4:$AC$83,$AK201))),"다기관",IF($AF201="","",INDEX(파견수련계획!$T$4:$T$83,$AF201))),IF($AF201="","",INDEX(파견수련계획!$T$4:$T$83,$AF201))))</f>
        <v/>
      </c>
      <c r="Q201" s="10">
        <f>IF($AF201="","",INDEX(파견수련계획!$S$4:$S$83,$AF201))</f>
        <v/>
      </c>
      <c r="R201" s="10">
        <f>IF($AF201="","",INDEX(파견수련계획!$U$4:$U$83,$AF201))</f>
        <v/>
      </c>
      <c r="S201" s="11">
        <f>IF($AF201="","",IF(INDEX(파견수련계획!$H$4:$H$83,$AF201)="","",INDEX(파견수련계획!$H$4:$H$83,$AF201)))</f>
        <v/>
      </c>
      <c r="T201" s="11">
        <f>IF($AF201="","",IF(INDEX(파견수련계획!$I$4:$I$83,$AF201)="","",INDEX(파견수련계획!$I$4:$I$83,$AF201)))</f>
        <v/>
      </c>
      <c r="U201" s="10">
        <f>IF($AF201="","",INDEX(파견수련계획!$X$4:$X$83,$AF201))</f>
        <v/>
      </c>
      <c r="V201" s="17">
        <f>IF($AF201="","",INDEX(파견수련계획!$V$4:$V$83,$AF201))</f>
        <v/>
      </c>
      <c r="W201" s="17">
        <f>IF(AND($U201="파견중",$T201&lt;&gt;""),$T201-TODAY(),"")</f>
        <v/>
      </c>
      <c r="X201" s="17">
        <f>IF(OR($B201="",TRIM($J201&amp;"")=""),"",SUMPRODUCT((파견수련계획!$Q$4:$Q$83=TRIM($J201&amp;""))*파견수련계획!$W$4:$W$83))</f>
        <v/>
      </c>
      <c r="Y201" s="10">
        <f>IF($B201="","",IF($AG201="","",IF(IF(TRIM($J201&amp;"")="",0,SUMPRODUCT((파견수련계획!$Q$4:$Q$83=TRIM($J201&amp;""))*파견수련계획!$AD$4:$AD$83))&gt;0,$AE201,IF(N($X201)&lt;=0,$AG201,IF($AH201+$AI201=DAY(EOMONTH(요약!$B$3,0)),IF(AND($AH201&gt;=요약!$E$3,$AI201&lt;요약!$E$3),"서울병원",IF(AND($AI201&gt;=요약!$E$3,$AH201&lt;요약!$E$3),"구리병원","⚠15일 판정불가(서울 "&amp;$AH201&amp;"일/구리 "&amp;$AI201&amp;"일)")),IF($AJ201="",$AE201,IF(INDEX(파견수련계획!$T$4:$T$83,$AJ201)="통합수련",INDEX(파견수련계획!$S$4:$S$83,$AJ201),$AE201)))))))</f>
        <v/>
      </c>
      <c r="Z201" s="19">
        <f>IF($B201="","",IF($AB201="","기본자료에 없는 사번",IF(COUNTIF($B$2:$B$401,$B201)&gt;1,"중복 사번",IF($AE201="","소속(입사장소) 입력",IF(IF(TRIM($J201&amp;"")="",0,SUMPRODUCT((파견수련계획!$Q$4:$Q$83=TRIM($J201&amp;""))*(파견수련계획!$AA$4:$AA$83&lt;&gt;"")))&gt;0,"파견수련계획 입력오류 확인",IF(LEFT($Y201,1)="⚠","서울·구리 15일 판정 불가(양쪽 모두 이상/미만)",IF(IF($AC201="",0,N(INDEX(인턴근무계획!$T$3:$T$62,$AC201)))&gt;0,"인턴계획 입력오류 확인",IF(AND($AC201&lt;&gt;"",$U201&lt;&gt;"파견중",$N201&lt;&gt;$AE201),"인턴 타지역 근무: 파견 여부 확인","정상"))))))))</f>
        <v/>
      </c>
      <c r="AA201" s="5" t="n"/>
      <c r="AB201" s="10">
        <f>IF($B201="","",IFERROR(MATCH($B201,기본자료!$B$2:$B$1001,0),IFERROR(MATCH($B201&amp;"",기본자료!$B$2:$B$1001,0),IFERROR(MATCH(VALUE($B201),기본자료!$B$2:$B$1001,0),""))))</f>
        <v/>
      </c>
      <c r="AC201" s="10">
        <f>IF($B201="","",IFERROR(MATCH($B201,인턴근무계획!$D$3:$D$62,0),IFERROR(MATCH($B201&amp;"",인턴근무계획!$D$3:$D$62,0),IFERROR(MATCH(VALUE($B201),인턴근무계획!$D$3:$D$62,0),""))))</f>
        <v/>
      </c>
      <c r="AD201" s="10">
        <f>IF(OR($AC201="",인턴현황!$G$3=""),"",INDEX(인턴근무계획!$M$3:$R$62,$AC201,인턴현황!$G$3)&amp;"")</f>
        <v/>
      </c>
      <c r="AE201" s="10">
        <f>IF($B201="","",IF($M201&lt;&gt;"",$M201,IF($AF201&lt;&gt;"",IF(LEFT(INDEX(파견수련계획!$R$4:$R$83,$AF201),1)&lt;&gt;"⚠",INDEX(파견수련계획!$R$4:$R$83,$AF201),IF($H201="","",IF(RIGHT($H201,2)="병원",$H201,$H201&amp;"병원"))),IF($H201="","",IF(RIGHT($H201,2)="병원",$H201,$H201&amp;"병원")))))</f>
        <v/>
      </c>
      <c r="AF201" s="10">
        <f>IF(OR($B201="",TRIM($J201&amp;"")=""),"",IFERROR(MATCH(TRIM($J201&amp;"")&amp;"|파견중",파견수련계획!$Y$4:$Y$83,0),IFERROR(MATCH(TRIM($J201&amp;"")&amp;"|파견예정",파견수련계획!$Y$4:$Y$83,0),IFERROR(MATCH(TRIM($J201&amp;"")&amp;"|파견종료",파견수련계획!$Y$4:$Y$83,0),""))))</f>
        <v/>
      </c>
      <c r="AG201" s="10">
        <f>IF($B201="","",IF(AND(IF(OR($AC201="",인턴현황!$K$2=""),"",INDEX(인턴근무계획!$M$3:$R$62,$AC201,인턴현황!$K$2)&amp;"")&lt;&gt;"",LEFT(IF(OR($AC201="",인턴현황!$K$2=""),"",INDEX(인턴근무계획!$M$3:$R$62,$AC201,인턴현황!$K$2)&amp;""),1)&lt;&gt;"⚠"),LEFT(IF(OR($AC201="",인턴현황!$K$2=""),"",INDEX(인턴근무계획!$M$3:$R$62,$AC201,인턴현황!$K$2)&amp;""),FIND(" ",IF(OR($AC201="",인턴현황!$K$2=""),"",INDEX(인턴근무계획!$M$3:$R$62,$AC201,인턴현황!$K$2)&amp;""))-1),$AE201))</f>
        <v/>
      </c>
      <c r="AH201" s="17">
        <f>IF($B201="","",IF(TRIM($J201&amp;"")="",0,SUMPRODUCT((파견수련계획!$Q$4:$Q$83=TRIM($J201&amp;""))*(파견수련계획!$S$4:$S$83="서울병원")*파견수련계획!$W$4:$W$83))+IF($AG201="서울병원",MAX(0,DAY(EOMONTH(요약!$B$3,0))-N($X201)),0))</f>
        <v/>
      </c>
      <c r="AI201" s="17">
        <f>IF($B201="","",IF(TRIM($J201&amp;"")="",0,SUMPRODUCT((파견수련계획!$Q$4:$Q$83=TRIM($J201&amp;""))*(파견수련계획!$S$4:$S$83="구리병원")*파견수련계획!$W$4:$W$83))+IF($AG201="구리병원",MAX(0,DAY(EOMONTH(요약!$B$3,0))-N($X201)),0))</f>
        <v/>
      </c>
      <c r="AJ201" s="10">
        <f>IF(OR($B201="",TRIM($J201&amp;"")=""),"",IFERROR(MATCH(TRIM($J201&amp;"")&amp;"|월",파견수련계획!$Z$4:$Z$83,0),""))</f>
        <v/>
      </c>
      <c r="AK201" s="10">
        <f>IF(OR($B201="",TRIM($J201&amp;"")=""),"",IFERROR(MATCH(TRIM($J201&amp;"")&amp;"|다기관",파견수련계획!$AE$4:$AE$83,0),""))</f>
        <v/>
      </c>
      <c r="AL201" s="10">
        <f>IF($AK201="","","다기관 "&amp;TEXT(INDEX(파견수련계획!$AB$4:$AB$83,$AK201),"yyyy-mm-dd")&amp;"~"&amp;IF(ISNUMBER(INDEX(파견수련계획!$AC$4:$AC$83,$AK201)),TEXT(INDEX(파견수련계획!$AC$4:$AC$83,$AK201),"yyyy-mm-dd"),""))</f>
        <v/>
      </c>
    </row>
    <row r="202">
      <c r="A202" s="10">
        <f>IF(B202="","",ROW()-1)</f>
        <v/>
      </c>
      <c r="B202" s="18" t="n"/>
      <c r="C202" s="10">
        <f>IF($AB202="","",IF(INDEX(기본자료!$C$2:$C$1001,$AB202)="","",INDEX(기본자료!$C$2:$C$1001,$AB202)))</f>
        <v/>
      </c>
      <c r="D202" s="10">
        <f>IF($AB202="","",IF(INDEX(기본자료!$J$2:$J$1001,$AB202)="","",INDEX(기본자료!$J$2:$J$1001,$AB202)))</f>
        <v/>
      </c>
      <c r="E202" s="11">
        <f>IF($AB202="","",IF(INDEX(기본자료!$K$2:$K$1001,$AB202)="","",IF(NOT(ISNUMBER(INDEX(기본자료!$K$2:$K$1001,$AB202))),INDEX(기본자료!$K$2:$K$1001,$AB202),IF(INDEX(기본자료!$K$2:$K$1001,$AB202)&lt;1000000,INDEX(기본자료!$K$2:$K$1001,$AB202),IF(AND(INDEX(기본자료!$K$2:$K$1001,$AB202)&gt;=10000101,INT(MOD(INDEX(기본자료!$K$2:$K$1001,$AB202),10000)/100)&gt;=1,INT(MOD(INDEX(기본자료!$K$2:$K$1001,$AB202),10000)/100)&lt;=12,MOD(INDEX(기본자료!$K$2:$K$1001,$AB202),100)&gt;=1,MOD(INDEX(기본자료!$K$2:$K$1001,$AB202),100)&lt;=31),DATE(INT(INDEX(기본자료!$K$2:$K$1001,$AB202)/10000),INT(MOD(INDEX(기본자료!$K$2:$K$1001,$AB202),10000)/100),MOD(INDEX(기본자료!$K$2:$K$1001,$AB202),100)),INDEX(기본자료!$K$2:$K$1001,$AB202)&amp;"")))))</f>
        <v/>
      </c>
      <c r="F202" s="10">
        <f>IF($AB202="","",IF(INDEX(기본자료!$D$2:$D$1001,$AB202)="","",INDEX(기본자료!$D$2:$D$1001,$AB202)))</f>
        <v/>
      </c>
      <c r="G202" s="10">
        <f>IF($AB202="","",IF(INDEX(기본자료!$E$2:$E$1001,$AB202)="","",INDEX(기본자료!$E$2:$E$1001,$AB202)))</f>
        <v/>
      </c>
      <c r="H202" s="10">
        <f>IF($AB202="","",IF(INDEX(기본자료!$F$2:$F$1001,$AB202)="","",INDEX(기본자료!$F$2:$F$1001,$AB202)))</f>
        <v/>
      </c>
      <c r="I202" s="11">
        <f>IF($AB202="","",IF(INDEX(기본자료!$G$2:$G$1001,$AB202)="","",IF(NOT(ISNUMBER(INDEX(기본자료!$G$2:$G$1001,$AB202))),INDEX(기본자료!$G$2:$G$1001,$AB202),IF(INDEX(기본자료!$G$2:$G$1001,$AB202)&lt;1000000,INDEX(기본자료!$G$2:$G$1001,$AB202),IF(AND(INDEX(기본자료!$G$2:$G$1001,$AB202)&gt;=10000101,INT(MOD(INDEX(기본자료!$G$2:$G$1001,$AB202),10000)/100)&gt;=1,INT(MOD(INDEX(기본자료!$G$2:$G$1001,$AB202),10000)/100)&lt;=12,MOD(INDEX(기본자료!$G$2:$G$1001,$AB202),100)&gt;=1,MOD(INDEX(기본자료!$G$2:$G$1001,$AB202),100)&lt;=31),DATE(INT(INDEX(기본자료!$G$2:$G$1001,$AB202)/10000),INT(MOD(INDEX(기본자료!$G$2:$G$1001,$AB202),10000)/100),MOD(INDEX(기본자료!$G$2:$G$1001,$AB202),100)),INDEX(기본자료!$G$2:$G$1001,$AB202)&amp;"")))))</f>
        <v/>
      </c>
      <c r="J202" s="10">
        <f>IF($AB202="","",IF(INDEX(기본자료!$H$2:$H$1001,$AB202)="","",INDEX(기본자료!$H$2:$H$1001,$AB202)))</f>
        <v/>
      </c>
      <c r="K202" s="10">
        <f>IF($AB202="","",IF(INDEX(기본자료!$I$2:$I$1001,$AB202)="","",INDEX(기본자료!$I$2:$I$1001,$AB202)))</f>
        <v/>
      </c>
      <c r="L202" s="10">
        <f>IF($AB202="","",IF(INDEX(기본자료!$A$2:$A$1001,$AB202)="","",INDEX(기본자료!$A$2:$A$1001,$AB202)))</f>
        <v/>
      </c>
      <c r="M202" s="15" t="n"/>
      <c r="N202" s="10">
        <f>IF($B202="","",IF(AND($U202="파견중",$Q202&lt;&gt;""),$Q202,IF(AND($AD202&lt;&gt;"",LEFT($AD202,1)&lt;&gt;"⚠"),LEFT($AD202,FIND(" ",$AD202)-1),IF($H202="","",IF(RIGHT($H202,2)="병원",$H202,$H202&amp;"병원")))))</f>
        <v/>
      </c>
      <c r="O202" s="10">
        <f>IF($B202="","",IF(AND($U202="파견중",$Q202&lt;&gt;""),IF($R202&lt;&gt;"",$R202,"파견과 미입력"),IF(AND($AD202&lt;&gt;"",LEFT($AD202,1)&lt;&gt;"⚠"),MID($AD202,FIND(" ",$AD202)+1,60),IF($F202="","",IF($F202="인턴","수련교육부(인턴)",$F202)))))</f>
        <v/>
      </c>
      <c r="P202" s="10">
        <f>IF($B202="","",IF($AK202&lt;&gt;"",IF(AND(TODAY()&gt;=INDEX(파견수련계획!$AB$4:$AB$83,$AK202),OR(NOT(ISNUMBER(INDEX(파견수련계획!$AC$4:$AC$83,$AK202))),TODAY()&lt;=INDEX(파견수련계획!$AC$4:$AC$83,$AK202))),"다기관",IF($AF202="","",INDEX(파견수련계획!$T$4:$T$83,$AF202))),IF($AF202="","",INDEX(파견수련계획!$T$4:$T$83,$AF202))))</f>
        <v/>
      </c>
      <c r="Q202" s="10">
        <f>IF($AF202="","",INDEX(파견수련계획!$S$4:$S$83,$AF202))</f>
        <v/>
      </c>
      <c r="R202" s="10">
        <f>IF($AF202="","",INDEX(파견수련계획!$U$4:$U$83,$AF202))</f>
        <v/>
      </c>
      <c r="S202" s="11">
        <f>IF($AF202="","",IF(INDEX(파견수련계획!$H$4:$H$83,$AF202)="","",INDEX(파견수련계획!$H$4:$H$83,$AF202)))</f>
        <v/>
      </c>
      <c r="T202" s="11">
        <f>IF($AF202="","",IF(INDEX(파견수련계획!$I$4:$I$83,$AF202)="","",INDEX(파견수련계획!$I$4:$I$83,$AF202)))</f>
        <v/>
      </c>
      <c r="U202" s="10">
        <f>IF($AF202="","",INDEX(파견수련계획!$X$4:$X$83,$AF202))</f>
        <v/>
      </c>
      <c r="V202" s="17">
        <f>IF($AF202="","",INDEX(파견수련계획!$V$4:$V$83,$AF202))</f>
        <v/>
      </c>
      <c r="W202" s="17">
        <f>IF(AND($U202="파견중",$T202&lt;&gt;""),$T202-TODAY(),"")</f>
        <v/>
      </c>
      <c r="X202" s="17">
        <f>IF(OR($B202="",TRIM($J202&amp;"")=""),"",SUMPRODUCT((파견수련계획!$Q$4:$Q$83=TRIM($J202&amp;""))*파견수련계획!$W$4:$W$83))</f>
        <v/>
      </c>
      <c r="Y202" s="10">
        <f>IF($B202="","",IF($AG202="","",IF(IF(TRIM($J202&amp;"")="",0,SUMPRODUCT((파견수련계획!$Q$4:$Q$83=TRIM($J202&amp;""))*파견수련계획!$AD$4:$AD$83))&gt;0,$AE202,IF(N($X202)&lt;=0,$AG202,IF($AH202+$AI202=DAY(EOMONTH(요약!$B$3,0)),IF(AND($AH202&gt;=요약!$E$3,$AI202&lt;요약!$E$3),"서울병원",IF(AND($AI202&gt;=요약!$E$3,$AH202&lt;요약!$E$3),"구리병원","⚠15일 판정불가(서울 "&amp;$AH202&amp;"일/구리 "&amp;$AI202&amp;"일)")),IF($AJ202="",$AE202,IF(INDEX(파견수련계획!$T$4:$T$83,$AJ202)="통합수련",INDEX(파견수련계획!$S$4:$S$83,$AJ202),$AE202)))))))</f>
        <v/>
      </c>
      <c r="Z202" s="19">
        <f>IF($B202="","",IF($AB202="","기본자료에 없는 사번",IF(COUNTIF($B$2:$B$401,$B202)&gt;1,"중복 사번",IF($AE202="","소속(입사장소) 입력",IF(IF(TRIM($J202&amp;"")="",0,SUMPRODUCT((파견수련계획!$Q$4:$Q$83=TRIM($J202&amp;""))*(파견수련계획!$AA$4:$AA$83&lt;&gt;"")))&gt;0,"파견수련계획 입력오류 확인",IF(LEFT($Y202,1)="⚠","서울·구리 15일 판정 불가(양쪽 모두 이상/미만)",IF(IF($AC202="",0,N(INDEX(인턴근무계획!$T$3:$T$62,$AC202)))&gt;0,"인턴계획 입력오류 확인",IF(AND($AC202&lt;&gt;"",$U202&lt;&gt;"파견중",$N202&lt;&gt;$AE202),"인턴 타지역 근무: 파견 여부 확인","정상"))))))))</f>
        <v/>
      </c>
      <c r="AA202" s="5" t="n"/>
      <c r="AB202" s="10">
        <f>IF($B202="","",IFERROR(MATCH($B202,기본자료!$B$2:$B$1001,0),IFERROR(MATCH($B202&amp;"",기본자료!$B$2:$B$1001,0),IFERROR(MATCH(VALUE($B202),기본자료!$B$2:$B$1001,0),""))))</f>
        <v/>
      </c>
      <c r="AC202" s="10">
        <f>IF($B202="","",IFERROR(MATCH($B202,인턴근무계획!$D$3:$D$62,0),IFERROR(MATCH($B202&amp;"",인턴근무계획!$D$3:$D$62,0),IFERROR(MATCH(VALUE($B202),인턴근무계획!$D$3:$D$62,0),""))))</f>
        <v/>
      </c>
      <c r="AD202" s="10">
        <f>IF(OR($AC202="",인턴현황!$G$3=""),"",INDEX(인턴근무계획!$M$3:$R$62,$AC202,인턴현황!$G$3)&amp;"")</f>
        <v/>
      </c>
      <c r="AE202" s="10">
        <f>IF($B202="","",IF($M202&lt;&gt;"",$M202,IF($AF202&lt;&gt;"",IF(LEFT(INDEX(파견수련계획!$R$4:$R$83,$AF202),1)&lt;&gt;"⚠",INDEX(파견수련계획!$R$4:$R$83,$AF202),IF($H202="","",IF(RIGHT($H202,2)="병원",$H202,$H202&amp;"병원"))),IF($H202="","",IF(RIGHT($H202,2)="병원",$H202,$H202&amp;"병원")))))</f>
        <v/>
      </c>
      <c r="AF202" s="10">
        <f>IF(OR($B202="",TRIM($J202&amp;"")=""),"",IFERROR(MATCH(TRIM($J202&amp;"")&amp;"|파견중",파견수련계획!$Y$4:$Y$83,0),IFERROR(MATCH(TRIM($J202&amp;"")&amp;"|파견예정",파견수련계획!$Y$4:$Y$83,0),IFERROR(MATCH(TRIM($J202&amp;"")&amp;"|파견종료",파견수련계획!$Y$4:$Y$83,0),""))))</f>
        <v/>
      </c>
      <c r="AG202" s="10">
        <f>IF($B202="","",IF(AND(IF(OR($AC202="",인턴현황!$K$2=""),"",INDEX(인턴근무계획!$M$3:$R$62,$AC202,인턴현황!$K$2)&amp;"")&lt;&gt;"",LEFT(IF(OR($AC202="",인턴현황!$K$2=""),"",INDEX(인턴근무계획!$M$3:$R$62,$AC202,인턴현황!$K$2)&amp;""),1)&lt;&gt;"⚠"),LEFT(IF(OR($AC202="",인턴현황!$K$2=""),"",INDEX(인턴근무계획!$M$3:$R$62,$AC202,인턴현황!$K$2)&amp;""),FIND(" ",IF(OR($AC202="",인턴현황!$K$2=""),"",INDEX(인턴근무계획!$M$3:$R$62,$AC202,인턴현황!$K$2)&amp;""))-1),$AE202))</f>
        <v/>
      </c>
      <c r="AH202" s="17">
        <f>IF($B202="","",IF(TRIM($J202&amp;"")="",0,SUMPRODUCT((파견수련계획!$Q$4:$Q$83=TRIM($J202&amp;""))*(파견수련계획!$S$4:$S$83="서울병원")*파견수련계획!$W$4:$W$83))+IF($AG202="서울병원",MAX(0,DAY(EOMONTH(요약!$B$3,0))-N($X202)),0))</f>
        <v/>
      </c>
      <c r="AI202" s="17">
        <f>IF($B202="","",IF(TRIM($J202&amp;"")="",0,SUMPRODUCT((파견수련계획!$Q$4:$Q$83=TRIM($J202&amp;""))*(파견수련계획!$S$4:$S$83="구리병원")*파견수련계획!$W$4:$W$83))+IF($AG202="구리병원",MAX(0,DAY(EOMONTH(요약!$B$3,0))-N($X202)),0))</f>
        <v/>
      </c>
      <c r="AJ202" s="10">
        <f>IF(OR($B202="",TRIM($J202&amp;"")=""),"",IFERROR(MATCH(TRIM($J202&amp;"")&amp;"|월",파견수련계획!$Z$4:$Z$83,0),""))</f>
        <v/>
      </c>
      <c r="AK202" s="10">
        <f>IF(OR($B202="",TRIM($J202&amp;"")=""),"",IFERROR(MATCH(TRIM($J202&amp;"")&amp;"|다기관",파견수련계획!$AE$4:$AE$83,0),""))</f>
        <v/>
      </c>
      <c r="AL202" s="10">
        <f>IF($AK202="","","다기관 "&amp;TEXT(INDEX(파견수련계획!$AB$4:$AB$83,$AK202),"yyyy-mm-dd")&amp;"~"&amp;IF(ISNUMBER(INDEX(파견수련계획!$AC$4:$AC$83,$AK202)),TEXT(INDEX(파견수련계획!$AC$4:$AC$83,$AK202),"yyyy-mm-dd"),""))</f>
        <v/>
      </c>
    </row>
    <row r="203">
      <c r="A203" s="10">
        <f>IF(B203="","",ROW()-1)</f>
        <v/>
      </c>
      <c r="B203" s="18" t="n"/>
      <c r="C203" s="10">
        <f>IF($AB203="","",IF(INDEX(기본자료!$C$2:$C$1001,$AB203)="","",INDEX(기본자료!$C$2:$C$1001,$AB203)))</f>
        <v/>
      </c>
      <c r="D203" s="10">
        <f>IF($AB203="","",IF(INDEX(기본자료!$J$2:$J$1001,$AB203)="","",INDEX(기본자료!$J$2:$J$1001,$AB203)))</f>
        <v/>
      </c>
      <c r="E203" s="11">
        <f>IF($AB203="","",IF(INDEX(기본자료!$K$2:$K$1001,$AB203)="","",IF(NOT(ISNUMBER(INDEX(기본자료!$K$2:$K$1001,$AB203))),INDEX(기본자료!$K$2:$K$1001,$AB203),IF(INDEX(기본자료!$K$2:$K$1001,$AB203)&lt;1000000,INDEX(기본자료!$K$2:$K$1001,$AB203),IF(AND(INDEX(기본자료!$K$2:$K$1001,$AB203)&gt;=10000101,INT(MOD(INDEX(기본자료!$K$2:$K$1001,$AB203),10000)/100)&gt;=1,INT(MOD(INDEX(기본자료!$K$2:$K$1001,$AB203),10000)/100)&lt;=12,MOD(INDEX(기본자료!$K$2:$K$1001,$AB203),100)&gt;=1,MOD(INDEX(기본자료!$K$2:$K$1001,$AB203),100)&lt;=31),DATE(INT(INDEX(기본자료!$K$2:$K$1001,$AB203)/10000),INT(MOD(INDEX(기본자료!$K$2:$K$1001,$AB203),10000)/100),MOD(INDEX(기본자료!$K$2:$K$1001,$AB203),100)),INDEX(기본자료!$K$2:$K$1001,$AB203)&amp;"")))))</f>
        <v/>
      </c>
      <c r="F203" s="10">
        <f>IF($AB203="","",IF(INDEX(기본자료!$D$2:$D$1001,$AB203)="","",INDEX(기본자료!$D$2:$D$1001,$AB203)))</f>
        <v/>
      </c>
      <c r="G203" s="10">
        <f>IF($AB203="","",IF(INDEX(기본자료!$E$2:$E$1001,$AB203)="","",INDEX(기본자료!$E$2:$E$1001,$AB203)))</f>
        <v/>
      </c>
      <c r="H203" s="10">
        <f>IF($AB203="","",IF(INDEX(기본자료!$F$2:$F$1001,$AB203)="","",INDEX(기본자료!$F$2:$F$1001,$AB203)))</f>
        <v/>
      </c>
      <c r="I203" s="11">
        <f>IF($AB203="","",IF(INDEX(기본자료!$G$2:$G$1001,$AB203)="","",IF(NOT(ISNUMBER(INDEX(기본자료!$G$2:$G$1001,$AB203))),INDEX(기본자료!$G$2:$G$1001,$AB203),IF(INDEX(기본자료!$G$2:$G$1001,$AB203)&lt;1000000,INDEX(기본자료!$G$2:$G$1001,$AB203),IF(AND(INDEX(기본자료!$G$2:$G$1001,$AB203)&gt;=10000101,INT(MOD(INDEX(기본자료!$G$2:$G$1001,$AB203),10000)/100)&gt;=1,INT(MOD(INDEX(기본자료!$G$2:$G$1001,$AB203),10000)/100)&lt;=12,MOD(INDEX(기본자료!$G$2:$G$1001,$AB203),100)&gt;=1,MOD(INDEX(기본자료!$G$2:$G$1001,$AB203),100)&lt;=31),DATE(INT(INDEX(기본자료!$G$2:$G$1001,$AB203)/10000),INT(MOD(INDEX(기본자료!$G$2:$G$1001,$AB203),10000)/100),MOD(INDEX(기본자료!$G$2:$G$1001,$AB203),100)),INDEX(기본자료!$G$2:$G$1001,$AB203)&amp;"")))))</f>
        <v/>
      </c>
      <c r="J203" s="10">
        <f>IF($AB203="","",IF(INDEX(기본자료!$H$2:$H$1001,$AB203)="","",INDEX(기본자료!$H$2:$H$1001,$AB203)))</f>
        <v/>
      </c>
      <c r="K203" s="10">
        <f>IF($AB203="","",IF(INDEX(기본자료!$I$2:$I$1001,$AB203)="","",INDEX(기본자료!$I$2:$I$1001,$AB203)))</f>
        <v/>
      </c>
      <c r="L203" s="10">
        <f>IF($AB203="","",IF(INDEX(기본자료!$A$2:$A$1001,$AB203)="","",INDEX(기본자료!$A$2:$A$1001,$AB203)))</f>
        <v/>
      </c>
      <c r="M203" s="15" t="n"/>
      <c r="N203" s="10">
        <f>IF($B203="","",IF(AND($U203="파견중",$Q203&lt;&gt;""),$Q203,IF(AND($AD203&lt;&gt;"",LEFT($AD203,1)&lt;&gt;"⚠"),LEFT($AD203,FIND(" ",$AD203)-1),IF($H203="","",IF(RIGHT($H203,2)="병원",$H203,$H203&amp;"병원")))))</f>
        <v/>
      </c>
      <c r="O203" s="10">
        <f>IF($B203="","",IF(AND($U203="파견중",$Q203&lt;&gt;""),IF($R203&lt;&gt;"",$R203,"파견과 미입력"),IF(AND($AD203&lt;&gt;"",LEFT($AD203,1)&lt;&gt;"⚠"),MID($AD203,FIND(" ",$AD203)+1,60),IF($F203="","",IF($F203="인턴","수련교육부(인턴)",$F203)))))</f>
        <v/>
      </c>
      <c r="P203" s="10">
        <f>IF($B203="","",IF($AK203&lt;&gt;"",IF(AND(TODAY()&gt;=INDEX(파견수련계획!$AB$4:$AB$83,$AK203),OR(NOT(ISNUMBER(INDEX(파견수련계획!$AC$4:$AC$83,$AK203))),TODAY()&lt;=INDEX(파견수련계획!$AC$4:$AC$83,$AK203))),"다기관",IF($AF203="","",INDEX(파견수련계획!$T$4:$T$83,$AF203))),IF($AF203="","",INDEX(파견수련계획!$T$4:$T$83,$AF203))))</f>
        <v/>
      </c>
      <c r="Q203" s="10">
        <f>IF($AF203="","",INDEX(파견수련계획!$S$4:$S$83,$AF203))</f>
        <v/>
      </c>
      <c r="R203" s="10">
        <f>IF($AF203="","",INDEX(파견수련계획!$U$4:$U$83,$AF203))</f>
        <v/>
      </c>
      <c r="S203" s="11">
        <f>IF($AF203="","",IF(INDEX(파견수련계획!$H$4:$H$83,$AF203)="","",INDEX(파견수련계획!$H$4:$H$83,$AF203)))</f>
        <v/>
      </c>
      <c r="T203" s="11">
        <f>IF($AF203="","",IF(INDEX(파견수련계획!$I$4:$I$83,$AF203)="","",INDEX(파견수련계획!$I$4:$I$83,$AF203)))</f>
        <v/>
      </c>
      <c r="U203" s="10">
        <f>IF($AF203="","",INDEX(파견수련계획!$X$4:$X$83,$AF203))</f>
        <v/>
      </c>
      <c r="V203" s="17">
        <f>IF($AF203="","",INDEX(파견수련계획!$V$4:$V$83,$AF203))</f>
        <v/>
      </c>
      <c r="W203" s="17">
        <f>IF(AND($U203="파견중",$T203&lt;&gt;""),$T203-TODAY(),"")</f>
        <v/>
      </c>
      <c r="X203" s="17">
        <f>IF(OR($B203="",TRIM($J203&amp;"")=""),"",SUMPRODUCT((파견수련계획!$Q$4:$Q$83=TRIM($J203&amp;""))*파견수련계획!$W$4:$W$83))</f>
        <v/>
      </c>
      <c r="Y203" s="10">
        <f>IF($B203="","",IF($AG203="","",IF(IF(TRIM($J203&amp;"")="",0,SUMPRODUCT((파견수련계획!$Q$4:$Q$83=TRIM($J203&amp;""))*파견수련계획!$AD$4:$AD$83))&gt;0,$AE203,IF(N($X203)&lt;=0,$AG203,IF($AH203+$AI203=DAY(EOMONTH(요약!$B$3,0)),IF(AND($AH203&gt;=요약!$E$3,$AI203&lt;요약!$E$3),"서울병원",IF(AND($AI203&gt;=요약!$E$3,$AH203&lt;요약!$E$3),"구리병원","⚠15일 판정불가(서울 "&amp;$AH203&amp;"일/구리 "&amp;$AI203&amp;"일)")),IF($AJ203="",$AE203,IF(INDEX(파견수련계획!$T$4:$T$83,$AJ203)="통합수련",INDEX(파견수련계획!$S$4:$S$83,$AJ203),$AE203)))))))</f>
        <v/>
      </c>
      <c r="Z203" s="19">
        <f>IF($B203="","",IF($AB203="","기본자료에 없는 사번",IF(COUNTIF($B$2:$B$401,$B203)&gt;1,"중복 사번",IF($AE203="","소속(입사장소) 입력",IF(IF(TRIM($J203&amp;"")="",0,SUMPRODUCT((파견수련계획!$Q$4:$Q$83=TRIM($J203&amp;""))*(파견수련계획!$AA$4:$AA$83&lt;&gt;"")))&gt;0,"파견수련계획 입력오류 확인",IF(LEFT($Y203,1)="⚠","서울·구리 15일 판정 불가(양쪽 모두 이상/미만)",IF(IF($AC203="",0,N(INDEX(인턴근무계획!$T$3:$T$62,$AC203)))&gt;0,"인턴계획 입력오류 확인",IF(AND($AC203&lt;&gt;"",$U203&lt;&gt;"파견중",$N203&lt;&gt;$AE203),"인턴 타지역 근무: 파견 여부 확인","정상"))))))))</f>
        <v/>
      </c>
      <c r="AA203" s="5" t="n"/>
      <c r="AB203" s="10">
        <f>IF($B203="","",IFERROR(MATCH($B203,기본자료!$B$2:$B$1001,0),IFERROR(MATCH($B203&amp;"",기본자료!$B$2:$B$1001,0),IFERROR(MATCH(VALUE($B203),기본자료!$B$2:$B$1001,0),""))))</f>
        <v/>
      </c>
      <c r="AC203" s="10">
        <f>IF($B203="","",IFERROR(MATCH($B203,인턴근무계획!$D$3:$D$62,0),IFERROR(MATCH($B203&amp;"",인턴근무계획!$D$3:$D$62,0),IFERROR(MATCH(VALUE($B203),인턴근무계획!$D$3:$D$62,0),""))))</f>
        <v/>
      </c>
      <c r="AD203" s="10">
        <f>IF(OR($AC203="",인턴현황!$G$3=""),"",INDEX(인턴근무계획!$M$3:$R$62,$AC203,인턴현황!$G$3)&amp;"")</f>
        <v/>
      </c>
      <c r="AE203" s="10">
        <f>IF($B203="","",IF($M203&lt;&gt;"",$M203,IF($AF203&lt;&gt;"",IF(LEFT(INDEX(파견수련계획!$R$4:$R$83,$AF203),1)&lt;&gt;"⚠",INDEX(파견수련계획!$R$4:$R$83,$AF203),IF($H203="","",IF(RIGHT($H203,2)="병원",$H203,$H203&amp;"병원"))),IF($H203="","",IF(RIGHT($H203,2)="병원",$H203,$H203&amp;"병원")))))</f>
        <v/>
      </c>
      <c r="AF203" s="10">
        <f>IF(OR($B203="",TRIM($J203&amp;"")=""),"",IFERROR(MATCH(TRIM($J203&amp;"")&amp;"|파견중",파견수련계획!$Y$4:$Y$83,0),IFERROR(MATCH(TRIM($J203&amp;"")&amp;"|파견예정",파견수련계획!$Y$4:$Y$83,0),IFERROR(MATCH(TRIM($J203&amp;"")&amp;"|파견종료",파견수련계획!$Y$4:$Y$83,0),""))))</f>
        <v/>
      </c>
      <c r="AG203" s="10">
        <f>IF($B203="","",IF(AND(IF(OR($AC203="",인턴현황!$K$2=""),"",INDEX(인턴근무계획!$M$3:$R$62,$AC203,인턴현황!$K$2)&amp;"")&lt;&gt;"",LEFT(IF(OR($AC203="",인턴현황!$K$2=""),"",INDEX(인턴근무계획!$M$3:$R$62,$AC203,인턴현황!$K$2)&amp;""),1)&lt;&gt;"⚠"),LEFT(IF(OR($AC203="",인턴현황!$K$2=""),"",INDEX(인턴근무계획!$M$3:$R$62,$AC203,인턴현황!$K$2)&amp;""),FIND(" ",IF(OR($AC203="",인턴현황!$K$2=""),"",INDEX(인턴근무계획!$M$3:$R$62,$AC203,인턴현황!$K$2)&amp;""))-1),$AE203))</f>
        <v/>
      </c>
      <c r="AH203" s="17">
        <f>IF($B203="","",IF(TRIM($J203&amp;"")="",0,SUMPRODUCT((파견수련계획!$Q$4:$Q$83=TRIM($J203&amp;""))*(파견수련계획!$S$4:$S$83="서울병원")*파견수련계획!$W$4:$W$83))+IF($AG203="서울병원",MAX(0,DAY(EOMONTH(요약!$B$3,0))-N($X203)),0))</f>
        <v/>
      </c>
      <c r="AI203" s="17">
        <f>IF($B203="","",IF(TRIM($J203&amp;"")="",0,SUMPRODUCT((파견수련계획!$Q$4:$Q$83=TRIM($J203&amp;""))*(파견수련계획!$S$4:$S$83="구리병원")*파견수련계획!$W$4:$W$83))+IF($AG203="구리병원",MAX(0,DAY(EOMONTH(요약!$B$3,0))-N($X203)),0))</f>
        <v/>
      </c>
      <c r="AJ203" s="10">
        <f>IF(OR($B203="",TRIM($J203&amp;"")=""),"",IFERROR(MATCH(TRIM($J203&amp;"")&amp;"|월",파견수련계획!$Z$4:$Z$83,0),""))</f>
        <v/>
      </c>
      <c r="AK203" s="10">
        <f>IF(OR($B203="",TRIM($J203&amp;"")=""),"",IFERROR(MATCH(TRIM($J203&amp;"")&amp;"|다기관",파견수련계획!$AE$4:$AE$83,0),""))</f>
        <v/>
      </c>
      <c r="AL203" s="10">
        <f>IF($AK203="","","다기관 "&amp;TEXT(INDEX(파견수련계획!$AB$4:$AB$83,$AK203),"yyyy-mm-dd")&amp;"~"&amp;IF(ISNUMBER(INDEX(파견수련계획!$AC$4:$AC$83,$AK203)),TEXT(INDEX(파견수련계획!$AC$4:$AC$83,$AK203),"yyyy-mm-dd"),""))</f>
        <v/>
      </c>
    </row>
    <row r="204">
      <c r="A204" s="10">
        <f>IF(B204="","",ROW()-1)</f>
        <v/>
      </c>
      <c r="B204" s="18" t="n"/>
      <c r="C204" s="10">
        <f>IF($AB204="","",IF(INDEX(기본자료!$C$2:$C$1001,$AB204)="","",INDEX(기본자료!$C$2:$C$1001,$AB204)))</f>
        <v/>
      </c>
      <c r="D204" s="10">
        <f>IF($AB204="","",IF(INDEX(기본자료!$J$2:$J$1001,$AB204)="","",INDEX(기본자료!$J$2:$J$1001,$AB204)))</f>
        <v/>
      </c>
      <c r="E204" s="11">
        <f>IF($AB204="","",IF(INDEX(기본자료!$K$2:$K$1001,$AB204)="","",IF(NOT(ISNUMBER(INDEX(기본자료!$K$2:$K$1001,$AB204))),INDEX(기본자료!$K$2:$K$1001,$AB204),IF(INDEX(기본자료!$K$2:$K$1001,$AB204)&lt;1000000,INDEX(기본자료!$K$2:$K$1001,$AB204),IF(AND(INDEX(기본자료!$K$2:$K$1001,$AB204)&gt;=10000101,INT(MOD(INDEX(기본자료!$K$2:$K$1001,$AB204),10000)/100)&gt;=1,INT(MOD(INDEX(기본자료!$K$2:$K$1001,$AB204),10000)/100)&lt;=12,MOD(INDEX(기본자료!$K$2:$K$1001,$AB204),100)&gt;=1,MOD(INDEX(기본자료!$K$2:$K$1001,$AB204),100)&lt;=31),DATE(INT(INDEX(기본자료!$K$2:$K$1001,$AB204)/10000),INT(MOD(INDEX(기본자료!$K$2:$K$1001,$AB204),10000)/100),MOD(INDEX(기본자료!$K$2:$K$1001,$AB204),100)),INDEX(기본자료!$K$2:$K$1001,$AB204)&amp;"")))))</f>
        <v/>
      </c>
      <c r="F204" s="10">
        <f>IF($AB204="","",IF(INDEX(기본자료!$D$2:$D$1001,$AB204)="","",INDEX(기본자료!$D$2:$D$1001,$AB204)))</f>
        <v/>
      </c>
      <c r="G204" s="10">
        <f>IF($AB204="","",IF(INDEX(기본자료!$E$2:$E$1001,$AB204)="","",INDEX(기본자료!$E$2:$E$1001,$AB204)))</f>
        <v/>
      </c>
      <c r="H204" s="10">
        <f>IF($AB204="","",IF(INDEX(기본자료!$F$2:$F$1001,$AB204)="","",INDEX(기본자료!$F$2:$F$1001,$AB204)))</f>
        <v/>
      </c>
      <c r="I204" s="11">
        <f>IF($AB204="","",IF(INDEX(기본자료!$G$2:$G$1001,$AB204)="","",IF(NOT(ISNUMBER(INDEX(기본자료!$G$2:$G$1001,$AB204))),INDEX(기본자료!$G$2:$G$1001,$AB204),IF(INDEX(기본자료!$G$2:$G$1001,$AB204)&lt;1000000,INDEX(기본자료!$G$2:$G$1001,$AB204),IF(AND(INDEX(기본자료!$G$2:$G$1001,$AB204)&gt;=10000101,INT(MOD(INDEX(기본자료!$G$2:$G$1001,$AB204),10000)/100)&gt;=1,INT(MOD(INDEX(기본자료!$G$2:$G$1001,$AB204),10000)/100)&lt;=12,MOD(INDEX(기본자료!$G$2:$G$1001,$AB204),100)&gt;=1,MOD(INDEX(기본자료!$G$2:$G$1001,$AB204),100)&lt;=31),DATE(INT(INDEX(기본자료!$G$2:$G$1001,$AB204)/10000),INT(MOD(INDEX(기본자료!$G$2:$G$1001,$AB204),10000)/100),MOD(INDEX(기본자료!$G$2:$G$1001,$AB204),100)),INDEX(기본자료!$G$2:$G$1001,$AB204)&amp;"")))))</f>
        <v/>
      </c>
      <c r="J204" s="10">
        <f>IF($AB204="","",IF(INDEX(기본자료!$H$2:$H$1001,$AB204)="","",INDEX(기본자료!$H$2:$H$1001,$AB204)))</f>
        <v/>
      </c>
      <c r="K204" s="10">
        <f>IF($AB204="","",IF(INDEX(기본자료!$I$2:$I$1001,$AB204)="","",INDEX(기본자료!$I$2:$I$1001,$AB204)))</f>
        <v/>
      </c>
      <c r="L204" s="10">
        <f>IF($AB204="","",IF(INDEX(기본자료!$A$2:$A$1001,$AB204)="","",INDEX(기본자료!$A$2:$A$1001,$AB204)))</f>
        <v/>
      </c>
      <c r="M204" s="15" t="n"/>
      <c r="N204" s="10">
        <f>IF($B204="","",IF(AND($U204="파견중",$Q204&lt;&gt;""),$Q204,IF(AND($AD204&lt;&gt;"",LEFT($AD204,1)&lt;&gt;"⚠"),LEFT($AD204,FIND(" ",$AD204)-1),IF($H204="","",IF(RIGHT($H204,2)="병원",$H204,$H204&amp;"병원")))))</f>
        <v/>
      </c>
      <c r="O204" s="10">
        <f>IF($B204="","",IF(AND($U204="파견중",$Q204&lt;&gt;""),IF($R204&lt;&gt;"",$R204,"파견과 미입력"),IF(AND($AD204&lt;&gt;"",LEFT($AD204,1)&lt;&gt;"⚠"),MID($AD204,FIND(" ",$AD204)+1,60),IF($F204="","",IF($F204="인턴","수련교육부(인턴)",$F204)))))</f>
        <v/>
      </c>
      <c r="P204" s="10">
        <f>IF($B204="","",IF($AK204&lt;&gt;"",IF(AND(TODAY()&gt;=INDEX(파견수련계획!$AB$4:$AB$83,$AK204),OR(NOT(ISNUMBER(INDEX(파견수련계획!$AC$4:$AC$83,$AK204))),TODAY()&lt;=INDEX(파견수련계획!$AC$4:$AC$83,$AK204))),"다기관",IF($AF204="","",INDEX(파견수련계획!$T$4:$T$83,$AF204))),IF($AF204="","",INDEX(파견수련계획!$T$4:$T$83,$AF204))))</f>
        <v/>
      </c>
      <c r="Q204" s="10">
        <f>IF($AF204="","",INDEX(파견수련계획!$S$4:$S$83,$AF204))</f>
        <v/>
      </c>
      <c r="R204" s="10">
        <f>IF($AF204="","",INDEX(파견수련계획!$U$4:$U$83,$AF204))</f>
        <v/>
      </c>
      <c r="S204" s="11">
        <f>IF($AF204="","",IF(INDEX(파견수련계획!$H$4:$H$83,$AF204)="","",INDEX(파견수련계획!$H$4:$H$83,$AF204)))</f>
        <v/>
      </c>
      <c r="T204" s="11">
        <f>IF($AF204="","",IF(INDEX(파견수련계획!$I$4:$I$83,$AF204)="","",INDEX(파견수련계획!$I$4:$I$83,$AF204)))</f>
        <v/>
      </c>
      <c r="U204" s="10">
        <f>IF($AF204="","",INDEX(파견수련계획!$X$4:$X$83,$AF204))</f>
        <v/>
      </c>
      <c r="V204" s="17">
        <f>IF($AF204="","",INDEX(파견수련계획!$V$4:$V$83,$AF204))</f>
        <v/>
      </c>
      <c r="W204" s="17">
        <f>IF(AND($U204="파견중",$T204&lt;&gt;""),$T204-TODAY(),"")</f>
        <v/>
      </c>
      <c r="X204" s="17">
        <f>IF(OR($B204="",TRIM($J204&amp;"")=""),"",SUMPRODUCT((파견수련계획!$Q$4:$Q$83=TRIM($J204&amp;""))*파견수련계획!$W$4:$W$83))</f>
        <v/>
      </c>
      <c r="Y204" s="10">
        <f>IF($B204="","",IF($AG204="","",IF(IF(TRIM($J204&amp;"")="",0,SUMPRODUCT((파견수련계획!$Q$4:$Q$83=TRIM($J204&amp;""))*파견수련계획!$AD$4:$AD$83))&gt;0,$AE204,IF(N($X204)&lt;=0,$AG204,IF($AH204+$AI204=DAY(EOMONTH(요약!$B$3,0)),IF(AND($AH204&gt;=요약!$E$3,$AI204&lt;요약!$E$3),"서울병원",IF(AND($AI204&gt;=요약!$E$3,$AH204&lt;요약!$E$3),"구리병원","⚠15일 판정불가(서울 "&amp;$AH204&amp;"일/구리 "&amp;$AI204&amp;"일)")),IF($AJ204="",$AE204,IF(INDEX(파견수련계획!$T$4:$T$83,$AJ204)="통합수련",INDEX(파견수련계획!$S$4:$S$83,$AJ204),$AE204)))))))</f>
        <v/>
      </c>
      <c r="Z204" s="19">
        <f>IF($B204="","",IF($AB204="","기본자료에 없는 사번",IF(COUNTIF($B$2:$B$401,$B204)&gt;1,"중복 사번",IF($AE204="","소속(입사장소) 입력",IF(IF(TRIM($J204&amp;"")="",0,SUMPRODUCT((파견수련계획!$Q$4:$Q$83=TRIM($J204&amp;""))*(파견수련계획!$AA$4:$AA$83&lt;&gt;"")))&gt;0,"파견수련계획 입력오류 확인",IF(LEFT($Y204,1)="⚠","서울·구리 15일 판정 불가(양쪽 모두 이상/미만)",IF(IF($AC204="",0,N(INDEX(인턴근무계획!$T$3:$T$62,$AC204)))&gt;0,"인턴계획 입력오류 확인",IF(AND($AC204&lt;&gt;"",$U204&lt;&gt;"파견중",$N204&lt;&gt;$AE204),"인턴 타지역 근무: 파견 여부 확인","정상"))))))))</f>
        <v/>
      </c>
      <c r="AA204" s="5" t="n"/>
      <c r="AB204" s="10">
        <f>IF($B204="","",IFERROR(MATCH($B204,기본자료!$B$2:$B$1001,0),IFERROR(MATCH($B204&amp;"",기본자료!$B$2:$B$1001,0),IFERROR(MATCH(VALUE($B204),기본자료!$B$2:$B$1001,0),""))))</f>
        <v/>
      </c>
      <c r="AC204" s="10">
        <f>IF($B204="","",IFERROR(MATCH($B204,인턴근무계획!$D$3:$D$62,0),IFERROR(MATCH($B204&amp;"",인턴근무계획!$D$3:$D$62,0),IFERROR(MATCH(VALUE($B204),인턴근무계획!$D$3:$D$62,0),""))))</f>
        <v/>
      </c>
      <c r="AD204" s="10">
        <f>IF(OR($AC204="",인턴현황!$G$3=""),"",INDEX(인턴근무계획!$M$3:$R$62,$AC204,인턴현황!$G$3)&amp;"")</f>
        <v/>
      </c>
      <c r="AE204" s="10">
        <f>IF($B204="","",IF($M204&lt;&gt;"",$M204,IF($AF204&lt;&gt;"",IF(LEFT(INDEX(파견수련계획!$R$4:$R$83,$AF204),1)&lt;&gt;"⚠",INDEX(파견수련계획!$R$4:$R$83,$AF204),IF($H204="","",IF(RIGHT($H204,2)="병원",$H204,$H204&amp;"병원"))),IF($H204="","",IF(RIGHT($H204,2)="병원",$H204,$H204&amp;"병원")))))</f>
        <v/>
      </c>
      <c r="AF204" s="10">
        <f>IF(OR($B204="",TRIM($J204&amp;"")=""),"",IFERROR(MATCH(TRIM($J204&amp;"")&amp;"|파견중",파견수련계획!$Y$4:$Y$83,0),IFERROR(MATCH(TRIM($J204&amp;"")&amp;"|파견예정",파견수련계획!$Y$4:$Y$83,0),IFERROR(MATCH(TRIM($J204&amp;"")&amp;"|파견종료",파견수련계획!$Y$4:$Y$83,0),""))))</f>
        <v/>
      </c>
      <c r="AG204" s="10">
        <f>IF($B204="","",IF(AND(IF(OR($AC204="",인턴현황!$K$2=""),"",INDEX(인턴근무계획!$M$3:$R$62,$AC204,인턴현황!$K$2)&amp;"")&lt;&gt;"",LEFT(IF(OR($AC204="",인턴현황!$K$2=""),"",INDEX(인턴근무계획!$M$3:$R$62,$AC204,인턴현황!$K$2)&amp;""),1)&lt;&gt;"⚠"),LEFT(IF(OR($AC204="",인턴현황!$K$2=""),"",INDEX(인턴근무계획!$M$3:$R$62,$AC204,인턴현황!$K$2)&amp;""),FIND(" ",IF(OR($AC204="",인턴현황!$K$2=""),"",INDEX(인턴근무계획!$M$3:$R$62,$AC204,인턴현황!$K$2)&amp;""))-1),$AE204))</f>
        <v/>
      </c>
      <c r="AH204" s="17">
        <f>IF($B204="","",IF(TRIM($J204&amp;"")="",0,SUMPRODUCT((파견수련계획!$Q$4:$Q$83=TRIM($J204&amp;""))*(파견수련계획!$S$4:$S$83="서울병원")*파견수련계획!$W$4:$W$83))+IF($AG204="서울병원",MAX(0,DAY(EOMONTH(요약!$B$3,0))-N($X204)),0))</f>
        <v/>
      </c>
      <c r="AI204" s="17">
        <f>IF($B204="","",IF(TRIM($J204&amp;"")="",0,SUMPRODUCT((파견수련계획!$Q$4:$Q$83=TRIM($J204&amp;""))*(파견수련계획!$S$4:$S$83="구리병원")*파견수련계획!$W$4:$W$83))+IF($AG204="구리병원",MAX(0,DAY(EOMONTH(요약!$B$3,0))-N($X204)),0))</f>
        <v/>
      </c>
      <c r="AJ204" s="10">
        <f>IF(OR($B204="",TRIM($J204&amp;"")=""),"",IFERROR(MATCH(TRIM($J204&amp;"")&amp;"|월",파견수련계획!$Z$4:$Z$83,0),""))</f>
        <v/>
      </c>
      <c r="AK204" s="10">
        <f>IF(OR($B204="",TRIM($J204&amp;"")=""),"",IFERROR(MATCH(TRIM($J204&amp;"")&amp;"|다기관",파견수련계획!$AE$4:$AE$83,0),""))</f>
        <v/>
      </c>
      <c r="AL204" s="10">
        <f>IF($AK204="","","다기관 "&amp;TEXT(INDEX(파견수련계획!$AB$4:$AB$83,$AK204),"yyyy-mm-dd")&amp;"~"&amp;IF(ISNUMBER(INDEX(파견수련계획!$AC$4:$AC$83,$AK204)),TEXT(INDEX(파견수련계획!$AC$4:$AC$83,$AK204),"yyyy-mm-dd"),""))</f>
        <v/>
      </c>
    </row>
    <row r="205">
      <c r="A205" s="10">
        <f>IF(B205="","",ROW()-1)</f>
        <v/>
      </c>
      <c r="B205" s="18" t="n"/>
      <c r="C205" s="10">
        <f>IF($AB205="","",IF(INDEX(기본자료!$C$2:$C$1001,$AB205)="","",INDEX(기본자료!$C$2:$C$1001,$AB205)))</f>
        <v/>
      </c>
      <c r="D205" s="10">
        <f>IF($AB205="","",IF(INDEX(기본자료!$J$2:$J$1001,$AB205)="","",INDEX(기본자료!$J$2:$J$1001,$AB205)))</f>
        <v/>
      </c>
      <c r="E205" s="11">
        <f>IF($AB205="","",IF(INDEX(기본자료!$K$2:$K$1001,$AB205)="","",IF(NOT(ISNUMBER(INDEX(기본자료!$K$2:$K$1001,$AB205))),INDEX(기본자료!$K$2:$K$1001,$AB205),IF(INDEX(기본자료!$K$2:$K$1001,$AB205)&lt;1000000,INDEX(기본자료!$K$2:$K$1001,$AB205),IF(AND(INDEX(기본자료!$K$2:$K$1001,$AB205)&gt;=10000101,INT(MOD(INDEX(기본자료!$K$2:$K$1001,$AB205),10000)/100)&gt;=1,INT(MOD(INDEX(기본자료!$K$2:$K$1001,$AB205),10000)/100)&lt;=12,MOD(INDEX(기본자료!$K$2:$K$1001,$AB205),100)&gt;=1,MOD(INDEX(기본자료!$K$2:$K$1001,$AB205),100)&lt;=31),DATE(INT(INDEX(기본자료!$K$2:$K$1001,$AB205)/10000),INT(MOD(INDEX(기본자료!$K$2:$K$1001,$AB205),10000)/100),MOD(INDEX(기본자료!$K$2:$K$1001,$AB205),100)),INDEX(기본자료!$K$2:$K$1001,$AB205)&amp;"")))))</f>
        <v/>
      </c>
      <c r="F205" s="10">
        <f>IF($AB205="","",IF(INDEX(기본자료!$D$2:$D$1001,$AB205)="","",INDEX(기본자료!$D$2:$D$1001,$AB205)))</f>
        <v/>
      </c>
      <c r="G205" s="10">
        <f>IF($AB205="","",IF(INDEX(기본자료!$E$2:$E$1001,$AB205)="","",INDEX(기본자료!$E$2:$E$1001,$AB205)))</f>
        <v/>
      </c>
      <c r="H205" s="10">
        <f>IF($AB205="","",IF(INDEX(기본자료!$F$2:$F$1001,$AB205)="","",INDEX(기본자료!$F$2:$F$1001,$AB205)))</f>
        <v/>
      </c>
      <c r="I205" s="11">
        <f>IF($AB205="","",IF(INDEX(기본자료!$G$2:$G$1001,$AB205)="","",IF(NOT(ISNUMBER(INDEX(기본자료!$G$2:$G$1001,$AB205))),INDEX(기본자료!$G$2:$G$1001,$AB205),IF(INDEX(기본자료!$G$2:$G$1001,$AB205)&lt;1000000,INDEX(기본자료!$G$2:$G$1001,$AB205),IF(AND(INDEX(기본자료!$G$2:$G$1001,$AB205)&gt;=10000101,INT(MOD(INDEX(기본자료!$G$2:$G$1001,$AB205),10000)/100)&gt;=1,INT(MOD(INDEX(기본자료!$G$2:$G$1001,$AB205),10000)/100)&lt;=12,MOD(INDEX(기본자료!$G$2:$G$1001,$AB205),100)&gt;=1,MOD(INDEX(기본자료!$G$2:$G$1001,$AB205),100)&lt;=31),DATE(INT(INDEX(기본자료!$G$2:$G$1001,$AB205)/10000),INT(MOD(INDEX(기본자료!$G$2:$G$1001,$AB205),10000)/100),MOD(INDEX(기본자료!$G$2:$G$1001,$AB205),100)),INDEX(기본자료!$G$2:$G$1001,$AB205)&amp;"")))))</f>
        <v/>
      </c>
      <c r="J205" s="10">
        <f>IF($AB205="","",IF(INDEX(기본자료!$H$2:$H$1001,$AB205)="","",INDEX(기본자료!$H$2:$H$1001,$AB205)))</f>
        <v/>
      </c>
      <c r="K205" s="10">
        <f>IF($AB205="","",IF(INDEX(기본자료!$I$2:$I$1001,$AB205)="","",INDEX(기본자료!$I$2:$I$1001,$AB205)))</f>
        <v/>
      </c>
      <c r="L205" s="10">
        <f>IF($AB205="","",IF(INDEX(기본자료!$A$2:$A$1001,$AB205)="","",INDEX(기본자료!$A$2:$A$1001,$AB205)))</f>
        <v/>
      </c>
      <c r="M205" s="15" t="n"/>
      <c r="N205" s="10">
        <f>IF($B205="","",IF(AND($U205="파견중",$Q205&lt;&gt;""),$Q205,IF(AND($AD205&lt;&gt;"",LEFT($AD205,1)&lt;&gt;"⚠"),LEFT($AD205,FIND(" ",$AD205)-1),IF($H205="","",IF(RIGHT($H205,2)="병원",$H205,$H205&amp;"병원")))))</f>
        <v/>
      </c>
      <c r="O205" s="10">
        <f>IF($B205="","",IF(AND($U205="파견중",$Q205&lt;&gt;""),IF($R205&lt;&gt;"",$R205,"파견과 미입력"),IF(AND($AD205&lt;&gt;"",LEFT($AD205,1)&lt;&gt;"⚠"),MID($AD205,FIND(" ",$AD205)+1,60),IF($F205="","",IF($F205="인턴","수련교육부(인턴)",$F205)))))</f>
        <v/>
      </c>
      <c r="P205" s="10">
        <f>IF($B205="","",IF($AK205&lt;&gt;"",IF(AND(TODAY()&gt;=INDEX(파견수련계획!$AB$4:$AB$83,$AK205),OR(NOT(ISNUMBER(INDEX(파견수련계획!$AC$4:$AC$83,$AK205))),TODAY()&lt;=INDEX(파견수련계획!$AC$4:$AC$83,$AK205))),"다기관",IF($AF205="","",INDEX(파견수련계획!$T$4:$T$83,$AF205))),IF($AF205="","",INDEX(파견수련계획!$T$4:$T$83,$AF205))))</f>
        <v/>
      </c>
      <c r="Q205" s="10">
        <f>IF($AF205="","",INDEX(파견수련계획!$S$4:$S$83,$AF205))</f>
        <v/>
      </c>
      <c r="R205" s="10">
        <f>IF($AF205="","",INDEX(파견수련계획!$U$4:$U$83,$AF205))</f>
        <v/>
      </c>
      <c r="S205" s="11">
        <f>IF($AF205="","",IF(INDEX(파견수련계획!$H$4:$H$83,$AF205)="","",INDEX(파견수련계획!$H$4:$H$83,$AF205)))</f>
        <v/>
      </c>
      <c r="T205" s="11">
        <f>IF($AF205="","",IF(INDEX(파견수련계획!$I$4:$I$83,$AF205)="","",INDEX(파견수련계획!$I$4:$I$83,$AF205)))</f>
        <v/>
      </c>
      <c r="U205" s="10">
        <f>IF($AF205="","",INDEX(파견수련계획!$X$4:$X$83,$AF205))</f>
        <v/>
      </c>
      <c r="V205" s="17">
        <f>IF($AF205="","",INDEX(파견수련계획!$V$4:$V$83,$AF205))</f>
        <v/>
      </c>
      <c r="W205" s="17">
        <f>IF(AND($U205="파견중",$T205&lt;&gt;""),$T205-TODAY(),"")</f>
        <v/>
      </c>
      <c r="X205" s="17">
        <f>IF(OR($B205="",TRIM($J205&amp;"")=""),"",SUMPRODUCT((파견수련계획!$Q$4:$Q$83=TRIM($J205&amp;""))*파견수련계획!$W$4:$W$83))</f>
        <v/>
      </c>
      <c r="Y205" s="10">
        <f>IF($B205="","",IF($AG205="","",IF(IF(TRIM($J205&amp;"")="",0,SUMPRODUCT((파견수련계획!$Q$4:$Q$83=TRIM($J205&amp;""))*파견수련계획!$AD$4:$AD$83))&gt;0,$AE205,IF(N($X205)&lt;=0,$AG205,IF($AH205+$AI205=DAY(EOMONTH(요약!$B$3,0)),IF(AND($AH205&gt;=요약!$E$3,$AI205&lt;요약!$E$3),"서울병원",IF(AND($AI205&gt;=요약!$E$3,$AH205&lt;요약!$E$3),"구리병원","⚠15일 판정불가(서울 "&amp;$AH205&amp;"일/구리 "&amp;$AI205&amp;"일)")),IF($AJ205="",$AE205,IF(INDEX(파견수련계획!$T$4:$T$83,$AJ205)="통합수련",INDEX(파견수련계획!$S$4:$S$83,$AJ205),$AE205)))))))</f>
        <v/>
      </c>
      <c r="Z205" s="19">
        <f>IF($B205="","",IF($AB205="","기본자료에 없는 사번",IF(COUNTIF($B$2:$B$401,$B205)&gt;1,"중복 사번",IF($AE205="","소속(입사장소) 입력",IF(IF(TRIM($J205&amp;"")="",0,SUMPRODUCT((파견수련계획!$Q$4:$Q$83=TRIM($J205&amp;""))*(파견수련계획!$AA$4:$AA$83&lt;&gt;"")))&gt;0,"파견수련계획 입력오류 확인",IF(LEFT($Y205,1)="⚠","서울·구리 15일 판정 불가(양쪽 모두 이상/미만)",IF(IF($AC205="",0,N(INDEX(인턴근무계획!$T$3:$T$62,$AC205)))&gt;0,"인턴계획 입력오류 확인",IF(AND($AC205&lt;&gt;"",$U205&lt;&gt;"파견중",$N205&lt;&gt;$AE205),"인턴 타지역 근무: 파견 여부 확인","정상"))))))))</f>
        <v/>
      </c>
      <c r="AA205" s="5" t="n"/>
      <c r="AB205" s="10">
        <f>IF($B205="","",IFERROR(MATCH($B205,기본자료!$B$2:$B$1001,0),IFERROR(MATCH($B205&amp;"",기본자료!$B$2:$B$1001,0),IFERROR(MATCH(VALUE($B205),기본자료!$B$2:$B$1001,0),""))))</f>
        <v/>
      </c>
      <c r="AC205" s="10">
        <f>IF($B205="","",IFERROR(MATCH($B205,인턴근무계획!$D$3:$D$62,0),IFERROR(MATCH($B205&amp;"",인턴근무계획!$D$3:$D$62,0),IFERROR(MATCH(VALUE($B205),인턴근무계획!$D$3:$D$62,0),""))))</f>
        <v/>
      </c>
      <c r="AD205" s="10">
        <f>IF(OR($AC205="",인턴현황!$G$3=""),"",INDEX(인턴근무계획!$M$3:$R$62,$AC205,인턴현황!$G$3)&amp;"")</f>
        <v/>
      </c>
      <c r="AE205" s="10">
        <f>IF($B205="","",IF($M205&lt;&gt;"",$M205,IF($AF205&lt;&gt;"",IF(LEFT(INDEX(파견수련계획!$R$4:$R$83,$AF205),1)&lt;&gt;"⚠",INDEX(파견수련계획!$R$4:$R$83,$AF205),IF($H205="","",IF(RIGHT($H205,2)="병원",$H205,$H205&amp;"병원"))),IF($H205="","",IF(RIGHT($H205,2)="병원",$H205,$H205&amp;"병원")))))</f>
        <v/>
      </c>
      <c r="AF205" s="10">
        <f>IF(OR($B205="",TRIM($J205&amp;"")=""),"",IFERROR(MATCH(TRIM($J205&amp;"")&amp;"|파견중",파견수련계획!$Y$4:$Y$83,0),IFERROR(MATCH(TRIM($J205&amp;"")&amp;"|파견예정",파견수련계획!$Y$4:$Y$83,0),IFERROR(MATCH(TRIM($J205&amp;"")&amp;"|파견종료",파견수련계획!$Y$4:$Y$83,0),""))))</f>
        <v/>
      </c>
      <c r="AG205" s="10">
        <f>IF($B205="","",IF(AND(IF(OR($AC205="",인턴현황!$K$2=""),"",INDEX(인턴근무계획!$M$3:$R$62,$AC205,인턴현황!$K$2)&amp;"")&lt;&gt;"",LEFT(IF(OR($AC205="",인턴현황!$K$2=""),"",INDEX(인턴근무계획!$M$3:$R$62,$AC205,인턴현황!$K$2)&amp;""),1)&lt;&gt;"⚠"),LEFT(IF(OR($AC205="",인턴현황!$K$2=""),"",INDEX(인턴근무계획!$M$3:$R$62,$AC205,인턴현황!$K$2)&amp;""),FIND(" ",IF(OR($AC205="",인턴현황!$K$2=""),"",INDEX(인턴근무계획!$M$3:$R$62,$AC205,인턴현황!$K$2)&amp;""))-1),$AE205))</f>
        <v/>
      </c>
      <c r="AH205" s="17">
        <f>IF($B205="","",IF(TRIM($J205&amp;"")="",0,SUMPRODUCT((파견수련계획!$Q$4:$Q$83=TRIM($J205&amp;""))*(파견수련계획!$S$4:$S$83="서울병원")*파견수련계획!$W$4:$W$83))+IF($AG205="서울병원",MAX(0,DAY(EOMONTH(요약!$B$3,0))-N($X205)),0))</f>
        <v/>
      </c>
      <c r="AI205" s="17">
        <f>IF($B205="","",IF(TRIM($J205&amp;"")="",0,SUMPRODUCT((파견수련계획!$Q$4:$Q$83=TRIM($J205&amp;""))*(파견수련계획!$S$4:$S$83="구리병원")*파견수련계획!$W$4:$W$83))+IF($AG205="구리병원",MAX(0,DAY(EOMONTH(요약!$B$3,0))-N($X205)),0))</f>
        <v/>
      </c>
      <c r="AJ205" s="10">
        <f>IF(OR($B205="",TRIM($J205&amp;"")=""),"",IFERROR(MATCH(TRIM($J205&amp;"")&amp;"|월",파견수련계획!$Z$4:$Z$83,0),""))</f>
        <v/>
      </c>
      <c r="AK205" s="10">
        <f>IF(OR($B205="",TRIM($J205&amp;"")=""),"",IFERROR(MATCH(TRIM($J205&amp;"")&amp;"|다기관",파견수련계획!$AE$4:$AE$83,0),""))</f>
        <v/>
      </c>
      <c r="AL205" s="10">
        <f>IF($AK205="","","다기관 "&amp;TEXT(INDEX(파견수련계획!$AB$4:$AB$83,$AK205),"yyyy-mm-dd")&amp;"~"&amp;IF(ISNUMBER(INDEX(파견수련계획!$AC$4:$AC$83,$AK205)),TEXT(INDEX(파견수련계획!$AC$4:$AC$83,$AK205),"yyyy-mm-dd"),""))</f>
        <v/>
      </c>
    </row>
    <row r="206">
      <c r="A206" s="10">
        <f>IF(B206="","",ROW()-1)</f>
        <v/>
      </c>
      <c r="B206" s="18" t="n"/>
      <c r="C206" s="10">
        <f>IF($AB206="","",IF(INDEX(기본자료!$C$2:$C$1001,$AB206)="","",INDEX(기본자료!$C$2:$C$1001,$AB206)))</f>
        <v/>
      </c>
      <c r="D206" s="10">
        <f>IF($AB206="","",IF(INDEX(기본자료!$J$2:$J$1001,$AB206)="","",INDEX(기본자료!$J$2:$J$1001,$AB206)))</f>
        <v/>
      </c>
      <c r="E206" s="11">
        <f>IF($AB206="","",IF(INDEX(기본자료!$K$2:$K$1001,$AB206)="","",IF(NOT(ISNUMBER(INDEX(기본자료!$K$2:$K$1001,$AB206))),INDEX(기본자료!$K$2:$K$1001,$AB206),IF(INDEX(기본자료!$K$2:$K$1001,$AB206)&lt;1000000,INDEX(기본자료!$K$2:$K$1001,$AB206),IF(AND(INDEX(기본자료!$K$2:$K$1001,$AB206)&gt;=10000101,INT(MOD(INDEX(기본자료!$K$2:$K$1001,$AB206),10000)/100)&gt;=1,INT(MOD(INDEX(기본자료!$K$2:$K$1001,$AB206),10000)/100)&lt;=12,MOD(INDEX(기본자료!$K$2:$K$1001,$AB206),100)&gt;=1,MOD(INDEX(기본자료!$K$2:$K$1001,$AB206),100)&lt;=31),DATE(INT(INDEX(기본자료!$K$2:$K$1001,$AB206)/10000),INT(MOD(INDEX(기본자료!$K$2:$K$1001,$AB206),10000)/100),MOD(INDEX(기본자료!$K$2:$K$1001,$AB206),100)),INDEX(기본자료!$K$2:$K$1001,$AB206)&amp;"")))))</f>
        <v/>
      </c>
      <c r="F206" s="10">
        <f>IF($AB206="","",IF(INDEX(기본자료!$D$2:$D$1001,$AB206)="","",INDEX(기본자료!$D$2:$D$1001,$AB206)))</f>
        <v/>
      </c>
      <c r="G206" s="10">
        <f>IF($AB206="","",IF(INDEX(기본자료!$E$2:$E$1001,$AB206)="","",INDEX(기본자료!$E$2:$E$1001,$AB206)))</f>
        <v/>
      </c>
      <c r="H206" s="10">
        <f>IF($AB206="","",IF(INDEX(기본자료!$F$2:$F$1001,$AB206)="","",INDEX(기본자료!$F$2:$F$1001,$AB206)))</f>
        <v/>
      </c>
      <c r="I206" s="11">
        <f>IF($AB206="","",IF(INDEX(기본자료!$G$2:$G$1001,$AB206)="","",IF(NOT(ISNUMBER(INDEX(기본자료!$G$2:$G$1001,$AB206))),INDEX(기본자료!$G$2:$G$1001,$AB206),IF(INDEX(기본자료!$G$2:$G$1001,$AB206)&lt;1000000,INDEX(기본자료!$G$2:$G$1001,$AB206),IF(AND(INDEX(기본자료!$G$2:$G$1001,$AB206)&gt;=10000101,INT(MOD(INDEX(기본자료!$G$2:$G$1001,$AB206),10000)/100)&gt;=1,INT(MOD(INDEX(기본자료!$G$2:$G$1001,$AB206),10000)/100)&lt;=12,MOD(INDEX(기본자료!$G$2:$G$1001,$AB206),100)&gt;=1,MOD(INDEX(기본자료!$G$2:$G$1001,$AB206),100)&lt;=31),DATE(INT(INDEX(기본자료!$G$2:$G$1001,$AB206)/10000),INT(MOD(INDEX(기본자료!$G$2:$G$1001,$AB206),10000)/100),MOD(INDEX(기본자료!$G$2:$G$1001,$AB206),100)),INDEX(기본자료!$G$2:$G$1001,$AB206)&amp;"")))))</f>
        <v/>
      </c>
      <c r="J206" s="10">
        <f>IF($AB206="","",IF(INDEX(기본자료!$H$2:$H$1001,$AB206)="","",INDEX(기본자료!$H$2:$H$1001,$AB206)))</f>
        <v/>
      </c>
      <c r="K206" s="10">
        <f>IF($AB206="","",IF(INDEX(기본자료!$I$2:$I$1001,$AB206)="","",INDEX(기본자료!$I$2:$I$1001,$AB206)))</f>
        <v/>
      </c>
      <c r="L206" s="10">
        <f>IF($AB206="","",IF(INDEX(기본자료!$A$2:$A$1001,$AB206)="","",INDEX(기본자료!$A$2:$A$1001,$AB206)))</f>
        <v/>
      </c>
      <c r="M206" s="15" t="n"/>
      <c r="N206" s="10">
        <f>IF($B206="","",IF(AND($U206="파견중",$Q206&lt;&gt;""),$Q206,IF(AND($AD206&lt;&gt;"",LEFT($AD206,1)&lt;&gt;"⚠"),LEFT($AD206,FIND(" ",$AD206)-1),IF($H206="","",IF(RIGHT($H206,2)="병원",$H206,$H206&amp;"병원")))))</f>
        <v/>
      </c>
      <c r="O206" s="10">
        <f>IF($B206="","",IF(AND($U206="파견중",$Q206&lt;&gt;""),IF($R206&lt;&gt;"",$R206,"파견과 미입력"),IF(AND($AD206&lt;&gt;"",LEFT($AD206,1)&lt;&gt;"⚠"),MID($AD206,FIND(" ",$AD206)+1,60),IF($F206="","",IF($F206="인턴","수련교육부(인턴)",$F206)))))</f>
        <v/>
      </c>
      <c r="P206" s="10">
        <f>IF($B206="","",IF($AK206&lt;&gt;"",IF(AND(TODAY()&gt;=INDEX(파견수련계획!$AB$4:$AB$83,$AK206),OR(NOT(ISNUMBER(INDEX(파견수련계획!$AC$4:$AC$83,$AK206))),TODAY()&lt;=INDEX(파견수련계획!$AC$4:$AC$83,$AK206))),"다기관",IF($AF206="","",INDEX(파견수련계획!$T$4:$T$83,$AF206))),IF($AF206="","",INDEX(파견수련계획!$T$4:$T$83,$AF206))))</f>
        <v/>
      </c>
      <c r="Q206" s="10">
        <f>IF($AF206="","",INDEX(파견수련계획!$S$4:$S$83,$AF206))</f>
        <v/>
      </c>
      <c r="R206" s="10">
        <f>IF($AF206="","",INDEX(파견수련계획!$U$4:$U$83,$AF206))</f>
        <v/>
      </c>
      <c r="S206" s="11">
        <f>IF($AF206="","",IF(INDEX(파견수련계획!$H$4:$H$83,$AF206)="","",INDEX(파견수련계획!$H$4:$H$83,$AF206)))</f>
        <v/>
      </c>
      <c r="T206" s="11">
        <f>IF($AF206="","",IF(INDEX(파견수련계획!$I$4:$I$83,$AF206)="","",INDEX(파견수련계획!$I$4:$I$83,$AF206)))</f>
        <v/>
      </c>
      <c r="U206" s="10">
        <f>IF($AF206="","",INDEX(파견수련계획!$X$4:$X$83,$AF206))</f>
        <v/>
      </c>
      <c r="V206" s="17">
        <f>IF($AF206="","",INDEX(파견수련계획!$V$4:$V$83,$AF206))</f>
        <v/>
      </c>
      <c r="W206" s="17">
        <f>IF(AND($U206="파견중",$T206&lt;&gt;""),$T206-TODAY(),"")</f>
        <v/>
      </c>
      <c r="X206" s="17">
        <f>IF(OR($B206="",TRIM($J206&amp;"")=""),"",SUMPRODUCT((파견수련계획!$Q$4:$Q$83=TRIM($J206&amp;""))*파견수련계획!$W$4:$W$83))</f>
        <v/>
      </c>
      <c r="Y206" s="10">
        <f>IF($B206="","",IF($AG206="","",IF(IF(TRIM($J206&amp;"")="",0,SUMPRODUCT((파견수련계획!$Q$4:$Q$83=TRIM($J206&amp;""))*파견수련계획!$AD$4:$AD$83))&gt;0,$AE206,IF(N($X206)&lt;=0,$AG206,IF($AH206+$AI206=DAY(EOMONTH(요약!$B$3,0)),IF(AND($AH206&gt;=요약!$E$3,$AI206&lt;요약!$E$3),"서울병원",IF(AND($AI206&gt;=요약!$E$3,$AH206&lt;요약!$E$3),"구리병원","⚠15일 판정불가(서울 "&amp;$AH206&amp;"일/구리 "&amp;$AI206&amp;"일)")),IF($AJ206="",$AE206,IF(INDEX(파견수련계획!$T$4:$T$83,$AJ206)="통합수련",INDEX(파견수련계획!$S$4:$S$83,$AJ206),$AE206)))))))</f>
        <v/>
      </c>
      <c r="Z206" s="19">
        <f>IF($B206="","",IF($AB206="","기본자료에 없는 사번",IF(COUNTIF($B$2:$B$401,$B206)&gt;1,"중복 사번",IF($AE206="","소속(입사장소) 입력",IF(IF(TRIM($J206&amp;"")="",0,SUMPRODUCT((파견수련계획!$Q$4:$Q$83=TRIM($J206&amp;""))*(파견수련계획!$AA$4:$AA$83&lt;&gt;"")))&gt;0,"파견수련계획 입력오류 확인",IF(LEFT($Y206,1)="⚠","서울·구리 15일 판정 불가(양쪽 모두 이상/미만)",IF(IF($AC206="",0,N(INDEX(인턴근무계획!$T$3:$T$62,$AC206)))&gt;0,"인턴계획 입력오류 확인",IF(AND($AC206&lt;&gt;"",$U206&lt;&gt;"파견중",$N206&lt;&gt;$AE206),"인턴 타지역 근무: 파견 여부 확인","정상"))))))))</f>
        <v/>
      </c>
      <c r="AA206" s="5" t="n"/>
      <c r="AB206" s="10">
        <f>IF($B206="","",IFERROR(MATCH($B206,기본자료!$B$2:$B$1001,0),IFERROR(MATCH($B206&amp;"",기본자료!$B$2:$B$1001,0),IFERROR(MATCH(VALUE($B206),기본자료!$B$2:$B$1001,0),""))))</f>
        <v/>
      </c>
      <c r="AC206" s="10">
        <f>IF($B206="","",IFERROR(MATCH($B206,인턴근무계획!$D$3:$D$62,0),IFERROR(MATCH($B206&amp;"",인턴근무계획!$D$3:$D$62,0),IFERROR(MATCH(VALUE($B206),인턴근무계획!$D$3:$D$62,0),""))))</f>
        <v/>
      </c>
      <c r="AD206" s="10">
        <f>IF(OR($AC206="",인턴현황!$G$3=""),"",INDEX(인턴근무계획!$M$3:$R$62,$AC206,인턴현황!$G$3)&amp;"")</f>
        <v/>
      </c>
      <c r="AE206" s="10">
        <f>IF($B206="","",IF($M206&lt;&gt;"",$M206,IF($AF206&lt;&gt;"",IF(LEFT(INDEX(파견수련계획!$R$4:$R$83,$AF206),1)&lt;&gt;"⚠",INDEX(파견수련계획!$R$4:$R$83,$AF206),IF($H206="","",IF(RIGHT($H206,2)="병원",$H206,$H206&amp;"병원"))),IF($H206="","",IF(RIGHT($H206,2)="병원",$H206,$H206&amp;"병원")))))</f>
        <v/>
      </c>
      <c r="AF206" s="10">
        <f>IF(OR($B206="",TRIM($J206&amp;"")=""),"",IFERROR(MATCH(TRIM($J206&amp;"")&amp;"|파견중",파견수련계획!$Y$4:$Y$83,0),IFERROR(MATCH(TRIM($J206&amp;"")&amp;"|파견예정",파견수련계획!$Y$4:$Y$83,0),IFERROR(MATCH(TRIM($J206&amp;"")&amp;"|파견종료",파견수련계획!$Y$4:$Y$83,0),""))))</f>
        <v/>
      </c>
      <c r="AG206" s="10">
        <f>IF($B206="","",IF(AND(IF(OR($AC206="",인턴현황!$K$2=""),"",INDEX(인턴근무계획!$M$3:$R$62,$AC206,인턴현황!$K$2)&amp;"")&lt;&gt;"",LEFT(IF(OR($AC206="",인턴현황!$K$2=""),"",INDEX(인턴근무계획!$M$3:$R$62,$AC206,인턴현황!$K$2)&amp;""),1)&lt;&gt;"⚠"),LEFT(IF(OR($AC206="",인턴현황!$K$2=""),"",INDEX(인턴근무계획!$M$3:$R$62,$AC206,인턴현황!$K$2)&amp;""),FIND(" ",IF(OR($AC206="",인턴현황!$K$2=""),"",INDEX(인턴근무계획!$M$3:$R$62,$AC206,인턴현황!$K$2)&amp;""))-1),$AE206))</f>
        <v/>
      </c>
      <c r="AH206" s="17">
        <f>IF($B206="","",IF(TRIM($J206&amp;"")="",0,SUMPRODUCT((파견수련계획!$Q$4:$Q$83=TRIM($J206&amp;""))*(파견수련계획!$S$4:$S$83="서울병원")*파견수련계획!$W$4:$W$83))+IF($AG206="서울병원",MAX(0,DAY(EOMONTH(요약!$B$3,0))-N($X206)),0))</f>
        <v/>
      </c>
      <c r="AI206" s="17">
        <f>IF($B206="","",IF(TRIM($J206&amp;"")="",0,SUMPRODUCT((파견수련계획!$Q$4:$Q$83=TRIM($J206&amp;""))*(파견수련계획!$S$4:$S$83="구리병원")*파견수련계획!$W$4:$W$83))+IF($AG206="구리병원",MAX(0,DAY(EOMONTH(요약!$B$3,0))-N($X206)),0))</f>
        <v/>
      </c>
      <c r="AJ206" s="10">
        <f>IF(OR($B206="",TRIM($J206&amp;"")=""),"",IFERROR(MATCH(TRIM($J206&amp;"")&amp;"|월",파견수련계획!$Z$4:$Z$83,0),""))</f>
        <v/>
      </c>
      <c r="AK206" s="10">
        <f>IF(OR($B206="",TRIM($J206&amp;"")=""),"",IFERROR(MATCH(TRIM($J206&amp;"")&amp;"|다기관",파견수련계획!$AE$4:$AE$83,0),""))</f>
        <v/>
      </c>
      <c r="AL206" s="10">
        <f>IF($AK206="","","다기관 "&amp;TEXT(INDEX(파견수련계획!$AB$4:$AB$83,$AK206),"yyyy-mm-dd")&amp;"~"&amp;IF(ISNUMBER(INDEX(파견수련계획!$AC$4:$AC$83,$AK206)),TEXT(INDEX(파견수련계획!$AC$4:$AC$83,$AK206),"yyyy-mm-dd"),""))</f>
        <v/>
      </c>
    </row>
    <row r="207">
      <c r="A207" s="10">
        <f>IF(B207="","",ROW()-1)</f>
        <v/>
      </c>
      <c r="B207" s="18" t="n"/>
      <c r="C207" s="10">
        <f>IF($AB207="","",IF(INDEX(기본자료!$C$2:$C$1001,$AB207)="","",INDEX(기본자료!$C$2:$C$1001,$AB207)))</f>
        <v/>
      </c>
      <c r="D207" s="10">
        <f>IF($AB207="","",IF(INDEX(기본자료!$J$2:$J$1001,$AB207)="","",INDEX(기본자료!$J$2:$J$1001,$AB207)))</f>
        <v/>
      </c>
      <c r="E207" s="11">
        <f>IF($AB207="","",IF(INDEX(기본자료!$K$2:$K$1001,$AB207)="","",IF(NOT(ISNUMBER(INDEX(기본자료!$K$2:$K$1001,$AB207))),INDEX(기본자료!$K$2:$K$1001,$AB207),IF(INDEX(기본자료!$K$2:$K$1001,$AB207)&lt;1000000,INDEX(기본자료!$K$2:$K$1001,$AB207),IF(AND(INDEX(기본자료!$K$2:$K$1001,$AB207)&gt;=10000101,INT(MOD(INDEX(기본자료!$K$2:$K$1001,$AB207),10000)/100)&gt;=1,INT(MOD(INDEX(기본자료!$K$2:$K$1001,$AB207),10000)/100)&lt;=12,MOD(INDEX(기본자료!$K$2:$K$1001,$AB207),100)&gt;=1,MOD(INDEX(기본자료!$K$2:$K$1001,$AB207),100)&lt;=31),DATE(INT(INDEX(기본자료!$K$2:$K$1001,$AB207)/10000),INT(MOD(INDEX(기본자료!$K$2:$K$1001,$AB207),10000)/100),MOD(INDEX(기본자료!$K$2:$K$1001,$AB207),100)),INDEX(기본자료!$K$2:$K$1001,$AB207)&amp;"")))))</f>
        <v/>
      </c>
      <c r="F207" s="10">
        <f>IF($AB207="","",IF(INDEX(기본자료!$D$2:$D$1001,$AB207)="","",INDEX(기본자료!$D$2:$D$1001,$AB207)))</f>
        <v/>
      </c>
      <c r="G207" s="10">
        <f>IF($AB207="","",IF(INDEX(기본자료!$E$2:$E$1001,$AB207)="","",INDEX(기본자료!$E$2:$E$1001,$AB207)))</f>
        <v/>
      </c>
      <c r="H207" s="10">
        <f>IF($AB207="","",IF(INDEX(기본자료!$F$2:$F$1001,$AB207)="","",INDEX(기본자료!$F$2:$F$1001,$AB207)))</f>
        <v/>
      </c>
      <c r="I207" s="11">
        <f>IF($AB207="","",IF(INDEX(기본자료!$G$2:$G$1001,$AB207)="","",IF(NOT(ISNUMBER(INDEX(기본자료!$G$2:$G$1001,$AB207))),INDEX(기본자료!$G$2:$G$1001,$AB207),IF(INDEX(기본자료!$G$2:$G$1001,$AB207)&lt;1000000,INDEX(기본자료!$G$2:$G$1001,$AB207),IF(AND(INDEX(기본자료!$G$2:$G$1001,$AB207)&gt;=10000101,INT(MOD(INDEX(기본자료!$G$2:$G$1001,$AB207),10000)/100)&gt;=1,INT(MOD(INDEX(기본자료!$G$2:$G$1001,$AB207),10000)/100)&lt;=12,MOD(INDEX(기본자료!$G$2:$G$1001,$AB207),100)&gt;=1,MOD(INDEX(기본자료!$G$2:$G$1001,$AB207),100)&lt;=31),DATE(INT(INDEX(기본자료!$G$2:$G$1001,$AB207)/10000),INT(MOD(INDEX(기본자료!$G$2:$G$1001,$AB207),10000)/100),MOD(INDEX(기본자료!$G$2:$G$1001,$AB207),100)),INDEX(기본자료!$G$2:$G$1001,$AB207)&amp;"")))))</f>
        <v/>
      </c>
      <c r="J207" s="10">
        <f>IF($AB207="","",IF(INDEX(기본자료!$H$2:$H$1001,$AB207)="","",INDEX(기본자료!$H$2:$H$1001,$AB207)))</f>
        <v/>
      </c>
      <c r="K207" s="10">
        <f>IF($AB207="","",IF(INDEX(기본자료!$I$2:$I$1001,$AB207)="","",INDEX(기본자료!$I$2:$I$1001,$AB207)))</f>
        <v/>
      </c>
      <c r="L207" s="10">
        <f>IF($AB207="","",IF(INDEX(기본자료!$A$2:$A$1001,$AB207)="","",INDEX(기본자료!$A$2:$A$1001,$AB207)))</f>
        <v/>
      </c>
      <c r="M207" s="15" t="n"/>
      <c r="N207" s="10">
        <f>IF($B207="","",IF(AND($U207="파견중",$Q207&lt;&gt;""),$Q207,IF(AND($AD207&lt;&gt;"",LEFT($AD207,1)&lt;&gt;"⚠"),LEFT($AD207,FIND(" ",$AD207)-1),IF($H207="","",IF(RIGHT($H207,2)="병원",$H207,$H207&amp;"병원")))))</f>
        <v/>
      </c>
      <c r="O207" s="10">
        <f>IF($B207="","",IF(AND($U207="파견중",$Q207&lt;&gt;""),IF($R207&lt;&gt;"",$R207,"파견과 미입력"),IF(AND($AD207&lt;&gt;"",LEFT($AD207,1)&lt;&gt;"⚠"),MID($AD207,FIND(" ",$AD207)+1,60),IF($F207="","",IF($F207="인턴","수련교육부(인턴)",$F207)))))</f>
        <v/>
      </c>
      <c r="P207" s="10">
        <f>IF($B207="","",IF($AK207&lt;&gt;"",IF(AND(TODAY()&gt;=INDEX(파견수련계획!$AB$4:$AB$83,$AK207),OR(NOT(ISNUMBER(INDEX(파견수련계획!$AC$4:$AC$83,$AK207))),TODAY()&lt;=INDEX(파견수련계획!$AC$4:$AC$83,$AK207))),"다기관",IF($AF207="","",INDEX(파견수련계획!$T$4:$T$83,$AF207))),IF($AF207="","",INDEX(파견수련계획!$T$4:$T$83,$AF207))))</f>
        <v/>
      </c>
      <c r="Q207" s="10">
        <f>IF($AF207="","",INDEX(파견수련계획!$S$4:$S$83,$AF207))</f>
        <v/>
      </c>
      <c r="R207" s="10">
        <f>IF($AF207="","",INDEX(파견수련계획!$U$4:$U$83,$AF207))</f>
        <v/>
      </c>
      <c r="S207" s="11">
        <f>IF($AF207="","",IF(INDEX(파견수련계획!$H$4:$H$83,$AF207)="","",INDEX(파견수련계획!$H$4:$H$83,$AF207)))</f>
        <v/>
      </c>
      <c r="T207" s="11">
        <f>IF($AF207="","",IF(INDEX(파견수련계획!$I$4:$I$83,$AF207)="","",INDEX(파견수련계획!$I$4:$I$83,$AF207)))</f>
        <v/>
      </c>
      <c r="U207" s="10">
        <f>IF($AF207="","",INDEX(파견수련계획!$X$4:$X$83,$AF207))</f>
        <v/>
      </c>
      <c r="V207" s="17">
        <f>IF($AF207="","",INDEX(파견수련계획!$V$4:$V$83,$AF207))</f>
        <v/>
      </c>
      <c r="W207" s="17">
        <f>IF(AND($U207="파견중",$T207&lt;&gt;""),$T207-TODAY(),"")</f>
        <v/>
      </c>
      <c r="X207" s="17">
        <f>IF(OR($B207="",TRIM($J207&amp;"")=""),"",SUMPRODUCT((파견수련계획!$Q$4:$Q$83=TRIM($J207&amp;""))*파견수련계획!$W$4:$W$83))</f>
        <v/>
      </c>
      <c r="Y207" s="10">
        <f>IF($B207="","",IF($AG207="","",IF(IF(TRIM($J207&amp;"")="",0,SUMPRODUCT((파견수련계획!$Q$4:$Q$83=TRIM($J207&amp;""))*파견수련계획!$AD$4:$AD$83))&gt;0,$AE207,IF(N($X207)&lt;=0,$AG207,IF($AH207+$AI207=DAY(EOMONTH(요약!$B$3,0)),IF(AND($AH207&gt;=요약!$E$3,$AI207&lt;요약!$E$3),"서울병원",IF(AND($AI207&gt;=요약!$E$3,$AH207&lt;요약!$E$3),"구리병원","⚠15일 판정불가(서울 "&amp;$AH207&amp;"일/구리 "&amp;$AI207&amp;"일)")),IF($AJ207="",$AE207,IF(INDEX(파견수련계획!$T$4:$T$83,$AJ207)="통합수련",INDEX(파견수련계획!$S$4:$S$83,$AJ207),$AE207)))))))</f>
        <v/>
      </c>
      <c r="Z207" s="19">
        <f>IF($B207="","",IF($AB207="","기본자료에 없는 사번",IF(COUNTIF($B$2:$B$401,$B207)&gt;1,"중복 사번",IF($AE207="","소속(입사장소) 입력",IF(IF(TRIM($J207&amp;"")="",0,SUMPRODUCT((파견수련계획!$Q$4:$Q$83=TRIM($J207&amp;""))*(파견수련계획!$AA$4:$AA$83&lt;&gt;"")))&gt;0,"파견수련계획 입력오류 확인",IF(LEFT($Y207,1)="⚠","서울·구리 15일 판정 불가(양쪽 모두 이상/미만)",IF(IF($AC207="",0,N(INDEX(인턴근무계획!$T$3:$T$62,$AC207)))&gt;0,"인턴계획 입력오류 확인",IF(AND($AC207&lt;&gt;"",$U207&lt;&gt;"파견중",$N207&lt;&gt;$AE207),"인턴 타지역 근무: 파견 여부 확인","정상"))))))))</f>
        <v/>
      </c>
      <c r="AA207" s="5" t="n"/>
      <c r="AB207" s="10">
        <f>IF($B207="","",IFERROR(MATCH($B207,기본자료!$B$2:$B$1001,0),IFERROR(MATCH($B207&amp;"",기본자료!$B$2:$B$1001,0),IFERROR(MATCH(VALUE($B207),기본자료!$B$2:$B$1001,0),""))))</f>
        <v/>
      </c>
      <c r="AC207" s="10">
        <f>IF($B207="","",IFERROR(MATCH($B207,인턴근무계획!$D$3:$D$62,0),IFERROR(MATCH($B207&amp;"",인턴근무계획!$D$3:$D$62,0),IFERROR(MATCH(VALUE($B207),인턴근무계획!$D$3:$D$62,0),""))))</f>
        <v/>
      </c>
      <c r="AD207" s="10">
        <f>IF(OR($AC207="",인턴현황!$G$3=""),"",INDEX(인턴근무계획!$M$3:$R$62,$AC207,인턴현황!$G$3)&amp;"")</f>
        <v/>
      </c>
      <c r="AE207" s="10">
        <f>IF($B207="","",IF($M207&lt;&gt;"",$M207,IF($AF207&lt;&gt;"",IF(LEFT(INDEX(파견수련계획!$R$4:$R$83,$AF207),1)&lt;&gt;"⚠",INDEX(파견수련계획!$R$4:$R$83,$AF207),IF($H207="","",IF(RIGHT($H207,2)="병원",$H207,$H207&amp;"병원"))),IF($H207="","",IF(RIGHT($H207,2)="병원",$H207,$H207&amp;"병원")))))</f>
        <v/>
      </c>
      <c r="AF207" s="10">
        <f>IF(OR($B207="",TRIM($J207&amp;"")=""),"",IFERROR(MATCH(TRIM($J207&amp;"")&amp;"|파견중",파견수련계획!$Y$4:$Y$83,0),IFERROR(MATCH(TRIM($J207&amp;"")&amp;"|파견예정",파견수련계획!$Y$4:$Y$83,0),IFERROR(MATCH(TRIM($J207&amp;"")&amp;"|파견종료",파견수련계획!$Y$4:$Y$83,0),""))))</f>
        <v/>
      </c>
      <c r="AG207" s="10">
        <f>IF($B207="","",IF(AND(IF(OR($AC207="",인턴현황!$K$2=""),"",INDEX(인턴근무계획!$M$3:$R$62,$AC207,인턴현황!$K$2)&amp;"")&lt;&gt;"",LEFT(IF(OR($AC207="",인턴현황!$K$2=""),"",INDEX(인턴근무계획!$M$3:$R$62,$AC207,인턴현황!$K$2)&amp;""),1)&lt;&gt;"⚠"),LEFT(IF(OR($AC207="",인턴현황!$K$2=""),"",INDEX(인턴근무계획!$M$3:$R$62,$AC207,인턴현황!$K$2)&amp;""),FIND(" ",IF(OR($AC207="",인턴현황!$K$2=""),"",INDEX(인턴근무계획!$M$3:$R$62,$AC207,인턴현황!$K$2)&amp;""))-1),$AE207))</f>
        <v/>
      </c>
      <c r="AH207" s="17">
        <f>IF($B207="","",IF(TRIM($J207&amp;"")="",0,SUMPRODUCT((파견수련계획!$Q$4:$Q$83=TRIM($J207&amp;""))*(파견수련계획!$S$4:$S$83="서울병원")*파견수련계획!$W$4:$W$83))+IF($AG207="서울병원",MAX(0,DAY(EOMONTH(요약!$B$3,0))-N($X207)),0))</f>
        <v/>
      </c>
      <c r="AI207" s="17">
        <f>IF($B207="","",IF(TRIM($J207&amp;"")="",0,SUMPRODUCT((파견수련계획!$Q$4:$Q$83=TRIM($J207&amp;""))*(파견수련계획!$S$4:$S$83="구리병원")*파견수련계획!$W$4:$W$83))+IF($AG207="구리병원",MAX(0,DAY(EOMONTH(요약!$B$3,0))-N($X207)),0))</f>
        <v/>
      </c>
      <c r="AJ207" s="10">
        <f>IF(OR($B207="",TRIM($J207&amp;"")=""),"",IFERROR(MATCH(TRIM($J207&amp;"")&amp;"|월",파견수련계획!$Z$4:$Z$83,0),""))</f>
        <v/>
      </c>
      <c r="AK207" s="10">
        <f>IF(OR($B207="",TRIM($J207&amp;"")=""),"",IFERROR(MATCH(TRIM($J207&amp;"")&amp;"|다기관",파견수련계획!$AE$4:$AE$83,0),""))</f>
        <v/>
      </c>
      <c r="AL207" s="10">
        <f>IF($AK207="","","다기관 "&amp;TEXT(INDEX(파견수련계획!$AB$4:$AB$83,$AK207),"yyyy-mm-dd")&amp;"~"&amp;IF(ISNUMBER(INDEX(파견수련계획!$AC$4:$AC$83,$AK207)),TEXT(INDEX(파견수련계획!$AC$4:$AC$83,$AK207),"yyyy-mm-dd"),""))</f>
        <v/>
      </c>
    </row>
    <row r="208">
      <c r="A208" s="10">
        <f>IF(B208="","",ROW()-1)</f>
        <v/>
      </c>
      <c r="B208" s="18" t="n"/>
      <c r="C208" s="10">
        <f>IF($AB208="","",IF(INDEX(기본자료!$C$2:$C$1001,$AB208)="","",INDEX(기본자료!$C$2:$C$1001,$AB208)))</f>
        <v/>
      </c>
      <c r="D208" s="10">
        <f>IF($AB208="","",IF(INDEX(기본자료!$J$2:$J$1001,$AB208)="","",INDEX(기본자료!$J$2:$J$1001,$AB208)))</f>
        <v/>
      </c>
      <c r="E208" s="11">
        <f>IF($AB208="","",IF(INDEX(기본자료!$K$2:$K$1001,$AB208)="","",IF(NOT(ISNUMBER(INDEX(기본자료!$K$2:$K$1001,$AB208))),INDEX(기본자료!$K$2:$K$1001,$AB208),IF(INDEX(기본자료!$K$2:$K$1001,$AB208)&lt;1000000,INDEX(기본자료!$K$2:$K$1001,$AB208),IF(AND(INDEX(기본자료!$K$2:$K$1001,$AB208)&gt;=10000101,INT(MOD(INDEX(기본자료!$K$2:$K$1001,$AB208),10000)/100)&gt;=1,INT(MOD(INDEX(기본자료!$K$2:$K$1001,$AB208),10000)/100)&lt;=12,MOD(INDEX(기본자료!$K$2:$K$1001,$AB208),100)&gt;=1,MOD(INDEX(기본자료!$K$2:$K$1001,$AB208),100)&lt;=31),DATE(INT(INDEX(기본자료!$K$2:$K$1001,$AB208)/10000),INT(MOD(INDEX(기본자료!$K$2:$K$1001,$AB208),10000)/100),MOD(INDEX(기본자료!$K$2:$K$1001,$AB208),100)),INDEX(기본자료!$K$2:$K$1001,$AB208)&amp;"")))))</f>
        <v/>
      </c>
      <c r="F208" s="10">
        <f>IF($AB208="","",IF(INDEX(기본자료!$D$2:$D$1001,$AB208)="","",INDEX(기본자료!$D$2:$D$1001,$AB208)))</f>
        <v/>
      </c>
      <c r="G208" s="10">
        <f>IF($AB208="","",IF(INDEX(기본자료!$E$2:$E$1001,$AB208)="","",INDEX(기본자료!$E$2:$E$1001,$AB208)))</f>
        <v/>
      </c>
      <c r="H208" s="10">
        <f>IF($AB208="","",IF(INDEX(기본자료!$F$2:$F$1001,$AB208)="","",INDEX(기본자료!$F$2:$F$1001,$AB208)))</f>
        <v/>
      </c>
      <c r="I208" s="11">
        <f>IF($AB208="","",IF(INDEX(기본자료!$G$2:$G$1001,$AB208)="","",IF(NOT(ISNUMBER(INDEX(기본자료!$G$2:$G$1001,$AB208))),INDEX(기본자료!$G$2:$G$1001,$AB208),IF(INDEX(기본자료!$G$2:$G$1001,$AB208)&lt;1000000,INDEX(기본자료!$G$2:$G$1001,$AB208),IF(AND(INDEX(기본자료!$G$2:$G$1001,$AB208)&gt;=10000101,INT(MOD(INDEX(기본자료!$G$2:$G$1001,$AB208),10000)/100)&gt;=1,INT(MOD(INDEX(기본자료!$G$2:$G$1001,$AB208),10000)/100)&lt;=12,MOD(INDEX(기본자료!$G$2:$G$1001,$AB208),100)&gt;=1,MOD(INDEX(기본자료!$G$2:$G$1001,$AB208),100)&lt;=31),DATE(INT(INDEX(기본자료!$G$2:$G$1001,$AB208)/10000),INT(MOD(INDEX(기본자료!$G$2:$G$1001,$AB208),10000)/100),MOD(INDEX(기본자료!$G$2:$G$1001,$AB208),100)),INDEX(기본자료!$G$2:$G$1001,$AB208)&amp;"")))))</f>
        <v/>
      </c>
      <c r="J208" s="10">
        <f>IF($AB208="","",IF(INDEX(기본자료!$H$2:$H$1001,$AB208)="","",INDEX(기본자료!$H$2:$H$1001,$AB208)))</f>
        <v/>
      </c>
      <c r="K208" s="10">
        <f>IF($AB208="","",IF(INDEX(기본자료!$I$2:$I$1001,$AB208)="","",INDEX(기본자료!$I$2:$I$1001,$AB208)))</f>
        <v/>
      </c>
      <c r="L208" s="10">
        <f>IF($AB208="","",IF(INDEX(기본자료!$A$2:$A$1001,$AB208)="","",INDEX(기본자료!$A$2:$A$1001,$AB208)))</f>
        <v/>
      </c>
      <c r="M208" s="15" t="n"/>
      <c r="N208" s="10">
        <f>IF($B208="","",IF(AND($U208="파견중",$Q208&lt;&gt;""),$Q208,IF(AND($AD208&lt;&gt;"",LEFT($AD208,1)&lt;&gt;"⚠"),LEFT($AD208,FIND(" ",$AD208)-1),IF($H208="","",IF(RIGHT($H208,2)="병원",$H208,$H208&amp;"병원")))))</f>
        <v/>
      </c>
      <c r="O208" s="10">
        <f>IF($B208="","",IF(AND($U208="파견중",$Q208&lt;&gt;""),IF($R208&lt;&gt;"",$R208,"파견과 미입력"),IF(AND($AD208&lt;&gt;"",LEFT($AD208,1)&lt;&gt;"⚠"),MID($AD208,FIND(" ",$AD208)+1,60),IF($F208="","",IF($F208="인턴","수련교육부(인턴)",$F208)))))</f>
        <v/>
      </c>
      <c r="P208" s="10">
        <f>IF($B208="","",IF($AK208&lt;&gt;"",IF(AND(TODAY()&gt;=INDEX(파견수련계획!$AB$4:$AB$83,$AK208),OR(NOT(ISNUMBER(INDEX(파견수련계획!$AC$4:$AC$83,$AK208))),TODAY()&lt;=INDEX(파견수련계획!$AC$4:$AC$83,$AK208))),"다기관",IF($AF208="","",INDEX(파견수련계획!$T$4:$T$83,$AF208))),IF($AF208="","",INDEX(파견수련계획!$T$4:$T$83,$AF208))))</f>
        <v/>
      </c>
      <c r="Q208" s="10">
        <f>IF($AF208="","",INDEX(파견수련계획!$S$4:$S$83,$AF208))</f>
        <v/>
      </c>
      <c r="R208" s="10">
        <f>IF($AF208="","",INDEX(파견수련계획!$U$4:$U$83,$AF208))</f>
        <v/>
      </c>
      <c r="S208" s="11">
        <f>IF($AF208="","",IF(INDEX(파견수련계획!$H$4:$H$83,$AF208)="","",INDEX(파견수련계획!$H$4:$H$83,$AF208)))</f>
        <v/>
      </c>
      <c r="T208" s="11">
        <f>IF($AF208="","",IF(INDEX(파견수련계획!$I$4:$I$83,$AF208)="","",INDEX(파견수련계획!$I$4:$I$83,$AF208)))</f>
        <v/>
      </c>
      <c r="U208" s="10">
        <f>IF($AF208="","",INDEX(파견수련계획!$X$4:$X$83,$AF208))</f>
        <v/>
      </c>
      <c r="V208" s="17">
        <f>IF($AF208="","",INDEX(파견수련계획!$V$4:$V$83,$AF208))</f>
        <v/>
      </c>
      <c r="W208" s="17">
        <f>IF(AND($U208="파견중",$T208&lt;&gt;""),$T208-TODAY(),"")</f>
        <v/>
      </c>
      <c r="X208" s="17">
        <f>IF(OR($B208="",TRIM($J208&amp;"")=""),"",SUMPRODUCT((파견수련계획!$Q$4:$Q$83=TRIM($J208&amp;""))*파견수련계획!$W$4:$W$83))</f>
        <v/>
      </c>
      <c r="Y208" s="10">
        <f>IF($B208="","",IF($AG208="","",IF(IF(TRIM($J208&amp;"")="",0,SUMPRODUCT((파견수련계획!$Q$4:$Q$83=TRIM($J208&amp;""))*파견수련계획!$AD$4:$AD$83))&gt;0,$AE208,IF(N($X208)&lt;=0,$AG208,IF($AH208+$AI208=DAY(EOMONTH(요약!$B$3,0)),IF(AND($AH208&gt;=요약!$E$3,$AI208&lt;요약!$E$3),"서울병원",IF(AND($AI208&gt;=요약!$E$3,$AH208&lt;요약!$E$3),"구리병원","⚠15일 판정불가(서울 "&amp;$AH208&amp;"일/구리 "&amp;$AI208&amp;"일)")),IF($AJ208="",$AE208,IF(INDEX(파견수련계획!$T$4:$T$83,$AJ208)="통합수련",INDEX(파견수련계획!$S$4:$S$83,$AJ208),$AE208)))))))</f>
        <v/>
      </c>
      <c r="Z208" s="19">
        <f>IF($B208="","",IF($AB208="","기본자료에 없는 사번",IF(COUNTIF($B$2:$B$401,$B208)&gt;1,"중복 사번",IF($AE208="","소속(입사장소) 입력",IF(IF(TRIM($J208&amp;"")="",0,SUMPRODUCT((파견수련계획!$Q$4:$Q$83=TRIM($J208&amp;""))*(파견수련계획!$AA$4:$AA$83&lt;&gt;"")))&gt;0,"파견수련계획 입력오류 확인",IF(LEFT($Y208,1)="⚠","서울·구리 15일 판정 불가(양쪽 모두 이상/미만)",IF(IF($AC208="",0,N(INDEX(인턴근무계획!$T$3:$T$62,$AC208)))&gt;0,"인턴계획 입력오류 확인",IF(AND($AC208&lt;&gt;"",$U208&lt;&gt;"파견중",$N208&lt;&gt;$AE208),"인턴 타지역 근무: 파견 여부 확인","정상"))))))))</f>
        <v/>
      </c>
      <c r="AA208" s="5" t="n"/>
      <c r="AB208" s="10">
        <f>IF($B208="","",IFERROR(MATCH($B208,기본자료!$B$2:$B$1001,0),IFERROR(MATCH($B208&amp;"",기본자료!$B$2:$B$1001,0),IFERROR(MATCH(VALUE($B208),기본자료!$B$2:$B$1001,0),""))))</f>
        <v/>
      </c>
      <c r="AC208" s="10">
        <f>IF($B208="","",IFERROR(MATCH($B208,인턴근무계획!$D$3:$D$62,0),IFERROR(MATCH($B208&amp;"",인턴근무계획!$D$3:$D$62,0),IFERROR(MATCH(VALUE($B208),인턴근무계획!$D$3:$D$62,0),""))))</f>
        <v/>
      </c>
      <c r="AD208" s="10">
        <f>IF(OR($AC208="",인턴현황!$G$3=""),"",INDEX(인턴근무계획!$M$3:$R$62,$AC208,인턴현황!$G$3)&amp;"")</f>
        <v/>
      </c>
      <c r="AE208" s="10">
        <f>IF($B208="","",IF($M208&lt;&gt;"",$M208,IF($AF208&lt;&gt;"",IF(LEFT(INDEX(파견수련계획!$R$4:$R$83,$AF208),1)&lt;&gt;"⚠",INDEX(파견수련계획!$R$4:$R$83,$AF208),IF($H208="","",IF(RIGHT($H208,2)="병원",$H208,$H208&amp;"병원"))),IF($H208="","",IF(RIGHT($H208,2)="병원",$H208,$H208&amp;"병원")))))</f>
        <v/>
      </c>
      <c r="AF208" s="10">
        <f>IF(OR($B208="",TRIM($J208&amp;"")=""),"",IFERROR(MATCH(TRIM($J208&amp;"")&amp;"|파견중",파견수련계획!$Y$4:$Y$83,0),IFERROR(MATCH(TRIM($J208&amp;"")&amp;"|파견예정",파견수련계획!$Y$4:$Y$83,0),IFERROR(MATCH(TRIM($J208&amp;"")&amp;"|파견종료",파견수련계획!$Y$4:$Y$83,0),""))))</f>
        <v/>
      </c>
      <c r="AG208" s="10">
        <f>IF($B208="","",IF(AND(IF(OR($AC208="",인턴현황!$K$2=""),"",INDEX(인턴근무계획!$M$3:$R$62,$AC208,인턴현황!$K$2)&amp;"")&lt;&gt;"",LEFT(IF(OR($AC208="",인턴현황!$K$2=""),"",INDEX(인턴근무계획!$M$3:$R$62,$AC208,인턴현황!$K$2)&amp;""),1)&lt;&gt;"⚠"),LEFT(IF(OR($AC208="",인턴현황!$K$2=""),"",INDEX(인턴근무계획!$M$3:$R$62,$AC208,인턴현황!$K$2)&amp;""),FIND(" ",IF(OR($AC208="",인턴현황!$K$2=""),"",INDEX(인턴근무계획!$M$3:$R$62,$AC208,인턴현황!$K$2)&amp;""))-1),$AE208))</f>
        <v/>
      </c>
      <c r="AH208" s="17">
        <f>IF($B208="","",IF(TRIM($J208&amp;"")="",0,SUMPRODUCT((파견수련계획!$Q$4:$Q$83=TRIM($J208&amp;""))*(파견수련계획!$S$4:$S$83="서울병원")*파견수련계획!$W$4:$W$83))+IF($AG208="서울병원",MAX(0,DAY(EOMONTH(요약!$B$3,0))-N($X208)),0))</f>
        <v/>
      </c>
      <c r="AI208" s="17">
        <f>IF($B208="","",IF(TRIM($J208&amp;"")="",0,SUMPRODUCT((파견수련계획!$Q$4:$Q$83=TRIM($J208&amp;""))*(파견수련계획!$S$4:$S$83="구리병원")*파견수련계획!$W$4:$W$83))+IF($AG208="구리병원",MAX(0,DAY(EOMONTH(요약!$B$3,0))-N($X208)),0))</f>
        <v/>
      </c>
      <c r="AJ208" s="10">
        <f>IF(OR($B208="",TRIM($J208&amp;"")=""),"",IFERROR(MATCH(TRIM($J208&amp;"")&amp;"|월",파견수련계획!$Z$4:$Z$83,0),""))</f>
        <v/>
      </c>
      <c r="AK208" s="10">
        <f>IF(OR($B208="",TRIM($J208&amp;"")=""),"",IFERROR(MATCH(TRIM($J208&amp;"")&amp;"|다기관",파견수련계획!$AE$4:$AE$83,0),""))</f>
        <v/>
      </c>
      <c r="AL208" s="10">
        <f>IF($AK208="","","다기관 "&amp;TEXT(INDEX(파견수련계획!$AB$4:$AB$83,$AK208),"yyyy-mm-dd")&amp;"~"&amp;IF(ISNUMBER(INDEX(파견수련계획!$AC$4:$AC$83,$AK208)),TEXT(INDEX(파견수련계획!$AC$4:$AC$83,$AK208),"yyyy-mm-dd"),""))</f>
        <v/>
      </c>
    </row>
    <row r="209">
      <c r="A209" s="10">
        <f>IF(B209="","",ROW()-1)</f>
        <v/>
      </c>
      <c r="B209" s="18" t="n"/>
      <c r="C209" s="10">
        <f>IF($AB209="","",IF(INDEX(기본자료!$C$2:$C$1001,$AB209)="","",INDEX(기본자료!$C$2:$C$1001,$AB209)))</f>
        <v/>
      </c>
      <c r="D209" s="10">
        <f>IF($AB209="","",IF(INDEX(기본자료!$J$2:$J$1001,$AB209)="","",INDEX(기본자료!$J$2:$J$1001,$AB209)))</f>
        <v/>
      </c>
      <c r="E209" s="11">
        <f>IF($AB209="","",IF(INDEX(기본자료!$K$2:$K$1001,$AB209)="","",IF(NOT(ISNUMBER(INDEX(기본자료!$K$2:$K$1001,$AB209))),INDEX(기본자료!$K$2:$K$1001,$AB209),IF(INDEX(기본자료!$K$2:$K$1001,$AB209)&lt;1000000,INDEX(기본자료!$K$2:$K$1001,$AB209),IF(AND(INDEX(기본자료!$K$2:$K$1001,$AB209)&gt;=10000101,INT(MOD(INDEX(기본자료!$K$2:$K$1001,$AB209),10000)/100)&gt;=1,INT(MOD(INDEX(기본자료!$K$2:$K$1001,$AB209),10000)/100)&lt;=12,MOD(INDEX(기본자료!$K$2:$K$1001,$AB209),100)&gt;=1,MOD(INDEX(기본자료!$K$2:$K$1001,$AB209),100)&lt;=31),DATE(INT(INDEX(기본자료!$K$2:$K$1001,$AB209)/10000),INT(MOD(INDEX(기본자료!$K$2:$K$1001,$AB209),10000)/100),MOD(INDEX(기본자료!$K$2:$K$1001,$AB209),100)),INDEX(기본자료!$K$2:$K$1001,$AB209)&amp;"")))))</f>
        <v/>
      </c>
      <c r="F209" s="10">
        <f>IF($AB209="","",IF(INDEX(기본자료!$D$2:$D$1001,$AB209)="","",INDEX(기본자료!$D$2:$D$1001,$AB209)))</f>
        <v/>
      </c>
      <c r="G209" s="10">
        <f>IF($AB209="","",IF(INDEX(기본자료!$E$2:$E$1001,$AB209)="","",INDEX(기본자료!$E$2:$E$1001,$AB209)))</f>
        <v/>
      </c>
      <c r="H209" s="10">
        <f>IF($AB209="","",IF(INDEX(기본자료!$F$2:$F$1001,$AB209)="","",INDEX(기본자료!$F$2:$F$1001,$AB209)))</f>
        <v/>
      </c>
      <c r="I209" s="11">
        <f>IF($AB209="","",IF(INDEX(기본자료!$G$2:$G$1001,$AB209)="","",IF(NOT(ISNUMBER(INDEX(기본자료!$G$2:$G$1001,$AB209))),INDEX(기본자료!$G$2:$G$1001,$AB209),IF(INDEX(기본자료!$G$2:$G$1001,$AB209)&lt;1000000,INDEX(기본자료!$G$2:$G$1001,$AB209),IF(AND(INDEX(기본자료!$G$2:$G$1001,$AB209)&gt;=10000101,INT(MOD(INDEX(기본자료!$G$2:$G$1001,$AB209),10000)/100)&gt;=1,INT(MOD(INDEX(기본자료!$G$2:$G$1001,$AB209),10000)/100)&lt;=12,MOD(INDEX(기본자료!$G$2:$G$1001,$AB209),100)&gt;=1,MOD(INDEX(기본자료!$G$2:$G$1001,$AB209),100)&lt;=31),DATE(INT(INDEX(기본자료!$G$2:$G$1001,$AB209)/10000),INT(MOD(INDEX(기본자료!$G$2:$G$1001,$AB209),10000)/100),MOD(INDEX(기본자료!$G$2:$G$1001,$AB209),100)),INDEX(기본자료!$G$2:$G$1001,$AB209)&amp;"")))))</f>
        <v/>
      </c>
      <c r="J209" s="10">
        <f>IF($AB209="","",IF(INDEX(기본자료!$H$2:$H$1001,$AB209)="","",INDEX(기본자료!$H$2:$H$1001,$AB209)))</f>
        <v/>
      </c>
      <c r="K209" s="10">
        <f>IF($AB209="","",IF(INDEX(기본자료!$I$2:$I$1001,$AB209)="","",INDEX(기본자료!$I$2:$I$1001,$AB209)))</f>
        <v/>
      </c>
      <c r="L209" s="10">
        <f>IF($AB209="","",IF(INDEX(기본자료!$A$2:$A$1001,$AB209)="","",INDEX(기본자료!$A$2:$A$1001,$AB209)))</f>
        <v/>
      </c>
      <c r="M209" s="15" t="n"/>
      <c r="N209" s="10">
        <f>IF($B209="","",IF(AND($U209="파견중",$Q209&lt;&gt;""),$Q209,IF(AND($AD209&lt;&gt;"",LEFT($AD209,1)&lt;&gt;"⚠"),LEFT($AD209,FIND(" ",$AD209)-1),IF($H209="","",IF(RIGHT($H209,2)="병원",$H209,$H209&amp;"병원")))))</f>
        <v/>
      </c>
      <c r="O209" s="10">
        <f>IF($B209="","",IF(AND($U209="파견중",$Q209&lt;&gt;""),IF($R209&lt;&gt;"",$R209,"파견과 미입력"),IF(AND($AD209&lt;&gt;"",LEFT($AD209,1)&lt;&gt;"⚠"),MID($AD209,FIND(" ",$AD209)+1,60),IF($F209="","",IF($F209="인턴","수련교육부(인턴)",$F209)))))</f>
        <v/>
      </c>
      <c r="P209" s="10">
        <f>IF($B209="","",IF($AK209&lt;&gt;"",IF(AND(TODAY()&gt;=INDEX(파견수련계획!$AB$4:$AB$83,$AK209),OR(NOT(ISNUMBER(INDEX(파견수련계획!$AC$4:$AC$83,$AK209))),TODAY()&lt;=INDEX(파견수련계획!$AC$4:$AC$83,$AK209))),"다기관",IF($AF209="","",INDEX(파견수련계획!$T$4:$T$83,$AF209))),IF($AF209="","",INDEX(파견수련계획!$T$4:$T$83,$AF209))))</f>
        <v/>
      </c>
      <c r="Q209" s="10">
        <f>IF($AF209="","",INDEX(파견수련계획!$S$4:$S$83,$AF209))</f>
        <v/>
      </c>
      <c r="R209" s="10">
        <f>IF($AF209="","",INDEX(파견수련계획!$U$4:$U$83,$AF209))</f>
        <v/>
      </c>
      <c r="S209" s="11">
        <f>IF($AF209="","",IF(INDEX(파견수련계획!$H$4:$H$83,$AF209)="","",INDEX(파견수련계획!$H$4:$H$83,$AF209)))</f>
        <v/>
      </c>
      <c r="T209" s="11">
        <f>IF($AF209="","",IF(INDEX(파견수련계획!$I$4:$I$83,$AF209)="","",INDEX(파견수련계획!$I$4:$I$83,$AF209)))</f>
        <v/>
      </c>
      <c r="U209" s="10">
        <f>IF($AF209="","",INDEX(파견수련계획!$X$4:$X$83,$AF209))</f>
        <v/>
      </c>
      <c r="V209" s="17">
        <f>IF($AF209="","",INDEX(파견수련계획!$V$4:$V$83,$AF209))</f>
        <v/>
      </c>
      <c r="W209" s="17">
        <f>IF(AND($U209="파견중",$T209&lt;&gt;""),$T209-TODAY(),"")</f>
        <v/>
      </c>
      <c r="X209" s="17">
        <f>IF(OR($B209="",TRIM($J209&amp;"")=""),"",SUMPRODUCT((파견수련계획!$Q$4:$Q$83=TRIM($J209&amp;""))*파견수련계획!$W$4:$W$83))</f>
        <v/>
      </c>
      <c r="Y209" s="10">
        <f>IF($B209="","",IF($AG209="","",IF(IF(TRIM($J209&amp;"")="",0,SUMPRODUCT((파견수련계획!$Q$4:$Q$83=TRIM($J209&amp;""))*파견수련계획!$AD$4:$AD$83))&gt;0,$AE209,IF(N($X209)&lt;=0,$AG209,IF($AH209+$AI209=DAY(EOMONTH(요약!$B$3,0)),IF(AND($AH209&gt;=요약!$E$3,$AI209&lt;요약!$E$3),"서울병원",IF(AND($AI209&gt;=요약!$E$3,$AH209&lt;요약!$E$3),"구리병원","⚠15일 판정불가(서울 "&amp;$AH209&amp;"일/구리 "&amp;$AI209&amp;"일)")),IF($AJ209="",$AE209,IF(INDEX(파견수련계획!$T$4:$T$83,$AJ209)="통합수련",INDEX(파견수련계획!$S$4:$S$83,$AJ209),$AE209)))))))</f>
        <v/>
      </c>
      <c r="Z209" s="19">
        <f>IF($B209="","",IF($AB209="","기본자료에 없는 사번",IF(COUNTIF($B$2:$B$401,$B209)&gt;1,"중복 사번",IF($AE209="","소속(입사장소) 입력",IF(IF(TRIM($J209&amp;"")="",0,SUMPRODUCT((파견수련계획!$Q$4:$Q$83=TRIM($J209&amp;""))*(파견수련계획!$AA$4:$AA$83&lt;&gt;"")))&gt;0,"파견수련계획 입력오류 확인",IF(LEFT($Y209,1)="⚠","서울·구리 15일 판정 불가(양쪽 모두 이상/미만)",IF(IF($AC209="",0,N(INDEX(인턴근무계획!$T$3:$T$62,$AC209)))&gt;0,"인턴계획 입력오류 확인",IF(AND($AC209&lt;&gt;"",$U209&lt;&gt;"파견중",$N209&lt;&gt;$AE209),"인턴 타지역 근무: 파견 여부 확인","정상"))))))))</f>
        <v/>
      </c>
      <c r="AA209" s="5" t="n"/>
      <c r="AB209" s="10">
        <f>IF($B209="","",IFERROR(MATCH($B209,기본자료!$B$2:$B$1001,0),IFERROR(MATCH($B209&amp;"",기본자료!$B$2:$B$1001,0),IFERROR(MATCH(VALUE($B209),기본자료!$B$2:$B$1001,0),""))))</f>
        <v/>
      </c>
      <c r="AC209" s="10">
        <f>IF($B209="","",IFERROR(MATCH($B209,인턴근무계획!$D$3:$D$62,0),IFERROR(MATCH($B209&amp;"",인턴근무계획!$D$3:$D$62,0),IFERROR(MATCH(VALUE($B209),인턴근무계획!$D$3:$D$62,0),""))))</f>
        <v/>
      </c>
      <c r="AD209" s="10">
        <f>IF(OR($AC209="",인턴현황!$G$3=""),"",INDEX(인턴근무계획!$M$3:$R$62,$AC209,인턴현황!$G$3)&amp;"")</f>
        <v/>
      </c>
      <c r="AE209" s="10">
        <f>IF($B209="","",IF($M209&lt;&gt;"",$M209,IF($AF209&lt;&gt;"",IF(LEFT(INDEX(파견수련계획!$R$4:$R$83,$AF209),1)&lt;&gt;"⚠",INDEX(파견수련계획!$R$4:$R$83,$AF209),IF($H209="","",IF(RIGHT($H209,2)="병원",$H209,$H209&amp;"병원"))),IF($H209="","",IF(RIGHT($H209,2)="병원",$H209,$H209&amp;"병원")))))</f>
        <v/>
      </c>
      <c r="AF209" s="10">
        <f>IF(OR($B209="",TRIM($J209&amp;"")=""),"",IFERROR(MATCH(TRIM($J209&amp;"")&amp;"|파견중",파견수련계획!$Y$4:$Y$83,0),IFERROR(MATCH(TRIM($J209&amp;"")&amp;"|파견예정",파견수련계획!$Y$4:$Y$83,0),IFERROR(MATCH(TRIM($J209&amp;"")&amp;"|파견종료",파견수련계획!$Y$4:$Y$83,0),""))))</f>
        <v/>
      </c>
      <c r="AG209" s="10">
        <f>IF($B209="","",IF(AND(IF(OR($AC209="",인턴현황!$K$2=""),"",INDEX(인턴근무계획!$M$3:$R$62,$AC209,인턴현황!$K$2)&amp;"")&lt;&gt;"",LEFT(IF(OR($AC209="",인턴현황!$K$2=""),"",INDEX(인턴근무계획!$M$3:$R$62,$AC209,인턴현황!$K$2)&amp;""),1)&lt;&gt;"⚠"),LEFT(IF(OR($AC209="",인턴현황!$K$2=""),"",INDEX(인턴근무계획!$M$3:$R$62,$AC209,인턴현황!$K$2)&amp;""),FIND(" ",IF(OR($AC209="",인턴현황!$K$2=""),"",INDEX(인턴근무계획!$M$3:$R$62,$AC209,인턴현황!$K$2)&amp;""))-1),$AE209))</f>
        <v/>
      </c>
      <c r="AH209" s="17">
        <f>IF($B209="","",IF(TRIM($J209&amp;"")="",0,SUMPRODUCT((파견수련계획!$Q$4:$Q$83=TRIM($J209&amp;""))*(파견수련계획!$S$4:$S$83="서울병원")*파견수련계획!$W$4:$W$83))+IF($AG209="서울병원",MAX(0,DAY(EOMONTH(요약!$B$3,0))-N($X209)),0))</f>
        <v/>
      </c>
      <c r="AI209" s="17">
        <f>IF($B209="","",IF(TRIM($J209&amp;"")="",0,SUMPRODUCT((파견수련계획!$Q$4:$Q$83=TRIM($J209&amp;""))*(파견수련계획!$S$4:$S$83="구리병원")*파견수련계획!$W$4:$W$83))+IF($AG209="구리병원",MAX(0,DAY(EOMONTH(요약!$B$3,0))-N($X209)),0))</f>
        <v/>
      </c>
      <c r="AJ209" s="10">
        <f>IF(OR($B209="",TRIM($J209&amp;"")=""),"",IFERROR(MATCH(TRIM($J209&amp;"")&amp;"|월",파견수련계획!$Z$4:$Z$83,0),""))</f>
        <v/>
      </c>
      <c r="AK209" s="10">
        <f>IF(OR($B209="",TRIM($J209&amp;"")=""),"",IFERROR(MATCH(TRIM($J209&amp;"")&amp;"|다기관",파견수련계획!$AE$4:$AE$83,0),""))</f>
        <v/>
      </c>
      <c r="AL209" s="10">
        <f>IF($AK209="","","다기관 "&amp;TEXT(INDEX(파견수련계획!$AB$4:$AB$83,$AK209),"yyyy-mm-dd")&amp;"~"&amp;IF(ISNUMBER(INDEX(파견수련계획!$AC$4:$AC$83,$AK209)),TEXT(INDEX(파견수련계획!$AC$4:$AC$83,$AK209),"yyyy-mm-dd"),""))</f>
        <v/>
      </c>
    </row>
    <row r="210">
      <c r="A210" s="10">
        <f>IF(B210="","",ROW()-1)</f>
        <v/>
      </c>
      <c r="B210" s="18" t="n"/>
      <c r="C210" s="10">
        <f>IF($AB210="","",IF(INDEX(기본자료!$C$2:$C$1001,$AB210)="","",INDEX(기본자료!$C$2:$C$1001,$AB210)))</f>
        <v/>
      </c>
      <c r="D210" s="10">
        <f>IF($AB210="","",IF(INDEX(기본자료!$J$2:$J$1001,$AB210)="","",INDEX(기본자료!$J$2:$J$1001,$AB210)))</f>
        <v/>
      </c>
      <c r="E210" s="11">
        <f>IF($AB210="","",IF(INDEX(기본자료!$K$2:$K$1001,$AB210)="","",IF(NOT(ISNUMBER(INDEX(기본자료!$K$2:$K$1001,$AB210))),INDEX(기본자료!$K$2:$K$1001,$AB210),IF(INDEX(기본자료!$K$2:$K$1001,$AB210)&lt;1000000,INDEX(기본자료!$K$2:$K$1001,$AB210),IF(AND(INDEX(기본자료!$K$2:$K$1001,$AB210)&gt;=10000101,INT(MOD(INDEX(기본자료!$K$2:$K$1001,$AB210),10000)/100)&gt;=1,INT(MOD(INDEX(기본자료!$K$2:$K$1001,$AB210),10000)/100)&lt;=12,MOD(INDEX(기본자료!$K$2:$K$1001,$AB210),100)&gt;=1,MOD(INDEX(기본자료!$K$2:$K$1001,$AB210),100)&lt;=31),DATE(INT(INDEX(기본자료!$K$2:$K$1001,$AB210)/10000),INT(MOD(INDEX(기본자료!$K$2:$K$1001,$AB210),10000)/100),MOD(INDEX(기본자료!$K$2:$K$1001,$AB210),100)),INDEX(기본자료!$K$2:$K$1001,$AB210)&amp;"")))))</f>
        <v/>
      </c>
      <c r="F210" s="10">
        <f>IF($AB210="","",IF(INDEX(기본자료!$D$2:$D$1001,$AB210)="","",INDEX(기본자료!$D$2:$D$1001,$AB210)))</f>
        <v/>
      </c>
      <c r="G210" s="10">
        <f>IF($AB210="","",IF(INDEX(기본자료!$E$2:$E$1001,$AB210)="","",INDEX(기본자료!$E$2:$E$1001,$AB210)))</f>
        <v/>
      </c>
      <c r="H210" s="10">
        <f>IF($AB210="","",IF(INDEX(기본자료!$F$2:$F$1001,$AB210)="","",INDEX(기본자료!$F$2:$F$1001,$AB210)))</f>
        <v/>
      </c>
      <c r="I210" s="11">
        <f>IF($AB210="","",IF(INDEX(기본자료!$G$2:$G$1001,$AB210)="","",IF(NOT(ISNUMBER(INDEX(기본자료!$G$2:$G$1001,$AB210))),INDEX(기본자료!$G$2:$G$1001,$AB210),IF(INDEX(기본자료!$G$2:$G$1001,$AB210)&lt;1000000,INDEX(기본자료!$G$2:$G$1001,$AB210),IF(AND(INDEX(기본자료!$G$2:$G$1001,$AB210)&gt;=10000101,INT(MOD(INDEX(기본자료!$G$2:$G$1001,$AB210),10000)/100)&gt;=1,INT(MOD(INDEX(기본자료!$G$2:$G$1001,$AB210),10000)/100)&lt;=12,MOD(INDEX(기본자료!$G$2:$G$1001,$AB210),100)&gt;=1,MOD(INDEX(기본자료!$G$2:$G$1001,$AB210),100)&lt;=31),DATE(INT(INDEX(기본자료!$G$2:$G$1001,$AB210)/10000),INT(MOD(INDEX(기본자료!$G$2:$G$1001,$AB210),10000)/100),MOD(INDEX(기본자료!$G$2:$G$1001,$AB210),100)),INDEX(기본자료!$G$2:$G$1001,$AB210)&amp;"")))))</f>
        <v/>
      </c>
      <c r="J210" s="10">
        <f>IF($AB210="","",IF(INDEX(기본자료!$H$2:$H$1001,$AB210)="","",INDEX(기본자료!$H$2:$H$1001,$AB210)))</f>
        <v/>
      </c>
      <c r="K210" s="10">
        <f>IF($AB210="","",IF(INDEX(기본자료!$I$2:$I$1001,$AB210)="","",INDEX(기본자료!$I$2:$I$1001,$AB210)))</f>
        <v/>
      </c>
      <c r="L210" s="10">
        <f>IF($AB210="","",IF(INDEX(기본자료!$A$2:$A$1001,$AB210)="","",INDEX(기본자료!$A$2:$A$1001,$AB210)))</f>
        <v/>
      </c>
      <c r="M210" s="15" t="n"/>
      <c r="N210" s="10">
        <f>IF($B210="","",IF(AND($U210="파견중",$Q210&lt;&gt;""),$Q210,IF(AND($AD210&lt;&gt;"",LEFT($AD210,1)&lt;&gt;"⚠"),LEFT($AD210,FIND(" ",$AD210)-1),IF($H210="","",IF(RIGHT($H210,2)="병원",$H210,$H210&amp;"병원")))))</f>
        <v/>
      </c>
      <c r="O210" s="10">
        <f>IF($B210="","",IF(AND($U210="파견중",$Q210&lt;&gt;""),IF($R210&lt;&gt;"",$R210,"파견과 미입력"),IF(AND($AD210&lt;&gt;"",LEFT($AD210,1)&lt;&gt;"⚠"),MID($AD210,FIND(" ",$AD210)+1,60),IF($F210="","",IF($F210="인턴","수련교육부(인턴)",$F210)))))</f>
        <v/>
      </c>
      <c r="P210" s="10">
        <f>IF($B210="","",IF($AK210&lt;&gt;"",IF(AND(TODAY()&gt;=INDEX(파견수련계획!$AB$4:$AB$83,$AK210),OR(NOT(ISNUMBER(INDEX(파견수련계획!$AC$4:$AC$83,$AK210))),TODAY()&lt;=INDEX(파견수련계획!$AC$4:$AC$83,$AK210))),"다기관",IF($AF210="","",INDEX(파견수련계획!$T$4:$T$83,$AF210))),IF($AF210="","",INDEX(파견수련계획!$T$4:$T$83,$AF210))))</f>
        <v/>
      </c>
      <c r="Q210" s="10">
        <f>IF($AF210="","",INDEX(파견수련계획!$S$4:$S$83,$AF210))</f>
        <v/>
      </c>
      <c r="R210" s="10">
        <f>IF($AF210="","",INDEX(파견수련계획!$U$4:$U$83,$AF210))</f>
        <v/>
      </c>
      <c r="S210" s="11">
        <f>IF($AF210="","",IF(INDEX(파견수련계획!$H$4:$H$83,$AF210)="","",INDEX(파견수련계획!$H$4:$H$83,$AF210)))</f>
        <v/>
      </c>
      <c r="T210" s="11">
        <f>IF($AF210="","",IF(INDEX(파견수련계획!$I$4:$I$83,$AF210)="","",INDEX(파견수련계획!$I$4:$I$83,$AF210)))</f>
        <v/>
      </c>
      <c r="U210" s="10">
        <f>IF($AF210="","",INDEX(파견수련계획!$X$4:$X$83,$AF210))</f>
        <v/>
      </c>
      <c r="V210" s="17">
        <f>IF($AF210="","",INDEX(파견수련계획!$V$4:$V$83,$AF210))</f>
        <v/>
      </c>
      <c r="W210" s="17">
        <f>IF(AND($U210="파견중",$T210&lt;&gt;""),$T210-TODAY(),"")</f>
        <v/>
      </c>
      <c r="X210" s="17">
        <f>IF(OR($B210="",TRIM($J210&amp;"")=""),"",SUMPRODUCT((파견수련계획!$Q$4:$Q$83=TRIM($J210&amp;""))*파견수련계획!$W$4:$W$83))</f>
        <v/>
      </c>
      <c r="Y210" s="10">
        <f>IF($B210="","",IF($AG210="","",IF(IF(TRIM($J210&amp;"")="",0,SUMPRODUCT((파견수련계획!$Q$4:$Q$83=TRIM($J210&amp;""))*파견수련계획!$AD$4:$AD$83))&gt;0,$AE210,IF(N($X210)&lt;=0,$AG210,IF($AH210+$AI210=DAY(EOMONTH(요약!$B$3,0)),IF(AND($AH210&gt;=요약!$E$3,$AI210&lt;요약!$E$3),"서울병원",IF(AND($AI210&gt;=요약!$E$3,$AH210&lt;요약!$E$3),"구리병원","⚠15일 판정불가(서울 "&amp;$AH210&amp;"일/구리 "&amp;$AI210&amp;"일)")),IF($AJ210="",$AE210,IF(INDEX(파견수련계획!$T$4:$T$83,$AJ210)="통합수련",INDEX(파견수련계획!$S$4:$S$83,$AJ210),$AE210)))))))</f>
        <v/>
      </c>
      <c r="Z210" s="19">
        <f>IF($B210="","",IF($AB210="","기본자료에 없는 사번",IF(COUNTIF($B$2:$B$401,$B210)&gt;1,"중복 사번",IF($AE210="","소속(입사장소) 입력",IF(IF(TRIM($J210&amp;"")="",0,SUMPRODUCT((파견수련계획!$Q$4:$Q$83=TRIM($J210&amp;""))*(파견수련계획!$AA$4:$AA$83&lt;&gt;"")))&gt;0,"파견수련계획 입력오류 확인",IF(LEFT($Y210,1)="⚠","서울·구리 15일 판정 불가(양쪽 모두 이상/미만)",IF(IF($AC210="",0,N(INDEX(인턴근무계획!$T$3:$T$62,$AC210)))&gt;0,"인턴계획 입력오류 확인",IF(AND($AC210&lt;&gt;"",$U210&lt;&gt;"파견중",$N210&lt;&gt;$AE210),"인턴 타지역 근무: 파견 여부 확인","정상"))))))))</f>
        <v/>
      </c>
      <c r="AA210" s="5" t="n"/>
      <c r="AB210" s="10">
        <f>IF($B210="","",IFERROR(MATCH($B210,기본자료!$B$2:$B$1001,0),IFERROR(MATCH($B210&amp;"",기본자료!$B$2:$B$1001,0),IFERROR(MATCH(VALUE($B210),기본자료!$B$2:$B$1001,0),""))))</f>
        <v/>
      </c>
      <c r="AC210" s="10">
        <f>IF($B210="","",IFERROR(MATCH($B210,인턴근무계획!$D$3:$D$62,0),IFERROR(MATCH($B210&amp;"",인턴근무계획!$D$3:$D$62,0),IFERROR(MATCH(VALUE($B210),인턴근무계획!$D$3:$D$62,0),""))))</f>
        <v/>
      </c>
      <c r="AD210" s="10">
        <f>IF(OR($AC210="",인턴현황!$G$3=""),"",INDEX(인턴근무계획!$M$3:$R$62,$AC210,인턴현황!$G$3)&amp;"")</f>
        <v/>
      </c>
      <c r="AE210" s="10">
        <f>IF($B210="","",IF($M210&lt;&gt;"",$M210,IF($AF210&lt;&gt;"",IF(LEFT(INDEX(파견수련계획!$R$4:$R$83,$AF210),1)&lt;&gt;"⚠",INDEX(파견수련계획!$R$4:$R$83,$AF210),IF($H210="","",IF(RIGHT($H210,2)="병원",$H210,$H210&amp;"병원"))),IF($H210="","",IF(RIGHT($H210,2)="병원",$H210,$H210&amp;"병원")))))</f>
        <v/>
      </c>
      <c r="AF210" s="10">
        <f>IF(OR($B210="",TRIM($J210&amp;"")=""),"",IFERROR(MATCH(TRIM($J210&amp;"")&amp;"|파견중",파견수련계획!$Y$4:$Y$83,0),IFERROR(MATCH(TRIM($J210&amp;"")&amp;"|파견예정",파견수련계획!$Y$4:$Y$83,0),IFERROR(MATCH(TRIM($J210&amp;"")&amp;"|파견종료",파견수련계획!$Y$4:$Y$83,0),""))))</f>
        <v/>
      </c>
      <c r="AG210" s="10">
        <f>IF($B210="","",IF(AND(IF(OR($AC210="",인턴현황!$K$2=""),"",INDEX(인턴근무계획!$M$3:$R$62,$AC210,인턴현황!$K$2)&amp;"")&lt;&gt;"",LEFT(IF(OR($AC210="",인턴현황!$K$2=""),"",INDEX(인턴근무계획!$M$3:$R$62,$AC210,인턴현황!$K$2)&amp;""),1)&lt;&gt;"⚠"),LEFT(IF(OR($AC210="",인턴현황!$K$2=""),"",INDEX(인턴근무계획!$M$3:$R$62,$AC210,인턴현황!$K$2)&amp;""),FIND(" ",IF(OR($AC210="",인턴현황!$K$2=""),"",INDEX(인턴근무계획!$M$3:$R$62,$AC210,인턴현황!$K$2)&amp;""))-1),$AE210))</f>
        <v/>
      </c>
      <c r="AH210" s="17">
        <f>IF($B210="","",IF(TRIM($J210&amp;"")="",0,SUMPRODUCT((파견수련계획!$Q$4:$Q$83=TRIM($J210&amp;""))*(파견수련계획!$S$4:$S$83="서울병원")*파견수련계획!$W$4:$W$83))+IF($AG210="서울병원",MAX(0,DAY(EOMONTH(요약!$B$3,0))-N($X210)),0))</f>
        <v/>
      </c>
      <c r="AI210" s="17">
        <f>IF($B210="","",IF(TRIM($J210&amp;"")="",0,SUMPRODUCT((파견수련계획!$Q$4:$Q$83=TRIM($J210&amp;""))*(파견수련계획!$S$4:$S$83="구리병원")*파견수련계획!$W$4:$W$83))+IF($AG210="구리병원",MAX(0,DAY(EOMONTH(요약!$B$3,0))-N($X210)),0))</f>
        <v/>
      </c>
      <c r="AJ210" s="10">
        <f>IF(OR($B210="",TRIM($J210&amp;"")=""),"",IFERROR(MATCH(TRIM($J210&amp;"")&amp;"|월",파견수련계획!$Z$4:$Z$83,0),""))</f>
        <v/>
      </c>
      <c r="AK210" s="10">
        <f>IF(OR($B210="",TRIM($J210&amp;"")=""),"",IFERROR(MATCH(TRIM($J210&amp;"")&amp;"|다기관",파견수련계획!$AE$4:$AE$83,0),""))</f>
        <v/>
      </c>
      <c r="AL210" s="10">
        <f>IF($AK210="","","다기관 "&amp;TEXT(INDEX(파견수련계획!$AB$4:$AB$83,$AK210),"yyyy-mm-dd")&amp;"~"&amp;IF(ISNUMBER(INDEX(파견수련계획!$AC$4:$AC$83,$AK210)),TEXT(INDEX(파견수련계획!$AC$4:$AC$83,$AK210),"yyyy-mm-dd"),""))</f>
        <v/>
      </c>
    </row>
    <row r="211">
      <c r="A211" s="10">
        <f>IF(B211="","",ROW()-1)</f>
        <v/>
      </c>
      <c r="B211" s="18" t="n"/>
      <c r="C211" s="10">
        <f>IF($AB211="","",IF(INDEX(기본자료!$C$2:$C$1001,$AB211)="","",INDEX(기본자료!$C$2:$C$1001,$AB211)))</f>
        <v/>
      </c>
      <c r="D211" s="10">
        <f>IF($AB211="","",IF(INDEX(기본자료!$J$2:$J$1001,$AB211)="","",INDEX(기본자료!$J$2:$J$1001,$AB211)))</f>
        <v/>
      </c>
      <c r="E211" s="11">
        <f>IF($AB211="","",IF(INDEX(기본자료!$K$2:$K$1001,$AB211)="","",IF(NOT(ISNUMBER(INDEX(기본자료!$K$2:$K$1001,$AB211))),INDEX(기본자료!$K$2:$K$1001,$AB211),IF(INDEX(기본자료!$K$2:$K$1001,$AB211)&lt;1000000,INDEX(기본자료!$K$2:$K$1001,$AB211),IF(AND(INDEX(기본자료!$K$2:$K$1001,$AB211)&gt;=10000101,INT(MOD(INDEX(기본자료!$K$2:$K$1001,$AB211),10000)/100)&gt;=1,INT(MOD(INDEX(기본자료!$K$2:$K$1001,$AB211),10000)/100)&lt;=12,MOD(INDEX(기본자료!$K$2:$K$1001,$AB211),100)&gt;=1,MOD(INDEX(기본자료!$K$2:$K$1001,$AB211),100)&lt;=31),DATE(INT(INDEX(기본자료!$K$2:$K$1001,$AB211)/10000),INT(MOD(INDEX(기본자료!$K$2:$K$1001,$AB211),10000)/100),MOD(INDEX(기본자료!$K$2:$K$1001,$AB211),100)),INDEX(기본자료!$K$2:$K$1001,$AB211)&amp;"")))))</f>
        <v/>
      </c>
      <c r="F211" s="10">
        <f>IF($AB211="","",IF(INDEX(기본자료!$D$2:$D$1001,$AB211)="","",INDEX(기본자료!$D$2:$D$1001,$AB211)))</f>
        <v/>
      </c>
      <c r="G211" s="10">
        <f>IF($AB211="","",IF(INDEX(기본자료!$E$2:$E$1001,$AB211)="","",INDEX(기본자료!$E$2:$E$1001,$AB211)))</f>
        <v/>
      </c>
      <c r="H211" s="10">
        <f>IF($AB211="","",IF(INDEX(기본자료!$F$2:$F$1001,$AB211)="","",INDEX(기본자료!$F$2:$F$1001,$AB211)))</f>
        <v/>
      </c>
      <c r="I211" s="11">
        <f>IF($AB211="","",IF(INDEX(기본자료!$G$2:$G$1001,$AB211)="","",IF(NOT(ISNUMBER(INDEX(기본자료!$G$2:$G$1001,$AB211))),INDEX(기본자료!$G$2:$G$1001,$AB211),IF(INDEX(기본자료!$G$2:$G$1001,$AB211)&lt;1000000,INDEX(기본자료!$G$2:$G$1001,$AB211),IF(AND(INDEX(기본자료!$G$2:$G$1001,$AB211)&gt;=10000101,INT(MOD(INDEX(기본자료!$G$2:$G$1001,$AB211),10000)/100)&gt;=1,INT(MOD(INDEX(기본자료!$G$2:$G$1001,$AB211),10000)/100)&lt;=12,MOD(INDEX(기본자료!$G$2:$G$1001,$AB211),100)&gt;=1,MOD(INDEX(기본자료!$G$2:$G$1001,$AB211),100)&lt;=31),DATE(INT(INDEX(기본자료!$G$2:$G$1001,$AB211)/10000),INT(MOD(INDEX(기본자료!$G$2:$G$1001,$AB211),10000)/100),MOD(INDEX(기본자료!$G$2:$G$1001,$AB211),100)),INDEX(기본자료!$G$2:$G$1001,$AB211)&amp;"")))))</f>
        <v/>
      </c>
      <c r="J211" s="10">
        <f>IF($AB211="","",IF(INDEX(기본자료!$H$2:$H$1001,$AB211)="","",INDEX(기본자료!$H$2:$H$1001,$AB211)))</f>
        <v/>
      </c>
      <c r="K211" s="10">
        <f>IF($AB211="","",IF(INDEX(기본자료!$I$2:$I$1001,$AB211)="","",INDEX(기본자료!$I$2:$I$1001,$AB211)))</f>
        <v/>
      </c>
      <c r="L211" s="10">
        <f>IF($AB211="","",IF(INDEX(기본자료!$A$2:$A$1001,$AB211)="","",INDEX(기본자료!$A$2:$A$1001,$AB211)))</f>
        <v/>
      </c>
      <c r="M211" s="15" t="n"/>
      <c r="N211" s="10">
        <f>IF($B211="","",IF(AND($U211="파견중",$Q211&lt;&gt;""),$Q211,IF(AND($AD211&lt;&gt;"",LEFT($AD211,1)&lt;&gt;"⚠"),LEFT($AD211,FIND(" ",$AD211)-1),IF($H211="","",IF(RIGHT($H211,2)="병원",$H211,$H211&amp;"병원")))))</f>
        <v/>
      </c>
      <c r="O211" s="10">
        <f>IF($B211="","",IF(AND($U211="파견중",$Q211&lt;&gt;""),IF($R211&lt;&gt;"",$R211,"파견과 미입력"),IF(AND($AD211&lt;&gt;"",LEFT($AD211,1)&lt;&gt;"⚠"),MID($AD211,FIND(" ",$AD211)+1,60),IF($F211="","",IF($F211="인턴","수련교육부(인턴)",$F211)))))</f>
        <v/>
      </c>
      <c r="P211" s="10">
        <f>IF($B211="","",IF($AK211&lt;&gt;"",IF(AND(TODAY()&gt;=INDEX(파견수련계획!$AB$4:$AB$83,$AK211),OR(NOT(ISNUMBER(INDEX(파견수련계획!$AC$4:$AC$83,$AK211))),TODAY()&lt;=INDEX(파견수련계획!$AC$4:$AC$83,$AK211))),"다기관",IF($AF211="","",INDEX(파견수련계획!$T$4:$T$83,$AF211))),IF($AF211="","",INDEX(파견수련계획!$T$4:$T$83,$AF211))))</f>
        <v/>
      </c>
      <c r="Q211" s="10">
        <f>IF($AF211="","",INDEX(파견수련계획!$S$4:$S$83,$AF211))</f>
        <v/>
      </c>
      <c r="R211" s="10">
        <f>IF($AF211="","",INDEX(파견수련계획!$U$4:$U$83,$AF211))</f>
        <v/>
      </c>
      <c r="S211" s="11">
        <f>IF($AF211="","",IF(INDEX(파견수련계획!$H$4:$H$83,$AF211)="","",INDEX(파견수련계획!$H$4:$H$83,$AF211)))</f>
        <v/>
      </c>
      <c r="T211" s="11">
        <f>IF($AF211="","",IF(INDEX(파견수련계획!$I$4:$I$83,$AF211)="","",INDEX(파견수련계획!$I$4:$I$83,$AF211)))</f>
        <v/>
      </c>
      <c r="U211" s="10">
        <f>IF($AF211="","",INDEX(파견수련계획!$X$4:$X$83,$AF211))</f>
        <v/>
      </c>
      <c r="V211" s="17">
        <f>IF($AF211="","",INDEX(파견수련계획!$V$4:$V$83,$AF211))</f>
        <v/>
      </c>
      <c r="W211" s="17">
        <f>IF(AND($U211="파견중",$T211&lt;&gt;""),$T211-TODAY(),"")</f>
        <v/>
      </c>
      <c r="X211" s="17">
        <f>IF(OR($B211="",TRIM($J211&amp;"")=""),"",SUMPRODUCT((파견수련계획!$Q$4:$Q$83=TRIM($J211&amp;""))*파견수련계획!$W$4:$W$83))</f>
        <v/>
      </c>
      <c r="Y211" s="10">
        <f>IF($B211="","",IF($AG211="","",IF(IF(TRIM($J211&amp;"")="",0,SUMPRODUCT((파견수련계획!$Q$4:$Q$83=TRIM($J211&amp;""))*파견수련계획!$AD$4:$AD$83))&gt;0,$AE211,IF(N($X211)&lt;=0,$AG211,IF($AH211+$AI211=DAY(EOMONTH(요약!$B$3,0)),IF(AND($AH211&gt;=요약!$E$3,$AI211&lt;요약!$E$3),"서울병원",IF(AND($AI211&gt;=요약!$E$3,$AH211&lt;요약!$E$3),"구리병원","⚠15일 판정불가(서울 "&amp;$AH211&amp;"일/구리 "&amp;$AI211&amp;"일)")),IF($AJ211="",$AE211,IF(INDEX(파견수련계획!$T$4:$T$83,$AJ211)="통합수련",INDEX(파견수련계획!$S$4:$S$83,$AJ211),$AE211)))))))</f>
        <v/>
      </c>
      <c r="Z211" s="19">
        <f>IF($B211="","",IF($AB211="","기본자료에 없는 사번",IF(COUNTIF($B$2:$B$401,$B211)&gt;1,"중복 사번",IF($AE211="","소속(입사장소) 입력",IF(IF(TRIM($J211&amp;"")="",0,SUMPRODUCT((파견수련계획!$Q$4:$Q$83=TRIM($J211&amp;""))*(파견수련계획!$AA$4:$AA$83&lt;&gt;"")))&gt;0,"파견수련계획 입력오류 확인",IF(LEFT($Y211,1)="⚠","서울·구리 15일 판정 불가(양쪽 모두 이상/미만)",IF(IF($AC211="",0,N(INDEX(인턴근무계획!$T$3:$T$62,$AC211)))&gt;0,"인턴계획 입력오류 확인",IF(AND($AC211&lt;&gt;"",$U211&lt;&gt;"파견중",$N211&lt;&gt;$AE211),"인턴 타지역 근무: 파견 여부 확인","정상"))))))))</f>
        <v/>
      </c>
      <c r="AA211" s="5" t="n"/>
      <c r="AB211" s="10">
        <f>IF($B211="","",IFERROR(MATCH($B211,기본자료!$B$2:$B$1001,0),IFERROR(MATCH($B211&amp;"",기본자료!$B$2:$B$1001,0),IFERROR(MATCH(VALUE($B211),기본자료!$B$2:$B$1001,0),""))))</f>
        <v/>
      </c>
      <c r="AC211" s="10">
        <f>IF($B211="","",IFERROR(MATCH($B211,인턴근무계획!$D$3:$D$62,0),IFERROR(MATCH($B211&amp;"",인턴근무계획!$D$3:$D$62,0),IFERROR(MATCH(VALUE($B211),인턴근무계획!$D$3:$D$62,0),""))))</f>
        <v/>
      </c>
      <c r="AD211" s="10">
        <f>IF(OR($AC211="",인턴현황!$G$3=""),"",INDEX(인턴근무계획!$M$3:$R$62,$AC211,인턴현황!$G$3)&amp;"")</f>
        <v/>
      </c>
      <c r="AE211" s="10">
        <f>IF($B211="","",IF($M211&lt;&gt;"",$M211,IF($AF211&lt;&gt;"",IF(LEFT(INDEX(파견수련계획!$R$4:$R$83,$AF211),1)&lt;&gt;"⚠",INDEX(파견수련계획!$R$4:$R$83,$AF211),IF($H211="","",IF(RIGHT($H211,2)="병원",$H211,$H211&amp;"병원"))),IF($H211="","",IF(RIGHT($H211,2)="병원",$H211,$H211&amp;"병원")))))</f>
        <v/>
      </c>
      <c r="AF211" s="10">
        <f>IF(OR($B211="",TRIM($J211&amp;"")=""),"",IFERROR(MATCH(TRIM($J211&amp;"")&amp;"|파견중",파견수련계획!$Y$4:$Y$83,0),IFERROR(MATCH(TRIM($J211&amp;"")&amp;"|파견예정",파견수련계획!$Y$4:$Y$83,0),IFERROR(MATCH(TRIM($J211&amp;"")&amp;"|파견종료",파견수련계획!$Y$4:$Y$83,0),""))))</f>
        <v/>
      </c>
      <c r="AG211" s="10">
        <f>IF($B211="","",IF(AND(IF(OR($AC211="",인턴현황!$K$2=""),"",INDEX(인턴근무계획!$M$3:$R$62,$AC211,인턴현황!$K$2)&amp;"")&lt;&gt;"",LEFT(IF(OR($AC211="",인턴현황!$K$2=""),"",INDEX(인턴근무계획!$M$3:$R$62,$AC211,인턴현황!$K$2)&amp;""),1)&lt;&gt;"⚠"),LEFT(IF(OR($AC211="",인턴현황!$K$2=""),"",INDEX(인턴근무계획!$M$3:$R$62,$AC211,인턴현황!$K$2)&amp;""),FIND(" ",IF(OR($AC211="",인턴현황!$K$2=""),"",INDEX(인턴근무계획!$M$3:$R$62,$AC211,인턴현황!$K$2)&amp;""))-1),$AE211))</f>
        <v/>
      </c>
      <c r="AH211" s="17">
        <f>IF($B211="","",IF(TRIM($J211&amp;"")="",0,SUMPRODUCT((파견수련계획!$Q$4:$Q$83=TRIM($J211&amp;""))*(파견수련계획!$S$4:$S$83="서울병원")*파견수련계획!$W$4:$W$83))+IF($AG211="서울병원",MAX(0,DAY(EOMONTH(요약!$B$3,0))-N($X211)),0))</f>
        <v/>
      </c>
      <c r="AI211" s="17">
        <f>IF($B211="","",IF(TRIM($J211&amp;"")="",0,SUMPRODUCT((파견수련계획!$Q$4:$Q$83=TRIM($J211&amp;""))*(파견수련계획!$S$4:$S$83="구리병원")*파견수련계획!$W$4:$W$83))+IF($AG211="구리병원",MAX(0,DAY(EOMONTH(요약!$B$3,0))-N($X211)),0))</f>
        <v/>
      </c>
      <c r="AJ211" s="10">
        <f>IF(OR($B211="",TRIM($J211&amp;"")=""),"",IFERROR(MATCH(TRIM($J211&amp;"")&amp;"|월",파견수련계획!$Z$4:$Z$83,0),""))</f>
        <v/>
      </c>
      <c r="AK211" s="10">
        <f>IF(OR($B211="",TRIM($J211&amp;"")=""),"",IFERROR(MATCH(TRIM($J211&amp;"")&amp;"|다기관",파견수련계획!$AE$4:$AE$83,0),""))</f>
        <v/>
      </c>
      <c r="AL211" s="10">
        <f>IF($AK211="","","다기관 "&amp;TEXT(INDEX(파견수련계획!$AB$4:$AB$83,$AK211),"yyyy-mm-dd")&amp;"~"&amp;IF(ISNUMBER(INDEX(파견수련계획!$AC$4:$AC$83,$AK211)),TEXT(INDEX(파견수련계획!$AC$4:$AC$83,$AK211),"yyyy-mm-dd"),""))</f>
        <v/>
      </c>
    </row>
    <row r="212">
      <c r="A212" s="10">
        <f>IF(B212="","",ROW()-1)</f>
        <v/>
      </c>
      <c r="B212" s="18" t="n"/>
      <c r="C212" s="10">
        <f>IF($AB212="","",IF(INDEX(기본자료!$C$2:$C$1001,$AB212)="","",INDEX(기본자료!$C$2:$C$1001,$AB212)))</f>
        <v/>
      </c>
      <c r="D212" s="10">
        <f>IF($AB212="","",IF(INDEX(기본자료!$J$2:$J$1001,$AB212)="","",INDEX(기본자료!$J$2:$J$1001,$AB212)))</f>
        <v/>
      </c>
      <c r="E212" s="11">
        <f>IF($AB212="","",IF(INDEX(기본자료!$K$2:$K$1001,$AB212)="","",IF(NOT(ISNUMBER(INDEX(기본자료!$K$2:$K$1001,$AB212))),INDEX(기본자료!$K$2:$K$1001,$AB212),IF(INDEX(기본자료!$K$2:$K$1001,$AB212)&lt;1000000,INDEX(기본자료!$K$2:$K$1001,$AB212),IF(AND(INDEX(기본자료!$K$2:$K$1001,$AB212)&gt;=10000101,INT(MOD(INDEX(기본자료!$K$2:$K$1001,$AB212),10000)/100)&gt;=1,INT(MOD(INDEX(기본자료!$K$2:$K$1001,$AB212),10000)/100)&lt;=12,MOD(INDEX(기본자료!$K$2:$K$1001,$AB212),100)&gt;=1,MOD(INDEX(기본자료!$K$2:$K$1001,$AB212),100)&lt;=31),DATE(INT(INDEX(기본자료!$K$2:$K$1001,$AB212)/10000),INT(MOD(INDEX(기본자료!$K$2:$K$1001,$AB212),10000)/100),MOD(INDEX(기본자료!$K$2:$K$1001,$AB212),100)),INDEX(기본자료!$K$2:$K$1001,$AB212)&amp;"")))))</f>
        <v/>
      </c>
      <c r="F212" s="10">
        <f>IF($AB212="","",IF(INDEX(기본자료!$D$2:$D$1001,$AB212)="","",INDEX(기본자료!$D$2:$D$1001,$AB212)))</f>
        <v/>
      </c>
      <c r="G212" s="10">
        <f>IF($AB212="","",IF(INDEX(기본자료!$E$2:$E$1001,$AB212)="","",INDEX(기본자료!$E$2:$E$1001,$AB212)))</f>
        <v/>
      </c>
      <c r="H212" s="10">
        <f>IF($AB212="","",IF(INDEX(기본자료!$F$2:$F$1001,$AB212)="","",INDEX(기본자료!$F$2:$F$1001,$AB212)))</f>
        <v/>
      </c>
      <c r="I212" s="11">
        <f>IF($AB212="","",IF(INDEX(기본자료!$G$2:$G$1001,$AB212)="","",IF(NOT(ISNUMBER(INDEX(기본자료!$G$2:$G$1001,$AB212))),INDEX(기본자료!$G$2:$G$1001,$AB212),IF(INDEX(기본자료!$G$2:$G$1001,$AB212)&lt;1000000,INDEX(기본자료!$G$2:$G$1001,$AB212),IF(AND(INDEX(기본자료!$G$2:$G$1001,$AB212)&gt;=10000101,INT(MOD(INDEX(기본자료!$G$2:$G$1001,$AB212),10000)/100)&gt;=1,INT(MOD(INDEX(기본자료!$G$2:$G$1001,$AB212),10000)/100)&lt;=12,MOD(INDEX(기본자료!$G$2:$G$1001,$AB212),100)&gt;=1,MOD(INDEX(기본자료!$G$2:$G$1001,$AB212),100)&lt;=31),DATE(INT(INDEX(기본자료!$G$2:$G$1001,$AB212)/10000),INT(MOD(INDEX(기본자료!$G$2:$G$1001,$AB212),10000)/100),MOD(INDEX(기본자료!$G$2:$G$1001,$AB212),100)),INDEX(기본자료!$G$2:$G$1001,$AB212)&amp;"")))))</f>
        <v/>
      </c>
      <c r="J212" s="10">
        <f>IF($AB212="","",IF(INDEX(기본자료!$H$2:$H$1001,$AB212)="","",INDEX(기본자료!$H$2:$H$1001,$AB212)))</f>
        <v/>
      </c>
      <c r="K212" s="10">
        <f>IF($AB212="","",IF(INDEX(기본자료!$I$2:$I$1001,$AB212)="","",INDEX(기본자료!$I$2:$I$1001,$AB212)))</f>
        <v/>
      </c>
      <c r="L212" s="10">
        <f>IF($AB212="","",IF(INDEX(기본자료!$A$2:$A$1001,$AB212)="","",INDEX(기본자료!$A$2:$A$1001,$AB212)))</f>
        <v/>
      </c>
      <c r="M212" s="15" t="n"/>
      <c r="N212" s="10">
        <f>IF($B212="","",IF(AND($U212="파견중",$Q212&lt;&gt;""),$Q212,IF(AND($AD212&lt;&gt;"",LEFT($AD212,1)&lt;&gt;"⚠"),LEFT($AD212,FIND(" ",$AD212)-1),IF($H212="","",IF(RIGHT($H212,2)="병원",$H212,$H212&amp;"병원")))))</f>
        <v/>
      </c>
      <c r="O212" s="10">
        <f>IF($B212="","",IF(AND($U212="파견중",$Q212&lt;&gt;""),IF($R212&lt;&gt;"",$R212,"파견과 미입력"),IF(AND($AD212&lt;&gt;"",LEFT($AD212,1)&lt;&gt;"⚠"),MID($AD212,FIND(" ",$AD212)+1,60),IF($F212="","",IF($F212="인턴","수련교육부(인턴)",$F212)))))</f>
        <v/>
      </c>
      <c r="P212" s="10">
        <f>IF($B212="","",IF($AK212&lt;&gt;"",IF(AND(TODAY()&gt;=INDEX(파견수련계획!$AB$4:$AB$83,$AK212),OR(NOT(ISNUMBER(INDEX(파견수련계획!$AC$4:$AC$83,$AK212))),TODAY()&lt;=INDEX(파견수련계획!$AC$4:$AC$83,$AK212))),"다기관",IF($AF212="","",INDEX(파견수련계획!$T$4:$T$83,$AF212))),IF($AF212="","",INDEX(파견수련계획!$T$4:$T$83,$AF212))))</f>
        <v/>
      </c>
      <c r="Q212" s="10">
        <f>IF($AF212="","",INDEX(파견수련계획!$S$4:$S$83,$AF212))</f>
        <v/>
      </c>
      <c r="R212" s="10">
        <f>IF($AF212="","",INDEX(파견수련계획!$U$4:$U$83,$AF212))</f>
        <v/>
      </c>
      <c r="S212" s="11">
        <f>IF($AF212="","",IF(INDEX(파견수련계획!$H$4:$H$83,$AF212)="","",INDEX(파견수련계획!$H$4:$H$83,$AF212)))</f>
        <v/>
      </c>
      <c r="T212" s="11">
        <f>IF($AF212="","",IF(INDEX(파견수련계획!$I$4:$I$83,$AF212)="","",INDEX(파견수련계획!$I$4:$I$83,$AF212)))</f>
        <v/>
      </c>
      <c r="U212" s="10">
        <f>IF($AF212="","",INDEX(파견수련계획!$X$4:$X$83,$AF212))</f>
        <v/>
      </c>
      <c r="V212" s="17">
        <f>IF($AF212="","",INDEX(파견수련계획!$V$4:$V$83,$AF212))</f>
        <v/>
      </c>
      <c r="W212" s="17">
        <f>IF(AND($U212="파견중",$T212&lt;&gt;""),$T212-TODAY(),"")</f>
        <v/>
      </c>
      <c r="X212" s="17">
        <f>IF(OR($B212="",TRIM($J212&amp;"")=""),"",SUMPRODUCT((파견수련계획!$Q$4:$Q$83=TRIM($J212&amp;""))*파견수련계획!$W$4:$W$83))</f>
        <v/>
      </c>
      <c r="Y212" s="10">
        <f>IF($B212="","",IF($AG212="","",IF(IF(TRIM($J212&amp;"")="",0,SUMPRODUCT((파견수련계획!$Q$4:$Q$83=TRIM($J212&amp;""))*파견수련계획!$AD$4:$AD$83))&gt;0,$AE212,IF(N($X212)&lt;=0,$AG212,IF($AH212+$AI212=DAY(EOMONTH(요약!$B$3,0)),IF(AND($AH212&gt;=요약!$E$3,$AI212&lt;요약!$E$3),"서울병원",IF(AND($AI212&gt;=요약!$E$3,$AH212&lt;요약!$E$3),"구리병원","⚠15일 판정불가(서울 "&amp;$AH212&amp;"일/구리 "&amp;$AI212&amp;"일)")),IF($AJ212="",$AE212,IF(INDEX(파견수련계획!$T$4:$T$83,$AJ212)="통합수련",INDEX(파견수련계획!$S$4:$S$83,$AJ212),$AE212)))))))</f>
        <v/>
      </c>
      <c r="Z212" s="19">
        <f>IF($B212="","",IF($AB212="","기본자료에 없는 사번",IF(COUNTIF($B$2:$B$401,$B212)&gt;1,"중복 사번",IF($AE212="","소속(입사장소) 입력",IF(IF(TRIM($J212&amp;"")="",0,SUMPRODUCT((파견수련계획!$Q$4:$Q$83=TRIM($J212&amp;""))*(파견수련계획!$AA$4:$AA$83&lt;&gt;"")))&gt;0,"파견수련계획 입력오류 확인",IF(LEFT($Y212,1)="⚠","서울·구리 15일 판정 불가(양쪽 모두 이상/미만)",IF(IF($AC212="",0,N(INDEX(인턴근무계획!$T$3:$T$62,$AC212)))&gt;0,"인턴계획 입력오류 확인",IF(AND($AC212&lt;&gt;"",$U212&lt;&gt;"파견중",$N212&lt;&gt;$AE212),"인턴 타지역 근무: 파견 여부 확인","정상"))))))))</f>
        <v/>
      </c>
      <c r="AA212" s="5" t="n"/>
      <c r="AB212" s="10">
        <f>IF($B212="","",IFERROR(MATCH($B212,기본자료!$B$2:$B$1001,0),IFERROR(MATCH($B212&amp;"",기본자료!$B$2:$B$1001,0),IFERROR(MATCH(VALUE($B212),기본자료!$B$2:$B$1001,0),""))))</f>
        <v/>
      </c>
      <c r="AC212" s="10">
        <f>IF($B212="","",IFERROR(MATCH($B212,인턴근무계획!$D$3:$D$62,0),IFERROR(MATCH($B212&amp;"",인턴근무계획!$D$3:$D$62,0),IFERROR(MATCH(VALUE($B212),인턴근무계획!$D$3:$D$62,0),""))))</f>
        <v/>
      </c>
      <c r="AD212" s="10">
        <f>IF(OR($AC212="",인턴현황!$G$3=""),"",INDEX(인턴근무계획!$M$3:$R$62,$AC212,인턴현황!$G$3)&amp;"")</f>
        <v/>
      </c>
      <c r="AE212" s="10">
        <f>IF($B212="","",IF($M212&lt;&gt;"",$M212,IF($AF212&lt;&gt;"",IF(LEFT(INDEX(파견수련계획!$R$4:$R$83,$AF212),1)&lt;&gt;"⚠",INDEX(파견수련계획!$R$4:$R$83,$AF212),IF($H212="","",IF(RIGHT($H212,2)="병원",$H212,$H212&amp;"병원"))),IF($H212="","",IF(RIGHT($H212,2)="병원",$H212,$H212&amp;"병원")))))</f>
        <v/>
      </c>
      <c r="AF212" s="10">
        <f>IF(OR($B212="",TRIM($J212&amp;"")=""),"",IFERROR(MATCH(TRIM($J212&amp;"")&amp;"|파견중",파견수련계획!$Y$4:$Y$83,0),IFERROR(MATCH(TRIM($J212&amp;"")&amp;"|파견예정",파견수련계획!$Y$4:$Y$83,0),IFERROR(MATCH(TRIM($J212&amp;"")&amp;"|파견종료",파견수련계획!$Y$4:$Y$83,0),""))))</f>
        <v/>
      </c>
      <c r="AG212" s="10">
        <f>IF($B212="","",IF(AND(IF(OR($AC212="",인턴현황!$K$2=""),"",INDEX(인턴근무계획!$M$3:$R$62,$AC212,인턴현황!$K$2)&amp;"")&lt;&gt;"",LEFT(IF(OR($AC212="",인턴현황!$K$2=""),"",INDEX(인턴근무계획!$M$3:$R$62,$AC212,인턴현황!$K$2)&amp;""),1)&lt;&gt;"⚠"),LEFT(IF(OR($AC212="",인턴현황!$K$2=""),"",INDEX(인턴근무계획!$M$3:$R$62,$AC212,인턴현황!$K$2)&amp;""),FIND(" ",IF(OR($AC212="",인턴현황!$K$2=""),"",INDEX(인턴근무계획!$M$3:$R$62,$AC212,인턴현황!$K$2)&amp;""))-1),$AE212))</f>
        <v/>
      </c>
      <c r="AH212" s="17">
        <f>IF($B212="","",IF(TRIM($J212&amp;"")="",0,SUMPRODUCT((파견수련계획!$Q$4:$Q$83=TRIM($J212&amp;""))*(파견수련계획!$S$4:$S$83="서울병원")*파견수련계획!$W$4:$W$83))+IF($AG212="서울병원",MAX(0,DAY(EOMONTH(요약!$B$3,0))-N($X212)),0))</f>
        <v/>
      </c>
      <c r="AI212" s="17">
        <f>IF($B212="","",IF(TRIM($J212&amp;"")="",0,SUMPRODUCT((파견수련계획!$Q$4:$Q$83=TRIM($J212&amp;""))*(파견수련계획!$S$4:$S$83="구리병원")*파견수련계획!$W$4:$W$83))+IF($AG212="구리병원",MAX(0,DAY(EOMONTH(요약!$B$3,0))-N($X212)),0))</f>
        <v/>
      </c>
      <c r="AJ212" s="10">
        <f>IF(OR($B212="",TRIM($J212&amp;"")=""),"",IFERROR(MATCH(TRIM($J212&amp;"")&amp;"|월",파견수련계획!$Z$4:$Z$83,0),""))</f>
        <v/>
      </c>
      <c r="AK212" s="10">
        <f>IF(OR($B212="",TRIM($J212&amp;"")=""),"",IFERROR(MATCH(TRIM($J212&amp;"")&amp;"|다기관",파견수련계획!$AE$4:$AE$83,0),""))</f>
        <v/>
      </c>
      <c r="AL212" s="10">
        <f>IF($AK212="","","다기관 "&amp;TEXT(INDEX(파견수련계획!$AB$4:$AB$83,$AK212),"yyyy-mm-dd")&amp;"~"&amp;IF(ISNUMBER(INDEX(파견수련계획!$AC$4:$AC$83,$AK212)),TEXT(INDEX(파견수련계획!$AC$4:$AC$83,$AK212),"yyyy-mm-dd"),""))</f>
        <v/>
      </c>
    </row>
    <row r="213">
      <c r="A213" s="10">
        <f>IF(B213="","",ROW()-1)</f>
        <v/>
      </c>
      <c r="B213" s="18" t="n"/>
      <c r="C213" s="10">
        <f>IF($AB213="","",IF(INDEX(기본자료!$C$2:$C$1001,$AB213)="","",INDEX(기본자료!$C$2:$C$1001,$AB213)))</f>
        <v/>
      </c>
      <c r="D213" s="10">
        <f>IF($AB213="","",IF(INDEX(기본자료!$J$2:$J$1001,$AB213)="","",INDEX(기본자료!$J$2:$J$1001,$AB213)))</f>
        <v/>
      </c>
      <c r="E213" s="11">
        <f>IF($AB213="","",IF(INDEX(기본자료!$K$2:$K$1001,$AB213)="","",IF(NOT(ISNUMBER(INDEX(기본자료!$K$2:$K$1001,$AB213))),INDEX(기본자료!$K$2:$K$1001,$AB213),IF(INDEX(기본자료!$K$2:$K$1001,$AB213)&lt;1000000,INDEX(기본자료!$K$2:$K$1001,$AB213),IF(AND(INDEX(기본자료!$K$2:$K$1001,$AB213)&gt;=10000101,INT(MOD(INDEX(기본자료!$K$2:$K$1001,$AB213),10000)/100)&gt;=1,INT(MOD(INDEX(기본자료!$K$2:$K$1001,$AB213),10000)/100)&lt;=12,MOD(INDEX(기본자료!$K$2:$K$1001,$AB213),100)&gt;=1,MOD(INDEX(기본자료!$K$2:$K$1001,$AB213),100)&lt;=31),DATE(INT(INDEX(기본자료!$K$2:$K$1001,$AB213)/10000),INT(MOD(INDEX(기본자료!$K$2:$K$1001,$AB213),10000)/100),MOD(INDEX(기본자료!$K$2:$K$1001,$AB213),100)),INDEX(기본자료!$K$2:$K$1001,$AB213)&amp;"")))))</f>
        <v/>
      </c>
      <c r="F213" s="10">
        <f>IF($AB213="","",IF(INDEX(기본자료!$D$2:$D$1001,$AB213)="","",INDEX(기본자료!$D$2:$D$1001,$AB213)))</f>
        <v/>
      </c>
      <c r="G213" s="10">
        <f>IF($AB213="","",IF(INDEX(기본자료!$E$2:$E$1001,$AB213)="","",INDEX(기본자료!$E$2:$E$1001,$AB213)))</f>
        <v/>
      </c>
      <c r="H213" s="10">
        <f>IF($AB213="","",IF(INDEX(기본자료!$F$2:$F$1001,$AB213)="","",INDEX(기본자료!$F$2:$F$1001,$AB213)))</f>
        <v/>
      </c>
      <c r="I213" s="11">
        <f>IF($AB213="","",IF(INDEX(기본자료!$G$2:$G$1001,$AB213)="","",IF(NOT(ISNUMBER(INDEX(기본자료!$G$2:$G$1001,$AB213))),INDEX(기본자료!$G$2:$G$1001,$AB213),IF(INDEX(기본자료!$G$2:$G$1001,$AB213)&lt;1000000,INDEX(기본자료!$G$2:$G$1001,$AB213),IF(AND(INDEX(기본자료!$G$2:$G$1001,$AB213)&gt;=10000101,INT(MOD(INDEX(기본자료!$G$2:$G$1001,$AB213),10000)/100)&gt;=1,INT(MOD(INDEX(기본자료!$G$2:$G$1001,$AB213),10000)/100)&lt;=12,MOD(INDEX(기본자료!$G$2:$G$1001,$AB213),100)&gt;=1,MOD(INDEX(기본자료!$G$2:$G$1001,$AB213),100)&lt;=31),DATE(INT(INDEX(기본자료!$G$2:$G$1001,$AB213)/10000),INT(MOD(INDEX(기본자료!$G$2:$G$1001,$AB213),10000)/100),MOD(INDEX(기본자료!$G$2:$G$1001,$AB213),100)),INDEX(기본자료!$G$2:$G$1001,$AB213)&amp;"")))))</f>
        <v/>
      </c>
      <c r="J213" s="10">
        <f>IF($AB213="","",IF(INDEX(기본자료!$H$2:$H$1001,$AB213)="","",INDEX(기본자료!$H$2:$H$1001,$AB213)))</f>
        <v/>
      </c>
      <c r="K213" s="10">
        <f>IF($AB213="","",IF(INDEX(기본자료!$I$2:$I$1001,$AB213)="","",INDEX(기본자료!$I$2:$I$1001,$AB213)))</f>
        <v/>
      </c>
      <c r="L213" s="10">
        <f>IF($AB213="","",IF(INDEX(기본자료!$A$2:$A$1001,$AB213)="","",INDEX(기본자료!$A$2:$A$1001,$AB213)))</f>
        <v/>
      </c>
      <c r="M213" s="15" t="n"/>
      <c r="N213" s="10">
        <f>IF($B213="","",IF(AND($U213="파견중",$Q213&lt;&gt;""),$Q213,IF(AND($AD213&lt;&gt;"",LEFT($AD213,1)&lt;&gt;"⚠"),LEFT($AD213,FIND(" ",$AD213)-1),IF($H213="","",IF(RIGHT($H213,2)="병원",$H213,$H213&amp;"병원")))))</f>
        <v/>
      </c>
      <c r="O213" s="10">
        <f>IF($B213="","",IF(AND($U213="파견중",$Q213&lt;&gt;""),IF($R213&lt;&gt;"",$R213,"파견과 미입력"),IF(AND($AD213&lt;&gt;"",LEFT($AD213,1)&lt;&gt;"⚠"),MID($AD213,FIND(" ",$AD213)+1,60),IF($F213="","",IF($F213="인턴","수련교육부(인턴)",$F213)))))</f>
        <v/>
      </c>
      <c r="P213" s="10">
        <f>IF($B213="","",IF($AK213&lt;&gt;"",IF(AND(TODAY()&gt;=INDEX(파견수련계획!$AB$4:$AB$83,$AK213),OR(NOT(ISNUMBER(INDEX(파견수련계획!$AC$4:$AC$83,$AK213))),TODAY()&lt;=INDEX(파견수련계획!$AC$4:$AC$83,$AK213))),"다기관",IF($AF213="","",INDEX(파견수련계획!$T$4:$T$83,$AF213))),IF($AF213="","",INDEX(파견수련계획!$T$4:$T$83,$AF213))))</f>
        <v/>
      </c>
      <c r="Q213" s="10">
        <f>IF($AF213="","",INDEX(파견수련계획!$S$4:$S$83,$AF213))</f>
        <v/>
      </c>
      <c r="R213" s="10">
        <f>IF($AF213="","",INDEX(파견수련계획!$U$4:$U$83,$AF213))</f>
        <v/>
      </c>
      <c r="S213" s="11">
        <f>IF($AF213="","",IF(INDEX(파견수련계획!$H$4:$H$83,$AF213)="","",INDEX(파견수련계획!$H$4:$H$83,$AF213)))</f>
        <v/>
      </c>
      <c r="T213" s="11">
        <f>IF($AF213="","",IF(INDEX(파견수련계획!$I$4:$I$83,$AF213)="","",INDEX(파견수련계획!$I$4:$I$83,$AF213)))</f>
        <v/>
      </c>
      <c r="U213" s="10">
        <f>IF($AF213="","",INDEX(파견수련계획!$X$4:$X$83,$AF213))</f>
        <v/>
      </c>
      <c r="V213" s="17">
        <f>IF($AF213="","",INDEX(파견수련계획!$V$4:$V$83,$AF213))</f>
        <v/>
      </c>
      <c r="W213" s="17">
        <f>IF(AND($U213="파견중",$T213&lt;&gt;""),$T213-TODAY(),"")</f>
        <v/>
      </c>
      <c r="X213" s="17">
        <f>IF(OR($B213="",TRIM($J213&amp;"")=""),"",SUMPRODUCT((파견수련계획!$Q$4:$Q$83=TRIM($J213&amp;""))*파견수련계획!$W$4:$W$83))</f>
        <v/>
      </c>
      <c r="Y213" s="10">
        <f>IF($B213="","",IF($AG213="","",IF(IF(TRIM($J213&amp;"")="",0,SUMPRODUCT((파견수련계획!$Q$4:$Q$83=TRIM($J213&amp;""))*파견수련계획!$AD$4:$AD$83))&gt;0,$AE213,IF(N($X213)&lt;=0,$AG213,IF($AH213+$AI213=DAY(EOMONTH(요약!$B$3,0)),IF(AND($AH213&gt;=요약!$E$3,$AI213&lt;요약!$E$3),"서울병원",IF(AND($AI213&gt;=요약!$E$3,$AH213&lt;요약!$E$3),"구리병원","⚠15일 판정불가(서울 "&amp;$AH213&amp;"일/구리 "&amp;$AI213&amp;"일)")),IF($AJ213="",$AE213,IF(INDEX(파견수련계획!$T$4:$T$83,$AJ213)="통합수련",INDEX(파견수련계획!$S$4:$S$83,$AJ213),$AE213)))))))</f>
        <v/>
      </c>
      <c r="Z213" s="19">
        <f>IF($B213="","",IF($AB213="","기본자료에 없는 사번",IF(COUNTIF($B$2:$B$401,$B213)&gt;1,"중복 사번",IF($AE213="","소속(입사장소) 입력",IF(IF(TRIM($J213&amp;"")="",0,SUMPRODUCT((파견수련계획!$Q$4:$Q$83=TRIM($J213&amp;""))*(파견수련계획!$AA$4:$AA$83&lt;&gt;"")))&gt;0,"파견수련계획 입력오류 확인",IF(LEFT($Y213,1)="⚠","서울·구리 15일 판정 불가(양쪽 모두 이상/미만)",IF(IF($AC213="",0,N(INDEX(인턴근무계획!$T$3:$T$62,$AC213)))&gt;0,"인턴계획 입력오류 확인",IF(AND($AC213&lt;&gt;"",$U213&lt;&gt;"파견중",$N213&lt;&gt;$AE213),"인턴 타지역 근무: 파견 여부 확인","정상"))))))))</f>
        <v/>
      </c>
      <c r="AA213" s="5" t="n"/>
      <c r="AB213" s="10">
        <f>IF($B213="","",IFERROR(MATCH($B213,기본자료!$B$2:$B$1001,0),IFERROR(MATCH($B213&amp;"",기본자료!$B$2:$B$1001,0),IFERROR(MATCH(VALUE($B213),기본자료!$B$2:$B$1001,0),""))))</f>
        <v/>
      </c>
      <c r="AC213" s="10">
        <f>IF($B213="","",IFERROR(MATCH($B213,인턴근무계획!$D$3:$D$62,0),IFERROR(MATCH($B213&amp;"",인턴근무계획!$D$3:$D$62,0),IFERROR(MATCH(VALUE($B213),인턴근무계획!$D$3:$D$62,0),""))))</f>
        <v/>
      </c>
      <c r="AD213" s="10">
        <f>IF(OR($AC213="",인턴현황!$G$3=""),"",INDEX(인턴근무계획!$M$3:$R$62,$AC213,인턴현황!$G$3)&amp;"")</f>
        <v/>
      </c>
      <c r="AE213" s="10">
        <f>IF($B213="","",IF($M213&lt;&gt;"",$M213,IF($AF213&lt;&gt;"",IF(LEFT(INDEX(파견수련계획!$R$4:$R$83,$AF213),1)&lt;&gt;"⚠",INDEX(파견수련계획!$R$4:$R$83,$AF213),IF($H213="","",IF(RIGHT($H213,2)="병원",$H213,$H213&amp;"병원"))),IF($H213="","",IF(RIGHT($H213,2)="병원",$H213,$H213&amp;"병원")))))</f>
        <v/>
      </c>
      <c r="AF213" s="10">
        <f>IF(OR($B213="",TRIM($J213&amp;"")=""),"",IFERROR(MATCH(TRIM($J213&amp;"")&amp;"|파견중",파견수련계획!$Y$4:$Y$83,0),IFERROR(MATCH(TRIM($J213&amp;"")&amp;"|파견예정",파견수련계획!$Y$4:$Y$83,0),IFERROR(MATCH(TRIM($J213&amp;"")&amp;"|파견종료",파견수련계획!$Y$4:$Y$83,0),""))))</f>
        <v/>
      </c>
      <c r="AG213" s="10">
        <f>IF($B213="","",IF(AND(IF(OR($AC213="",인턴현황!$K$2=""),"",INDEX(인턴근무계획!$M$3:$R$62,$AC213,인턴현황!$K$2)&amp;"")&lt;&gt;"",LEFT(IF(OR($AC213="",인턴현황!$K$2=""),"",INDEX(인턴근무계획!$M$3:$R$62,$AC213,인턴현황!$K$2)&amp;""),1)&lt;&gt;"⚠"),LEFT(IF(OR($AC213="",인턴현황!$K$2=""),"",INDEX(인턴근무계획!$M$3:$R$62,$AC213,인턴현황!$K$2)&amp;""),FIND(" ",IF(OR($AC213="",인턴현황!$K$2=""),"",INDEX(인턴근무계획!$M$3:$R$62,$AC213,인턴현황!$K$2)&amp;""))-1),$AE213))</f>
        <v/>
      </c>
      <c r="AH213" s="17">
        <f>IF($B213="","",IF(TRIM($J213&amp;"")="",0,SUMPRODUCT((파견수련계획!$Q$4:$Q$83=TRIM($J213&amp;""))*(파견수련계획!$S$4:$S$83="서울병원")*파견수련계획!$W$4:$W$83))+IF($AG213="서울병원",MAX(0,DAY(EOMONTH(요약!$B$3,0))-N($X213)),0))</f>
        <v/>
      </c>
      <c r="AI213" s="17">
        <f>IF($B213="","",IF(TRIM($J213&amp;"")="",0,SUMPRODUCT((파견수련계획!$Q$4:$Q$83=TRIM($J213&amp;""))*(파견수련계획!$S$4:$S$83="구리병원")*파견수련계획!$W$4:$W$83))+IF($AG213="구리병원",MAX(0,DAY(EOMONTH(요약!$B$3,0))-N($X213)),0))</f>
        <v/>
      </c>
      <c r="AJ213" s="10">
        <f>IF(OR($B213="",TRIM($J213&amp;"")=""),"",IFERROR(MATCH(TRIM($J213&amp;"")&amp;"|월",파견수련계획!$Z$4:$Z$83,0),""))</f>
        <v/>
      </c>
      <c r="AK213" s="10">
        <f>IF(OR($B213="",TRIM($J213&amp;"")=""),"",IFERROR(MATCH(TRIM($J213&amp;"")&amp;"|다기관",파견수련계획!$AE$4:$AE$83,0),""))</f>
        <v/>
      </c>
      <c r="AL213" s="10">
        <f>IF($AK213="","","다기관 "&amp;TEXT(INDEX(파견수련계획!$AB$4:$AB$83,$AK213),"yyyy-mm-dd")&amp;"~"&amp;IF(ISNUMBER(INDEX(파견수련계획!$AC$4:$AC$83,$AK213)),TEXT(INDEX(파견수련계획!$AC$4:$AC$83,$AK213),"yyyy-mm-dd"),""))</f>
        <v/>
      </c>
    </row>
    <row r="214">
      <c r="A214" s="10">
        <f>IF(B214="","",ROW()-1)</f>
        <v/>
      </c>
      <c r="B214" s="18" t="n"/>
      <c r="C214" s="10">
        <f>IF($AB214="","",IF(INDEX(기본자료!$C$2:$C$1001,$AB214)="","",INDEX(기본자료!$C$2:$C$1001,$AB214)))</f>
        <v/>
      </c>
      <c r="D214" s="10">
        <f>IF($AB214="","",IF(INDEX(기본자료!$J$2:$J$1001,$AB214)="","",INDEX(기본자료!$J$2:$J$1001,$AB214)))</f>
        <v/>
      </c>
      <c r="E214" s="11">
        <f>IF($AB214="","",IF(INDEX(기본자료!$K$2:$K$1001,$AB214)="","",IF(NOT(ISNUMBER(INDEX(기본자료!$K$2:$K$1001,$AB214))),INDEX(기본자료!$K$2:$K$1001,$AB214),IF(INDEX(기본자료!$K$2:$K$1001,$AB214)&lt;1000000,INDEX(기본자료!$K$2:$K$1001,$AB214),IF(AND(INDEX(기본자료!$K$2:$K$1001,$AB214)&gt;=10000101,INT(MOD(INDEX(기본자료!$K$2:$K$1001,$AB214),10000)/100)&gt;=1,INT(MOD(INDEX(기본자료!$K$2:$K$1001,$AB214),10000)/100)&lt;=12,MOD(INDEX(기본자료!$K$2:$K$1001,$AB214),100)&gt;=1,MOD(INDEX(기본자료!$K$2:$K$1001,$AB214),100)&lt;=31),DATE(INT(INDEX(기본자료!$K$2:$K$1001,$AB214)/10000),INT(MOD(INDEX(기본자료!$K$2:$K$1001,$AB214),10000)/100),MOD(INDEX(기본자료!$K$2:$K$1001,$AB214),100)),INDEX(기본자료!$K$2:$K$1001,$AB214)&amp;"")))))</f>
        <v/>
      </c>
      <c r="F214" s="10">
        <f>IF($AB214="","",IF(INDEX(기본자료!$D$2:$D$1001,$AB214)="","",INDEX(기본자료!$D$2:$D$1001,$AB214)))</f>
        <v/>
      </c>
      <c r="G214" s="10">
        <f>IF($AB214="","",IF(INDEX(기본자료!$E$2:$E$1001,$AB214)="","",INDEX(기본자료!$E$2:$E$1001,$AB214)))</f>
        <v/>
      </c>
      <c r="H214" s="10">
        <f>IF($AB214="","",IF(INDEX(기본자료!$F$2:$F$1001,$AB214)="","",INDEX(기본자료!$F$2:$F$1001,$AB214)))</f>
        <v/>
      </c>
      <c r="I214" s="11">
        <f>IF($AB214="","",IF(INDEX(기본자료!$G$2:$G$1001,$AB214)="","",IF(NOT(ISNUMBER(INDEX(기본자료!$G$2:$G$1001,$AB214))),INDEX(기본자료!$G$2:$G$1001,$AB214),IF(INDEX(기본자료!$G$2:$G$1001,$AB214)&lt;1000000,INDEX(기본자료!$G$2:$G$1001,$AB214),IF(AND(INDEX(기본자료!$G$2:$G$1001,$AB214)&gt;=10000101,INT(MOD(INDEX(기본자료!$G$2:$G$1001,$AB214),10000)/100)&gt;=1,INT(MOD(INDEX(기본자료!$G$2:$G$1001,$AB214),10000)/100)&lt;=12,MOD(INDEX(기본자료!$G$2:$G$1001,$AB214),100)&gt;=1,MOD(INDEX(기본자료!$G$2:$G$1001,$AB214),100)&lt;=31),DATE(INT(INDEX(기본자료!$G$2:$G$1001,$AB214)/10000),INT(MOD(INDEX(기본자료!$G$2:$G$1001,$AB214),10000)/100),MOD(INDEX(기본자료!$G$2:$G$1001,$AB214),100)),INDEX(기본자료!$G$2:$G$1001,$AB214)&amp;"")))))</f>
        <v/>
      </c>
      <c r="J214" s="10">
        <f>IF($AB214="","",IF(INDEX(기본자료!$H$2:$H$1001,$AB214)="","",INDEX(기본자료!$H$2:$H$1001,$AB214)))</f>
        <v/>
      </c>
      <c r="K214" s="10">
        <f>IF($AB214="","",IF(INDEX(기본자료!$I$2:$I$1001,$AB214)="","",INDEX(기본자료!$I$2:$I$1001,$AB214)))</f>
        <v/>
      </c>
      <c r="L214" s="10">
        <f>IF($AB214="","",IF(INDEX(기본자료!$A$2:$A$1001,$AB214)="","",INDEX(기본자료!$A$2:$A$1001,$AB214)))</f>
        <v/>
      </c>
      <c r="M214" s="15" t="n"/>
      <c r="N214" s="10">
        <f>IF($B214="","",IF(AND($U214="파견중",$Q214&lt;&gt;""),$Q214,IF(AND($AD214&lt;&gt;"",LEFT($AD214,1)&lt;&gt;"⚠"),LEFT($AD214,FIND(" ",$AD214)-1),IF($H214="","",IF(RIGHT($H214,2)="병원",$H214,$H214&amp;"병원")))))</f>
        <v/>
      </c>
      <c r="O214" s="10">
        <f>IF($B214="","",IF(AND($U214="파견중",$Q214&lt;&gt;""),IF($R214&lt;&gt;"",$R214,"파견과 미입력"),IF(AND($AD214&lt;&gt;"",LEFT($AD214,1)&lt;&gt;"⚠"),MID($AD214,FIND(" ",$AD214)+1,60),IF($F214="","",IF($F214="인턴","수련교육부(인턴)",$F214)))))</f>
        <v/>
      </c>
      <c r="P214" s="10">
        <f>IF($B214="","",IF($AK214&lt;&gt;"",IF(AND(TODAY()&gt;=INDEX(파견수련계획!$AB$4:$AB$83,$AK214),OR(NOT(ISNUMBER(INDEX(파견수련계획!$AC$4:$AC$83,$AK214))),TODAY()&lt;=INDEX(파견수련계획!$AC$4:$AC$83,$AK214))),"다기관",IF($AF214="","",INDEX(파견수련계획!$T$4:$T$83,$AF214))),IF($AF214="","",INDEX(파견수련계획!$T$4:$T$83,$AF214))))</f>
        <v/>
      </c>
      <c r="Q214" s="10">
        <f>IF($AF214="","",INDEX(파견수련계획!$S$4:$S$83,$AF214))</f>
        <v/>
      </c>
      <c r="R214" s="10">
        <f>IF($AF214="","",INDEX(파견수련계획!$U$4:$U$83,$AF214))</f>
        <v/>
      </c>
      <c r="S214" s="11">
        <f>IF($AF214="","",IF(INDEX(파견수련계획!$H$4:$H$83,$AF214)="","",INDEX(파견수련계획!$H$4:$H$83,$AF214)))</f>
        <v/>
      </c>
      <c r="T214" s="11">
        <f>IF($AF214="","",IF(INDEX(파견수련계획!$I$4:$I$83,$AF214)="","",INDEX(파견수련계획!$I$4:$I$83,$AF214)))</f>
        <v/>
      </c>
      <c r="U214" s="10">
        <f>IF($AF214="","",INDEX(파견수련계획!$X$4:$X$83,$AF214))</f>
        <v/>
      </c>
      <c r="V214" s="17">
        <f>IF($AF214="","",INDEX(파견수련계획!$V$4:$V$83,$AF214))</f>
        <v/>
      </c>
      <c r="W214" s="17">
        <f>IF(AND($U214="파견중",$T214&lt;&gt;""),$T214-TODAY(),"")</f>
        <v/>
      </c>
      <c r="X214" s="17">
        <f>IF(OR($B214="",TRIM($J214&amp;"")=""),"",SUMPRODUCT((파견수련계획!$Q$4:$Q$83=TRIM($J214&amp;""))*파견수련계획!$W$4:$W$83))</f>
        <v/>
      </c>
      <c r="Y214" s="10">
        <f>IF($B214="","",IF($AG214="","",IF(IF(TRIM($J214&amp;"")="",0,SUMPRODUCT((파견수련계획!$Q$4:$Q$83=TRIM($J214&amp;""))*파견수련계획!$AD$4:$AD$83))&gt;0,$AE214,IF(N($X214)&lt;=0,$AG214,IF($AH214+$AI214=DAY(EOMONTH(요약!$B$3,0)),IF(AND($AH214&gt;=요약!$E$3,$AI214&lt;요약!$E$3),"서울병원",IF(AND($AI214&gt;=요약!$E$3,$AH214&lt;요약!$E$3),"구리병원","⚠15일 판정불가(서울 "&amp;$AH214&amp;"일/구리 "&amp;$AI214&amp;"일)")),IF($AJ214="",$AE214,IF(INDEX(파견수련계획!$T$4:$T$83,$AJ214)="통합수련",INDEX(파견수련계획!$S$4:$S$83,$AJ214),$AE214)))))))</f>
        <v/>
      </c>
      <c r="Z214" s="19">
        <f>IF($B214="","",IF($AB214="","기본자료에 없는 사번",IF(COUNTIF($B$2:$B$401,$B214)&gt;1,"중복 사번",IF($AE214="","소속(입사장소) 입력",IF(IF(TRIM($J214&amp;"")="",0,SUMPRODUCT((파견수련계획!$Q$4:$Q$83=TRIM($J214&amp;""))*(파견수련계획!$AA$4:$AA$83&lt;&gt;"")))&gt;0,"파견수련계획 입력오류 확인",IF(LEFT($Y214,1)="⚠","서울·구리 15일 판정 불가(양쪽 모두 이상/미만)",IF(IF($AC214="",0,N(INDEX(인턴근무계획!$T$3:$T$62,$AC214)))&gt;0,"인턴계획 입력오류 확인",IF(AND($AC214&lt;&gt;"",$U214&lt;&gt;"파견중",$N214&lt;&gt;$AE214),"인턴 타지역 근무: 파견 여부 확인","정상"))))))))</f>
        <v/>
      </c>
      <c r="AA214" s="5" t="n"/>
      <c r="AB214" s="10">
        <f>IF($B214="","",IFERROR(MATCH($B214,기본자료!$B$2:$B$1001,0),IFERROR(MATCH($B214&amp;"",기본자료!$B$2:$B$1001,0),IFERROR(MATCH(VALUE($B214),기본자료!$B$2:$B$1001,0),""))))</f>
        <v/>
      </c>
      <c r="AC214" s="10">
        <f>IF($B214="","",IFERROR(MATCH($B214,인턴근무계획!$D$3:$D$62,0),IFERROR(MATCH($B214&amp;"",인턴근무계획!$D$3:$D$62,0),IFERROR(MATCH(VALUE($B214),인턴근무계획!$D$3:$D$62,0),""))))</f>
        <v/>
      </c>
      <c r="AD214" s="10">
        <f>IF(OR($AC214="",인턴현황!$G$3=""),"",INDEX(인턴근무계획!$M$3:$R$62,$AC214,인턴현황!$G$3)&amp;"")</f>
        <v/>
      </c>
      <c r="AE214" s="10">
        <f>IF($B214="","",IF($M214&lt;&gt;"",$M214,IF($AF214&lt;&gt;"",IF(LEFT(INDEX(파견수련계획!$R$4:$R$83,$AF214),1)&lt;&gt;"⚠",INDEX(파견수련계획!$R$4:$R$83,$AF214),IF($H214="","",IF(RIGHT($H214,2)="병원",$H214,$H214&amp;"병원"))),IF($H214="","",IF(RIGHT($H214,2)="병원",$H214,$H214&amp;"병원")))))</f>
        <v/>
      </c>
      <c r="AF214" s="10">
        <f>IF(OR($B214="",TRIM($J214&amp;"")=""),"",IFERROR(MATCH(TRIM($J214&amp;"")&amp;"|파견중",파견수련계획!$Y$4:$Y$83,0),IFERROR(MATCH(TRIM($J214&amp;"")&amp;"|파견예정",파견수련계획!$Y$4:$Y$83,0),IFERROR(MATCH(TRIM($J214&amp;"")&amp;"|파견종료",파견수련계획!$Y$4:$Y$83,0),""))))</f>
        <v/>
      </c>
      <c r="AG214" s="10">
        <f>IF($B214="","",IF(AND(IF(OR($AC214="",인턴현황!$K$2=""),"",INDEX(인턴근무계획!$M$3:$R$62,$AC214,인턴현황!$K$2)&amp;"")&lt;&gt;"",LEFT(IF(OR($AC214="",인턴현황!$K$2=""),"",INDEX(인턴근무계획!$M$3:$R$62,$AC214,인턴현황!$K$2)&amp;""),1)&lt;&gt;"⚠"),LEFT(IF(OR($AC214="",인턴현황!$K$2=""),"",INDEX(인턴근무계획!$M$3:$R$62,$AC214,인턴현황!$K$2)&amp;""),FIND(" ",IF(OR($AC214="",인턴현황!$K$2=""),"",INDEX(인턴근무계획!$M$3:$R$62,$AC214,인턴현황!$K$2)&amp;""))-1),$AE214))</f>
        <v/>
      </c>
      <c r="AH214" s="17">
        <f>IF($B214="","",IF(TRIM($J214&amp;"")="",0,SUMPRODUCT((파견수련계획!$Q$4:$Q$83=TRIM($J214&amp;""))*(파견수련계획!$S$4:$S$83="서울병원")*파견수련계획!$W$4:$W$83))+IF($AG214="서울병원",MAX(0,DAY(EOMONTH(요약!$B$3,0))-N($X214)),0))</f>
        <v/>
      </c>
      <c r="AI214" s="17">
        <f>IF($B214="","",IF(TRIM($J214&amp;"")="",0,SUMPRODUCT((파견수련계획!$Q$4:$Q$83=TRIM($J214&amp;""))*(파견수련계획!$S$4:$S$83="구리병원")*파견수련계획!$W$4:$W$83))+IF($AG214="구리병원",MAX(0,DAY(EOMONTH(요약!$B$3,0))-N($X214)),0))</f>
        <v/>
      </c>
      <c r="AJ214" s="10">
        <f>IF(OR($B214="",TRIM($J214&amp;"")=""),"",IFERROR(MATCH(TRIM($J214&amp;"")&amp;"|월",파견수련계획!$Z$4:$Z$83,0),""))</f>
        <v/>
      </c>
      <c r="AK214" s="10">
        <f>IF(OR($B214="",TRIM($J214&amp;"")=""),"",IFERROR(MATCH(TRIM($J214&amp;"")&amp;"|다기관",파견수련계획!$AE$4:$AE$83,0),""))</f>
        <v/>
      </c>
      <c r="AL214" s="10">
        <f>IF($AK214="","","다기관 "&amp;TEXT(INDEX(파견수련계획!$AB$4:$AB$83,$AK214),"yyyy-mm-dd")&amp;"~"&amp;IF(ISNUMBER(INDEX(파견수련계획!$AC$4:$AC$83,$AK214)),TEXT(INDEX(파견수련계획!$AC$4:$AC$83,$AK214),"yyyy-mm-dd"),""))</f>
        <v/>
      </c>
    </row>
    <row r="215">
      <c r="A215" s="10">
        <f>IF(B215="","",ROW()-1)</f>
        <v/>
      </c>
      <c r="B215" s="18" t="n"/>
      <c r="C215" s="10">
        <f>IF($AB215="","",IF(INDEX(기본자료!$C$2:$C$1001,$AB215)="","",INDEX(기본자료!$C$2:$C$1001,$AB215)))</f>
        <v/>
      </c>
      <c r="D215" s="10">
        <f>IF($AB215="","",IF(INDEX(기본자료!$J$2:$J$1001,$AB215)="","",INDEX(기본자료!$J$2:$J$1001,$AB215)))</f>
        <v/>
      </c>
      <c r="E215" s="11">
        <f>IF($AB215="","",IF(INDEX(기본자료!$K$2:$K$1001,$AB215)="","",IF(NOT(ISNUMBER(INDEX(기본자료!$K$2:$K$1001,$AB215))),INDEX(기본자료!$K$2:$K$1001,$AB215),IF(INDEX(기본자료!$K$2:$K$1001,$AB215)&lt;1000000,INDEX(기본자료!$K$2:$K$1001,$AB215),IF(AND(INDEX(기본자료!$K$2:$K$1001,$AB215)&gt;=10000101,INT(MOD(INDEX(기본자료!$K$2:$K$1001,$AB215),10000)/100)&gt;=1,INT(MOD(INDEX(기본자료!$K$2:$K$1001,$AB215),10000)/100)&lt;=12,MOD(INDEX(기본자료!$K$2:$K$1001,$AB215),100)&gt;=1,MOD(INDEX(기본자료!$K$2:$K$1001,$AB215),100)&lt;=31),DATE(INT(INDEX(기본자료!$K$2:$K$1001,$AB215)/10000),INT(MOD(INDEX(기본자료!$K$2:$K$1001,$AB215),10000)/100),MOD(INDEX(기본자료!$K$2:$K$1001,$AB215),100)),INDEX(기본자료!$K$2:$K$1001,$AB215)&amp;"")))))</f>
        <v/>
      </c>
      <c r="F215" s="10">
        <f>IF($AB215="","",IF(INDEX(기본자료!$D$2:$D$1001,$AB215)="","",INDEX(기본자료!$D$2:$D$1001,$AB215)))</f>
        <v/>
      </c>
      <c r="G215" s="10">
        <f>IF($AB215="","",IF(INDEX(기본자료!$E$2:$E$1001,$AB215)="","",INDEX(기본자료!$E$2:$E$1001,$AB215)))</f>
        <v/>
      </c>
      <c r="H215" s="10">
        <f>IF($AB215="","",IF(INDEX(기본자료!$F$2:$F$1001,$AB215)="","",INDEX(기본자료!$F$2:$F$1001,$AB215)))</f>
        <v/>
      </c>
      <c r="I215" s="11">
        <f>IF($AB215="","",IF(INDEX(기본자료!$G$2:$G$1001,$AB215)="","",IF(NOT(ISNUMBER(INDEX(기본자료!$G$2:$G$1001,$AB215))),INDEX(기본자료!$G$2:$G$1001,$AB215),IF(INDEX(기본자료!$G$2:$G$1001,$AB215)&lt;1000000,INDEX(기본자료!$G$2:$G$1001,$AB215),IF(AND(INDEX(기본자료!$G$2:$G$1001,$AB215)&gt;=10000101,INT(MOD(INDEX(기본자료!$G$2:$G$1001,$AB215),10000)/100)&gt;=1,INT(MOD(INDEX(기본자료!$G$2:$G$1001,$AB215),10000)/100)&lt;=12,MOD(INDEX(기본자료!$G$2:$G$1001,$AB215),100)&gt;=1,MOD(INDEX(기본자료!$G$2:$G$1001,$AB215),100)&lt;=31),DATE(INT(INDEX(기본자료!$G$2:$G$1001,$AB215)/10000),INT(MOD(INDEX(기본자료!$G$2:$G$1001,$AB215),10000)/100),MOD(INDEX(기본자료!$G$2:$G$1001,$AB215),100)),INDEX(기본자료!$G$2:$G$1001,$AB215)&amp;"")))))</f>
        <v/>
      </c>
      <c r="J215" s="10">
        <f>IF($AB215="","",IF(INDEX(기본자료!$H$2:$H$1001,$AB215)="","",INDEX(기본자료!$H$2:$H$1001,$AB215)))</f>
        <v/>
      </c>
      <c r="K215" s="10">
        <f>IF($AB215="","",IF(INDEX(기본자료!$I$2:$I$1001,$AB215)="","",INDEX(기본자료!$I$2:$I$1001,$AB215)))</f>
        <v/>
      </c>
      <c r="L215" s="10">
        <f>IF($AB215="","",IF(INDEX(기본자료!$A$2:$A$1001,$AB215)="","",INDEX(기본자료!$A$2:$A$1001,$AB215)))</f>
        <v/>
      </c>
      <c r="M215" s="15" t="n"/>
      <c r="N215" s="10">
        <f>IF($B215="","",IF(AND($U215="파견중",$Q215&lt;&gt;""),$Q215,IF(AND($AD215&lt;&gt;"",LEFT($AD215,1)&lt;&gt;"⚠"),LEFT($AD215,FIND(" ",$AD215)-1),IF($H215="","",IF(RIGHT($H215,2)="병원",$H215,$H215&amp;"병원")))))</f>
        <v/>
      </c>
      <c r="O215" s="10">
        <f>IF($B215="","",IF(AND($U215="파견중",$Q215&lt;&gt;""),IF($R215&lt;&gt;"",$R215,"파견과 미입력"),IF(AND($AD215&lt;&gt;"",LEFT($AD215,1)&lt;&gt;"⚠"),MID($AD215,FIND(" ",$AD215)+1,60),IF($F215="","",IF($F215="인턴","수련교육부(인턴)",$F215)))))</f>
        <v/>
      </c>
      <c r="P215" s="10">
        <f>IF($B215="","",IF($AK215&lt;&gt;"",IF(AND(TODAY()&gt;=INDEX(파견수련계획!$AB$4:$AB$83,$AK215),OR(NOT(ISNUMBER(INDEX(파견수련계획!$AC$4:$AC$83,$AK215))),TODAY()&lt;=INDEX(파견수련계획!$AC$4:$AC$83,$AK215))),"다기관",IF($AF215="","",INDEX(파견수련계획!$T$4:$T$83,$AF215))),IF($AF215="","",INDEX(파견수련계획!$T$4:$T$83,$AF215))))</f>
        <v/>
      </c>
      <c r="Q215" s="10">
        <f>IF($AF215="","",INDEX(파견수련계획!$S$4:$S$83,$AF215))</f>
        <v/>
      </c>
      <c r="R215" s="10">
        <f>IF($AF215="","",INDEX(파견수련계획!$U$4:$U$83,$AF215))</f>
        <v/>
      </c>
      <c r="S215" s="11">
        <f>IF($AF215="","",IF(INDEX(파견수련계획!$H$4:$H$83,$AF215)="","",INDEX(파견수련계획!$H$4:$H$83,$AF215)))</f>
        <v/>
      </c>
      <c r="T215" s="11">
        <f>IF($AF215="","",IF(INDEX(파견수련계획!$I$4:$I$83,$AF215)="","",INDEX(파견수련계획!$I$4:$I$83,$AF215)))</f>
        <v/>
      </c>
      <c r="U215" s="10">
        <f>IF($AF215="","",INDEX(파견수련계획!$X$4:$X$83,$AF215))</f>
        <v/>
      </c>
      <c r="V215" s="17">
        <f>IF($AF215="","",INDEX(파견수련계획!$V$4:$V$83,$AF215))</f>
        <v/>
      </c>
      <c r="W215" s="17">
        <f>IF(AND($U215="파견중",$T215&lt;&gt;""),$T215-TODAY(),"")</f>
        <v/>
      </c>
      <c r="X215" s="17">
        <f>IF(OR($B215="",TRIM($J215&amp;"")=""),"",SUMPRODUCT((파견수련계획!$Q$4:$Q$83=TRIM($J215&amp;""))*파견수련계획!$W$4:$W$83))</f>
        <v/>
      </c>
      <c r="Y215" s="10">
        <f>IF($B215="","",IF($AG215="","",IF(IF(TRIM($J215&amp;"")="",0,SUMPRODUCT((파견수련계획!$Q$4:$Q$83=TRIM($J215&amp;""))*파견수련계획!$AD$4:$AD$83))&gt;0,$AE215,IF(N($X215)&lt;=0,$AG215,IF($AH215+$AI215=DAY(EOMONTH(요약!$B$3,0)),IF(AND($AH215&gt;=요약!$E$3,$AI215&lt;요약!$E$3),"서울병원",IF(AND($AI215&gt;=요약!$E$3,$AH215&lt;요약!$E$3),"구리병원","⚠15일 판정불가(서울 "&amp;$AH215&amp;"일/구리 "&amp;$AI215&amp;"일)")),IF($AJ215="",$AE215,IF(INDEX(파견수련계획!$T$4:$T$83,$AJ215)="통합수련",INDEX(파견수련계획!$S$4:$S$83,$AJ215),$AE215)))))))</f>
        <v/>
      </c>
      <c r="Z215" s="19">
        <f>IF($B215="","",IF($AB215="","기본자료에 없는 사번",IF(COUNTIF($B$2:$B$401,$B215)&gt;1,"중복 사번",IF($AE215="","소속(입사장소) 입력",IF(IF(TRIM($J215&amp;"")="",0,SUMPRODUCT((파견수련계획!$Q$4:$Q$83=TRIM($J215&amp;""))*(파견수련계획!$AA$4:$AA$83&lt;&gt;"")))&gt;0,"파견수련계획 입력오류 확인",IF(LEFT($Y215,1)="⚠","서울·구리 15일 판정 불가(양쪽 모두 이상/미만)",IF(IF($AC215="",0,N(INDEX(인턴근무계획!$T$3:$T$62,$AC215)))&gt;0,"인턴계획 입력오류 확인",IF(AND($AC215&lt;&gt;"",$U215&lt;&gt;"파견중",$N215&lt;&gt;$AE215),"인턴 타지역 근무: 파견 여부 확인","정상"))))))))</f>
        <v/>
      </c>
      <c r="AA215" s="5" t="n"/>
      <c r="AB215" s="10">
        <f>IF($B215="","",IFERROR(MATCH($B215,기본자료!$B$2:$B$1001,0),IFERROR(MATCH($B215&amp;"",기본자료!$B$2:$B$1001,0),IFERROR(MATCH(VALUE($B215),기본자료!$B$2:$B$1001,0),""))))</f>
        <v/>
      </c>
      <c r="AC215" s="10">
        <f>IF($B215="","",IFERROR(MATCH($B215,인턴근무계획!$D$3:$D$62,0),IFERROR(MATCH($B215&amp;"",인턴근무계획!$D$3:$D$62,0),IFERROR(MATCH(VALUE($B215),인턴근무계획!$D$3:$D$62,0),""))))</f>
        <v/>
      </c>
      <c r="AD215" s="10">
        <f>IF(OR($AC215="",인턴현황!$G$3=""),"",INDEX(인턴근무계획!$M$3:$R$62,$AC215,인턴현황!$G$3)&amp;"")</f>
        <v/>
      </c>
      <c r="AE215" s="10">
        <f>IF($B215="","",IF($M215&lt;&gt;"",$M215,IF($AF215&lt;&gt;"",IF(LEFT(INDEX(파견수련계획!$R$4:$R$83,$AF215),1)&lt;&gt;"⚠",INDEX(파견수련계획!$R$4:$R$83,$AF215),IF($H215="","",IF(RIGHT($H215,2)="병원",$H215,$H215&amp;"병원"))),IF($H215="","",IF(RIGHT($H215,2)="병원",$H215,$H215&amp;"병원")))))</f>
        <v/>
      </c>
      <c r="AF215" s="10">
        <f>IF(OR($B215="",TRIM($J215&amp;"")=""),"",IFERROR(MATCH(TRIM($J215&amp;"")&amp;"|파견중",파견수련계획!$Y$4:$Y$83,0),IFERROR(MATCH(TRIM($J215&amp;"")&amp;"|파견예정",파견수련계획!$Y$4:$Y$83,0),IFERROR(MATCH(TRIM($J215&amp;"")&amp;"|파견종료",파견수련계획!$Y$4:$Y$83,0),""))))</f>
        <v/>
      </c>
      <c r="AG215" s="10">
        <f>IF($B215="","",IF(AND(IF(OR($AC215="",인턴현황!$K$2=""),"",INDEX(인턴근무계획!$M$3:$R$62,$AC215,인턴현황!$K$2)&amp;"")&lt;&gt;"",LEFT(IF(OR($AC215="",인턴현황!$K$2=""),"",INDEX(인턴근무계획!$M$3:$R$62,$AC215,인턴현황!$K$2)&amp;""),1)&lt;&gt;"⚠"),LEFT(IF(OR($AC215="",인턴현황!$K$2=""),"",INDEX(인턴근무계획!$M$3:$R$62,$AC215,인턴현황!$K$2)&amp;""),FIND(" ",IF(OR($AC215="",인턴현황!$K$2=""),"",INDEX(인턴근무계획!$M$3:$R$62,$AC215,인턴현황!$K$2)&amp;""))-1),$AE215))</f>
        <v/>
      </c>
      <c r="AH215" s="17">
        <f>IF($B215="","",IF(TRIM($J215&amp;"")="",0,SUMPRODUCT((파견수련계획!$Q$4:$Q$83=TRIM($J215&amp;""))*(파견수련계획!$S$4:$S$83="서울병원")*파견수련계획!$W$4:$W$83))+IF($AG215="서울병원",MAX(0,DAY(EOMONTH(요약!$B$3,0))-N($X215)),0))</f>
        <v/>
      </c>
      <c r="AI215" s="17">
        <f>IF($B215="","",IF(TRIM($J215&amp;"")="",0,SUMPRODUCT((파견수련계획!$Q$4:$Q$83=TRIM($J215&amp;""))*(파견수련계획!$S$4:$S$83="구리병원")*파견수련계획!$W$4:$W$83))+IF($AG215="구리병원",MAX(0,DAY(EOMONTH(요약!$B$3,0))-N($X215)),0))</f>
        <v/>
      </c>
      <c r="AJ215" s="10">
        <f>IF(OR($B215="",TRIM($J215&amp;"")=""),"",IFERROR(MATCH(TRIM($J215&amp;"")&amp;"|월",파견수련계획!$Z$4:$Z$83,0),""))</f>
        <v/>
      </c>
      <c r="AK215" s="10">
        <f>IF(OR($B215="",TRIM($J215&amp;"")=""),"",IFERROR(MATCH(TRIM($J215&amp;"")&amp;"|다기관",파견수련계획!$AE$4:$AE$83,0),""))</f>
        <v/>
      </c>
      <c r="AL215" s="10">
        <f>IF($AK215="","","다기관 "&amp;TEXT(INDEX(파견수련계획!$AB$4:$AB$83,$AK215),"yyyy-mm-dd")&amp;"~"&amp;IF(ISNUMBER(INDEX(파견수련계획!$AC$4:$AC$83,$AK215)),TEXT(INDEX(파견수련계획!$AC$4:$AC$83,$AK215),"yyyy-mm-dd"),""))</f>
        <v/>
      </c>
    </row>
    <row r="216">
      <c r="A216" s="10">
        <f>IF(B216="","",ROW()-1)</f>
        <v/>
      </c>
      <c r="B216" s="18" t="n"/>
      <c r="C216" s="10">
        <f>IF($AB216="","",IF(INDEX(기본자료!$C$2:$C$1001,$AB216)="","",INDEX(기본자료!$C$2:$C$1001,$AB216)))</f>
        <v/>
      </c>
      <c r="D216" s="10">
        <f>IF($AB216="","",IF(INDEX(기본자료!$J$2:$J$1001,$AB216)="","",INDEX(기본자료!$J$2:$J$1001,$AB216)))</f>
        <v/>
      </c>
      <c r="E216" s="11">
        <f>IF($AB216="","",IF(INDEX(기본자료!$K$2:$K$1001,$AB216)="","",IF(NOT(ISNUMBER(INDEX(기본자료!$K$2:$K$1001,$AB216))),INDEX(기본자료!$K$2:$K$1001,$AB216),IF(INDEX(기본자료!$K$2:$K$1001,$AB216)&lt;1000000,INDEX(기본자료!$K$2:$K$1001,$AB216),IF(AND(INDEX(기본자료!$K$2:$K$1001,$AB216)&gt;=10000101,INT(MOD(INDEX(기본자료!$K$2:$K$1001,$AB216),10000)/100)&gt;=1,INT(MOD(INDEX(기본자료!$K$2:$K$1001,$AB216),10000)/100)&lt;=12,MOD(INDEX(기본자료!$K$2:$K$1001,$AB216),100)&gt;=1,MOD(INDEX(기본자료!$K$2:$K$1001,$AB216),100)&lt;=31),DATE(INT(INDEX(기본자료!$K$2:$K$1001,$AB216)/10000),INT(MOD(INDEX(기본자료!$K$2:$K$1001,$AB216),10000)/100),MOD(INDEX(기본자료!$K$2:$K$1001,$AB216),100)),INDEX(기본자료!$K$2:$K$1001,$AB216)&amp;"")))))</f>
        <v/>
      </c>
      <c r="F216" s="10">
        <f>IF($AB216="","",IF(INDEX(기본자료!$D$2:$D$1001,$AB216)="","",INDEX(기본자료!$D$2:$D$1001,$AB216)))</f>
        <v/>
      </c>
      <c r="G216" s="10">
        <f>IF($AB216="","",IF(INDEX(기본자료!$E$2:$E$1001,$AB216)="","",INDEX(기본자료!$E$2:$E$1001,$AB216)))</f>
        <v/>
      </c>
      <c r="H216" s="10">
        <f>IF($AB216="","",IF(INDEX(기본자료!$F$2:$F$1001,$AB216)="","",INDEX(기본자료!$F$2:$F$1001,$AB216)))</f>
        <v/>
      </c>
      <c r="I216" s="11">
        <f>IF($AB216="","",IF(INDEX(기본자료!$G$2:$G$1001,$AB216)="","",IF(NOT(ISNUMBER(INDEX(기본자료!$G$2:$G$1001,$AB216))),INDEX(기본자료!$G$2:$G$1001,$AB216),IF(INDEX(기본자료!$G$2:$G$1001,$AB216)&lt;1000000,INDEX(기본자료!$G$2:$G$1001,$AB216),IF(AND(INDEX(기본자료!$G$2:$G$1001,$AB216)&gt;=10000101,INT(MOD(INDEX(기본자료!$G$2:$G$1001,$AB216),10000)/100)&gt;=1,INT(MOD(INDEX(기본자료!$G$2:$G$1001,$AB216),10000)/100)&lt;=12,MOD(INDEX(기본자료!$G$2:$G$1001,$AB216),100)&gt;=1,MOD(INDEX(기본자료!$G$2:$G$1001,$AB216),100)&lt;=31),DATE(INT(INDEX(기본자료!$G$2:$G$1001,$AB216)/10000),INT(MOD(INDEX(기본자료!$G$2:$G$1001,$AB216),10000)/100),MOD(INDEX(기본자료!$G$2:$G$1001,$AB216),100)),INDEX(기본자료!$G$2:$G$1001,$AB216)&amp;"")))))</f>
        <v/>
      </c>
      <c r="J216" s="10">
        <f>IF($AB216="","",IF(INDEX(기본자료!$H$2:$H$1001,$AB216)="","",INDEX(기본자료!$H$2:$H$1001,$AB216)))</f>
        <v/>
      </c>
      <c r="K216" s="10">
        <f>IF($AB216="","",IF(INDEX(기본자료!$I$2:$I$1001,$AB216)="","",INDEX(기본자료!$I$2:$I$1001,$AB216)))</f>
        <v/>
      </c>
      <c r="L216" s="10">
        <f>IF($AB216="","",IF(INDEX(기본자료!$A$2:$A$1001,$AB216)="","",INDEX(기본자료!$A$2:$A$1001,$AB216)))</f>
        <v/>
      </c>
      <c r="M216" s="15" t="n"/>
      <c r="N216" s="10">
        <f>IF($B216="","",IF(AND($U216="파견중",$Q216&lt;&gt;""),$Q216,IF(AND($AD216&lt;&gt;"",LEFT($AD216,1)&lt;&gt;"⚠"),LEFT($AD216,FIND(" ",$AD216)-1),IF($H216="","",IF(RIGHT($H216,2)="병원",$H216,$H216&amp;"병원")))))</f>
        <v/>
      </c>
      <c r="O216" s="10">
        <f>IF($B216="","",IF(AND($U216="파견중",$Q216&lt;&gt;""),IF($R216&lt;&gt;"",$R216,"파견과 미입력"),IF(AND($AD216&lt;&gt;"",LEFT($AD216,1)&lt;&gt;"⚠"),MID($AD216,FIND(" ",$AD216)+1,60),IF($F216="","",IF($F216="인턴","수련교육부(인턴)",$F216)))))</f>
        <v/>
      </c>
      <c r="P216" s="10">
        <f>IF($B216="","",IF($AK216&lt;&gt;"",IF(AND(TODAY()&gt;=INDEX(파견수련계획!$AB$4:$AB$83,$AK216),OR(NOT(ISNUMBER(INDEX(파견수련계획!$AC$4:$AC$83,$AK216))),TODAY()&lt;=INDEX(파견수련계획!$AC$4:$AC$83,$AK216))),"다기관",IF($AF216="","",INDEX(파견수련계획!$T$4:$T$83,$AF216))),IF($AF216="","",INDEX(파견수련계획!$T$4:$T$83,$AF216))))</f>
        <v/>
      </c>
      <c r="Q216" s="10">
        <f>IF($AF216="","",INDEX(파견수련계획!$S$4:$S$83,$AF216))</f>
        <v/>
      </c>
      <c r="R216" s="10">
        <f>IF($AF216="","",INDEX(파견수련계획!$U$4:$U$83,$AF216))</f>
        <v/>
      </c>
      <c r="S216" s="11">
        <f>IF($AF216="","",IF(INDEX(파견수련계획!$H$4:$H$83,$AF216)="","",INDEX(파견수련계획!$H$4:$H$83,$AF216)))</f>
        <v/>
      </c>
      <c r="T216" s="11">
        <f>IF($AF216="","",IF(INDEX(파견수련계획!$I$4:$I$83,$AF216)="","",INDEX(파견수련계획!$I$4:$I$83,$AF216)))</f>
        <v/>
      </c>
      <c r="U216" s="10">
        <f>IF($AF216="","",INDEX(파견수련계획!$X$4:$X$83,$AF216))</f>
        <v/>
      </c>
      <c r="V216" s="17">
        <f>IF($AF216="","",INDEX(파견수련계획!$V$4:$V$83,$AF216))</f>
        <v/>
      </c>
      <c r="W216" s="17">
        <f>IF(AND($U216="파견중",$T216&lt;&gt;""),$T216-TODAY(),"")</f>
        <v/>
      </c>
      <c r="X216" s="17">
        <f>IF(OR($B216="",TRIM($J216&amp;"")=""),"",SUMPRODUCT((파견수련계획!$Q$4:$Q$83=TRIM($J216&amp;""))*파견수련계획!$W$4:$W$83))</f>
        <v/>
      </c>
      <c r="Y216" s="10">
        <f>IF($B216="","",IF($AG216="","",IF(IF(TRIM($J216&amp;"")="",0,SUMPRODUCT((파견수련계획!$Q$4:$Q$83=TRIM($J216&amp;""))*파견수련계획!$AD$4:$AD$83))&gt;0,$AE216,IF(N($X216)&lt;=0,$AG216,IF($AH216+$AI216=DAY(EOMONTH(요약!$B$3,0)),IF(AND($AH216&gt;=요약!$E$3,$AI216&lt;요약!$E$3),"서울병원",IF(AND($AI216&gt;=요약!$E$3,$AH216&lt;요약!$E$3),"구리병원","⚠15일 판정불가(서울 "&amp;$AH216&amp;"일/구리 "&amp;$AI216&amp;"일)")),IF($AJ216="",$AE216,IF(INDEX(파견수련계획!$T$4:$T$83,$AJ216)="통합수련",INDEX(파견수련계획!$S$4:$S$83,$AJ216),$AE216)))))))</f>
        <v/>
      </c>
      <c r="Z216" s="19">
        <f>IF($B216="","",IF($AB216="","기본자료에 없는 사번",IF(COUNTIF($B$2:$B$401,$B216)&gt;1,"중복 사번",IF($AE216="","소속(입사장소) 입력",IF(IF(TRIM($J216&amp;"")="",0,SUMPRODUCT((파견수련계획!$Q$4:$Q$83=TRIM($J216&amp;""))*(파견수련계획!$AA$4:$AA$83&lt;&gt;"")))&gt;0,"파견수련계획 입력오류 확인",IF(LEFT($Y216,1)="⚠","서울·구리 15일 판정 불가(양쪽 모두 이상/미만)",IF(IF($AC216="",0,N(INDEX(인턴근무계획!$T$3:$T$62,$AC216)))&gt;0,"인턴계획 입력오류 확인",IF(AND($AC216&lt;&gt;"",$U216&lt;&gt;"파견중",$N216&lt;&gt;$AE216),"인턴 타지역 근무: 파견 여부 확인","정상"))))))))</f>
        <v/>
      </c>
      <c r="AA216" s="5" t="n"/>
      <c r="AB216" s="10">
        <f>IF($B216="","",IFERROR(MATCH($B216,기본자료!$B$2:$B$1001,0),IFERROR(MATCH($B216&amp;"",기본자료!$B$2:$B$1001,0),IFERROR(MATCH(VALUE($B216),기본자료!$B$2:$B$1001,0),""))))</f>
        <v/>
      </c>
      <c r="AC216" s="10">
        <f>IF($B216="","",IFERROR(MATCH($B216,인턴근무계획!$D$3:$D$62,0),IFERROR(MATCH($B216&amp;"",인턴근무계획!$D$3:$D$62,0),IFERROR(MATCH(VALUE($B216),인턴근무계획!$D$3:$D$62,0),""))))</f>
        <v/>
      </c>
      <c r="AD216" s="10">
        <f>IF(OR($AC216="",인턴현황!$G$3=""),"",INDEX(인턴근무계획!$M$3:$R$62,$AC216,인턴현황!$G$3)&amp;"")</f>
        <v/>
      </c>
      <c r="AE216" s="10">
        <f>IF($B216="","",IF($M216&lt;&gt;"",$M216,IF($AF216&lt;&gt;"",IF(LEFT(INDEX(파견수련계획!$R$4:$R$83,$AF216),1)&lt;&gt;"⚠",INDEX(파견수련계획!$R$4:$R$83,$AF216),IF($H216="","",IF(RIGHT($H216,2)="병원",$H216,$H216&amp;"병원"))),IF($H216="","",IF(RIGHT($H216,2)="병원",$H216,$H216&amp;"병원")))))</f>
        <v/>
      </c>
      <c r="AF216" s="10">
        <f>IF(OR($B216="",TRIM($J216&amp;"")=""),"",IFERROR(MATCH(TRIM($J216&amp;"")&amp;"|파견중",파견수련계획!$Y$4:$Y$83,0),IFERROR(MATCH(TRIM($J216&amp;"")&amp;"|파견예정",파견수련계획!$Y$4:$Y$83,0),IFERROR(MATCH(TRIM($J216&amp;"")&amp;"|파견종료",파견수련계획!$Y$4:$Y$83,0),""))))</f>
        <v/>
      </c>
      <c r="AG216" s="10">
        <f>IF($B216="","",IF(AND(IF(OR($AC216="",인턴현황!$K$2=""),"",INDEX(인턴근무계획!$M$3:$R$62,$AC216,인턴현황!$K$2)&amp;"")&lt;&gt;"",LEFT(IF(OR($AC216="",인턴현황!$K$2=""),"",INDEX(인턴근무계획!$M$3:$R$62,$AC216,인턴현황!$K$2)&amp;""),1)&lt;&gt;"⚠"),LEFT(IF(OR($AC216="",인턴현황!$K$2=""),"",INDEX(인턴근무계획!$M$3:$R$62,$AC216,인턴현황!$K$2)&amp;""),FIND(" ",IF(OR($AC216="",인턴현황!$K$2=""),"",INDEX(인턴근무계획!$M$3:$R$62,$AC216,인턴현황!$K$2)&amp;""))-1),$AE216))</f>
        <v/>
      </c>
      <c r="AH216" s="17">
        <f>IF($B216="","",IF(TRIM($J216&amp;"")="",0,SUMPRODUCT((파견수련계획!$Q$4:$Q$83=TRIM($J216&amp;""))*(파견수련계획!$S$4:$S$83="서울병원")*파견수련계획!$W$4:$W$83))+IF($AG216="서울병원",MAX(0,DAY(EOMONTH(요약!$B$3,0))-N($X216)),0))</f>
        <v/>
      </c>
      <c r="AI216" s="17">
        <f>IF($B216="","",IF(TRIM($J216&amp;"")="",0,SUMPRODUCT((파견수련계획!$Q$4:$Q$83=TRIM($J216&amp;""))*(파견수련계획!$S$4:$S$83="구리병원")*파견수련계획!$W$4:$W$83))+IF($AG216="구리병원",MAX(0,DAY(EOMONTH(요약!$B$3,0))-N($X216)),0))</f>
        <v/>
      </c>
      <c r="AJ216" s="10">
        <f>IF(OR($B216="",TRIM($J216&amp;"")=""),"",IFERROR(MATCH(TRIM($J216&amp;"")&amp;"|월",파견수련계획!$Z$4:$Z$83,0),""))</f>
        <v/>
      </c>
      <c r="AK216" s="10">
        <f>IF(OR($B216="",TRIM($J216&amp;"")=""),"",IFERROR(MATCH(TRIM($J216&amp;"")&amp;"|다기관",파견수련계획!$AE$4:$AE$83,0),""))</f>
        <v/>
      </c>
      <c r="AL216" s="10">
        <f>IF($AK216="","","다기관 "&amp;TEXT(INDEX(파견수련계획!$AB$4:$AB$83,$AK216),"yyyy-mm-dd")&amp;"~"&amp;IF(ISNUMBER(INDEX(파견수련계획!$AC$4:$AC$83,$AK216)),TEXT(INDEX(파견수련계획!$AC$4:$AC$83,$AK216),"yyyy-mm-dd"),""))</f>
        <v/>
      </c>
    </row>
    <row r="217">
      <c r="A217" s="10">
        <f>IF(B217="","",ROW()-1)</f>
        <v/>
      </c>
      <c r="B217" s="18" t="n"/>
      <c r="C217" s="10">
        <f>IF($AB217="","",IF(INDEX(기본자료!$C$2:$C$1001,$AB217)="","",INDEX(기본자료!$C$2:$C$1001,$AB217)))</f>
        <v/>
      </c>
      <c r="D217" s="10">
        <f>IF($AB217="","",IF(INDEX(기본자료!$J$2:$J$1001,$AB217)="","",INDEX(기본자료!$J$2:$J$1001,$AB217)))</f>
        <v/>
      </c>
      <c r="E217" s="11">
        <f>IF($AB217="","",IF(INDEX(기본자료!$K$2:$K$1001,$AB217)="","",IF(NOT(ISNUMBER(INDEX(기본자료!$K$2:$K$1001,$AB217))),INDEX(기본자료!$K$2:$K$1001,$AB217),IF(INDEX(기본자료!$K$2:$K$1001,$AB217)&lt;1000000,INDEX(기본자료!$K$2:$K$1001,$AB217),IF(AND(INDEX(기본자료!$K$2:$K$1001,$AB217)&gt;=10000101,INT(MOD(INDEX(기본자료!$K$2:$K$1001,$AB217),10000)/100)&gt;=1,INT(MOD(INDEX(기본자료!$K$2:$K$1001,$AB217),10000)/100)&lt;=12,MOD(INDEX(기본자료!$K$2:$K$1001,$AB217),100)&gt;=1,MOD(INDEX(기본자료!$K$2:$K$1001,$AB217),100)&lt;=31),DATE(INT(INDEX(기본자료!$K$2:$K$1001,$AB217)/10000),INT(MOD(INDEX(기본자료!$K$2:$K$1001,$AB217),10000)/100),MOD(INDEX(기본자료!$K$2:$K$1001,$AB217),100)),INDEX(기본자료!$K$2:$K$1001,$AB217)&amp;"")))))</f>
        <v/>
      </c>
      <c r="F217" s="10">
        <f>IF($AB217="","",IF(INDEX(기본자료!$D$2:$D$1001,$AB217)="","",INDEX(기본자료!$D$2:$D$1001,$AB217)))</f>
        <v/>
      </c>
      <c r="G217" s="10">
        <f>IF($AB217="","",IF(INDEX(기본자료!$E$2:$E$1001,$AB217)="","",INDEX(기본자료!$E$2:$E$1001,$AB217)))</f>
        <v/>
      </c>
      <c r="H217" s="10">
        <f>IF($AB217="","",IF(INDEX(기본자료!$F$2:$F$1001,$AB217)="","",INDEX(기본자료!$F$2:$F$1001,$AB217)))</f>
        <v/>
      </c>
      <c r="I217" s="11">
        <f>IF($AB217="","",IF(INDEX(기본자료!$G$2:$G$1001,$AB217)="","",IF(NOT(ISNUMBER(INDEX(기본자료!$G$2:$G$1001,$AB217))),INDEX(기본자료!$G$2:$G$1001,$AB217),IF(INDEX(기본자료!$G$2:$G$1001,$AB217)&lt;1000000,INDEX(기본자료!$G$2:$G$1001,$AB217),IF(AND(INDEX(기본자료!$G$2:$G$1001,$AB217)&gt;=10000101,INT(MOD(INDEX(기본자료!$G$2:$G$1001,$AB217),10000)/100)&gt;=1,INT(MOD(INDEX(기본자료!$G$2:$G$1001,$AB217),10000)/100)&lt;=12,MOD(INDEX(기본자료!$G$2:$G$1001,$AB217),100)&gt;=1,MOD(INDEX(기본자료!$G$2:$G$1001,$AB217),100)&lt;=31),DATE(INT(INDEX(기본자료!$G$2:$G$1001,$AB217)/10000),INT(MOD(INDEX(기본자료!$G$2:$G$1001,$AB217),10000)/100),MOD(INDEX(기본자료!$G$2:$G$1001,$AB217),100)),INDEX(기본자료!$G$2:$G$1001,$AB217)&amp;"")))))</f>
        <v/>
      </c>
      <c r="J217" s="10">
        <f>IF($AB217="","",IF(INDEX(기본자료!$H$2:$H$1001,$AB217)="","",INDEX(기본자료!$H$2:$H$1001,$AB217)))</f>
        <v/>
      </c>
      <c r="K217" s="10">
        <f>IF($AB217="","",IF(INDEX(기본자료!$I$2:$I$1001,$AB217)="","",INDEX(기본자료!$I$2:$I$1001,$AB217)))</f>
        <v/>
      </c>
      <c r="L217" s="10">
        <f>IF($AB217="","",IF(INDEX(기본자료!$A$2:$A$1001,$AB217)="","",INDEX(기본자료!$A$2:$A$1001,$AB217)))</f>
        <v/>
      </c>
      <c r="M217" s="15" t="n"/>
      <c r="N217" s="10">
        <f>IF($B217="","",IF(AND($U217="파견중",$Q217&lt;&gt;""),$Q217,IF(AND($AD217&lt;&gt;"",LEFT($AD217,1)&lt;&gt;"⚠"),LEFT($AD217,FIND(" ",$AD217)-1),IF($H217="","",IF(RIGHT($H217,2)="병원",$H217,$H217&amp;"병원")))))</f>
        <v/>
      </c>
      <c r="O217" s="10">
        <f>IF($B217="","",IF(AND($U217="파견중",$Q217&lt;&gt;""),IF($R217&lt;&gt;"",$R217,"파견과 미입력"),IF(AND($AD217&lt;&gt;"",LEFT($AD217,1)&lt;&gt;"⚠"),MID($AD217,FIND(" ",$AD217)+1,60),IF($F217="","",IF($F217="인턴","수련교육부(인턴)",$F217)))))</f>
        <v/>
      </c>
      <c r="P217" s="10">
        <f>IF($B217="","",IF($AK217&lt;&gt;"",IF(AND(TODAY()&gt;=INDEX(파견수련계획!$AB$4:$AB$83,$AK217),OR(NOT(ISNUMBER(INDEX(파견수련계획!$AC$4:$AC$83,$AK217))),TODAY()&lt;=INDEX(파견수련계획!$AC$4:$AC$83,$AK217))),"다기관",IF($AF217="","",INDEX(파견수련계획!$T$4:$T$83,$AF217))),IF($AF217="","",INDEX(파견수련계획!$T$4:$T$83,$AF217))))</f>
        <v/>
      </c>
      <c r="Q217" s="10">
        <f>IF($AF217="","",INDEX(파견수련계획!$S$4:$S$83,$AF217))</f>
        <v/>
      </c>
      <c r="R217" s="10">
        <f>IF($AF217="","",INDEX(파견수련계획!$U$4:$U$83,$AF217))</f>
        <v/>
      </c>
      <c r="S217" s="11">
        <f>IF($AF217="","",IF(INDEX(파견수련계획!$H$4:$H$83,$AF217)="","",INDEX(파견수련계획!$H$4:$H$83,$AF217)))</f>
        <v/>
      </c>
      <c r="T217" s="11">
        <f>IF($AF217="","",IF(INDEX(파견수련계획!$I$4:$I$83,$AF217)="","",INDEX(파견수련계획!$I$4:$I$83,$AF217)))</f>
        <v/>
      </c>
      <c r="U217" s="10">
        <f>IF($AF217="","",INDEX(파견수련계획!$X$4:$X$83,$AF217))</f>
        <v/>
      </c>
      <c r="V217" s="17">
        <f>IF($AF217="","",INDEX(파견수련계획!$V$4:$V$83,$AF217))</f>
        <v/>
      </c>
      <c r="W217" s="17">
        <f>IF(AND($U217="파견중",$T217&lt;&gt;""),$T217-TODAY(),"")</f>
        <v/>
      </c>
      <c r="X217" s="17">
        <f>IF(OR($B217="",TRIM($J217&amp;"")=""),"",SUMPRODUCT((파견수련계획!$Q$4:$Q$83=TRIM($J217&amp;""))*파견수련계획!$W$4:$W$83))</f>
        <v/>
      </c>
      <c r="Y217" s="10">
        <f>IF($B217="","",IF($AG217="","",IF(IF(TRIM($J217&amp;"")="",0,SUMPRODUCT((파견수련계획!$Q$4:$Q$83=TRIM($J217&amp;""))*파견수련계획!$AD$4:$AD$83))&gt;0,$AE217,IF(N($X217)&lt;=0,$AG217,IF($AH217+$AI217=DAY(EOMONTH(요약!$B$3,0)),IF(AND($AH217&gt;=요약!$E$3,$AI217&lt;요약!$E$3),"서울병원",IF(AND($AI217&gt;=요약!$E$3,$AH217&lt;요약!$E$3),"구리병원","⚠15일 판정불가(서울 "&amp;$AH217&amp;"일/구리 "&amp;$AI217&amp;"일)")),IF($AJ217="",$AE217,IF(INDEX(파견수련계획!$T$4:$T$83,$AJ217)="통합수련",INDEX(파견수련계획!$S$4:$S$83,$AJ217),$AE217)))))))</f>
        <v/>
      </c>
      <c r="Z217" s="19">
        <f>IF($B217="","",IF($AB217="","기본자료에 없는 사번",IF(COUNTIF($B$2:$B$401,$B217)&gt;1,"중복 사번",IF($AE217="","소속(입사장소) 입력",IF(IF(TRIM($J217&amp;"")="",0,SUMPRODUCT((파견수련계획!$Q$4:$Q$83=TRIM($J217&amp;""))*(파견수련계획!$AA$4:$AA$83&lt;&gt;"")))&gt;0,"파견수련계획 입력오류 확인",IF(LEFT($Y217,1)="⚠","서울·구리 15일 판정 불가(양쪽 모두 이상/미만)",IF(IF($AC217="",0,N(INDEX(인턴근무계획!$T$3:$T$62,$AC217)))&gt;0,"인턴계획 입력오류 확인",IF(AND($AC217&lt;&gt;"",$U217&lt;&gt;"파견중",$N217&lt;&gt;$AE217),"인턴 타지역 근무: 파견 여부 확인","정상"))))))))</f>
        <v/>
      </c>
      <c r="AA217" s="5" t="n"/>
      <c r="AB217" s="10">
        <f>IF($B217="","",IFERROR(MATCH($B217,기본자료!$B$2:$B$1001,0),IFERROR(MATCH($B217&amp;"",기본자료!$B$2:$B$1001,0),IFERROR(MATCH(VALUE($B217),기본자료!$B$2:$B$1001,0),""))))</f>
        <v/>
      </c>
      <c r="AC217" s="10">
        <f>IF($B217="","",IFERROR(MATCH($B217,인턴근무계획!$D$3:$D$62,0),IFERROR(MATCH($B217&amp;"",인턴근무계획!$D$3:$D$62,0),IFERROR(MATCH(VALUE($B217),인턴근무계획!$D$3:$D$62,0),""))))</f>
        <v/>
      </c>
      <c r="AD217" s="10">
        <f>IF(OR($AC217="",인턴현황!$G$3=""),"",INDEX(인턴근무계획!$M$3:$R$62,$AC217,인턴현황!$G$3)&amp;"")</f>
        <v/>
      </c>
      <c r="AE217" s="10">
        <f>IF($B217="","",IF($M217&lt;&gt;"",$M217,IF($AF217&lt;&gt;"",IF(LEFT(INDEX(파견수련계획!$R$4:$R$83,$AF217),1)&lt;&gt;"⚠",INDEX(파견수련계획!$R$4:$R$83,$AF217),IF($H217="","",IF(RIGHT($H217,2)="병원",$H217,$H217&amp;"병원"))),IF($H217="","",IF(RIGHT($H217,2)="병원",$H217,$H217&amp;"병원")))))</f>
        <v/>
      </c>
      <c r="AF217" s="10">
        <f>IF(OR($B217="",TRIM($J217&amp;"")=""),"",IFERROR(MATCH(TRIM($J217&amp;"")&amp;"|파견중",파견수련계획!$Y$4:$Y$83,0),IFERROR(MATCH(TRIM($J217&amp;"")&amp;"|파견예정",파견수련계획!$Y$4:$Y$83,0),IFERROR(MATCH(TRIM($J217&amp;"")&amp;"|파견종료",파견수련계획!$Y$4:$Y$83,0),""))))</f>
        <v/>
      </c>
      <c r="AG217" s="10">
        <f>IF($B217="","",IF(AND(IF(OR($AC217="",인턴현황!$K$2=""),"",INDEX(인턴근무계획!$M$3:$R$62,$AC217,인턴현황!$K$2)&amp;"")&lt;&gt;"",LEFT(IF(OR($AC217="",인턴현황!$K$2=""),"",INDEX(인턴근무계획!$M$3:$R$62,$AC217,인턴현황!$K$2)&amp;""),1)&lt;&gt;"⚠"),LEFT(IF(OR($AC217="",인턴현황!$K$2=""),"",INDEX(인턴근무계획!$M$3:$R$62,$AC217,인턴현황!$K$2)&amp;""),FIND(" ",IF(OR($AC217="",인턴현황!$K$2=""),"",INDEX(인턴근무계획!$M$3:$R$62,$AC217,인턴현황!$K$2)&amp;""))-1),$AE217))</f>
        <v/>
      </c>
      <c r="AH217" s="17">
        <f>IF($B217="","",IF(TRIM($J217&amp;"")="",0,SUMPRODUCT((파견수련계획!$Q$4:$Q$83=TRIM($J217&amp;""))*(파견수련계획!$S$4:$S$83="서울병원")*파견수련계획!$W$4:$W$83))+IF($AG217="서울병원",MAX(0,DAY(EOMONTH(요약!$B$3,0))-N($X217)),0))</f>
        <v/>
      </c>
      <c r="AI217" s="17">
        <f>IF($B217="","",IF(TRIM($J217&amp;"")="",0,SUMPRODUCT((파견수련계획!$Q$4:$Q$83=TRIM($J217&amp;""))*(파견수련계획!$S$4:$S$83="구리병원")*파견수련계획!$W$4:$W$83))+IF($AG217="구리병원",MAX(0,DAY(EOMONTH(요약!$B$3,0))-N($X217)),0))</f>
        <v/>
      </c>
      <c r="AJ217" s="10">
        <f>IF(OR($B217="",TRIM($J217&amp;"")=""),"",IFERROR(MATCH(TRIM($J217&amp;"")&amp;"|월",파견수련계획!$Z$4:$Z$83,0),""))</f>
        <v/>
      </c>
      <c r="AK217" s="10">
        <f>IF(OR($B217="",TRIM($J217&amp;"")=""),"",IFERROR(MATCH(TRIM($J217&amp;"")&amp;"|다기관",파견수련계획!$AE$4:$AE$83,0),""))</f>
        <v/>
      </c>
      <c r="AL217" s="10">
        <f>IF($AK217="","","다기관 "&amp;TEXT(INDEX(파견수련계획!$AB$4:$AB$83,$AK217),"yyyy-mm-dd")&amp;"~"&amp;IF(ISNUMBER(INDEX(파견수련계획!$AC$4:$AC$83,$AK217)),TEXT(INDEX(파견수련계획!$AC$4:$AC$83,$AK217),"yyyy-mm-dd"),""))</f>
        <v/>
      </c>
    </row>
    <row r="218">
      <c r="A218" s="10">
        <f>IF(B218="","",ROW()-1)</f>
        <v/>
      </c>
      <c r="B218" s="18" t="n"/>
      <c r="C218" s="10">
        <f>IF($AB218="","",IF(INDEX(기본자료!$C$2:$C$1001,$AB218)="","",INDEX(기본자료!$C$2:$C$1001,$AB218)))</f>
        <v/>
      </c>
      <c r="D218" s="10">
        <f>IF($AB218="","",IF(INDEX(기본자료!$J$2:$J$1001,$AB218)="","",INDEX(기본자료!$J$2:$J$1001,$AB218)))</f>
        <v/>
      </c>
      <c r="E218" s="11">
        <f>IF($AB218="","",IF(INDEX(기본자료!$K$2:$K$1001,$AB218)="","",IF(NOT(ISNUMBER(INDEX(기본자료!$K$2:$K$1001,$AB218))),INDEX(기본자료!$K$2:$K$1001,$AB218),IF(INDEX(기본자료!$K$2:$K$1001,$AB218)&lt;1000000,INDEX(기본자료!$K$2:$K$1001,$AB218),IF(AND(INDEX(기본자료!$K$2:$K$1001,$AB218)&gt;=10000101,INT(MOD(INDEX(기본자료!$K$2:$K$1001,$AB218),10000)/100)&gt;=1,INT(MOD(INDEX(기본자료!$K$2:$K$1001,$AB218),10000)/100)&lt;=12,MOD(INDEX(기본자료!$K$2:$K$1001,$AB218),100)&gt;=1,MOD(INDEX(기본자료!$K$2:$K$1001,$AB218),100)&lt;=31),DATE(INT(INDEX(기본자료!$K$2:$K$1001,$AB218)/10000),INT(MOD(INDEX(기본자료!$K$2:$K$1001,$AB218),10000)/100),MOD(INDEX(기본자료!$K$2:$K$1001,$AB218),100)),INDEX(기본자료!$K$2:$K$1001,$AB218)&amp;"")))))</f>
        <v/>
      </c>
      <c r="F218" s="10">
        <f>IF($AB218="","",IF(INDEX(기본자료!$D$2:$D$1001,$AB218)="","",INDEX(기본자료!$D$2:$D$1001,$AB218)))</f>
        <v/>
      </c>
      <c r="G218" s="10">
        <f>IF($AB218="","",IF(INDEX(기본자료!$E$2:$E$1001,$AB218)="","",INDEX(기본자료!$E$2:$E$1001,$AB218)))</f>
        <v/>
      </c>
      <c r="H218" s="10">
        <f>IF($AB218="","",IF(INDEX(기본자료!$F$2:$F$1001,$AB218)="","",INDEX(기본자료!$F$2:$F$1001,$AB218)))</f>
        <v/>
      </c>
      <c r="I218" s="11">
        <f>IF($AB218="","",IF(INDEX(기본자료!$G$2:$G$1001,$AB218)="","",IF(NOT(ISNUMBER(INDEX(기본자료!$G$2:$G$1001,$AB218))),INDEX(기본자료!$G$2:$G$1001,$AB218),IF(INDEX(기본자료!$G$2:$G$1001,$AB218)&lt;1000000,INDEX(기본자료!$G$2:$G$1001,$AB218),IF(AND(INDEX(기본자료!$G$2:$G$1001,$AB218)&gt;=10000101,INT(MOD(INDEX(기본자료!$G$2:$G$1001,$AB218),10000)/100)&gt;=1,INT(MOD(INDEX(기본자료!$G$2:$G$1001,$AB218),10000)/100)&lt;=12,MOD(INDEX(기본자료!$G$2:$G$1001,$AB218),100)&gt;=1,MOD(INDEX(기본자료!$G$2:$G$1001,$AB218),100)&lt;=31),DATE(INT(INDEX(기본자료!$G$2:$G$1001,$AB218)/10000),INT(MOD(INDEX(기본자료!$G$2:$G$1001,$AB218),10000)/100),MOD(INDEX(기본자료!$G$2:$G$1001,$AB218),100)),INDEX(기본자료!$G$2:$G$1001,$AB218)&amp;"")))))</f>
        <v/>
      </c>
      <c r="J218" s="10">
        <f>IF($AB218="","",IF(INDEX(기본자료!$H$2:$H$1001,$AB218)="","",INDEX(기본자료!$H$2:$H$1001,$AB218)))</f>
        <v/>
      </c>
      <c r="K218" s="10">
        <f>IF($AB218="","",IF(INDEX(기본자료!$I$2:$I$1001,$AB218)="","",INDEX(기본자료!$I$2:$I$1001,$AB218)))</f>
        <v/>
      </c>
      <c r="L218" s="10">
        <f>IF($AB218="","",IF(INDEX(기본자료!$A$2:$A$1001,$AB218)="","",INDEX(기본자료!$A$2:$A$1001,$AB218)))</f>
        <v/>
      </c>
      <c r="M218" s="15" t="n"/>
      <c r="N218" s="10">
        <f>IF($B218="","",IF(AND($U218="파견중",$Q218&lt;&gt;""),$Q218,IF(AND($AD218&lt;&gt;"",LEFT($AD218,1)&lt;&gt;"⚠"),LEFT($AD218,FIND(" ",$AD218)-1),IF($H218="","",IF(RIGHT($H218,2)="병원",$H218,$H218&amp;"병원")))))</f>
        <v/>
      </c>
      <c r="O218" s="10">
        <f>IF($B218="","",IF(AND($U218="파견중",$Q218&lt;&gt;""),IF($R218&lt;&gt;"",$R218,"파견과 미입력"),IF(AND($AD218&lt;&gt;"",LEFT($AD218,1)&lt;&gt;"⚠"),MID($AD218,FIND(" ",$AD218)+1,60),IF($F218="","",IF($F218="인턴","수련교육부(인턴)",$F218)))))</f>
        <v/>
      </c>
      <c r="P218" s="10">
        <f>IF($B218="","",IF($AK218&lt;&gt;"",IF(AND(TODAY()&gt;=INDEX(파견수련계획!$AB$4:$AB$83,$AK218),OR(NOT(ISNUMBER(INDEX(파견수련계획!$AC$4:$AC$83,$AK218))),TODAY()&lt;=INDEX(파견수련계획!$AC$4:$AC$83,$AK218))),"다기관",IF($AF218="","",INDEX(파견수련계획!$T$4:$T$83,$AF218))),IF($AF218="","",INDEX(파견수련계획!$T$4:$T$83,$AF218))))</f>
        <v/>
      </c>
      <c r="Q218" s="10">
        <f>IF($AF218="","",INDEX(파견수련계획!$S$4:$S$83,$AF218))</f>
        <v/>
      </c>
      <c r="R218" s="10">
        <f>IF($AF218="","",INDEX(파견수련계획!$U$4:$U$83,$AF218))</f>
        <v/>
      </c>
      <c r="S218" s="11">
        <f>IF($AF218="","",IF(INDEX(파견수련계획!$H$4:$H$83,$AF218)="","",INDEX(파견수련계획!$H$4:$H$83,$AF218)))</f>
        <v/>
      </c>
      <c r="T218" s="11">
        <f>IF($AF218="","",IF(INDEX(파견수련계획!$I$4:$I$83,$AF218)="","",INDEX(파견수련계획!$I$4:$I$83,$AF218)))</f>
        <v/>
      </c>
      <c r="U218" s="10">
        <f>IF($AF218="","",INDEX(파견수련계획!$X$4:$X$83,$AF218))</f>
        <v/>
      </c>
      <c r="V218" s="17">
        <f>IF($AF218="","",INDEX(파견수련계획!$V$4:$V$83,$AF218))</f>
        <v/>
      </c>
      <c r="W218" s="17">
        <f>IF(AND($U218="파견중",$T218&lt;&gt;""),$T218-TODAY(),"")</f>
        <v/>
      </c>
      <c r="X218" s="17">
        <f>IF(OR($B218="",TRIM($J218&amp;"")=""),"",SUMPRODUCT((파견수련계획!$Q$4:$Q$83=TRIM($J218&amp;""))*파견수련계획!$W$4:$W$83))</f>
        <v/>
      </c>
      <c r="Y218" s="10">
        <f>IF($B218="","",IF($AG218="","",IF(IF(TRIM($J218&amp;"")="",0,SUMPRODUCT((파견수련계획!$Q$4:$Q$83=TRIM($J218&amp;""))*파견수련계획!$AD$4:$AD$83))&gt;0,$AE218,IF(N($X218)&lt;=0,$AG218,IF($AH218+$AI218=DAY(EOMONTH(요약!$B$3,0)),IF(AND($AH218&gt;=요약!$E$3,$AI218&lt;요약!$E$3),"서울병원",IF(AND($AI218&gt;=요약!$E$3,$AH218&lt;요약!$E$3),"구리병원","⚠15일 판정불가(서울 "&amp;$AH218&amp;"일/구리 "&amp;$AI218&amp;"일)")),IF($AJ218="",$AE218,IF(INDEX(파견수련계획!$T$4:$T$83,$AJ218)="통합수련",INDEX(파견수련계획!$S$4:$S$83,$AJ218),$AE218)))))))</f>
        <v/>
      </c>
      <c r="Z218" s="19">
        <f>IF($B218="","",IF($AB218="","기본자료에 없는 사번",IF(COUNTIF($B$2:$B$401,$B218)&gt;1,"중복 사번",IF($AE218="","소속(입사장소) 입력",IF(IF(TRIM($J218&amp;"")="",0,SUMPRODUCT((파견수련계획!$Q$4:$Q$83=TRIM($J218&amp;""))*(파견수련계획!$AA$4:$AA$83&lt;&gt;"")))&gt;0,"파견수련계획 입력오류 확인",IF(LEFT($Y218,1)="⚠","서울·구리 15일 판정 불가(양쪽 모두 이상/미만)",IF(IF($AC218="",0,N(INDEX(인턴근무계획!$T$3:$T$62,$AC218)))&gt;0,"인턴계획 입력오류 확인",IF(AND($AC218&lt;&gt;"",$U218&lt;&gt;"파견중",$N218&lt;&gt;$AE218),"인턴 타지역 근무: 파견 여부 확인","정상"))))))))</f>
        <v/>
      </c>
      <c r="AA218" s="5" t="n"/>
      <c r="AB218" s="10">
        <f>IF($B218="","",IFERROR(MATCH($B218,기본자료!$B$2:$B$1001,0),IFERROR(MATCH($B218&amp;"",기본자료!$B$2:$B$1001,0),IFERROR(MATCH(VALUE($B218),기본자료!$B$2:$B$1001,0),""))))</f>
        <v/>
      </c>
      <c r="AC218" s="10">
        <f>IF($B218="","",IFERROR(MATCH($B218,인턴근무계획!$D$3:$D$62,0),IFERROR(MATCH($B218&amp;"",인턴근무계획!$D$3:$D$62,0),IFERROR(MATCH(VALUE($B218),인턴근무계획!$D$3:$D$62,0),""))))</f>
        <v/>
      </c>
      <c r="AD218" s="10">
        <f>IF(OR($AC218="",인턴현황!$G$3=""),"",INDEX(인턴근무계획!$M$3:$R$62,$AC218,인턴현황!$G$3)&amp;"")</f>
        <v/>
      </c>
      <c r="AE218" s="10">
        <f>IF($B218="","",IF($M218&lt;&gt;"",$M218,IF($AF218&lt;&gt;"",IF(LEFT(INDEX(파견수련계획!$R$4:$R$83,$AF218),1)&lt;&gt;"⚠",INDEX(파견수련계획!$R$4:$R$83,$AF218),IF($H218="","",IF(RIGHT($H218,2)="병원",$H218,$H218&amp;"병원"))),IF($H218="","",IF(RIGHT($H218,2)="병원",$H218,$H218&amp;"병원")))))</f>
        <v/>
      </c>
      <c r="AF218" s="10">
        <f>IF(OR($B218="",TRIM($J218&amp;"")=""),"",IFERROR(MATCH(TRIM($J218&amp;"")&amp;"|파견중",파견수련계획!$Y$4:$Y$83,0),IFERROR(MATCH(TRIM($J218&amp;"")&amp;"|파견예정",파견수련계획!$Y$4:$Y$83,0),IFERROR(MATCH(TRIM($J218&amp;"")&amp;"|파견종료",파견수련계획!$Y$4:$Y$83,0),""))))</f>
        <v/>
      </c>
      <c r="AG218" s="10">
        <f>IF($B218="","",IF(AND(IF(OR($AC218="",인턴현황!$K$2=""),"",INDEX(인턴근무계획!$M$3:$R$62,$AC218,인턴현황!$K$2)&amp;"")&lt;&gt;"",LEFT(IF(OR($AC218="",인턴현황!$K$2=""),"",INDEX(인턴근무계획!$M$3:$R$62,$AC218,인턴현황!$K$2)&amp;""),1)&lt;&gt;"⚠"),LEFT(IF(OR($AC218="",인턴현황!$K$2=""),"",INDEX(인턴근무계획!$M$3:$R$62,$AC218,인턴현황!$K$2)&amp;""),FIND(" ",IF(OR($AC218="",인턴현황!$K$2=""),"",INDEX(인턴근무계획!$M$3:$R$62,$AC218,인턴현황!$K$2)&amp;""))-1),$AE218))</f>
        <v/>
      </c>
      <c r="AH218" s="17">
        <f>IF($B218="","",IF(TRIM($J218&amp;"")="",0,SUMPRODUCT((파견수련계획!$Q$4:$Q$83=TRIM($J218&amp;""))*(파견수련계획!$S$4:$S$83="서울병원")*파견수련계획!$W$4:$W$83))+IF($AG218="서울병원",MAX(0,DAY(EOMONTH(요약!$B$3,0))-N($X218)),0))</f>
        <v/>
      </c>
      <c r="AI218" s="17">
        <f>IF($B218="","",IF(TRIM($J218&amp;"")="",0,SUMPRODUCT((파견수련계획!$Q$4:$Q$83=TRIM($J218&amp;""))*(파견수련계획!$S$4:$S$83="구리병원")*파견수련계획!$W$4:$W$83))+IF($AG218="구리병원",MAX(0,DAY(EOMONTH(요약!$B$3,0))-N($X218)),0))</f>
        <v/>
      </c>
      <c r="AJ218" s="10">
        <f>IF(OR($B218="",TRIM($J218&amp;"")=""),"",IFERROR(MATCH(TRIM($J218&amp;"")&amp;"|월",파견수련계획!$Z$4:$Z$83,0),""))</f>
        <v/>
      </c>
      <c r="AK218" s="10">
        <f>IF(OR($B218="",TRIM($J218&amp;"")=""),"",IFERROR(MATCH(TRIM($J218&amp;"")&amp;"|다기관",파견수련계획!$AE$4:$AE$83,0),""))</f>
        <v/>
      </c>
      <c r="AL218" s="10">
        <f>IF($AK218="","","다기관 "&amp;TEXT(INDEX(파견수련계획!$AB$4:$AB$83,$AK218),"yyyy-mm-dd")&amp;"~"&amp;IF(ISNUMBER(INDEX(파견수련계획!$AC$4:$AC$83,$AK218)),TEXT(INDEX(파견수련계획!$AC$4:$AC$83,$AK218),"yyyy-mm-dd"),""))</f>
        <v/>
      </c>
    </row>
    <row r="219">
      <c r="A219" s="10">
        <f>IF(B219="","",ROW()-1)</f>
        <v/>
      </c>
      <c r="B219" s="18" t="n"/>
      <c r="C219" s="10">
        <f>IF($AB219="","",IF(INDEX(기본자료!$C$2:$C$1001,$AB219)="","",INDEX(기본자료!$C$2:$C$1001,$AB219)))</f>
        <v/>
      </c>
      <c r="D219" s="10">
        <f>IF($AB219="","",IF(INDEX(기본자료!$J$2:$J$1001,$AB219)="","",INDEX(기본자료!$J$2:$J$1001,$AB219)))</f>
        <v/>
      </c>
      <c r="E219" s="11">
        <f>IF($AB219="","",IF(INDEX(기본자료!$K$2:$K$1001,$AB219)="","",IF(NOT(ISNUMBER(INDEX(기본자료!$K$2:$K$1001,$AB219))),INDEX(기본자료!$K$2:$K$1001,$AB219),IF(INDEX(기본자료!$K$2:$K$1001,$AB219)&lt;1000000,INDEX(기본자료!$K$2:$K$1001,$AB219),IF(AND(INDEX(기본자료!$K$2:$K$1001,$AB219)&gt;=10000101,INT(MOD(INDEX(기본자료!$K$2:$K$1001,$AB219),10000)/100)&gt;=1,INT(MOD(INDEX(기본자료!$K$2:$K$1001,$AB219),10000)/100)&lt;=12,MOD(INDEX(기본자료!$K$2:$K$1001,$AB219),100)&gt;=1,MOD(INDEX(기본자료!$K$2:$K$1001,$AB219),100)&lt;=31),DATE(INT(INDEX(기본자료!$K$2:$K$1001,$AB219)/10000),INT(MOD(INDEX(기본자료!$K$2:$K$1001,$AB219),10000)/100),MOD(INDEX(기본자료!$K$2:$K$1001,$AB219),100)),INDEX(기본자료!$K$2:$K$1001,$AB219)&amp;"")))))</f>
        <v/>
      </c>
      <c r="F219" s="10">
        <f>IF($AB219="","",IF(INDEX(기본자료!$D$2:$D$1001,$AB219)="","",INDEX(기본자료!$D$2:$D$1001,$AB219)))</f>
        <v/>
      </c>
      <c r="G219" s="10">
        <f>IF($AB219="","",IF(INDEX(기본자료!$E$2:$E$1001,$AB219)="","",INDEX(기본자료!$E$2:$E$1001,$AB219)))</f>
        <v/>
      </c>
      <c r="H219" s="10">
        <f>IF($AB219="","",IF(INDEX(기본자료!$F$2:$F$1001,$AB219)="","",INDEX(기본자료!$F$2:$F$1001,$AB219)))</f>
        <v/>
      </c>
      <c r="I219" s="11">
        <f>IF($AB219="","",IF(INDEX(기본자료!$G$2:$G$1001,$AB219)="","",IF(NOT(ISNUMBER(INDEX(기본자료!$G$2:$G$1001,$AB219))),INDEX(기본자료!$G$2:$G$1001,$AB219),IF(INDEX(기본자료!$G$2:$G$1001,$AB219)&lt;1000000,INDEX(기본자료!$G$2:$G$1001,$AB219),IF(AND(INDEX(기본자료!$G$2:$G$1001,$AB219)&gt;=10000101,INT(MOD(INDEX(기본자료!$G$2:$G$1001,$AB219),10000)/100)&gt;=1,INT(MOD(INDEX(기본자료!$G$2:$G$1001,$AB219),10000)/100)&lt;=12,MOD(INDEX(기본자료!$G$2:$G$1001,$AB219),100)&gt;=1,MOD(INDEX(기본자료!$G$2:$G$1001,$AB219),100)&lt;=31),DATE(INT(INDEX(기본자료!$G$2:$G$1001,$AB219)/10000),INT(MOD(INDEX(기본자료!$G$2:$G$1001,$AB219),10000)/100),MOD(INDEX(기본자료!$G$2:$G$1001,$AB219),100)),INDEX(기본자료!$G$2:$G$1001,$AB219)&amp;"")))))</f>
        <v/>
      </c>
      <c r="J219" s="10">
        <f>IF($AB219="","",IF(INDEX(기본자료!$H$2:$H$1001,$AB219)="","",INDEX(기본자료!$H$2:$H$1001,$AB219)))</f>
        <v/>
      </c>
      <c r="K219" s="10">
        <f>IF($AB219="","",IF(INDEX(기본자료!$I$2:$I$1001,$AB219)="","",INDEX(기본자료!$I$2:$I$1001,$AB219)))</f>
        <v/>
      </c>
      <c r="L219" s="10">
        <f>IF($AB219="","",IF(INDEX(기본자료!$A$2:$A$1001,$AB219)="","",INDEX(기본자료!$A$2:$A$1001,$AB219)))</f>
        <v/>
      </c>
      <c r="M219" s="15" t="n"/>
      <c r="N219" s="10">
        <f>IF($B219="","",IF(AND($U219="파견중",$Q219&lt;&gt;""),$Q219,IF(AND($AD219&lt;&gt;"",LEFT($AD219,1)&lt;&gt;"⚠"),LEFT($AD219,FIND(" ",$AD219)-1),IF($H219="","",IF(RIGHT($H219,2)="병원",$H219,$H219&amp;"병원")))))</f>
        <v/>
      </c>
      <c r="O219" s="10">
        <f>IF($B219="","",IF(AND($U219="파견중",$Q219&lt;&gt;""),IF($R219&lt;&gt;"",$R219,"파견과 미입력"),IF(AND($AD219&lt;&gt;"",LEFT($AD219,1)&lt;&gt;"⚠"),MID($AD219,FIND(" ",$AD219)+1,60),IF($F219="","",IF($F219="인턴","수련교육부(인턴)",$F219)))))</f>
        <v/>
      </c>
      <c r="P219" s="10">
        <f>IF($B219="","",IF($AK219&lt;&gt;"",IF(AND(TODAY()&gt;=INDEX(파견수련계획!$AB$4:$AB$83,$AK219),OR(NOT(ISNUMBER(INDEX(파견수련계획!$AC$4:$AC$83,$AK219))),TODAY()&lt;=INDEX(파견수련계획!$AC$4:$AC$83,$AK219))),"다기관",IF($AF219="","",INDEX(파견수련계획!$T$4:$T$83,$AF219))),IF($AF219="","",INDEX(파견수련계획!$T$4:$T$83,$AF219))))</f>
        <v/>
      </c>
      <c r="Q219" s="10">
        <f>IF($AF219="","",INDEX(파견수련계획!$S$4:$S$83,$AF219))</f>
        <v/>
      </c>
      <c r="R219" s="10">
        <f>IF($AF219="","",INDEX(파견수련계획!$U$4:$U$83,$AF219))</f>
        <v/>
      </c>
      <c r="S219" s="11">
        <f>IF($AF219="","",IF(INDEX(파견수련계획!$H$4:$H$83,$AF219)="","",INDEX(파견수련계획!$H$4:$H$83,$AF219)))</f>
        <v/>
      </c>
      <c r="T219" s="11">
        <f>IF($AF219="","",IF(INDEX(파견수련계획!$I$4:$I$83,$AF219)="","",INDEX(파견수련계획!$I$4:$I$83,$AF219)))</f>
        <v/>
      </c>
      <c r="U219" s="10">
        <f>IF($AF219="","",INDEX(파견수련계획!$X$4:$X$83,$AF219))</f>
        <v/>
      </c>
      <c r="V219" s="17">
        <f>IF($AF219="","",INDEX(파견수련계획!$V$4:$V$83,$AF219))</f>
        <v/>
      </c>
      <c r="W219" s="17">
        <f>IF(AND($U219="파견중",$T219&lt;&gt;""),$T219-TODAY(),"")</f>
        <v/>
      </c>
      <c r="X219" s="17">
        <f>IF(OR($B219="",TRIM($J219&amp;"")=""),"",SUMPRODUCT((파견수련계획!$Q$4:$Q$83=TRIM($J219&amp;""))*파견수련계획!$W$4:$W$83))</f>
        <v/>
      </c>
      <c r="Y219" s="10">
        <f>IF($B219="","",IF($AG219="","",IF(IF(TRIM($J219&amp;"")="",0,SUMPRODUCT((파견수련계획!$Q$4:$Q$83=TRIM($J219&amp;""))*파견수련계획!$AD$4:$AD$83))&gt;0,$AE219,IF(N($X219)&lt;=0,$AG219,IF($AH219+$AI219=DAY(EOMONTH(요약!$B$3,0)),IF(AND($AH219&gt;=요약!$E$3,$AI219&lt;요약!$E$3),"서울병원",IF(AND($AI219&gt;=요약!$E$3,$AH219&lt;요약!$E$3),"구리병원","⚠15일 판정불가(서울 "&amp;$AH219&amp;"일/구리 "&amp;$AI219&amp;"일)")),IF($AJ219="",$AE219,IF(INDEX(파견수련계획!$T$4:$T$83,$AJ219)="통합수련",INDEX(파견수련계획!$S$4:$S$83,$AJ219),$AE219)))))))</f>
        <v/>
      </c>
      <c r="Z219" s="19">
        <f>IF($B219="","",IF($AB219="","기본자료에 없는 사번",IF(COUNTIF($B$2:$B$401,$B219)&gt;1,"중복 사번",IF($AE219="","소속(입사장소) 입력",IF(IF(TRIM($J219&amp;"")="",0,SUMPRODUCT((파견수련계획!$Q$4:$Q$83=TRIM($J219&amp;""))*(파견수련계획!$AA$4:$AA$83&lt;&gt;"")))&gt;0,"파견수련계획 입력오류 확인",IF(LEFT($Y219,1)="⚠","서울·구리 15일 판정 불가(양쪽 모두 이상/미만)",IF(IF($AC219="",0,N(INDEX(인턴근무계획!$T$3:$T$62,$AC219)))&gt;0,"인턴계획 입력오류 확인",IF(AND($AC219&lt;&gt;"",$U219&lt;&gt;"파견중",$N219&lt;&gt;$AE219),"인턴 타지역 근무: 파견 여부 확인","정상"))))))))</f>
        <v/>
      </c>
      <c r="AA219" s="5" t="n"/>
      <c r="AB219" s="10">
        <f>IF($B219="","",IFERROR(MATCH($B219,기본자료!$B$2:$B$1001,0),IFERROR(MATCH($B219&amp;"",기본자료!$B$2:$B$1001,0),IFERROR(MATCH(VALUE($B219),기본자료!$B$2:$B$1001,0),""))))</f>
        <v/>
      </c>
      <c r="AC219" s="10">
        <f>IF($B219="","",IFERROR(MATCH($B219,인턴근무계획!$D$3:$D$62,0),IFERROR(MATCH($B219&amp;"",인턴근무계획!$D$3:$D$62,0),IFERROR(MATCH(VALUE($B219),인턴근무계획!$D$3:$D$62,0),""))))</f>
        <v/>
      </c>
      <c r="AD219" s="10">
        <f>IF(OR($AC219="",인턴현황!$G$3=""),"",INDEX(인턴근무계획!$M$3:$R$62,$AC219,인턴현황!$G$3)&amp;"")</f>
        <v/>
      </c>
      <c r="AE219" s="10">
        <f>IF($B219="","",IF($M219&lt;&gt;"",$M219,IF($AF219&lt;&gt;"",IF(LEFT(INDEX(파견수련계획!$R$4:$R$83,$AF219),1)&lt;&gt;"⚠",INDEX(파견수련계획!$R$4:$R$83,$AF219),IF($H219="","",IF(RIGHT($H219,2)="병원",$H219,$H219&amp;"병원"))),IF($H219="","",IF(RIGHT($H219,2)="병원",$H219,$H219&amp;"병원")))))</f>
        <v/>
      </c>
      <c r="AF219" s="10">
        <f>IF(OR($B219="",TRIM($J219&amp;"")=""),"",IFERROR(MATCH(TRIM($J219&amp;"")&amp;"|파견중",파견수련계획!$Y$4:$Y$83,0),IFERROR(MATCH(TRIM($J219&amp;"")&amp;"|파견예정",파견수련계획!$Y$4:$Y$83,0),IFERROR(MATCH(TRIM($J219&amp;"")&amp;"|파견종료",파견수련계획!$Y$4:$Y$83,0),""))))</f>
        <v/>
      </c>
      <c r="AG219" s="10">
        <f>IF($B219="","",IF(AND(IF(OR($AC219="",인턴현황!$K$2=""),"",INDEX(인턴근무계획!$M$3:$R$62,$AC219,인턴현황!$K$2)&amp;"")&lt;&gt;"",LEFT(IF(OR($AC219="",인턴현황!$K$2=""),"",INDEX(인턴근무계획!$M$3:$R$62,$AC219,인턴현황!$K$2)&amp;""),1)&lt;&gt;"⚠"),LEFT(IF(OR($AC219="",인턴현황!$K$2=""),"",INDEX(인턴근무계획!$M$3:$R$62,$AC219,인턴현황!$K$2)&amp;""),FIND(" ",IF(OR($AC219="",인턴현황!$K$2=""),"",INDEX(인턴근무계획!$M$3:$R$62,$AC219,인턴현황!$K$2)&amp;""))-1),$AE219))</f>
        <v/>
      </c>
      <c r="AH219" s="17">
        <f>IF($B219="","",IF(TRIM($J219&amp;"")="",0,SUMPRODUCT((파견수련계획!$Q$4:$Q$83=TRIM($J219&amp;""))*(파견수련계획!$S$4:$S$83="서울병원")*파견수련계획!$W$4:$W$83))+IF($AG219="서울병원",MAX(0,DAY(EOMONTH(요약!$B$3,0))-N($X219)),0))</f>
        <v/>
      </c>
      <c r="AI219" s="17">
        <f>IF($B219="","",IF(TRIM($J219&amp;"")="",0,SUMPRODUCT((파견수련계획!$Q$4:$Q$83=TRIM($J219&amp;""))*(파견수련계획!$S$4:$S$83="구리병원")*파견수련계획!$W$4:$W$83))+IF($AG219="구리병원",MAX(0,DAY(EOMONTH(요약!$B$3,0))-N($X219)),0))</f>
        <v/>
      </c>
      <c r="AJ219" s="10">
        <f>IF(OR($B219="",TRIM($J219&amp;"")=""),"",IFERROR(MATCH(TRIM($J219&amp;"")&amp;"|월",파견수련계획!$Z$4:$Z$83,0),""))</f>
        <v/>
      </c>
      <c r="AK219" s="10">
        <f>IF(OR($B219="",TRIM($J219&amp;"")=""),"",IFERROR(MATCH(TRIM($J219&amp;"")&amp;"|다기관",파견수련계획!$AE$4:$AE$83,0),""))</f>
        <v/>
      </c>
      <c r="AL219" s="10">
        <f>IF($AK219="","","다기관 "&amp;TEXT(INDEX(파견수련계획!$AB$4:$AB$83,$AK219),"yyyy-mm-dd")&amp;"~"&amp;IF(ISNUMBER(INDEX(파견수련계획!$AC$4:$AC$83,$AK219)),TEXT(INDEX(파견수련계획!$AC$4:$AC$83,$AK219),"yyyy-mm-dd"),""))</f>
        <v/>
      </c>
    </row>
    <row r="220">
      <c r="A220" s="10">
        <f>IF(B220="","",ROW()-1)</f>
        <v/>
      </c>
      <c r="B220" s="18" t="n"/>
      <c r="C220" s="10">
        <f>IF($AB220="","",IF(INDEX(기본자료!$C$2:$C$1001,$AB220)="","",INDEX(기본자료!$C$2:$C$1001,$AB220)))</f>
        <v/>
      </c>
      <c r="D220" s="10">
        <f>IF($AB220="","",IF(INDEX(기본자료!$J$2:$J$1001,$AB220)="","",INDEX(기본자료!$J$2:$J$1001,$AB220)))</f>
        <v/>
      </c>
      <c r="E220" s="11">
        <f>IF($AB220="","",IF(INDEX(기본자료!$K$2:$K$1001,$AB220)="","",IF(NOT(ISNUMBER(INDEX(기본자료!$K$2:$K$1001,$AB220))),INDEX(기본자료!$K$2:$K$1001,$AB220),IF(INDEX(기본자료!$K$2:$K$1001,$AB220)&lt;1000000,INDEX(기본자료!$K$2:$K$1001,$AB220),IF(AND(INDEX(기본자료!$K$2:$K$1001,$AB220)&gt;=10000101,INT(MOD(INDEX(기본자료!$K$2:$K$1001,$AB220),10000)/100)&gt;=1,INT(MOD(INDEX(기본자료!$K$2:$K$1001,$AB220),10000)/100)&lt;=12,MOD(INDEX(기본자료!$K$2:$K$1001,$AB220),100)&gt;=1,MOD(INDEX(기본자료!$K$2:$K$1001,$AB220),100)&lt;=31),DATE(INT(INDEX(기본자료!$K$2:$K$1001,$AB220)/10000),INT(MOD(INDEX(기본자료!$K$2:$K$1001,$AB220),10000)/100),MOD(INDEX(기본자료!$K$2:$K$1001,$AB220),100)),INDEX(기본자료!$K$2:$K$1001,$AB220)&amp;"")))))</f>
        <v/>
      </c>
      <c r="F220" s="10">
        <f>IF($AB220="","",IF(INDEX(기본자료!$D$2:$D$1001,$AB220)="","",INDEX(기본자료!$D$2:$D$1001,$AB220)))</f>
        <v/>
      </c>
      <c r="G220" s="10">
        <f>IF($AB220="","",IF(INDEX(기본자료!$E$2:$E$1001,$AB220)="","",INDEX(기본자료!$E$2:$E$1001,$AB220)))</f>
        <v/>
      </c>
      <c r="H220" s="10">
        <f>IF($AB220="","",IF(INDEX(기본자료!$F$2:$F$1001,$AB220)="","",INDEX(기본자료!$F$2:$F$1001,$AB220)))</f>
        <v/>
      </c>
      <c r="I220" s="11">
        <f>IF($AB220="","",IF(INDEX(기본자료!$G$2:$G$1001,$AB220)="","",IF(NOT(ISNUMBER(INDEX(기본자료!$G$2:$G$1001,$AB220))),INDEX(기본자료!$G$2:$G$1001,$AB220),IF(INDEX(기본자료!$G$2:$G$1001,$AB220)&lt;1000000,INDEX(기본자료!$G$2:$G$1001,$AB220),IF(AND(INDEX(기본자료!$G$2:$G$1001,$AB220)&gt;=10000101,INT(MOD(INDEX(기본자료!$G$2:$G$1001,$AB220),10000)/100)&gt;=1,INT(MOD(INDEX(기본자료!$G$2:$G$1001,$AB220),10000)/100)&lt;=12,MOD(INDEX(기본자료!$G$2:$G$1001,$AB220),100)&gt;=1,MOD(INDEX(기본자료!$G$2:$G$1001,$AB220),100)&lt;=31),DATE(INT(INDEX(기본자료!$G$2:$G$1001,$AB220)/10000),INT(MOD(INDEX(기본자료!$G$2:$G$1001,$AB220),10000)/100),MOD(INDEX(기본자료!$G$2:$G$1001,$AB220),100)),INDEX(기본자료!$G$2:$G$1001,$AB220)&amp;"")))))</f>
        <v/>
      </c>
      <c r="J220" s="10">
        <f>IF($AB220="","",IF(INDEX(기본자료!$H$2:$H$1001,$AB220)="","",INDEX(기본자료!$H$2:$H$1001,$AB220)))</f>
        <v/>
      </c>
      <c r="K220" s="10">
        <f>IF($AB220="","",IF(INDEX(기본자료!$I$2:$I$1001,$AB220)="","",INDEX(기본자료!$I$2:$I$1001,$AB220)))</f>
        <v/>
      </c>
      <c r="L220" s="10">
        <f>IF($AB220="","",IF(INDEX(기본자료!$A$2:$A$1001,$AB220)="","",INDEX(기본자료!$A$2:$A$1001,$AB220)))</f>
        <v/>
      </c>
      <c r="M220" s="15" t="n"/>
      <c r="N220" s="10">
        <f>IF($B220="","",IF(AND($U220="파견중",$Q220&lt;&gt;""),$Q220,IF(AND($AD220&lt;&gt;"",LEFT($AD220,1)&lt;&gt;"⚠"),LEFT($AD220,FIND(" ",$AD220)-1),IF($H220="","",IF(RIGHT($H220,2)="병원",$H220,$H220&amp;"병원")))))</f>
        <v/>
      </c>
      <c r="O220" s="10">
        <f>IF($B220="","",IF(AND($U220="파견중",$Q220&lt;&gt;""),IF($R220&lt;&gt;"",$R220,"파견과 미입력"),IF(AND($AD220&lt;&gt;"",LEFT($AD220,1)&lt;&gt;"⚠"),MID($AD220,FIND(" ",$AD220)+1,60),IF($F220="","",IF($F220="인턴","수련교육부(인턴)",$F220)))))</f>
        <v/>
      </c>
      <c r="P220" s="10">
        <f>IF($B220="","",IF($AK220&lt;&gt;"",IF(AND(TODAY()&gt;=INDEX(파견수련계획!$AB$4:$AB$83,$AK220),OR(NOT(ISNUMBER(INDEX(파견수련계획!$AC$4:$AC$83,$AK220))),TODAY()&lt;=INDEX(파견수련계획!$AC$4:$AC$83,$AK220))),"다기관",IF($AF220="","",INDEX(파견수련계획!$T$4:$T$83,$AF220))),IF($AF220="","",INDEX(파견수련계획!$T$4:$T$83,$AF220))))</f>
        <v/>
      </c>
      <c r="Q220" s="10">
        <f>IF($AF220="","",INDEX(파견수련계획!$S$4:$S$83,$AF220))</f>
        <v/>
      </c>
      <c r="R220" s="10">
        <f>IF($AF220="","",INDEX(파견수련계획!$U$4:$U$83,$AF220))</f>
        <v/>
      </c>
      <c r="S220" s="11">
        <f>IF($AF220="","",IF(INDEX(파견수련계획!$H$4:$H$83,$AF220)="","",INDEX(파견수련계획!$H$4:$H$83,$AF220)))</f>
        <v/>
      </c>
      <c r="T220" s="11">
        <f>IF($AF220="","",IF(INDEX(파견수련계획!$I$4:$I$83,$AF220)="","",INDEX(파견수련계획!$I$4:$I$83,$AF220)))</f>
        <v/>
      </c>
      <c r="U220" s="10">
        <f>IF($AF220="","",INDEX(파견수련계획!$X$4:$X$83,$AF220))</f>
        <v/>
      </c>
      <c r="V220" s="17">
        <f>IF($AF220="","",INDEX(파견수련계획!$V$4:$V$83,$AF220))</f>
        <v/>
      </c>
      <c r="W220" s="17">
        <f>IF(AND($U220="파견중",$T220&lt;&gt;""),$T220-TODAY(),"")</f>
        <v/>
      </c>
      <c r="X220" s="17">
        <f>IF(OR($B220="",TRIM($J220&amp;"")=""),"",SUMPRODUCT((파견수련계획!$Q$4:$Q$83=TRIM($J220&amp;""))*파견수련계획!$W$4:$W$83))</f>
        <v/>
      </c>
      <c r="Y220" s="10">
        <f>IF($B220="","",IF($AG220="","",IF(IF(TRIM($J220&amp;"")="",0,SUMPRODUCT((파견수련계획!$Q$4:$Q$83=TRIM($J220&amp;""))*파견수련계획!$AD$4:$AD$83))&gt;0,$AE220,IF(N($X220)&lt;=0,$AG220,IF($AH220+$AI220=DAY(EOMONTH(요약!$B$3,0)),IF(AND($AH220&gt;=요약!$E$3,$AI220&lt;요약!$E$3),"서울병원",IF(AND($AI220&gt;=요약!$E$3,$AH220&lt;요약!$E$3),"구리병원","⚠15일 판정불가(서울 "&amp;$AH220&amp;"일/구리 "&amp;$AI220&amp;"일)")),IF($AJ220="",$AE220,IF(INDEX(파견수련계획!$T$4:$T$83,$AJ220)="통합수련",INDEX(파견수련계획!$S$4:$S$83,$AJ220),$AE220)))))))</f>
        <v/>
      </c>
      <c r="Z220" s="19">
        <f>IF($B220="","",IF($AB220="","기본자료에 없는 사번",IF(COUNTIF($B$2:$B$401,$B220)&gt;1,"중복 사번",IF($AE220="","소속(입사장소) 입력",IF(IF(TRIM($J220&amp;"")="",0,SUMPRODUCT((파견수련계획!$Q$4:$Q$83=TRIM($J220&amp;""))*(파견수련계획!$AA$4:$AA$83&lt;&gt;"")))&gt;0,"파견수련계획 입력오류 확인",IF(LEFT($Y220,1)="⚠","서울·구리 15일 판정 불가(양쪽 모두 이상/미만)",IF(IF($AC220="",0,N(INDEX(인턴근무계획!$T$3:$T$62,$AC220)))&gt;0,"인턴계획 입력오류 확인",IF(AND($AC220&lt;&gt;"",$U220&lt;&gt;"파견중",$N220&lt;&gt;$AE220),"인턴 타지역 근무: 파견 여부 확인","정상"))))))))</f>
        <v/>
      </c>
      <c r="AA220" s="5" t="n"/>
      <c r="AB220" s="10">
        <f>IF($B220="","",IFERROR(MATCH($B220,기본자료!$B$2:$B$1001,0),IFERROR(MATCH($B220&amp;"",기본자료!$B$2:$B$1001,0),IFERROR(MATCH(VALUE($B220),기본자료!$B$2:$B$1001,0),""))))</f>
        <v/>
      </c>
      <c r="AC220" s="10">
        <f>IF($B220="","",IFERROR(MATCH($B220,인턴근무계획!$D$3:$D$62,0),IFERROR(MATCH($B220&amp;"",인턴근무계획!$D$3:$D$62,0),IFERROR(MATCH(VALUE($B220),인턴근무계획!$D$3:$D$62,0),""))))</f>
        <v/>
      </c>
      <c r="AD220" s="10">
        <f>IF(OR($AC220="",인턴현황!$G$3=""),"",INDEX(인턴근무계획!$M$3:$R$62,$AC220,인턴현황!$G$3)&amp;"")</f>
        <v/>
      </c>
      <c r="AE220" s="10">
        <f>IF($B220="","",IF($M220&lt;&gt;"",$M220,IF($AF220&lt;&gt;"",IF(LEFT(INDEX(파견수련계획!$R$4:$R$83,$AF220),1)&lt;&gt;"⚠",INDEX(파견수련계획!$R$4:$R$83,$AF220),IF($H220="","",IF(RIGHT($H220,2)="병원",$H220,$H220&amp;"병원"))),IF($H220="","",IF(RIGHT($H220,2)="병원",$H220,$H220&amp;"병원")))))</f>
        <v/>
      </c>
      <c r="AF220" s="10">
        <f>IF(OR($B220="",TRIM($J220&amp;"")=""),"",IFERROR(MATCH(TRIM($J220&amp;"")&amp;"|파견중",파견수련계획!$Y$4:$Y$83,0),IFERROR(MATCH(TRIM($J220&amp;"")&amp;"|파견예정",파견수련계획!$Y$4:$Y$83,0),IFERROR(MATCH(TRIM($J220&amp;"")&amp;"|파견종료",파견수련계획!$Y$4:$Y$83,0),""))))</f>
        <v/>
      </c>
      <c r="AG220" s="10">
        <f>IF($B220="","",IF(AND(IF(OR($AC220="",인턴현황!$K$2=""),"",INDEX(인턴근무계획!$M$3:$R$62,$AC220,인턴현황!$K$2)&amp;"")&lt;&gt;"",LEFT(IF(OR($AC220="",인턴현황!$K$2=""),"",INDEX(인턴근무계획!$M$3:$R$62,$AC220,인턴현황!$K$2)&amp;""),1)&lt;&gt;"⚠"),LEFT(IF(OR($AC220="",인턴현황!$K$2=""),"",INDEX(인턴근무계획!$M$3:$R$62,$AC220,인턴현황!$K$2)&amp;""),FIND(" ",IF(OR($AC220="",인턴현황!$K$2=""),"",INDEX(인턴근무계획!$M$3:$R$62,$AC220,인턴현황!$K$2)&amp;""))-1),$AE220))</f>
        <v/>
      </c>
      <c r="AH220" s="17">
        <f>IF($B220="","",IF(TRIM($J220&amp;"")="",0,SUMPRODUCT((파견수련계획!$Q$4:$Q$83=TRIM($J220&amp;""))*(파견수련계획!$S$4:$S$83="서울병원")*파견수련계획!$W$4:$W$83))+IF($AG220="서울병원",MAX(0,DAY(EOMONTH(요약!$B$3,0))-N($X220)),0))</f>
        <v/>
      </c>
      <c r="AI220" s="17">
        <f>IF($B220="","",IF(TRIM($J220&amp;"")="",0,SUMPRODUCT((파견수련계획!$Q$4:$Q$83=TRIM($J220&amp;""))*(파견수련계획!$S$4:$S$83="구리병원")*파견수련계획!$W$4:$W$83))+IF($AG220="구리병원",MAX(0,DAY(EOMONTH(요약!$B$3,0))-N($X220)),0))</f>
        <v/>
      </c>
      <c r="AJ220" s="10">
        <f>IF(OR($B220="",TRIM($J220&amp;"")=""),"",IFERROR(MATCH(TRIM($J220&amp;"")&amp;"|월",파견수련계획!$Z$4:$Z$83,0),""))</f>
        <v/>
      </c>
      <c r="AK220" s="10">
        <f>IF(OR($B220="",TRIM($J220&amp;"")=""),"",IFERROR(MATCH(TRIM($J220&amp;"")&amp;"|다기관",파견수련계획!$AE$4:$AE$83,0),""))</f>
        <v/>
      </c>
      <c r="AL220" s="10">
        <f>IF($AK220="","","다기관 "&amp;TEXT(INDEX(파견수련계획!$AB$4:$AB$83,$AK220),"yyyy-mm-dd")&amp;"~"&amp;IF(ISNUMBER(INDEX(파견수련계획!$AC$4:$AC$83,$AK220)),TEXT(INDEX(파견수련계획!$AC$4:$AC$83,$AK220),"yyyy-mm-dd"),""))</f>
        <v/>
      </c>
    </row>
    <row r="221">
      <c r="A221" s="10">
        <f>IF(B221="","",ROW()-1)</f>
        <v/>
      </c>
      <c r="B221" s="18" t="n"/>
      <c r="C221" s="10">
        <f>IF($AB221="","",IF(INDEX(기본자료!$C$2:$C$1001,$AB221)="","",INDEX(기본자료!$C$2:$C$1001,$AB221)))</f>
        <v/>
      </c>
      <c r="D221" s="10">
        <f>IF($AB221="","",IF(INDEX(기본자료!$J$2:$J$1001,$AB221)="","",INDEX(기본자료!$J$2:$J$1001,$AB221)))</f>
        <v/>
      </c>
      <c r="E221" s="11">
        <f>IF($AB221="","",IF(INDEX(기본자료!$K$2:$K$1001,$AB221)="","",IF(NOT(ISNUMBER(INDEX(기본자료!$K$2:$K$1001,$AB221))),INDEX(기본자료!$K$2:$K$1001,$AB221),IF(INDEX(기본자료!$K$2:$K$1001,$AB221)&lt;1000000,INDEX(기본자료!$K$2:$K$1001,$AB221),IF(AND(INDEX(기본자료!$K$2:$K$1001,$AB221)&gt;=10000101,INT(MOD(INDEX(기본자료!$K$2:$K$1001,$AB221),10000)/100)&gt;=1,INT(MOD(INDEX(기본자료!$K$2:$K$1001,$AB221),10000)/100)&lt;=12,MOD(INDEX(기본자료!$K$2:$K$1001,$AB221),100)&gt;=1,MOD(INDEX(기본자료!$K$2:$K$1001,$AB221),100)&lt;=31),DATE(INT(INDEX(기본자료!$K$2:$K$1001,$AB221)/10000),INT(MOD(INDEX(기본자료!$K$2:$K$1001,$AB221),10000)/100),MOD(INDEX(기본자료!$K$2:$K$1001,$AB221),100)),INDEX(기본자료!$K$2:$K$1001,$AB221)&amp;"")))))</f>
        <v/>
      </c>
      <c r="F221" s="10">
        <f>IF($AB221="","",IF(INDEX(기본자료!$D$2:$D$1001,$AB221)="","",INDEX(기본자료!$D$2:$D$1001,$AB221)))</f>
        <v/>
      </c>
      <c r="G221" s="10">
        <f>IF($AB221="","",IF(INDEX(기본자료!$E$2:$E$1001,$AB221)="","",INDEX(기본자료!$E$2:$E$1001,$AB221)))</f>
        <v/>
      </c>
      <c r="H221" s="10">
        <f>IF($AB221="","",IF(INDEX(기본자료!$F$2:$F$1001,$AB221)="","",INDEX(기본자료!$F$2:$F$1001,$AB221)))</f>
        <v/>
      </c>
      <c r="I221" s="11">
        <f>IF($AB221="","",IF(INDEX(기본자료!$G$2:$G$1001,$AB221)="","",IF(NOT(ISNUMBER(INDEX(기본자료!$G$2:$G$1001,$AB221))),INDEX(기본자료!$G$2:$G$1001,$AB221),IF(INDEX(기본자료!$G$2:$G$1001,$AB221)&lt;1000000,INDEX(기본자료!$G$2:$G$1001,$AB221),IF(AND(INDEX(기본자료!$G$2:$G$1001,$AB221)&gt;=10000101,INT(MOD(INDEX(기본자료!$G$2:$G$1001,$AB221),10000)/100)&gt;=1,INT(MOD(INDEX(기본자료!$G$2:$G$1001,$AB221),10000)/100)&lt;=12,MOD(INDEX(기본자료!$G$2:$G$1001,$AB221),100)&gt;=1,MOD(INDEX(기본자료!$G$2:$G$1001,$AB221),100)&lt;=31),DATE(INT(INDEX(기본자료!$G$2:$G$1001,$AB221)/10000),INT(MOD(INDEX(기본자료!$G$2:$G$1001,$AB221),10000)/100),MOD(INDEX(기본자료!$G$2:$G$1001,$AB221),100)),INDEX(기본자료!$G$2:$G$1001,$AB221)&amp;"")))))</f>
        <v/>
      </c>
      <c r="J221" s="10">
        <f>IF($AB221="","",IF(INDEX(기본자료!$H$2:$H$1001,$AB221)="","",INDEX(기본자료!$H$2:$H$1001,$AB221)))</f>
        <v/>
      </c>
      <c r="K221" s="10">
        <f>IF($AB221="","",IF(INDEX(기본자료!$I$2:$I$1001,$AB221)="","",INDEX(기본자료!$I$2:$I$1001,$AB221)))</f>
        <v/>
      </c>
      <c r="L221" s="10">
        <f>IF($AB221="","",IF(INDEX(기본자료!$A$2:$A$1001,$AB221)="","",INDEX(기본자료!$A$2:$A$1001,$AB221)))</f>
        <v/>
      </c>
      <c r="M221" s="15" t="n"/>
      <c r="N221" s="10">
        <f>IF($B221="","",IF(AND($U221="파견중",$Q221&lt;&gt;""),$Q221,IF(AND($AD221&lt;&gt;"",LEFT($AD221,1)&lt;&gt;"⚠"),LEFT($AD221,FIND(" ",$AD221)-1),IF($H221="","",IF(RIGHT($H221,2)="병원",$H221,$H221&amp;"병원")))))</f>
        <v/>
      </c>
      <c r="O221" s="10">
        <f>IF($B221="","",IF(AND($U221="파견중",$Q221&lt;&gt;""),IF($R221&lt;&gt;"",$R221,"파견과 미입력"),IF(AND($AD221&lt;&gt;"",LEFT($AD221,1)&lt;&gt;"⚠"),MID($AD221,FIND(" ",$AD221)+1,60),IF($F221="","",IF($F221="인턴","수련교육부(인턴)",$F221)))))</f>
        <v/>
      </c>
      <c r="P221" s="10">
        <f>IF($B221="","",IF($AK221&lt;&gt;"",IF(AND(TODAY()&gt;=INDEX(파견수련계획!$AB$4:$AB$83,$AK221),OR(NOT(ISNUMBER(INDEX(파견수련계획!$AC$4:$AC$83,$AK221))),TODAY()&lt;=INDEX(파견수련계획!$AC$4:$AC$83,$AK221))),"다기관",IF($AF221="","",INDEX(파견수련계획!$T$4:$T$83,$AF221))),IF($AF221="","",INDEX(파견수련계획!$T$4:$T$83,$AF221))))</f>
        <v/>
      </c>
      <c r="Q221" s="10">
        <f>IF($AF221="","",INDEX(파견수련계획!$S$4:$S$83,$AF221))</f>
        <v/>
      </c>
      <c r="R221" s="10">
        <f>IF($AF221="","",INDEX(파견수련계획!$U$4:$U$83,$AF221))</f>
        <v/>
      </c>
      <c r="S221" s="11">
        <f>IF($AF221="","",IF(INDEX(파견수련계획!$H$4:$H$83,$AF221)="","",INDEX(파견수련계획!$H$4:$H$83,$AF221)))</f>
        <v/>
      </c>
      <c r="T221" s="11">
        <f>IF($AF221="","",IF(INDEX(파견수련계획!$I$4:$I$83,$AF221)="","",INDEX(파견수련계획!$I$4:$I$83,$AF221)))</f>
        <v/>
      </c>
      <c r="U221" s="10">
        <f>IF($AF221="","",INDEX(파견수련계획!$X$4:$X$83,$AF221))</f>
        <v/>
      </c>
      <c r="V221" s="17">
        <f>IF($AF221="","",INDEX(파견수련계획!$V$4:$V$83,$AF221))</f>
        <v/>
      </c>
      <c r="W221" s="17">
        <f>IF(AND($U221="파견중",$T221&lt;&gt;""),$T221-TODAY(),"")</f>
        <v/>
      </c>
      <c r="X221" s="17">
        <f>IF(OR($B221="",TRIM($J221&amp;"")=""),"",SUMPRODUCT((파견수련계획!$Q$4:$Q$83=TRIM($J221&amp;""))*파견수련계획!$W$4:$W$83))</f>
        <v/>
      </c>
      <c r="Y221" s="10">
        <f>IF($B221="","",IF($AG221="","",IF(IF(TRIM($J221&amp;"")="",0,SUMPRODUCT((파견수련계획!$Q$4:$Q$83=TRIM($J221&amp;""))*파견수련계획!$AD$4:$AD$83))&gt;0,$AE221,IF(N($X221)&lt;=0,$AG221,IF($AH221+$AI221=DAY(EOMONTH(요약!$B$3,0)),IF(AND($AH221&gt;=요약!$E$3,$AI221&lt;요약!$E$3),"서울병원",IF(AND($AI221&gt;=요약!$E$3,$AH221&lt;요약!$E$3),"구리병원","⚠15일 판정불가(서울 "&amp;$AH221&amp;"일/구리 "&amp;$AI221&amp;"일)")),IF($AJ221="",$AE221,IF(INDEX(파견수련계획!$T$4:$T$83,$AJ221)="통합수련",INDEX(파견수련계획!$S$4:$S$83,$AJ221),$AE221)))))))</f>
        <v/>
      </c>
      <c r="Z221" s="19">
        <f>IF($B221="","",IF($AB221="","기본자료에 없는 사번",IF(COUNTIF($B$2:$B$401,$B221)&gt;1,"중복 사번",IF($AE221="","소속(입사장소) 입력",IF(IF(TRIM($J221&amp;"")="",0,SUMPRODUCT((파견수련계획!$Q$4:$Q$83=TRIM($J221&amp;""))*(파견수련계획!$AA$4:$AA$83&lt;&gt;"")))&gt;0,"파견수련계획 입력오류 확인",IF(LEFT($Y221,1)="⚠","서울·구리 15일 판정 불가(양쪽 모두 이상/미만)",IF(IF($AC221="",0,N(INDEX(인턴근무계획!$T$3:$T$62,$AC221)))&gt;0,"인턴계획 입력오류 확인",IF(AND($AC221&lt;&gt;"",$U221&lt;&gt;"파견중",$N221&lt;&gt;$AE221),"인턴 타지역 근무: 파견 여부 확인","정상"))))))))</f>
        <v/>
      </c>
      <c r="AA221" s="5" t="n"/>
      <c r="AB221" s="10">
        <f>IF($B221="","",IFERROR(MATCH($B221,기본자료!$B$2:$B$1001,0),IFERROR(MATCH($B221&amp;"",기본자료!$B$2:$B$1001,0),IFERROR(MATCH(VALUE($B221),기본자료!$B$2:$B$1001,0),""))))</f>
        <v/>
      </c>
      <c r="AC221" s="10">
        <f>IF($B221="","",IFERROR(MATCH($B221,인턴근무계획!$D$3:$D$62,0),IFERROR(MATCH($B221&amp;"",인턴근무계획!$D$3:$D$62,0),IFERROR(MATCH(VALUE($B221),인턴근무계획!$D$3:$D$62,0),""))))</f>
        <v/>
      </c>
      <c r="AD221" s="10">
        <f>IF(OR($AC221="",인턴현황!$G$3=""),"",INDEX(인턴근무계획!$M$3:$R$62,$AC221,인턴현황!$G$3)&amp;"")</f>
        <v/>
      </c>
      <c r="AE221" s="10">
        <f>IF($B221="","",IF($M221&lt;&gt;"",$M221,IF($AF221&lt;&gt;"",IF(LEFT(INDEX(파견수련계획!$R$4:$R$83,$AF221),1)&lt;&gt;"⚠",INDEX(파견수련계획!$R$4:$R$83,$AF221),IF($H221="","",IF(RIGHT($H221,2)="병원",$H221,$H221&amp;"병원"))),IF($H221="","",IF(RIGHT($H221,2)="병원",$H221,$H221&amp;"병원")))))</f>
        <v/>
      </c>
      <c r="AF221" s="10">
        <f>IF(OR($B221="",TRIM($J221&amp;"")=""),"",IFERROR(MATCH(TRIM($J221&amp;"")&amp;"|파견중",파견수련계획!$Y$4:$Y$83,0),IFERROR(MATCH(TRIM($J221&amp;"")&amp;"|파견예정",파견수련계획!$Y$4:$Y$83,0),IFERROR(MATCH(TRIM($J221&amp;"")&amp;"|파견종료",파견수련계획!$Y$4:$Y$83,0),""))))</f>
        <v/>
      </c>
      <c r="AG221" s="10">
        <f>IF($B221="","",IF(AND(IF(OR($AC221="",인턴현황!$K$2=""),"",INDEX(인턴근무계획!$M$3:$R$62,$AC221,인턴현황!$K$2)&amp;"")&lt;&gt;"",LEFT(IF(OR($AC221="",인턴현황!$K$2=""),"",INDEX(인턴근무계획!$M$3:$R$62,$AC221,인턴현황!$K$2)&amp;""),1)&lt;&gt;"⚠"),LEFT(IF(OR($AC221="",인턴현황!$K$2=""),"",INDEX(인턴근무계획!$M$3:$R$62,$AC221,인턴현황!$K$2)&amp;""),FIND(" ",IF(OR($AC221="",인턴현황!$K$2=""),"",INDEX(인턴근무계획!$M$3:$R$62,$AC221,인턴현황!$K$2)&amp;""))-1),$AE221))</f>
        <v/>
      </c>
      <c r="AH221" s="17">
        <f>IF($B221="","",IF(TRIM($J221&amp;"")="",0,SUMPRODUCT((파견수련계획!$Q$4:$Q$83=TRIM($J221&amp;""))*(파견수련계획!$S$4:$S$83="서울병원")*파견수련계획!$W$4:$W$83))+IF($AG221="서울병원",MAX(0,DAY(EOMONTH(요약!$B$3,0))-N($X221)),0))</f>
        <v/>
      </c>
      <c r="AI221" s="17">
        <f>IF($B221="","",IF(TRIM($J221&amp;"")="",0,SUMPRODUCT((파견수련계획!$Q$4:$Q$83=TRIM($J221&amp;""))*(파견수련계획!$S$4:$S$83="구리병원")*파견수련계획!$W$4:$W$83))+IF($AG221="구리병원",MAX(0,DAY(EOMONTH(요약!$B$3,0))-N($X221)),0))</f>
        <v/>
      </c>
      <c r="AJ221" s="10">
        <f>IF(OR($B221="",TRIM($J221&amp;"")=""),"",IFERROR(MATCH(TRIM($J221&amp;"")&amp;"|월",파견수련계획!$Z$4:$Z$83,0),""))</f>
        <v/>
      </c>
      <c r="AK221" s="10">
        <f>IF(OR($B221="",TRIM($J221&amp;"")=""),"",IFERROR(MATCH(TRIM($J221&amp;"")&amp;"|다기관",파견수련계획!$AE$4:$AE$83,0),""))</f>
        <v/>
      </c>
      <c r="AL221" s="10">
        <f>IF($AK221="","","다기관 "&amp;TEXT(INDEX(파견수련계획!$AB$4:$AB$83,$AK221),"yyyy-mm-dd")&amp;"~"&amp;IF(ISNUMBER(INDEX(파견수련계획!$AC$4:$AC$83,$AK221)),TEXT(INDEX(파견수련계획!$AC$4:$AC$83,$AK221),"yyyy-mm-dd"),""))</f>
        <v/>
      </c>
    </row>
    <row r="222">
      <c r="A222" s="10">
        <f>IF(B222="","",ROW()-1)</f>
        <v/>
      </c>
      <c r="B222" s="18" t="n"/>
      <c r="C222" s="10">
        <f>IF($AB222="","",IF(INDEX(기본자료!$C$2:$C$1001,$AB222)="","",INDEX(기본자료!$C$2:$C$1001,$AB222)))</f>
        <v/>
      </c>
      <c r="D222" s="10">
        <f>IF($AB222="","",IF(INDEX(기본자료!$J$2:$J$1001,$AB222)="","",INDEX(기본자료!$J$2:$J$1001,$AB222)))</f>
        <v/>
      </c>
      <c r="E222" s="11">
        <f>IF($AB222="","",IF(INDEX(기본자료!$K$2:$K$1001,$AB222)="","",IF(NOT(ISNUMBER(INDEX(기본자료!$K$2:$K$1001,$AB222))),INDEX(기본자료!$K$2:$K$1001,$AB222),IF(INDEX(기본자료!$K$2:$K$1001,$AB222)&lt;1000000,INDEX(기본자료!$K$2:$K$1001,$AB222),IF(AND(INDEX(기본자료!$K$2:$K$1001,$AB222)&gt;=10000101,INT(MOD(INDEX(기본자료!$K$2:$K$1001,$AB222),10000)/100)&gt;=1,INT(MOD(INDEX(기본자료!$K$2:$K$1001,$AB222),10000)/100)&lt;=12,MOD(INDEX(기본자료!$K$2:$K$1001,$AB222),100)&gt;=1,MOD(INDEX(기본자료!$K$2:$K$1001,$AB222),100)&lt;=31),DATE(INT(INDEX(기본자료!$K$2:$K$1001,$AB222)/10000),INT(MOD(INDEX(기본자료!$K$2:$K$1001,$AB222),10000)/100),MOD(INDEX(기본자료!$K$2:$K$1001,$AB222),100)),INDEX(기본자료!$K$2:$K$1001,$AB222)&amp;"")))))</f>
        <v/>
      </c>
      <c r="F222" s="10">
        <f>IF($AB222="","",IF(INDEX(기본자료!$D$2:$D$1001,$AB222)="","",INDEX(기본자료!$D$2:$D$1001,$AB222)))</f>
        <v/>
      </c>
      <c r="G222" s="10">
        <f>IF($AB222="","",IF(INDEX(기본자료!$E$2:$E$1001,$AB222)="","",INDEX(기본자료!$E$2:$E$1001,$AB222)))</f>
        <v/>
      </c>
      <c r="H222" s="10">
        <f>IF($AB222="","",IF(INDEX(기본자료!$F$2:$F$1001,$AB222)="","",INDEX(기본자료!$F$2:$F$1001,$AB222)))</f>
        <v/>
      </c>
      <c r="I222" s="11">
        <f>IF($AB222="","",IF(INDEX(기본자료!$G$2:$G$1001,$AB222)="","",IF(NOT(ISNUMBER(INDEX(기본자료!$G$2:$G$1001,$AB222))),INDEX(기본자료!$G$2:$G$1001,$AB222),IF(INDEX(기본자료!$G$2:$G$1001,$AB222)&lt;1000000,INDEX(기본자료!$G$2:$G$1001,$AB222),IF(AND(INDEX(기본자료!$G$2:$G$1001,$AB222)&gt;=10000101,INT(MOD(INDEX(기본자료!$G$2:$G$1001,$AB222),10000)/100)&gt;=1,INT(MOD(INDEX(기본자료!$G$2:$G$1001,$AB222),10000)/100)&lt;=12,MOD(INDEX(기본자료!$G$2:$G$1001,$AB222),100)&gt;=1,MOD(INDEX(기본자료!$G$2:$G$1001,$AB222),100)&lt;=31),DATE(INT(INDEX(기본자료!$G$2:$G$1001,$AB222)/10000),INT(MOD(INDEX(기본자료!$G$2:$G$1001,$AB222),10000)/100),MOD(INDEX(기본자료!$G$2:$G$1001,$AB222),100)),INDEX(기본자료!$G$2:$G$1001,$AB222)&amp;"")))))</f>
        <v/>
      </c>
      <c r="J222" s="10">
        <f>IF($AB222="","",IF(INDEX(기본자료!$H$2:$H$1001,$AB222)="","",INDEX(기본자료!$H$2:$H$1001,$AB222)))</f>
        <v/>
      </c>
      <c r="K222" s="10">
        <f>IF($AB222="","",IF(INDEX(기본자료!$I$2:$I$1001,$AB222)="","",INDEX(기본자료!$I$2:$I$1001,$AB222)))</f>
        <v/>
      </c>
      <c r="L222" s="10">
        <f>IF($AB222="","",IF(INDEX(기본자료!$A$2:$A$1001,$AB222)="","",INDEX(기본자료!$A$2:$A$1001,$AB222)))</f>
        <v/>
      </c>
      <c r="M222" s="15" t="n"/>
      <c r="N222" s="10">
        <f>IF($B222="","",IF(AND($U222="파견중",$Q222&lt;&gt;""),$Q222,IF(AND($AD222&lt;&gt;"",LEFT($AD222,1)&lt;&gt;"⚠"),LEFT($AD222,FIND(" ",$AD222)-1),IF($H222="","",IF(RIGHT($H222,2)="병원",$H222,$H222&amp;"병원")))))</f>
        <v/>
      </c>
      <c r="O222" s="10">
        <f>IF($B222="","",IF(AND($U222="파견중",$Q222&lt;&gt;""),IF($R222&lt;&gt;"",$R222,"파견과 미입력"),IF(AND($AD222&lt;&gt;"",LEFT($AD222,1)&lt;&gt;"⚠"),MID($AD222,FIND(" ",$AD222)+1,60),IF($F222="","",IF($F222="인턴","수련교육부(인턴)",$F222)))))</f>
        <v/>
      </c>
      <c r="P222" s="10">
        <f>IF($B222="","",IF($AK222&lt;&gt;"",IF(AND(TODAY()&gt;=INDEX(파견수련계획!$AB$4:$AB$83,$AK222),OR(NOT(ISNUMBER(INDEX(파견수련계획!$AC$4:$AC$83,$AK222))),TODAY()&lt;=INDEX(파견수련계획!$AC$4:$AC$83,$AK222))),"다기관",IF($AF222="","",INDEX(파견수련계획!$T$4:$T$83,$AF222))),IF($AF222="","",INDEX(파견수련계획!$T$4:$T$83,$AF222))))</f>
        <v/>
      </c>
      <c r="Q222" s="10">
        <f>IF($AF222="","",INDEX(파견수련계획!$S$4:$S$83,$AF222))</f>
        <v/>
      </c>
      <c r="R222" s="10">
        <f>IF($AF222="","",INDEX(파견수련계획!$U$4:$U$83,$AF222))</f>
        <v/>
      </c>
      <c r="S222" s="11">
        <f>IF($AF222="","",IF(INDEX(파견수련계획!$H$4:$H$83,$AF222)="","",INDEX(파견수련계획!$H$4:$H$83,$AF222)))</f>
        <v/>
      </c>
      <c r="T222" s="11">
        <f>IF($AF222="","",IF(INDEX(파견수련계획!$I$4:$I$83,$AF222)="","",INDEX(파견수련계획!$I$4:$I$83,$AF222)))</f>
        <v/>
      </c>
      <c r="U222" s="10">
        <f>IF($AF222="","",INDEX(파견수련계획!$X$4:$X$83,$AF222))</f>
        <v/>
      </c>
      <c r="V222" s="17">
        <f>IF($AF222="","",INDEX(파견수련계획!$V$4:$V$83,$AF222))</f>
        <v/>
      </c>
      <c r="W222" s="17">
        <f>IF(AND($U222="파견중",$T222&lt;&gt;""),$T222-TODAY(),"")</f>
        <v/>
      </c>
      <c r="X222" s="17">
        <f>IF(OR($B222="",TRIM($J222&amp;"")=""),"",SUMPRODUCT((파견수련계획!$Q$4:$Q$83=TRIM($J222&amp;""))*파견수련계획!$W$4:$W$83))</f>
        <v/>
      </c>
      <c r="Y222" s="10">
        <f>IF($B222="","",IF($AG222="","",IF(IF(TRIM($J222&amp;"")="",0,SUMPRODUCT((파견수련계획!$Q$4:$Q$83=TRIM($J222&amp;""))*파견수련계획!$AD$4:$AD$83))&gt;0,$AE222,IF(N($X222)&lt;=0,$AG222,IF($AH222+$AI222=DAY(EOMONTH(요약!$B$3,0)),IF(AND($AH222&gt;=요약!$E$3,$AI222&lt;요약!$E$3),"서울병원",IF(AND($AI222&gt;=요약!$E$3,$AH222&lt;요약!$E$3),"구리병원","⚠15일 판정불가(서울 "&amp;$AH222&amp;"일/구리 "&amp;$AI222&amp;"일)")),IF($AJ222="",$AE222,IF(INDEX(파견수련계획!$T$4:$T$83,$AJ222)="통합수련",INDEX(파견수련계획!$S$4:$S$83,$AJ222),$AE222)))))))</f>
        <v/>
      </c>
      <c r="Z222" s="19">
        <f>IF($B222="","",IF($AB222="","기본자료에 없는 사번",IF(COUNTIF($B$2:$B$401,$B222)&gt;1,"중복 사번",IF($AE222="","소속(입사장소) 입력",IF(IF(TRIM($J222&amp;"")="",0,SUMPRODUCT((파견수련계획!$Q$4:$Q$83=TRIM($J222&amp;""))*(파견수련계획!$AA$4:$AA$83&lt;&gt;"")))&gt;0,"파견수련계획 입력오류 확인",IF(LEFT($Y222,1)="⚠","서울·구리 15일 판정 불가(양쪽 모두 이상/미만)",IF(IF($AC222="",0,N(INDEX(인턴근무계획!$T$3:$T$62,$AC222)))&gt;0,"인턴계획 입력오류 확인",IF(AND($AC222&lt;&gt;"",$U222&lt;&gt;"파견중",$N222&lt;&gt;$AE222),"인턴 타지역 근무: 파견 여부 확인","정상"))))))))</f>
        <v/>
      </c>
      <c r="AA222" s="5" t="n"/>
      <c r="AB222" s="10">
        <f>IF($B222="","",IFERROR(MATCH($B222,기본자료!$B$2:$B$1001,0),IFERROR(MATCH($B222&amp;"",기본자료!$B$2:$B$1001,0),IFERROR(MATCH(VALUE($B222),기본자료!$B$2:$B$1001,0),""))))</f>
        <v/>
      </c>
      <c r="AC222" s="10">
        <f>IF($B222="","",IFERROR(MATCH($B222,인턴근무계획!$D$3:$D$62,0),IFERROR(MATCH($B222&amp;"",인턴근무계획!$D$3:$D$62,0),IFERROR(MATCH(VALUE($B222),인턴근무계획!$D$3:$D$62,0),""))))</f>
        <v/>
      </c>
      <c r="AD222" s="10">
        <f>IF(OR($AC222="",인턴현황!$G$3=""),"",INDEX(인턴근무계획!$M$3:$R$62,$AC222,인턴현황!$G$3)&amp;"")</f>
        <v/>
      </c>
      <c r="AE222" s="10">
        <f>IF($B222="","",IF($M222&lt;&gt;"",$M222,IF($AF222&lt;&gt;"",IF(LEFT(INDEX(파견수련계획!$R$4:$R$83,$AF222),1)&lt;&gt;"⚠",INDEX(파견수련계획!$R$4:$R$83,$AF222),IF($H222="","",IF(RIGHT($H222,2)="병원",$H222,$H222&amp;"병원"))),IF($H222="","",IF(RIGHT($H222,2)="병원",$H222,$H222&amp;"병원")))))</f>
        <v/>
      </c>
      <c r="AF222" s="10">
        <f>IF(OR($B222="",TRIM($J222&amp;"")=""),"",IFERROR(MATCH(TRIM($J222&amp;"")&amp;"|파견중",파견수련계획!$Y$4:$Y$83,0),IFERROR(MATCH(TRIM($J222&amp;"")&amp;"|파견예정",파견수련계획!$Y$4:$Y$83,0),IFERROR(MATCH(TRIM($J222&amp;"")&amp;"|파견종료",파견수련계획!$Y$4:$Y$83,0),""))))</f>
        <v/>
      </c>
      <c r="AG222" s="10">
        <f>IF($B222="","",IF(AND(IF(OR($AC222="",인턴현황!$K$2=""),"",INDEX(인턴근무계획!$M$3:$R$62,$AC222,인턴현황!$K$2)&amp;"")&lt;&gt;"",LEFT(IF(OR($AC222="",인턴현황!$K$2=""),"",INDEX(인턴근무계획!$M$3:$R$62,$AC222,인턴현황!$K$2)&amp;""),1)&lt;&gt;"⚠"),LEFT(IF(OR($AC222="",인턴현황!$K$2=""),"",INDEX(인턴근무계획!$M$3:$R$62,$AC222,인턴현황!$K$2)&amp;""),FIND(" ",IF(OR($AC222="",인턴현황!$K$2=""),"",INDEX(인턴근무계획!$M$3:$R$62,$AC222,인턴현황!$K$2)&amp;""))-1),$AE222))</f>
        <v/>
      </c>
      <c r="AH222" s="17">
        <f>IF($B222="","",IF(TRIM($J222&amp;"")="",0,SUMPRODUCT((파견수련계획!$Q$4:$Q$83=TRIM($J222&amp;""))*(파견수련계획!$S$4:$S$83="서울병원")*파견수련계획!$W$4:$W$83))+IF($AG222="서울병원",MAX(0,DAY(EOMONTH(요약!$B$3,0))-N($X222)),0))</f>
        <v/>
      </c>
      <c r="AI222" s="17">
        <f>IF($B222="","",IF(TRIM($J222&amp;"")="",0,SUMPRODUCT((파견수련계획!$Q$4:$Q$83=TRIM($J222&amp;""))*(파견수련계획!$S$4:$S$83="구리병원")*파견수련계획!$W$4:$W$83))+IF($AG222="구리병원",MAX(0,DAY(EOMONTH(요약!$B$3,0))-N($X222)),0))</f>
        <v/>
      </c>
      <c r="AJ222" s="10">
        <f>IF(OR($B222="",TRIM($J222&amp;"")=""),"",IFERROR(MATCH(TRIM($J222&amp;"")&amp;"|월",파견수련계획!$Z$4:$Z$83,0),""))</f>
        <v/>
      </c>
      <c r="AK222" s="10">
        <f>IF(OR($B222="",TRIM($J222&amp;"")=""),"",IFERROR(MATCH(TRIM($J222&amp;"")&amp;"|다기관",파견수련계획!$AE$4:$AE$83,0),""))</f>
        <v/>
      </c>
      <c r="AL222" s="10">
        <f>IF($AK222="","","다기관 "&amp;TEXT(INDEX(파견수련계획!$AB$4:$AB$83,$AK222),"yyyy-mm-dd")&amp;"~"&amp;IF(ISNUMBER(INDEX(파견수련계획!$AC$4:$AC$83,$AK222)),TEXT(INDEX(파견수련계획!$AC$4:$AC$83,$AK222),"yyyy-mm-dd"),""))</f>
        <v/>
      </c>
    </row>
    <row r="223">
      <c r="A223" s="10">
        <f>IF(B223="","",ROW()-1)</f>
        <v/>
      </c>
      <c r="B223" s="18" t="n"/>
      <c r="C223" s="10">
        <f>IF($AB223="","",IF(INDEX(기본자료!$C$2:$C$1001,$AB223)="","",INDEX(기본자료!$C$2:$C$1001,$AB223)))</f>
        <v/>
      </c>
      <c r="D223" s="10">
        <f>IF($AB223="","",IF(INDEX(기본자료!$J$2:$J$1001,$AB223)="","",INDEX(기본자료!$J$2:$J$1001,$AB223)))</f>
        <v/>
      </c>
      <c r="E223" s="11">
        <f>IF($AB223="","",IF(INDEX(기본자료!$K$2:$K$1001,$AB223)="","",IF(NOT(ISNUMBER(INDEX(기본자료!$K$2:$K$1001,$AB223))),INDEX(기본자료!$K$2:$K$1001,$AB223),IF(INDEX(기본자료!$K$2:$K$1001,$AB223)&lt;1000000,INDEX(기본자료!$K$2:$K$1001,$AB223),IF(AND(INDEX(기본자료!$K$2:$K$1001,$AB223)&gt;=10000101,INT(MOD(INDEX(기본자료!$K$2:$K$1001,$AB223),10000)/100)&gt;=1,INT(MOD(INDEX(기본자료!$K$2:$K$1001,$AB223),10000)/100)&lt;=12,MOD(INDEX(기본자료!$K$2:$K$1001,$AB223),100)&gt;=1,MOD(INDEX(기본자료!$K$2:$K$1001,$AB223),100)&lt;=31),DATE(INT(INDEX(기본자료!$K$2:$K$1001,$AB223)/10000),INT(MOD(INDEX(기본자료!$K$2:$K$1001,$AB223),10000)/100),MOD(INDEX(기본자료!$K$2:$K$1001,$AB223),100)),INDEX(기본자료!$K$2:$K$1001,$AB223)&amp;"")))))</f>
        <v/>
      </c>
      <c r="F223" s="10">
        <f>IF($AB223="","",IF(INDEX(기본자료!$D$2:$D$1001,$AB223)="","",INDEX(기본자료!$D$2:$D$1001,$AB223)))</f>
        <v/>
      </c>
      <c r="G223" s="10">
        <f>IF($AB223="","",IF(INDEX(기본자료!$E$2:$E$1001,$AB223)="","",INDEX(기본자료!$E$2:$E$1001,$AB223)))</f>
        <v/>
      </c>
      <c r="H223" s="10">
        <f>IF($AB223="","",IF(INDEX(기본자료!$F$2:$F$1001,$AB223)="","",INDEX(기본자료!$F$2:$F$1001,$AB223)))</f>
        <v/>
      </c>
      <c r="I223" s="11">
        <f>IF($AB223="","",IF(INDEX(기본자료!$G$2:$G$1001,$AB223)="","",IF(NOT(ISNUMBER(INDEX(기본자료!$G$2:$G$1001,$AB223))),INDEX(기본자료!$G$2:$G$1001,$AB223),IF(INDEX(기본자료!$G$2:$G$1001,$AB223)&lt;1000000,INDEX(기본자료!$G$2:$G$1001,$AB223),IF(AND(INDEX(기본자료!$G$2:$G$1001,$AB223)&gt;=10000101,INT(MOD(INDEX(기본자료!$G$2:$G$1001,$AB223),10000)/100)&gt;=1,INT(MOD(INDEX(기본자료!$G$2:$G$1001,$AB223),10000)/100)&lt;=12,MOD(INDEX(기본자료!$G$2:$G$1001,$AB223),100)&gt;=1,MOD(INDEX(기본자료!$G$2:$G$1001,$AB223),100)&lt;=31),DATE(INT(INDEX(기본자료!$G$2:$G$1001,$AB223)/10000),INT(MOD(INDEX(기본자료!$G$2:$G$1001,$AB223),10000)/100),MOD(INDEX(기본자료!$G$2:$G$1001,$AB223),100)),INDEX(기본자료!$G$2:$G$1001,$AB223)&amp;"")))))</f>
        <v/>
      </c>
      <c r="J223" s="10">
        <f>IF($AB223="","",IF(INDEX(기본자료!$H$2:$H$1001,$AB223)="","",INDEX(기본자료!$H$2:$H$1001,$AB223)))</f>
        <v/>
      </c>
      <c r="K223" s="10">
        <f>IF($AB223="","",IF(INDEX(기본자료!$I$2:$I$1001,$AB223)="","",INDEX(기본자료!$I$2:$I$1001,$AB223)))</f>
        <v/>
      </c>
      <c r="L223" s="10">
        <f>IF($AB223="","",IF(INDEX(기본자료!$A$2:$A$1001,$AB223)="","",INDEX(기본자료!$A$2:$A$1001,$AB223)))</f>
        <v/>
      </c>
      <c r="M223" s="15" t="n"/>
      <c r="N223" s="10">
        <f>IF($B223="","",IF(AND($U223="파견중",$Q223&lt;&gt;""),$Q223,IF(AND($AD223&lt;&gt;"",LEFT($AD223,1)&lt;&gt;"⚠"),LEFT($AD223,FIND(" ",$AD223)-1),IF($H223="","",IF(RIGHT($H223,2)="병원",$H223,$H223&amp;"병원")))))</f>
        <v/>
      </c>
      <c r="O223" s="10">
        <f>IF($B223="","",IF(AND($U223="파견중",$Q223&lt;&gt;""),IF($R223&lt;&gt;"",$R223,"파견과 미입력"),IF(AND($AD223&lt;&gt;"",LEFT($AD223,1)&lt;&gt;"⚠"),MID($AD223,FIND(" ",$AD223)+1,60),IF($F223="","",IF($F223="인턴","수련교육부(인턴)",$F223)))))</f>
        <v/>
      </c>
      <c r="P223" s="10">
        <f>IF($B223="","",IF($AK223&lt;&gt;"",IF(AND(TODAY()&gt;=INDEX(파견수련계획!$AB$4:$AB$83,$AK223),OR(NOT(ISNUMBER(INDEX(파견수련계획!$AC$4:$AC$83,$AK223))),TODAY()&lt;=INDEX(파견수련계획!$AC$4:$AC$83,$AK223))),"다기관",IF($AF223="","",INDEX(파견수련계획!$T$4:$T$83,$AF223))),IF($AF223="","",INDEX(파견수련계획!$T$4:$T$83,$AF223))))</f>
        <v/>
      </c>
      <c r="Q223" s="10">
        <f>IF($AF223="","",INDEX(파견수련계획!$S$4:$S$83,$AF223))</f>
        <v/>
      </c>
      <c r="R223" s="10">
        <f>IF($AF223="","",INDEX(파견수련계획!$U$4:$U$83,$AF223))</f>
        <v/>
      </c>
      <c r="S223" s="11">
        <f>IF($AF223="","",IF(INDEX(파견수련계획!$H$4:$H$83,$AF223)="","",INDEX(파견수련계획!$H$4:$H$83,$AF223)))</f>
        <v/>
      </c>
      <c r="T223" s="11">
        <f>IF($AF223="","",IF(INDEX(파견수련계획!$I$4:$I$83,$AF223)="","",INDEX(파견수련계획!$I$4:$I$83,$AF223)))</f>
        <v/>
      </c>
      <c r="U223" s="10">
        <f>IF($AF223="","",INDEX(파견수련계획!$X$4:$X$83,$AF223))</f>
        <v/>
      </c>
      <c r="V223" s="17">
        <f>IF($AF223="","",INDEX(파견수련계획!$V$4:$V$83,$AF223))</f>
        <v/>
      </c>
      <c r="W223" s="17">
        <f>IF(AND($U223="파견중",$T223&lt;&gt;""),$T223-TODAY(),"")</f>
        <v/>
      </c>
      <c r="X223" s="17">
        <f>IF(OR($B223="",TRIM($J223&amp;"")=""),"",SUMPRODUCT((파견수련계획!$Q$4:$Q$83=TRIM($J223&amp;""))*파견수련계획!$W$4:$W$83))</f>
        <v/>
      </c>
      <c r="Y223" s="10">
        <f>IF($B223="","",IF($AG223="","",IF(IF(TRIM($J223&amp;"")="",0,SUMPRODUCT((파견수련계획!$Q$4:$Q$83=TRIM($J223&amp;""))*파견수련계획!$AD$4:$AD$83))&gt;0,$AE223,IF(N($X223)&lt;=0,$AG223,IF($AH223+$AI223=DAY(EOMONTH(요약!$B$3,0)),IF(AND($AH223&gt;=요약!$E$3,$AI223&lt;요약!$E$3),"서울병원",IF(AND($AI223&gt;=요약!$E$3,$AH223&lt;요약!$E$3),"구리병원","⚠15일 판정불가(서울 "&amp;$AH223&amp;"일/구리 "&amp;$AI223&amp;"일)")),IF($AJ223="",$AE223,IF(INDEX(파견수련계획!$T$4:$T$83,$AJ223)="통합수련",INDEX(파견수련계획!$S$4:$S$83,$AJ223),$AE223)))))))</f>
        <v/>
      </c>
      <c r="Z223" s="19">
        <f>IF($B223="","",IF($AB223="","기본자료에 없는 사번",IF(COUNTIF($B$2:$B$401,$B223)&gt;1,"중복 사번",IF($AE223="","소속(입사장소) 입력",IF(IF(TRIM($J223&amp;"")="",0,SUMPRODUCT((파견수련계획!$Q$4:$Q$83=TRIM($J223&amp;""))*(파견수련계획!$AA$4:$AA$83&lt;&gt;"")))&gt;0,"파견수련계획 입력오류 확인",IF(LEFT($Y223,1)="⚠","서울·구리 15일 판정 불가(양쪽 모두 이상/미만)",IF(IF($AC223="",0,N(INDEX(인턴근무계획!$T$3:$T$62,$AC223)))&gt;0,"인턴계획 입력오류 확인",IF(AND($AC223&lt;&gt;"",$U223&lt;&gt;"파견중",$N223&lt;&gt;$AE223),"인턴 타지역 근무: 파견 여부 확인","정상"))))))))</f>
        <v/>
      </c>
      <c r="AA223" s="5" t="n"/>
      <c r="AB223" s="10">
        <f>IF($B223="","",IFERROR(MATCH($B223,기본자료!$B$2:$B$1001,0),IFERROR(MATCH($B223&amp;"",기본자료!$B$2:$B$1001,0),IFERROR(MATCH(VALUE($B223),기본자료!$B$2:$B$1001,0),""))))</f>
        <v/>
      </c>
      <c r="AC223" s="10">
        <f>IF($B223="","",IFERROR(MATCH($B223,인턴근무계획!$D$3:$D$62,0),IFERROR(MATCH($B223&amp;"",인턴근무계획!$D$3:$D$62,0),IFERROR(MATCH(VALUE($B223),인턴근무계획!$D$3:$D$62,0),""))))</f>
        <v/>
      </c>
      <c r="AD223" s="10">
        <f>IF(OR($AC223="",인턴현황!$G$3=""),"",INDEX(인턴근무계획!$M$3:$R$62,$AC223,인턴현황!$G$3)&amp;"")</f>
        <v/>
      </c>
      <c r="AE223" s="10">
        <f>IF($B223="","",IF($M223&lt;&gt;"",$M223,IF($AF223&lt;&gt;"",IF(LEFT(INDEX(파견수련계획!$R$4:$R$83,$AF223),1)&lt;&gt;"⚠",INDEX(파견수련계획!$R$4:$R$83,$AF223),IF($H223="","",IF(RIGHT($H223,2)="병원",$H223,$H223&amp;"병원"))),IF($H223="","",IF(RIGHT($H223,2)="병원",$H223,$H223&amp;"병원")))))</f>
        <v/>
      </c>
      <c r="AF223" s="10">
        <f>IF(OR($B223="",TRIM($J223&amp;"")=""),"",IFERROR(MATCH(TRIM($J223&amp;"")&amp;"|파견중",파견수련계획!$Y$4:$Y$83,0),IFERROR(MATCH(TRIM($J223&amp;"")&amp;"|파견예정",파견수련계획!$Y$4:$Y$83,0),IFERROR(MATCH(TRIM($J223&amp;"")&amp;"|파견종료",파견수련계획!$Y$4:$Y$83,0),""))))</f>
        <v/>
      </c>
      <c r="AG223" s="10">
        <f>IF($B223="","",IF(AND(IF(OR($AC223="",인턴현황!$K$2=""),"",INDEX(인턴근무계획!$M$3:$R$62,$AC223,인턴현황!$K$2)&amp;"")&lt;&gt;"",LEFT(IF(OR($AC223="",인턴현황!$K$2=""),"",INDEX(인턴근무계획!$M$3:$R$62,$AC223,인턴현황!$K$2)&amp;""),1)&lt;&gt;"⚠"),LEFT(IF(OR($AC223="",인턴현황!$K$2=""),"",INDEX(인턴근무계획!$M$3:$R$62,$AC223,인턴현황!$K$2)&amp;""),FIND(" ",IF(OR($AC223="",인턴현황!$K$2=""),"",INDEX(인턴근무계획!$M$3:$R$62,$AC223,인턴현황!$K$2)&amp;""))-1),$AE223))</f>
        <v/>
      </c>
      <c r="AH223" s="17">
        <f>IF($B223="","",IF(TRIM($J223&amp;"")="",0,SUMPRODUCT((파견수련계획!$Q$4:$Q$83=TRIM($J223&amp;""))*(파견수련계획!$S$4:$S$83="서울병원")*파견수련계획!$W$4:$W$83))+IF($AG223="서울병원",MAX(0,DAY(EOMONTH(요약!$B$3,0))-N($X223)),0))</f>
        <v/>
      </c>
      <c r="AI223" s="17">
        <f>IF($B223="","",IF(TRIM($J223&amp;"")="",0,SUMPRODUCT((파견수련계획!$Q$4:$Q$83=TRIM($J223&amp;""))*(파견수련계획!$S$4:$S$83="구리병원")*파견수련계획!$W$4:$W$83))+IF($AG223="구리병원",MAX(0,DAY(EOMONTH(요약!$B$3,0))-N($X223)),0))</f>
        <v/>
      </c>
      <c r="AJ223" s="10">
        <f>IF(OR($B223="",TRIM($J223&amp;"")=""),"",IFERROR(MATCH(TRIM($J223&amp;"")&amp;"|월",파견수련계획!$Z$4:$Z$83,0),""))</f>
        <v/>
      </c>
      <c r="AK223" s="10">
        <f>IF(OR($B223="",TRIM($J223&amp;"")=""),"",IFERROR(MATCH(TRIM($J223&amp;"")&amp;"|다기관",파견수련계획!$AE$4:$AE$83,0),""))</f>
        <v/>
      </c>
      <c r="AL223" s="10">
        <f>IF($AK223="","","다기관 "&amp;TEXT(INDEX(파견수련계획!$AB$4:$AB$83,$AK223),"yyyy-mm-dd")&amp;"~"&amp;IF(ISNUMBER(INDEX(파견수련계획!$AC$4:$AC$83,$AK223)),TEXT(INDEX(파견수련계획!$AC$4:$AC$83,$AK223),"yyyy-mm-dd"),""))</f>
        <v/>
      </c>
    </row>
    <row r="224">
      <c r="A224" s="10">
        <f>IF(B224="","",ROW()-1)</f>
        <v/>
      </c>
      <c r="B224" s="18" t="n"/>
      <c r="C224" s="10">
        <f>IF($AB224="","",IF(INDEX(기본자료!$C$2:$C$1001,$AB224)="","",INDEX(기본자료!$C$2:$C$1001,$AB224)))</f>
        <v/>
      </c>
      <c r="D224" s="10">
        <f>IF($AB224="","",IF(INDEX(기본자료!$J$2:$J$1001,$AB224)="","",INDEX(기본자료!$J$2:$J$1001,$AB224)))</f>
        <v/>
      </c>
      <c r="E224" s="11">
        <f>IF($AB224="","",IF(INDEX(기본자료!$K$2:$K$1001,$AB224)="","",IF(NOT(ISNUMBER(INDEX(기본자료!$K$2:$K$1001,$AB224))),INDEX(기본자료!$K$2:$K$1001,$AB224),IF(INDEX(기본자료!$K$2:$K$1001,$AB224)&lt;1000000,INDEX(기본자료!$K$2:$K$1001,$AB224),IF(AND(INDEX(기본자료!$K$2:$K$1001,$AB224)&gt;=10000101,INT(MOD(INDEX(기본자료!$K$2:$K$1001,$AB224),10000)/100)&gt;=1,INT(MOD(INDEX(기본자료!$K$2:$K$1001,$AB224),10000)/100)&lt;=12,MOD(INDEX(기본자료!$K$2:$K$1001,$AB224),100)&gt;=1,MOD(INDEX(기본자료!$K$2:$K$1001,$AB224),100)&lt;=31),DATE(INT(INDEX(기본자료!$K$2:$K$1001,$AB224)/10000),INT(MOD(INDEX(기본자료!$K$2:$K$1001,$AB224),10000)/100),MOD(INDEX(기본자료!$K$2:$K$1001,$AB224),100)),INDEX(기본자료!$K$2:$K$1001,$AB224)&amp;"")))))</f>
        <v/>
      </c>
      <c r="F224" s="10">
        <f>IF($AB224="","",IF(INDEX(기본자료!$D$2:$D$1001,$AB224)="","",INDEX(기본자료!$D$2:$D$1001,$AB224)))</f>
        <v/>
      </c>
      <c r="G224" s="10">
        <f>IF($AB224="","",IF(INDEX(기본자료!$E$2:$E$1001,$AB224)="","",INDEX(기본자료!$E$2:$E$1001,$AB224)))</f>
        <v/>
      </c>
      <c r="H224" s="10">
        <f>IF($AB224="","",IF(INDEX(기본자료!$F$2:$F$1001,$AB224)="","",INDEX(기본자료!$F$2:$F$1001,$AB224)))</f>
        <v/>
      </c>
      <c r="I224" s="11">
        <f>IF($AB224="","",IF(INDEX(기본자료!$G$2:$G$1001,$AB224)="","",IF(NOT(ISNUMBER(INDEX(기본자료!$G$2:$G$1001,$AB224))),INDEX(기본자료!$G$2:$G$1001,$AB224),IF(INDEX(기본자료!$G$2:$G$1001,$AB224)&lt;1000000,INDEX(기본자료!$G$2:$G$1001,$AB224),IF(AND(INDEX(기본자료!$G$2:$G$1001,$AB224)&gt;=10000101,INT(MOD(INDEX(기본자료!$G$2:$G$1001,$AB224),10000)/100)&gt;=1,INT(MOD(INDEX(기본자료!$G$2:$G$1001,$AB224),10000)/100)&lt;=12,MOD(INDEX(기본자료!$G$2:$G$1001,$AB224),100)&gt;=1,MOD(INDEX(기본자료!$G$2:$G$1001,$AB224),100)&lt;=31),DATE(INT(INDEX(기본자료!$G$2:$G$1001,$AB224)/10000),INT(MOD(INDEX(기본자료!$G$2:$G$1001,$AB224),10000)/100),MOD(INDEX(기본자료!$G$2:$G$1001,$AB224),100)),INDEX(기본자료!$G$2:$G$1001,$AB224)&amp;"")))))</f>
        <v/>
      </c>
      <c r="J224" s="10">
        <f>IF($AB224="","",IF(INDEX(기본자료!$H$2:$H$1001,$AB224)="","",INDEX(기본자료!$H$2:$H$1001,$AB224)))</f>
        <v/>
      </c>
      <c r="K224" s="10">
        <f>IF($AB224="","",IF(INDEX(기본자료!$I$2:$I$1001,$AB224)="","",INDEX(기본자료!$I$2:$I$1001,$AB224)))</f>
        <v/>
      </c>
      <c r="L224" s="10">
        <f>IF($AB224="","",IF(INDEX(기본자료!$A$2:$A$1001,$AB224)="","",INDEX(기본자료!$A$2:$A$1001,$AB224)))</f>
        <v/>
      </c>
      <c r="M224" s="15" t="n"/>
      <c r="N224" s="10">
        <f>IF($B224="","",IF(AND($U224="파견중",$Q224&lt;&gt;""),$Q224,IF(AND($AD224&lt;&gt;"",LEFT($AD224,1)&lt;&gt;"⚠"),LEFT($AD224,FIND(" ",$AD224)-1),IF($H224="","",IF(RIGHT($H224,2)="병원",$H224,$H224&amp;"병원")))))</f>
        <v/>
      </c>
      <c r="O224" s="10">
        <f>IF($B224="","",IF(AND($U224="파견중",$Q224&lt;&gt;""),IF($R224&lt;&gt;"",$R224,"파견과 미입력"),IF(AND($AD224&lt;&gt;"",LEFT($AD224,1)&lt;&gt;"⚠"),MID($AD224,FIND(" ",$AD224)+1,60),IF($F224="","",IF($F224="인턴","수련교육부(인턴)",$F224)))))</f>
        <v/>
      </c>
      <c r="P224" s="10">
        <f>IF($B224="","",IF($AK224&lt;&gt;"",IF(AND(TODAY()&gt;=INDEX(파견수련계획!$AB$4:$AB$83,$AK224),OR(NOT(ISNUMBER(INDEX(파견수련계획!$AC$4:$AC$83,$AK224))),TODAY()&lt;=INDEX(파견수련계획!$AC$4:$AC$83,$AK224))),"다기관",IF($AF224="","",INDEX(파견수련계획!$T$4:$T$83,$AF224))),IF($AF224="","",INDEX(파견수련계획!$T$4:$T$83,$AF224))))</f>
        <v/>
      </c>
      <c r="Q224" s="10">
        <f>IF($AF224="","",INDEX(파견수련계획!$S$4:$S$83,$AF224))</f>
        <v/>
      </c>
      <c r="R224" s="10">
        <f>IF($AF224="","",INDEX(파견수련계획!$U$4:$U$83,$AF224))</f>
        <v/>
      </c>
      <c r="S224" s="11">
        <f>IF($AF224="","",IF(INDEX(파견수련계획!$H$4:$H$83,$AF224)="","",INDEX(파견수련계획!$H$4:$H$83,$AF224)))</f>
        <v/>
      </c>
      <c r="T224" s="11">
        <f>IF($AF224="","",IF(INDEX(파견수련계획!$I$4:$I$83,$AF224)="","",INDEX(파견수련계획!$I$4:$I$83,$AF224)))</f>
        <v/>
      </c>
      <c r="U224" s="10">
        <f>IF($AF224="","",INDEX(파견수련계획!$X$4:$X$83,$AF224))</f>
        <v/>
      </c>
      <c r="V224" s="17">
        <f>IF($AF224="","",INDEX(파견수련계획!$V$4:$V$83,$AF224))</f>
        <v/>
      </c>
      <c r="W224" s="17">
        <f>IF(AND($U224="파견중",$T224&lt;&gt;""),$T224-TODAY(),"")</f>
        <v/>
      </c>
      <c r="X224" s="17">
        <f>IF(OR($B224="",TRIM($J224&amp;"")=""),"",SUMPRODUCT((파견수련계획!$Q$4:$Q$83=TRIM($J224&amp;""))*파견수련계획!$W$4:$W$83))</f>
        <v/>
      </c>
      <c r="Y224" s="10">
        <f>IF($B224="","",IF($AG224="","",IF(IF(TRIM($J224&amp;"")="",0,SUMPRODUCT((파견수련계획!$Q$4:$Q$83=TRIM($J224&amp;""))*파견수련계획!$AD$4:$AD$83))&gt;0,$AE224,IF(N($X224)&lt;=0,$AG224,IF($AH224+$AI224=DAY(EOMONTH(요약!$B$3,0)),IF(AND($AH224&gt;=요약!$E$3,$AI224&lt;요약!$E$3),"서울병원",IF(AND($AI224&gt;=요약!$E$3,$AH224&lt;요약!$E$3),"구리병원","⚠15일 판정불가(서울 "&amp;$AH224&amp;"일/구리 "&amp;$AI224&amp;"일)")),IF($AJ224="",$AE224,IF(INDEX(파견수련계획!$T$4:$T$83,$AJ224)="통합수련",INDEX(파견수련계획!$S$4:$S$83,$AJ224),$AE224)))))))</f>
        <v/>
      </c>
      <c r="Z224" s="19">
        <f>IF($B224="","",IF($AB224="","기본자료에 없는 사번",IF(COUNTIF($B$2:$B$401,$B224)&gt;1,"중복 사번",IF($AE224="","소속(입사장소) 입력",IF(IF(TRIM($J224&amp;"")="",0,SUMPRODUCT((파견수련계획!$Q$4:$Q$83=TRIM($J224&amp;""))*(파견수련계획!$AA$4:$AA$83&lt;&gt;"")))&gt;0,"파견수련계획 입력오류 확인",IF(LEFT($Y224,1)="⚠","서울·구리 15일 판정 불가(양쪽 모두 이상/미만)",IF(IF($AC224="",0,N(INDEX(인턴근무계획!$T$3:$T$62,$AC224)))&gt;0,"인턴계획 입력오류 확인",IF(AND($AC224&lt;&gt;"",$U224&lt;&gt;"파견중",$N224&lt;&gt;$AE224),"인턴 타지역 근무: 파견 여부 확인","정상"))))))))</f>
        <v/>
      </c>
      <c r="AA224" s="5" t="n"/>
      <c r="AB224" s="10">
        <f>IF($B224="","",IFERROR(MATCH($B224,기본자료!$B$2:$B$1001,0),IFERROR(MATCH($B224&amp;"",기본자료!$B$2:$B$1001,0),IFERROR(MATCH(VALUE($B224),기본자료!$B$2:$B$1001,0),""))))</f>
        <v/>
      </c>
      <c r="AC224" s="10">
        <f>IF($B224="","",IFERROR(MATCH($B224,인턴근무계획!$D$3:$D$62,0),IFERROR(MATCH($B224&amp;"",인턴근무계획!$D$3:$D$62,0),IFERROR(MATCH(VALUE($B224),인턴근무계획!$D$3:$D$62,0),""))))</f>
        <v/>
      </c>
      <c r="AD224" s="10">
        <f>IF(OR($AC224="",인턴현황!$G$3=""),"",INDEX(인턴근무계획!$M$3:$R$62,$AC224,인턴현황!$G$3)&amp;"")</f>
        <v/>
      </c>
      <c r="AE224" s="10">
        <f>IF($B224="","",IF($M224&lt;&gt;"",$M224,IF($AF224&lt;&gt;"",IF(LEFT(INDEX(파견수련계획!$R$4:$R$83,$AF224),1)&lt;&gt;"⚠",INDEX(파견수련계획!$R$4:$R$83,$AF224),IF($H224="","",IF(RIGHT($H224,2)="병원",$H224,$H224&amp;"병원"))),IF($H224="","",IF(RIGHT($H224,2)="병원",$H224,$H224&amp;"병원")))))</f>
        <v/>
      </c>
      <c r="AF224" s="10">
        <f>IF(OR($B224="",TRIM($J224&amp;"")=""),"",IFERROR(MATCH(TRIM($J224&amp;"")&amp;"|파견중",파견수련계획!$Y$4:$Y$83,0),IFERROR(MATCH(TRIM($J224&amp;"")&amp;"|파견예정",파견수련계획!$Y$4:$Y$83,0),IFERROR(MATCH(TRIM($J224&amp;"")&amp;"|파견종료",파견수련계획!$Y$4:$Y$83,0),""))))</f>
        <v/>
      </c>
      <c r="AG224" s="10">
        <f>IF($B224="","",IF(AND(IF(OR($AC224="",인턴현황!$K$2=""),"",INDEX(인턴근무계획!$M$3:$R$62,$AC224,인턴현황!$K$2)&amp;"")&lt;&gt;"",LEFT(IF(OR($AC224="",인턴현황!$K$2=""),"",INDEX(인턴근무계획!$M$3:$R$62,$AC224,인턴현황!$K$2)&amp;""),1)&lt;&gt;"⚠"),LEFT(IF(OR($AC224="",인턴현황!$K$2=""),"",INDEX(인턴근무계획!$M$3:$R$62,$AC224,인턴현황!$K$2)&amp;""),FIND(" ",IF(OR($AC224="",인턴현황!$K$2=""),"",INDEX(인턴근무계획!$M$3:$R$62,$AC224,인턴현황!$K$2)&amp;""))-1),$AE224))</f>
        <v/>
      </c>
      <c r="AH224" s="17">
        <f>IF($B224="","",IF(TRIM($J224&amp;"")="",0,SUMPRODUCT((파견수련계획!$Q$4:$Q$83=TRIM($J224&amp;""))*(파견수련계획!$S$4:$S$83="서울병원")*파견수련계획!$W$4:$W$83))+IF($AG224="서울병원",MAX(0,DAY(EOMONTH(요약!$B$3,0))-N($X224)),0))</f>
        <v/>
      </c>
      <c r="AI224" s="17">
        <f>IF($B224="","",IF(TRIM($J224&amp;"")="",0,SUMPRODUCT((파견수련계획!$Q$4:$Q$83=TRIM($J224&amp;""))*(파견수련계획!$S$4:$S$83="구리병원")*파견수련계획!$W$4:$W$83))+IF($AG224="구리병원",MAX(0,DAY(EOMONTH(요약!$B$3,0))-N($X224)),0))</f>
        <v/>
      </c>
      <c r="AJ224" s="10">
        <f>IF(OR($B224="",TRIM($J224&amp;"")=""),"",IFERROR(MATCH(TRIM($J224&amp;"")&amp;"|월",파견수련계획!$Z$4:$Z$83,0),""))</f>
        <v/>
      </c>
      <c r="AK224" s="10">
        <f>IF(OR($B224="",TRIM($J224&amp;"")=""),"",IFERROR(MATCH(TRIM($J224&amp;"")&amp;"|다기관",파견수련계획!$AE$4:$AE$83,0),""))</f>
        <v/>
      </c>
      <c r="AL224" s="10">
        <f>IF($AK224="","","다기관 "&amp;TEXT(INDEX(파견수련계획!$AB$4:$AB$83,$AK224),"yyyy-mm-dd")&amp;"~"&amp;IF(ISNUMBER(INDEX(파견수련계획!$AC$4:$AC$83,$AK224)),TEXT(INDEX(파견수련계획!$AC$4:$AC$83,$AK224),"yyyy-mm-dd"),""))</f>
        <v/>
      </c>
    </row>
    <row r="225">
      <c r="A225" s="10">
        <f>IF(B225="","",ROW()-1)</f>
        <v/>
      </c>
      <c r="B225" s="18" t="n"/>
      <c r="C225" s="10">
        <f>IF($AB225="","",IF(INDEX(기본자료!$C$2:$C$1001,$AB225)="","",INDEX(기본자료!$C$2:$C$1001,$AB225)))</f>
        <v/>
      </c>
      <c r="D225" s="10">
        <f>IF($AB225="","",IF(INDEX(기본자료!$J$2:$J$1001,$AB225)="","",INDEX(기본자료!$J$2:$J$1001,$AB225)))</f>
        <v/>
      </c>
      <c r="E225" s="11">
        <f>IF($AB225="","",IF(INDEX(기본자료!$K$2:$K$1001,$AB225)="","",IF(NOT(ISNUMBER(INDEX(기본자료!$K$2:$K$1001,$AB225))),INDEX(기본자료!$K$2:$K$1001,$AB225),IF(INDEX(기본자료!$K$2:$K$1001,$AB225)&lt;1000000,INDEX(기본자료!$K$2:$K$1001,$AB225),IF(AND(INDEX(기본자료!$K$2:$K$1001,$AB225)&gt;=10000101,INT(MOD(INDEX(기본자료!$K$2:$K$1001,$AB225),10000)/100)&gt;=1,INT(MOD(INDEX(기본자료!$K$2:$K$1001,$AB225),10000)/100)&lt;=12,MOD(INDEX(기본자료!$K$2:$K$1001,$AB225),100)&gt;=1,MOD(INDEX(기본자료!$K$2:$K$1001,$AB225),100)&lt;=31),DATE(INT(INDEX(기본자료!$K$2:$K$1001,$AB225)/10000),INT(MOD(INDEX(기본자료!$K$2:$K$1001,$AB225),10000)/100),MOD(INDEX(기본자료!$K$2:$K$1001,$AB225),100)),INDEX(기본자료!$K$2:$K$1001,$AB225)&amp;"")))))</f>
        <v/>
      </c>
      <c r="F225" s="10">
        <f>IF($AB225="","",IF(INDEX(기본자료!$D$2:$D$1001,$AB225)="","",INDEX(기본자료!$D$2:$D$1001,$AB225)))</f>
        <v/>
      </c>
      <c r="G225" s="10">
        <f>IF($AB225="","",IF(INDEX(기본자료!$E$2:$E$1001,$AB225)="","",INDEX(기본자료!$E$2:$E$1001,$AB225)))</f>
        <v/>
      </c>
      <c r="H225" s="10">
        <f>IF($AB225="","",IF(INDEX(기본자료!$F$2:$F$1001,$AB225)="","",INDEX(기본자료!$F$2:$F$1001,$AB225)))</f>
        <v/>
      </c>
      <c r="I225" s="11">
        <f>IF($AB225="","",IF(INDEX(기본자료!$G$2:$G$1001,$AB225)="","",IF(NOT(ISNUMBER(INDEX(기본자료!$G$2:$G$1001,$AB225))),INDEX(기본자료!$G$2:$G$1001,$AB225),IF(INDEX(기본자료!$G$2:$G$1001,$AB225)&lt;1000000,INDEX(기본자료!$G$2:$G$1001,$AB225),IF(AND(INDEX(기본자료!$G$2:$G$1001,$AB225)&gt;=10000101,INT(MOD(INDEX(기본자료!$G$2:$G$1001,$AB225),10000)/100)&gt;=1,INT(MOD(INDEX(기본자료!$G$2:$G$1001,$AB225),10000)/100)&lt;=12,MOD(INDEX(기본자료!$G$2:$G$1001,$AB225),100)&gt;=1,MOD(INDEX(기본자료!$G$2:$G$1001,$AB225),100)&lt;=31),DATE(INT(INDEX(기본자료!$G$2:$G$1001,$AB225)/10000),INT(MOD(INDEX(기본자료!$G$2:$G$1001,$AB225),10000)/100),MOD(INDEX(기본자료!$G$2:$G$1001,$AB225),100)),INDEX(기본자료!$G$2:$G$1001,$AB225)&amp;"")))))</f>
        <v/>
      </c>
      <c r="J225" s="10">
        <f>IF($AB225="","",IF(INDEX(기본자료!$H$2:$H$1001,$AB225)="","",INDEX(기본자료!$H$2:$H$1001,$AB225)))</f>
        <v/>
      </c>
      <c r="K225" s="10">
        <f>IF($AB225="","",IF(INDEX(기본자료!$I$2:$I$1001,$AB225)="","",INDEX(기본자료!$I$2:$I$1001,$AB225)))</f>
        <v/>
      </c>
      <c r="L225" s="10">
        <f>IF($AB225="","",IF(INDEX(기본자료!$A$2:$A$1001,$AB225)="","",INDEX(기본자료!$A$2:$A$1001,$AB225)))</f>
        <v/>
      </c>
      <c r="M225" s="15" t="n"/>
      <c r="N225" s="10">
        <f>IF($B225="","",IF(AND($U225="파견중",$Q225&lt;&gt;""),$Q225,IF(AND($AD225&lt;&gt;"",LEFT($AD225,1)&lt;&gt;"⚠"),LEFT($AD225,FIND(" ",$AD225)-1),IF($H225="","",IF(RIGHT($H225,2)="병원",$H225,$H225&amp;"병원")))))</f>
        <v/>
      </c>
      <c r="O225" s="10">
        <f>IF($B225="","",IF(AND($U225="파견중",$Q225&lt;&gt;""),IF($R225&lt;&gt;"",$R225,"파견과 미입력"),IF(AND($AD225&lt;&gt;"",LEFT($AD225,1)&lt;&gt;"⚠"),MID($AD225,FIND(" ",$AD225)+1,60),IF($F225="","",IF($F225="인턴","수련교육부(인턴)",$F225)))))</f>
        <v/>
      </c>
      <c r="P225" s="10">
        <f>IF($B225="","",IF($AK225&lt;&gt;"",IF(AND(TODAY()&gt;=INDEX(파견수련계획!$AB$4:$AB$83,$AK225),OR(NOT(ISNUMBER(INDEX(파견수련계획!$AC$4:$AC$83,$AK225))),TODAY()&lt;=INDEX(파견수련계획!$AC$4:$AC$83,$AK225))),"다기관",IF($AF225="","",INDEX(파견수련계획!$T$4:$T$83,$AF225))),IF($AF225="","",INDEX(파견수련계획!$T$4:$T$83,$AF225))))</f>
        <v/>
      </c>
      <c r="Q225" s="10">
        <f>IF($AF225="","",INDEX(파견수련계획!$S$4:$S$83,$AF225))</f>
        <v/>
      </c>
      <c r="R225" s="10">
        <f>IF($AF225="","",INDEX(파견수련계획!$U$4:$U$83,$AF225))</f>
        <v/>
      </c>
      <c r="S225" s="11">
        <f>IF($AF225="","",IF(INDEX(파견수련계획!$H$4:$H$83,$AF225)="","",INDEX(파견수련계획!$H$4:$H$83,$AF225)))</f>
        <v/>
      </c>
      <c r="T225" s="11">
        <f>IF($AF225="","",IF(INDEX(파견수련계획!$I$4:$I$83,$AF225)="","",INDEX(파견수련계획!$I$4:$I$83,$AF225)))</f>
        <v/>
      </c>
      <c r="U225" s="10">
        <f>IF($AF225="","",INDEX(파견수련계획!$X$4:$X$83,$AF225))</f>
        <v/>
      </c>
      <c r="V225" s="17">
        <f>IF($AF225="","",INDEX(파견수련계획!$V$4:$V$83,$AF225))</f>
        <v/>
      </c>
      <c r="W225" s="17">
        <f>IF(AND($U225="파견중",$T225&lt;&gt;""),$T225-TODAY(),"")</f>
        <v/>
      </c>
      <c r="X225" s="17">
        <f>IF(OR($B225="",TRIM($J225&amp;"")=""),"",SUMPRODUCT((파견수련계획!$Q$4:$Q$83=TRIM($J225&amp;""))*파견수련계획!$W$4:$W$83))</f>
        <v/>
      </c>
      <c r="Y225" s="10">
        <f>IF($B225="","",IF($AG225="","",IF(IF(TRIM($J225&amp;"")="",0,SUMPRODUCT((파견수련계획!$Q$4:$Q$83=TRIM($J225&amp;""))*파견수련계획!$AD$4:$AD$83))&gt;0,$AE225,IF(N($X225)&lt;=0,$AG225,IF($AH225+$AI225=DAY(EOMONTH(요약!$B$3,0)),IF(AND($AH225&gt;=요약!$E$3,$AI225&lt;요약!$E$3),"서울병원",IF(AND($AI225&gt;=요약!$E$3,$AH225&lt;요약!$E$3),"구리병원","⚠15일 판정불가(서울 "&amp;$AH225&amp;"일/구리 "&amp;$AI225&amp;"일)")),IF($AJ225="",$AE225,IF(INDEX(파견수련계획!$T$4:$T$83,$AJ225)="통합수련",INDEX(파견수련계획!$S$4:$S$83,$AJ225),$AE225)))))))</f>
        <v/>
      </c>
      <c r="Z225" s="19">
        <f>IF($B225="","",IF($AB225="","기본자료에 없는 사번",IF(COUNTIF($B$2:$B$401,$B225)&gt;1,"중복 사번",IF($AE225="","소속(입사장소) 입력",IF(IF(TRIM($J225&amp;"")="",0,SUMPRODUCT((파견수련계획!$Q$4:$Q$83=TRIM($J225&amp;""))*(파견수련계획!$AA$4:$AA$83&lt;&gt;"")))&gt;0,"파견수련계획 입력오류 확인",IF(LEFT($Y225,1)="⚠","서울·구리 15일 판정 불가(양쪽 모두 이상/미만)",IF(IF($AC225="",0,N(INDEX(인턴근무계획!$T$3:$T$62,$AC225)))&gt;0,"인턴계획 입력오류 확인",IF(AND($AC225&lt;&gt;"",$U225&lt;&gt;"파견중",$N225&lt;&gt;$AE225),"인턴 타지역 근무: 파견 여부 확인","정상"))))))))</f>
        <v/>
      </c>
      <c r="AA225" s="5" t="n"/>
      <c r="AB225" s="10">
        <f>IF($B225="","",IFERROR(MATCH($B225,기본자료!$B$2:$B$1001,0),IFERROR(MATCH($B225&amp;"",기본자료!$B$2:$B$1001,0),IFERROR(MATCH(VALUE($B225),기본자료!$B$2:$B$1001,0),""))))</f>
        <v/>
      </c>
      <c r="AC225" s="10">
        <f>IF($B225="","",IFERROR(MATCH($B225,인턴근무계획!$D$3:$D$62,0),IFERROR(MATCH($B225&amp;"",인턴근무계획!$D$3:$D$62,0),IFERROR(MATCH(VALUE($B225),인턴근무계획!$D$3:$D$62,0),""))))</f>
        <v/>
      </c>
      <c r="AD225" s="10">
        <f>IF(OR($AC225="",인턴현황!$G$3=""),"",INDEX(인턴근무계획!$M$3:$R$62,$AC225,인턴현황!$G$3)&amp;"")</f>
        <v/>
      </c>
      <c r="AE225" s="10">
        <f>IF($B225="","",IF($M225&lt;&gt;"",$M225,IF($AF225&lt;&gt;"",IF(LEFT(INDEX(파견수련계획!$R$4:$R$83,$AF225),1)&lt;&gt;"⚠",INDEX(파견수련계획!$R$4:$R$83,$AF225),IF($H225="","",IF(RIGHT($H225,2)="병원",$H225,$H225&amp;"병원"))),IF($H225="","",IF(RIGHT($H225,2)="병원",$H225,$H225&amp;"병원")))))</f>
        <v/>
      </c>
      <c r="AF225" s="10">
        <f>IF(OR($B225="",TRIM($J225&amp;"")=""),"",IFERROR(MATCH(TRIM($J225&amp;"")&amp;"|파견중",파견수련계획!$Y$4:$Y$83,0),IFERROR(MATCH(TRIM($J225&amp;"")&amp;"|파견예정",파견수련계획!$Y$4:$Y$83,0),IFERROR(MATCH(TRIM($J225&amp;"")&amp;"|파견종료",파견수련계획!$Y$4:$Y$83,0),""))))</f>
        <v/>
      </c>
      <c r="AG225" s="10">
        <f>IF($B225="","",IF(AND(IF(OR($AC225="",인턴현황!$K$2=""),"",INDEX(인턴근무계획!$M$3:$R$62,$AC225,인턴현황!$K$2)&amp;"")&lt;&gt;"",LEFT(IF(OR($AC225="",인턴현황!$K$2=""),"",INDEX(인턴근무계획!$M$3:$R$62,$AC225,인턴현황!$K$2)&amp;""),1)&lt;&gt;"⚠"),LEFT(IF(OR($AC225="",인턴현황!$K$2=""),"",INDEX(인턴근무계획!$M$3:$R$62,$AC225,인턴현황!$K$2)&amp;""),FIND(" ",IF(OR($AC225="",인턴현황!$K$2=""),"",INDEX(인턴근무계획!$M$3:$R$62,$AC225,인턴현황!$K$2)&amp;""))-1),$AE225))</f>
        <v/>
      </c>
      <c r="AH225" s="17">
        <f>IF($B225="","",IF(TRIM($J225&amp;"")="",0,SUMPRODUCT((파견수련계획!$Q$4:$Q$83=TRIM($J225&amp;""))*(파견수련계획!$S$4:$S$83="서울병원")*파견수련계획!$W$4:$W$83))+IF($AG225="서울병원",MAX(0,DAY(EOMONTH(요약!$B$3,0))-N($X225)),0))</f>
        <v/>
      </c>
      <c r="AI225" s="17">
        <f>IF($B225="","",IF(TRIM($J225&amp;"")="",0,SUMPRODUCT((파견수련계획!$Q$4:$Q$83=TRIM($J225&amp;""))*(파견수련계획!$S$4:$S$83="구리병원")*파견수련계획!$W$4:$W$83))+IF($AG225="구리병원",MAX(0,DAY(EOMONTH(요약!$B$3,0))-N($X225)),0))</f>
        <v/>
      </c>
      <c r="AJ225" s="10">
        <f>IF(OR($B225="",TRIM($J225&amp;"")=""),"",IFERROR(MATCH(TRIM($J225&amp;"")&amp;"|월",파견수련계획!$Z$4:$Z$83,0),""))</f>
        <v/>
      </c>
      <c r="AK225" s="10">
        <f>IF(OR($B225="",TRIM($J225&amp;"")=""),"",IFERROR(MATCH(TRIM($J225&amp;"")&amp;"|다기관",파견수련계획!$AE$4:$AE$83,0),""))</f>
        <v/>
      </c>
      <c r="AL225" s="10">
        <f>IF($AK225="","","다기관 "&amp;TEXT(INDEX(파견수련계획!$AB$4:$AB$83,$AK225),"yyyy-mm-dd")&amp;"~"&amp;IF(ISNUMBER(INDEX(파견수련계획!$AC$4:$AC$83,$AK225)),TEXT(INDEX(파견수련계획!$AC$4:$AC$83,$AK225),"yyyy-mm-dd"),""))</f>
        <v/>
      </c>
    </row>
    <row r="226">
      <c r="A226" s="10">
        <f>IF(B226="","",ROW()-1)</f>
        <v/>
      </c>
      <c r="B226" s="18" t="n"/>
      <c r="C226" s="10">
        <f>IF($AB226="","",IF(INDEX(기본자료!$C$2:$C$1001,$AB226)="","",INDEX(기본자료!$C$2:$C$1001,$AB226)))</f>
        <v/>
      </c>
      <c r="D226" s="10">
        <f>IF($AB226="","",IF(INDEX(기본자료!$J$2:$J$1001,$AB226)="","",INDEX(기본자료!$J$2:$J$1001,$AB226)))</f>
        <v/>
      </c>
      <c r="E226" s="11">
        <f>IF($AB226="","",IF(INDEX(기본자료!$K$2:$K$1001,$AB226)="","",IF(NOT(ISNUMBER(INDEX(기본자료!$K$2:$K$1001,$AB226))),INDEX(기본자료!$K$2:$K$1001,$AB226),IF(INDEX(기본자료!$K$2:$K$1001,$AB226)&lt;1000000,INDEX(기본자료!$K$2:$K$1001,$AB226),IF(AND(INDEX(기본자료!$K$2:$K$1001,$AB226)&gt;=10000101,INT(MOD(INDEX(기본자료!$K$2:$K$1001,$AB226),10000)/100)&gt;=1,INT(MOD(INDEX(기본자료!$K$2:$K$1001,$AB226),10000)/100)&lt;=12,MOD(INDEX(기본자료!$K$2:$K$1001,$AB226),100)&gt;=1,MOD(INDEX(기본자료!$K$2:$K$1001,$AB226),100)&lt;=31),DATE(INT(INDEX(기본자료!$K$2:$K$1001,$AB226)/10000),INT(MOD(INDEX(기본자료!$K$2:$K$1001,$AB226),10000)/100),MOD(INDEX(기본자료!$K$2:$K$1001,$AB226),100)),INDEX(기본자료!$K$2:$K$1001,$AB226)&amp;"")))))</f>
        <v/>
      </c>
      <c r="F226" s="10">
        <f>IF($AB226="","",IF(INDEX(기본자료!$D$2:$D$1001,$AB226)="","",INDEX(기본자료!$D$2:$D$1001,$AB226)))</f>
        <v/>
      </c>
      <c r="G226" s="10">
        <f>IF($AB226="","",IF(INDEX(기본자료!$E$2:$E$1001,$AB226)="","",INDEX(기본자료!$E$2:$E$1001,$AB226)))</f>
        <v/>
      </c>
      <c r="H226" s="10">
        <f>IF($AB226="","",IF(INDEX(기본자료!$F$2:$F$1001,$AB226)="","",INDEX(기본자료!$F$2:$F$1001,$AB226)))</f>
        <v/>
      </c>
      <c r="I226" s="11">
        <f>IF($AB226="","",IF(INDEX(기본자료!$G$2:$G$1001,$AB226)="","",IF(NOT(ISNUMBER(INDEX(기본자료!$G$2:$G$1001,$AB226))),INDEX(기본자료!$G$2:$G$1001,$AB226),IF(INDEX(기본자료!$G$2:$G$1001,$AB226)&lt;1000000,INDEX(기본자료!$G$2:$G$1001,$AB226),IF(AND(INDEX(기본자료!$G$2:$G$1001,$AB226)&gt;=10000101,INT(MOD(INDEX(기본자료!$G$2:$G$1001,$AB226),10000)/100)&gt;=1,INT(MOD(INDEX(기본자료!$G$2:$G$1001,$AB226),10000)/100)&lt;=12,MOD(INDEX(기본자료!$G$2:$G$1001,$AB226),100)&gt;=1,MOD(INDEX(기본자료!$G$2:$G$1001,$AB226),100)&lt;=31),DATE(INT(INDEX(기본자료!$G$2:$G$1001,$AB226)/10000),INT(MOD(INDEX(기본자료!$G$2:$G$1001,$AB226),10000)/100),MOD(INDEX(기본자료!$G$2:$G$1001,$AB226),100)),INDEX(기본자료!$G$2:$G$1001,$AB226)&amp;"")))))</f>
        <v/>
      </c>
      <c r="J226" s="10">
        <f>IF($AB226="","",IF(INDEX(기본자료!$H$2:$H$1001,$AB226)="","",INDEX(기본자료!$H$2:$H$1001,$AB226)))</f>
        <v/>
      </c>
      <c r="K226" s="10">
        <f>IF($AB226="","",IF(INDEX(기본자료!$I$2:$I$1001,$AB226)="","",INDEX(기본자료!$I$2:$I$1001,$AB226)))</f>
        <v/>
      </c>
      <c r="L226" s="10">
        <f>IF($AB226="","",IF(INDEX(기본자료!$A$2:$A$1001,$AB226)="","",INDEX(기본자료!$A$2:$A$1001,$AB226)))</f>
        <v/>
      </c>
      <c r="M226" s="15" t="n"/>
      <c r="N226" s="10">
        <f>IF($B226="","",IF(AND($U226="파견중",$Q226&lt;&gt;""),$Q226,IF(AND($AD226&lt;&gt;"",LEFT($AD226,1)&lt;&gt;"⚠"),LEFT($AD226,FIND(" ",$AD226)-1),IF($H226="","",IF(RIGHT($H226,2)="병원",$H226,$H226&amp;"병원")))))</f>
        <v/>
      </c>
      <c r="O226" s="10">
        <f>IF($B226="","",IF(AND($U226="파견중",$Q226&lt;&gt;""),IF($R226&lt;&gt;"",$R226,"파견과 미입력"),IF(AND($AD226&lt;&gt;"",LEFT($AD226,1)&lt;&gt;"⚠"),MID($AD226,FIND(" ",$AD226)+1,60),IF($F226="","",IF($F226="인턴","수련교육부(인턴)",$F226)))))</f>
        <v/>
      </c>
      <c r="P226" s="10">
        <f>IF($B226="","",IF($AK226&lt;&gt;"",IF(AND(TODAY()&gt;=INDEX(파견수련계획!$AB$4:$AB$83,$AK226),OR(NOT(ISNUMBER(INDEX(파견수련계획!$AC$4:$AC$83,$AK226))),TODAY()&lt;=INDEX(파견수련계획!$AC$4:$AC$83,$AK226))),"다기관",IF($AF226="","",INDEX(파견수련계획!$T$4:$T$83,$AF226))),IF($AF226="","",INDEX(파견수련계획!$T$4:$T$83,$AF226))))</f>
        <v/>
      </c>
      <c r="Q226" s="10">
        <f>IF($AF226="","",INDEX(파견수련계획!$S$4:$S$83,$AF226))</f>
        <v/>
      </c>
      <c r="R226" s="10">
        <f>IF($AF226="","",INDEX(파견수련계획!$U$4:$U$83,$AF226))</f>
        <v/>
      </c>
      <c r="S226" s="11">
        <f>IF($AF226="","",IF(INDEX(파견수련계획!$H$4:$H$83,$AF226)="","",INDEX(파견수련계획!$H$4:$H$83,$AF226)))</f>
        <v/>
      </c>
      <c r="T226" s="11">
        <f>IF($AF226="","",IF(INDEX(파견수련계획!$I$4:$I$83,$AF226)="","",INDEX(파견수련계획!$I$4:$I$83,$AF226)))</f>
        <v/>
      </c>
      <c r="U226" s="10">
        <f>IF($AF226="","",INDEX(파견수련계획!$X$4:$X$83,$AF226))</f>
        <v/>
      </c>
      <c r="V226" s="17">
        <f>IF($AF226="","",INDEX(파견수련계획!$V$4:$V$83,$AF226))</f>
        <v/>
      </c>
      <c r="W226" s="17">
        <f>IF(AND($U226="파견중",$T226&lt;&gt;""),$T226-TODAY(),"")</f>
        <v/>
      </c>
      <c r="X226" s="17">
        <f>IF(OR($B226="",TRIM($J226&amp;"")=""),"",SUMPRODUCT((파견수련계획!$Q$4:$Q$83=TRIM($J226&amp;""))*파견수련계획!$W$4:$W$83))</f>
        <v/>
      </c>
      <c r="Y226" s="10">
        <f>IF($B226="","",IF($AG226="","",IF(IF(TRIM($J226&amp;"")="",0,SUMPRODUCT((파견수련계획!$Q$4:$Q$83=TRIM($J226&amp;""))*파견수련계획!$AD$4:$AD$83))&gt;0,$AE226,IF(N($X226)&lt;=0,$AG226,IF($AH226+$AI226=DAY(EOMONTH(요약!$B$3,0)),IF(AND($AH226&gt;=요약!$E$3,$AI226&lt;요약!$E$3),"서울병원",IF(AND($AI226&gt;=요약!$E$3,$AH226&lt;요약!$E$3),"구리병원","⚠15일 판정불가(서울 "&amp;$AH226&amp;"일/구리 "&amp;$AI226&amp;"일)")),IF($AJ226="",$AE226,IF(INDEX(파견수련계획!$T$4:$T$83,$AJ226)="통합수련",INDEX(파견수련계획!$S$4:$S$83,$AJ226),$AE226)))))))</f>
        <v/>
      </c>
      <c r="Z226" s="19">
        <f>IF($B226="","",IF($AB226="","기본자료에 없는 사번",IF(COUNTIF($B$2:$B$401,$B226)&gt;1,"중복 사번",IF($AE226="","소속(입사장소) 입력",IF(IF(TRIM($J226&amp;"")="",0,SUMPRODUCT((파견수련계획!$Q$4:$Q$83=TRIM($J226&amp;""))*(파견수련계획!$AA$4:$AA$83&lt;&gt;"")))&gt;0,"파견수련계획 입력오류 확인",IF(LEFT($Y226,1)="⚠","서울·구리 15일 판정 불가(양쪽 모두 이상/미만)",IF(IF($AC226="",0,N(INDEX(인턴근무계획!$T$3:$T$62,$AC226)))&gt;0,"인턴계획 입력오류 확인",IF(AND($AC226&lt;&gt;"",$U226&lt;&gt;"파견중",$N226&lt;&gt;$AE226),"인턴 타지역 근무: 파견 여부 확인","정상"))))))))</f>
        <v/>
      </c>
      <c r="AA226" s="5" t="n"/>
      <c r="AB226" s="10">
        <f>IF($B226="","",IFERROR(MATCH($B226,기본자료!$B$2:$B$1001,0),IFERROR(MATCH($B226&amp;"",기본자료!$B$2:$B$1001,0),IFERROR(MATCH(VALUE($B226),기본자료!$B$2:$B$1001,0),""))))</f>
        <v/>
      </c>
      <c r="AC226" s="10">
        <f>IF($B226="","",IFERROR(MATCH($B226,인턴근무계획!$D$3:$D$62,0),IFERROR(MATCH($B226&amp;"",인턴근무계획!$D$3:$D$62,0),IFERROR(MATCH(VALUE($B226),인턴근무계획!$D$3:$D$62,0),""))))</f>
        <v/>
      </c>
      <c r="AD226" s="10">
        <f>IF(OR($AC226="",인턴현황!$G$3=""),"",INDEX(인턴근무계획!$M$3:$R$62,$AC226,인턴현황!$G$3)&amp;"")</f>
        <v/>
      </c>
      <c r="AE226" s="10">
        <f>IF($B226="","",IF($M226&lt;&gt;"",$M226,IF($AF226&lt;&gt;"",IF(LEFT(INDEX(파견수련계획!$R$4:$R$83,$AF226),1)&lt;&gt;"⚠",INDEX(파견수련계획!$R$4:$R$83,$AF226),IF($H226="","",IF(RIGHT($H226,2)="병원",$H226,$H226&amp;"병원"))),IF($H226="","",IF(RIGHT($H226,2)="병원",$H226,$H226&amp;"병원")))))</f>
        <v/>
      </c>
      <c r="AF226" s="10">
        <f>IF(OR($B226="",TRIM($J226&amp;"")=""),"",IFERROR(MATCH(TRIM($J226&amp;"")&amp;"|파견중",파견수련계획!$Y$4:$Y$83,0),IFERROR(MATCH(TRIM($J226&amp;"")&amp;"|파견예정",파견수련계획!$Y$4:$Y$83,0),IFERROR(MATCH(TRIM($J226&amp;"")&amp;"|파견종료",파견수련계획!$Y$4:$Y$83,0),""))))</f>
        <v/>
      </c>
      <c r="AG226" s="10">
        <f>IF($B226="","",IF(AND(IF(OR($AC226="",인턴현황!$K$2=""),"",INDEX(인턴근무계획!$M$3:$R$62,$AC226,인턴현황!$K$2)&amp;"")&lt;&gt;"",LEFT(IF(OR($AC226="",인턴현황!$K$2=""),"",INDEX(인턴근무계획!$M$3:$R$62,$AC226,인턴현황!$K$2)&amp;""),1)&lt;&gt;"⚠"),LEFT(IF(OR($AC226="",인턴현황!$K$2=""),"",INDEX(인턴근무계획!$M$3:$R$62,$AC226,인턴현황!$K$2)&amp;""),FIND(" ",IF(OR($AC226="",인턴현황!$K$2=""),"",INDEX(인턴근무계획!$M$3:$R$62,$AC226,인턴현황!$K$2)&amp;""))-1),$AE226))</f>
        <v/>
      </c>
      <c r="AH226" s="17">
        <f>IF($B226="","",IF(TRIM($J226&amp;"")="",0,SUMPRODUCT((파견수련계획!$Q$4:$Q$83=TRIM($J226&amp;""))*(파견수련계획!$S$4:$S$83="서울병원")*파견수련계획!$W$4:$W$83))+IF($AG226="서울병원",MAX(0,DAY(EOMONTH(요약!$B$3,0))-N($X226)),0))</f>
        <v/>
      </c>
      <c r="AI226" s="17">
        <f>IF($B226="","",IF(TRIM($J226&amp;"")="",0,SUMPRODUCT((파견수련계획!$Q$4:$Q$83=TRIM($J226&amp;""))*(파견수련계획!$S$4:$S$83="구리병원")*파견수련계획!$W$4:$W$83))+IF($AG226="구리병원",MAX(0,DAY(EOMONTH(요약!$B$3,0))-N($X226)),0))</f>
        <v/>
      </c>
      <c r="AJ226" s="10">
        <f>IF(OR($B226="",TRIM($J226&amp;"")=""),"",IFERROR(MATCH(TRIM($J226&amp;"")&amp;"|월",파견수련계획!$Z$4:$Z$83,0),""))</f>
        <v/>
      </c>
      <c r="AK226" s="10">
        <f>IF(OR($B226="",TRIM($J226&amp;"")=""),"",IFERROR(MATCH(TRIM($J226&amp;"")&amp;"|다기관",파견수련계획!$AE$4:$AE$83,0),""))</f>
        <v/>
      </c>
      <c r="AL226" s="10">
        <f>IF($AK226="","","다기관 "&amp;TEXT(INDEX(파견수련계획!$AB$4:$AB$83,$AK226),"yyyy-mm-dd")&amp;"~"&amp;IF(ISNUMBER(INDEX(파견수련계획!$AC$4:$AC$83,$AK226)),TEXT(INDEX(파견수련계획!$AC$4:$AC$83,$AK226),"yyyy-mm-dd"),""))</f>
        <v/>
      </c>
    </row>
    <row r="227">
      <c r="A227" s="10">
        <f>IF(B227="","",ROW()-1)</f>
        <v/>
      </c>
      <c r="B227" s="18" t="n"/>
      <c r="C227" s="10">
        <f>IF($AB227="","",IF(INDEX(기본자료!$C$2:$C$1001,$AB227)="","",INDEX(기본자료!$C$2:$C$1001,$AB227)))</f>
        <v/>
      </c>
      <c r="D227" s="10">
        <f>IF($AB227="","",IF(INDEX(기본자료!$J$2:$J$1001,$AB227)="","",INDEX(기본자료!$J$2:$J$1001,$AB227)))</f>
        <v/>
      </c>
      <c r="E227" s="11">
        <f>IF($AB227="","",IF(INDEX(기본자료!$K$2:$K$1001,$AB227)="","",IF(NOT(ISNUMBER(INDEX(기본자료!$K$2:$K$1001,$AB227))),INDEX(기본자료!$K$2:$K$1001,$AB227),IF(INDEX(기본자료!$K$2:$K$1001,$AB227)&lt;1000000,INDEX(기본자료!$K$2:$K$1001,$AB227),IF(AND(INDEX(기본자료!$K$2:$K$1001,$AB227)&gt;=10000101,INT(MOD(INDEX(기본자료!$K$2:$K$1001,$AB227),10000)/100)&gt;=1,INT(MOD(INDEX(기본자료!$K$2:$K$1001,$AB227),10000)/100)&lt;=12,MOD(INDEX(기본자료!$K$2:$K$1001,$AB227),100)&gt;=1,MOD(INDEX(기본자료!$K$2:$K$1001,$AB227),100)&lt;=31),DATE(INT(INDEX(기본자료!$K$2:$K$1001,$AB227)/10000),INT(MOD(INDEX(기본자료!$K$2:$K$1001,$AB227),10000)/100),MOD(INDEX(기본자료!$K$2:$K$1001,$AB227),100)),INDEX(기본자료!$K$2:$K$1001,$AB227)&amp;"")))))</f>
        <v/>
      </c>
      <c r="F227" s="10">
        <f>IF($AB227="","",IF(INDEX(기본자료!$D$2:$D$1001,$AB227)="","",INDEX(기본자료!$D$2:$D$1001,$AB227)))</f>
        <v/>
      </c>
      <c r="G227" s="10">
        <f>IF($AB227="","",IF(INDEX(기본자료!$E$2:$E$1001,$AB227)="","",INDEX(기본자료!$E$2:$E$1001,$AB227)))</f>
        <v/>
      </c>
      <c r="H227" s="10">
        <f>IF($AB227="","",IF(INDEX(기본자료!$F$2:$F$1001,$AB227)="","",INDEX(기본자료!$F$2:$F$1001,$AB227)))</f>
        <v/>
      </c>
      <c r="I227" s="11">
        <f>IF($AB227="","",IF(INDEX(기본자료!$G$2:$G$1001,$AB227)="","",IF(NOT(ISNUMBER(INDEX(기본자료!$G$2:$G$1001,$AB227))),INDEX(기본자료!$G$2:$G$1001,$AB227),IF(INDEX(기본자료!$G$2:$G$1001,$AB227)&lt;1000000,INDEX(기본자료!$G$2:$G$1001,$AB227),IF(AND(INDEX(기본자료!$G$2:$G$1001,$AB227)&gt;=10000101,INT(MOD(INDEX(기본자료!$G$2:$G$1001,$AB227),10000)/100)&gt;=1,INT(MOD(INDEX(기본자료!$G$2:$G$1001,$AB227),10000)/100)&lt;=12,MOD(INDEX(기본자료!$G$2:$G$1001,$AB227),100)&gt;=1,MOD(INDEX(기본자료!$G$2:$G$1001,$AB227),100)&lt;=31),DATE(INT(INDEX(기본자료!$G$2:$G$1001,$AB227)/10000),INT(MOD(INDEX(기본자료!$G$2:$G$1001,$AB227),10000)/100),MOD(INDEX(기본자료!$G$2:$G$1001,$AB227),100)),INDEX(기본자료!$G$2:$G$1001,$AB227)&amp;"")))))</f>
        <v/>
      </c>
      <c r="J227" s="10">
        <f>IF($AB227="","",IF(INDEX(기본자료!$H$2:$H$1001,$AB227)="","",INDEX(기본자료!$H$2:$H$1001,$AB227)))</f>
        <v/>
      </c>
      <c r="K227" s="10">
        <f>IF($AB227="","",IF(INDEX(기본자료!$I$2:$I$1001,$AB227)="","",INDEX(기본자료!$I$2:$I$1001,$AB227)))</f>
        <v/>
      </c>
      <c r="L227" s="10">
        <f>IF($AB227="","",IF(INDEX(기본자료!$A$2:$A$1001,$AB227)="","",INDEX(기본자료!$A$2:$A$1001,$AB227)))</f>
        <v/>
      </c>
      <c r="M227" s="15" t="n"/>
      <c r="N227" s="10">
        <f>IF($B227="","",IF(AND($U227="파견중",$Q227&lt;&gt;""),$Q227,IF(AND($AD227&lt;&gt;"",LEFT($AD227,1)&lt;&gt;"⚠"),LEFT($AD227,FIND(" ",$AD227)-1),IF($H227="","",IF(RIGHT($H227,2)="병원",$H227,$H227&amp;"병원")))))</f>
        <v/>
      </c>
      <c r="O227" s="10">
        <f>IF($B227="","",IF(AND($U227="파견중",$Q227&lt;&gt;""),IF($R227&lt;&gt;"",$R227,"파견과 미입력"),IF(AND($AD227&lt;&gt;"",LEFT($AD227,1)&lt;&gt;"⚠"),MID($AD227,FIND(" ",$AD227)+1,60),IF($F227="","",IF($F227="인턴","수련교육부(인턴)",$F227)))))</f>
        <v/>
      </c>
      <c r="P227" s="10">
        <f>IF($B227="","",IF($AK227&lt;&gt;"",IF(AND(TODAY()&gt;=INDEX(파견수련계획!$AB$4:$AB$83,$AK227),OR(NOT(ISNUMBER(INDEX(파견수련계획!$AC$4:$AC$83,$AK227))),TODAY()&lt;=INDEX(파견수련계획!$AC$4:$AC$83,$AK227))),"다기관",IF($AF227="","",INDEX(파견수련계획!$T$4:$T$83,$AF227))),IF($AF227="","",INDEX(파견수련계획!$T$4:$T$83,$AF227))))</f>
        <v/>
      </c>
      <c r="Q227" s="10">
        <f>IF($AF227="","",INDEX(파견수련계획!$S$4:$S$83,$AF227))</f>
        <v/>
      </c>
      <c r="R227" s="10">
        <f>IF($AF227="","",INDEX(파견수련계획!$U$4:$U$83,$AF227))</f>
        <v/>
      </c>
      <c r="S227" s="11">
        <f>IF($AF227="","",IF(INDEX(파견수련계획!$H$4:$H$83,$AF227)="","",INDEX(파견수련계획!$H$4:$H$83,$AF227)))</f>
        <v/>
      </c>
      <c r="T227" s="11">
        <f>IF($AF227="","",IF(INDEX(파견수련계획!$I$4:$I$83,$AF227)="","",INDEX(파견수련계획!$I$4:$I$83,$AF227)))</f>
        <v/>
      </c>
      <c r="U227" s="10">
        <f>IF($AF227="","",INDEX(파견수련계획!$X$4:$X$83,$AF227))</f>
        <v/>
      </c>
      <c r="V227" s="17">
        <f>IF($AF227="","",INDEX(파견수련계획!$V$4:$V$83,$AF227))</f>
        <v/>
      </c>
      <c r="W227" s="17">
        <f>IF(AND($U227="파견중",$T227&lt;&gt;""),$T227-TODAY(),"")</f>
        <v/>
      </c>
      <c r="X227" s="17">
        <f>IF(OR($B227="",TRIM($J227&amp;"")=""),"",SUMPRODUCT((파견수련계획!$Q$4:$Q$83=TRIM($J227&amp;""))*파견수련계획!$W$4:$W$83))</f>
        <v/>
      </c>
      <c r="Y227" s="10">
        <f>IF($B227="","",IF($AG227="","",IF(IF(TRIM($J227&amp;"")="",0,SUMPRODUCT((파견수련계획!$Q$4:$Q$83=TRIM($J227&amp;""))*파견수련계획!$AD$4:$AD$83))&gt;0,$AE227,IF(N($X227)&lt;=0,$AG227,IF($AH227+$AI227=DAY(EOMONTH(요약!$B$3,0)),IF(AND($AH227&gt;=요약!$E$3,$AI227&lt;요약!$E$3),"서울병원",IF(AND($AI227&gt;=요약!$E$3,$AH227&lt;요약!$E$3),"구리병원","⚠15일 판정불가(서울 "&amp;$AH227&amp;"일/구리 "&amp;$AI227&amp;"일)")),IF($AJ227="",$AE227,IF(INDEX(파견수련계획!$T$4:$T$83,$AJ227)="통합수련",INDEX(파견수련계획!$S$4:$S$83,$AJ227),$AE227)))))))</f>
        <v/>
      </c>
      <c r="Z227" s="19">
        <f>IF($B227="","",IF($AB227="","기본자료에 없는 사번",IF(COUNTIF($B$2:$B$401,$B227)&gt;1,"중복 사번",IF($AE227="","소속(입사장소) 입력",IF(IF(TRIM($J227&amp;"")="",0,SUMPRODUCT((파견수련계획!$Q$4:$Q$83=TRIM($J227&amp;""))*(파견수련계획!$AA$4:$AA$83&lt;&gt;"")))&gt;0,"파견수련계획 입력오류 확인",IF(LEFT($Y227,1)="⚠","서울·구리 15일 판정 불가(양쪽 모두 이상/미만)",IF(IF($AC227="",0,N(INDEX(인턴근무계획!$T$3:$T$62,$AC227)))&gt;0,"인턴계획 입력오류 확인",IF(AND($AC227&lt;&gt;"",$U227&lt;&gt;"파견중",$N227&lt;&gt;$AE227),"인턴 타지역 근무: 파견 여부 확인","정상"))))))))</f>
        <v/>
      </c>
      <c r="AA227" s="5" t="n"/>
      <c r="AB227" s="10">
        <f>IF($B227="","",IFERROR(MATCH($B227,기본자료!$B$2:$B$1001,0),IFERROR(MATCH($B227&amp;"",기본자료!$B$2:$B$1001,0),IFERROR(MATCH(VALUE($B227),기본자료!$B$2:$B$1001,0),""))))</f>
        <v/>
      </c>
      <c r="AC227" s="10">
        <f>IF($B227="","",IFERROR(MATCH($B227,인턴근무계획!$D$3:$D$62,0),IFERROR(MATCH($B227&amp;"",인턴근무계획!$D$3:$D$62,0),IFERROR(MATCH(VALUE($B227),인턴근무계획!$D$3:$D$62,0),""))))</f>
        <v/>
      </c>
      <c r="AD227" s="10">
        <f>IF(OR($AC227="",인턴현황!$G$3=""),"",INDEX(인턴근무계획!$M$3:$R$62,$AC227,인턴현황!$G$3)&amp;"")</f>
        <v/>
      </c>
      <c r="AE227" s="10">
        <f>IF($B227="","",IF($M227&lt;&gt;"",$M227,IF($AF227&lt;&gt;"",IF(LEFT(INDEX(파견수련계획!$R$4:$R$83,$AF227),1)&lt;&gt;"⚠",INDEX(파견수련계획!$R$4:$R$83,$AF227),IF($H227="","",IF(RIGHT($H227,2)="병원",$H227,$H227&amp;"병원"))),IF($H227="","",IF(RIGHT($H227,2)="병원",$H227,$H227&amp;"병원")))))</f>
        <v/>
      </c>
      <c r="AF227" s="10">
        <f>IF(OR($B227="",TRIM($J227&amp;"")=""),"",IFERROR(MATCH(TRIM($J227&amp;"")&amp;"|파견중",파견수련계획!$Y$4:$Y$83,0),IFERROR(MATCH(TRIM($J227&amp;"")&amp;"|파견예정",파견수련계획!$Y$4:$Y$83,0),IFERROR(MATCH(TRIM($J227&amp;"")&amp;"|파견종료",파견수련계획!$Y$4:$Y$83,0),""))))</f>
        <v/>
      </c>
      <c r="AG227" s="10">
        <f>IF($B227="","",IF(AND(IF(OR($AC227="",인턴현황!$K$2=""),"",INDEX(인턴근무계획!$M$3:$R$62,$AC227,인턴현황!$K$2)&amp;"")&lt;&gt;"",LEFT(IF(OR($AC227="",인턴현황!$K$2=""),"",INDEX(인턴근무계획!$M$3:$R$62,$AC227,인턴현황!$K$2)&amp;""),1)&lt;&gt;"⚠"),LEFT(IF(OR($AC227="",인턴현황!$K$2=""),"",INDEX(인턴근무계획!$M$3:$R$62,$AC227,인턴현황!$K$2)&amp;""),FIND(" ",IF(OR($AC227="",인턴현황!$K$2=""),"",INDEX(인턴근무계획!$M$3:$R$62,$AC227,인턴현황!$K$2)&amp;""))-1),$AE227))</f>
        <v/>
      </c>
      <c r="AH227" s="17">
        <f>IF($B227="","",IF(TRIM($J227&amp;"")="",0,SUMPRODUCT((파견수련계획!$Q$4:$Q$83=TRIM($J227&amp;""))*(파견수련계획!$S$4:$S$83="서울병원")*파견수련계획!$W$4:$W$83))+IF($AG227="서울병원",MAX(0,DAY(EOMONTH(요약!$B$3,0))-N($X227)),0))</f>
        <v/>
      </c>
      <c r="AI227" s="17">
        <f>IF($B227="","",IF(TRIM($J227&amp;"")="",0,SUMPRODUCT((파견수련계획!$Q$4:$Q$83=TRIM($J227&amp;""))*(파견수련계획!$S$4:$S$83="구리병원")*파견수련계획!$W$4:$W$83))+IF($AG227="구리병원",MAX(0,DAY(EOMONTH(요약!$B$3,0))-N($X227)),0))</f>
        <v/>
      </c>
      <c r="AJ227" s="10">
        <f>IF(OR($B227="",TRIM($J227&amp;"")=""),"",IFERROR(MATCH(TRIM($J227&amp;"")&amp;"|월",파견수련계획!$Z$4:$Z$83,0),""))</f>
        <v/>
      </c>
      <c r="AK227" s="10">
        <f>IF(OR($B227="",TRIM($J227&amp;"")=""),"",IFERROR(MATCH(TRIM($J227&amp;"")&amp;"|다기관",파견수련계획!$AE$4:$AE$83,0),""))</f>
        <v/>
      </c>
      <c r="AL227" s="10">
        <f>IF($AK227="","","다기관 "&amp;TEXT(INDEX(파견수련계획!$AB$4:$AB$83,$AK227),"yyyy-mm-dd")&amp;"~"&amp;IF(ISNUMBER(INDEX(파견수련계획!$AC$4:$AC$83,$AK227)),TEXT(INDEX(파견수련계획!$AC$4:$AC$83,$AK227),"yyyy-mm-dd"),""))</f>
        <v/>
      </c>
    </row>
    <row r="228">
      <c r="A228" s="10">
        <f>IF(B228="","",ROW()-1)</f>
        <v/>
      </c>
      <c r="B228" s="18" t="n"/>
      <c r="C228" s="10">
        <f>IF($AB228="","",IF(INDEX(기본자료!$C$2:$C$1001,$AB228)="","",INDEX(기본자료!$C$2:$C$1001,$AB228)))</f>
        <v/>
      </c>
      <c r="D228" s="10">
        <f>IF($AB228="","",IF(INDEX(기본자료!$J$2:$J$1001,$AB228)="","",INDEX(기본자료!$J$2:$J$1001,$AB228)))</f>
        <v/>
      </c>
      <c r="E228" s="11">
        <f>IF($AB228="","",IF(INDEX(기본자료!$K$2:$K$1001,$AB228)="","",IF(NOT(ISNUMBER(INDEX(기본자료!$K$2:$K$1001,$AB228))),INDEX(기본자료!$K$2:$K$1001,$AB228),IF(INDEX(기본자료!$K$2:$K$1001,$AB228)&lt;1000000,INDEX(기본자료!$K$2:$K$1001,$AB228),IF(AND(INDEX(기본자료!$K$2:$K$1001,$AB228)&gt;=10000101,INT(MOD(INDEX(기본자료!$K$2:$K$1001,$AB228),10000)/100)&gt;=1,INT(MOD(INDEX(기본자료!$K$2:$K$1001,$AB228),10000)/100)&lt;=12,MOD(INDEX(기본자료!$K$2:$K$1001,$AB228),100)&gt;=1,MOD(INDEX(기본자료!$K$2:$K$1001,$AB228),100)&lt;=31),DATE(INT(INDEX(기본자료!$K$2:$K$1001,$AB228)/10000),INT(MOD(INDEX(기본자료!$K$2:$K$1001,$AB228),10000)/100),MOD(INDEX(기본자료!$K$2:$K$1001,$AB228),100)),INDEX(기본자료!$K$2:$K$1001,$AB228)&amp;"")))))</f>
        <v/>
      </c>
      <c r="F228" s="10">
        <f>IF($AB228="","",IF(INDEX(기본자료!$D$2:$D$1001,$AB228)="","",INDEX(기본자료!$D$2:$D$1001,$AB228)))</f>
        <v/>
      </c>
      <c r="G228" s="10">
        <f>IF($AB228="","",IF(INDEX(기본자료!$E$2:$E$1001,$AB228)="","",INDEX(기본자료!$E$2:$E$1001,$AB228)))</f>
        <v/>
      </c>
      <c r="H228" s="10">
        <f>IF($AB228="","",IF(INDEX(기본자료!$F$2:$F$1001,$AB228)="","",INDEX(기본자료!$F$2:$F$1001,$AB228)))</f>
        <v/>
      </c>
      <c r="I228" s="11">
        <f>IF($AB228="","",IF(INDEX(기본자료!$G$2:$G$1001,$AB228)="","",IF(NOT(ISNUMBER(INDEX(기본자료!$G$2:$G$1001,$AB228))),INDEX(기본자료!$G$2:$G$1001,$AB228),IF(INDEX(기본자료!$G$2:$G$1001,$AB228)&lt;1000000,INDEX(기본자료!$G$2:$G$1001,$AB228),IF(AND(INDEX(기본자료!$G$2:$G$1001,$AB228)&gt;=10000101,INT(MOD(INDEX(기본자료!$G$2:$G$1001,$AB228),10000)/100)&gt;=1,INT(MOD(INDEX(기본자료!$G$2:$G$1001,$AB228),10000)/100)&lt;=12,MOD(INDEX(기본자료!$G$2:$G$1001,$AB228),100)&gt;=1,MOD(INDEX(기본자료!$G$2:$G$1001,$AB228),100)&lt;=31),DATE(INT(INDEX(기본자료!$G$2:$G$1001,$AB228)/10000),INT(MOD(INDEX(기본자료!$G$2:$G$1001,$AB228),10000)/100),MOD(INDEX(기본자료!$G$2:$G$1001,$AB228),100)),INDEX(기본자료!$G$2:$G$1001,$AB228)&amp;"")))))</f>
        <v/>
      </c>
      <c r="J228" s="10">
        <f>IF($AB228="","",IF(INDEX(기본자료!$H$2:$H$1001,$AB228)="","",INDEX(기본자료!$H$2:$H$1001,$AB228)))</f>
        <v/>
      </c>
      <c r="K228" s="10">
        <f>IF($AB228="","",IF(INDEX(기본자료!$I$2:$I$1001,$AB228)="","",INDEX(기본자료!$I$2:$I$1001,$AB228)))</f>
        <v/>
      </c>
      <c r="L228" s="10">
        <f>IF($AB228="","",IF(INDEX(기본자료!$A$2:$A$1001,$AB228)="","",INDEX(기본자료!$A$2:$A$1001,$AB228)))</f>
        <v/>
      </c>
      <c r="M228" s="15" t="n"/>
      <c r="N228" s="10">
        <f>IF($B228="","",IF(AND($U228="파견중",$Q228&lt;&gt;""),$Q228,IF(AND($AD228&lt;&gt;"",LEFT($AD228,1)&lt;&gt;"⚠"),LEFT($AD228,FIND(" ",$AD228)-1),IF($H228="","",IF(RIGHT($H228,2)="병원",$H228,$H228&amp;"병원")))))</f>
        <v/>
      </c>
      <c r="O228" s="10">
        <f>IF($B228="","",IF(AND($U228="파견중",$Q228&lt;&gt;""),IF($R228&lt;&gt;"",$R228,"파견과 미입력"),IF(AND($AD228&lt;&gt;"",LEFT($AD228,1)&lt;&gt;"⚠"),MID($AD228,FIND(" ",$AD228)+1,60),IF($F228="","",IF($F228="인턴","수련교육부(인턴)",$F228)))))</f>
        <v/>
      </c>
      <c r="P228" s="10">
        <f>IF($B228="","",IF($AK228&lt;&gt;"",IF(AND(TODAY()&gt;=INDEX(파견수련계획!$AB$4:$AB$83,$AK228),OR(NOT(ISNUMBER(INDEX(파견수련계획!$AC$4:$AC$83,$AK228))),TODAY()&lt;=INDEX(파견수련계획!$AC$4:$AC$83,$AK228))),"다기관",IF($AF228="","",INDEX(파견수련계획!$T$4:$T$83,$AF228))),IF($AF228="","",INDEX(파견수련계획!$T$4:$T$83,$AF228))))</f>
        <v/>
      </c>
      <c r="Q228" s="10">
        <f>IF($AF228="","",INDEX(파견수련계획!$S$4:$S$83,$AF228))</f>
        <v/>
      </c>
      <c r="R228" s="10">
        <f>IF($AF228="","",INDEX(파견수련계획!$U$4:$U$83,$AF228))</f>
        <v/>
      </c>
      <c r="S228" s="11">
        <f>IF($AF228="","",IF(INDEX(파견수련계획!$H$4:$H$83,$AF228)="","",INDEX(파견수련계획!$H$4:$H$83,$AF228)))</f>
        <v/>
      </c>
      <c r="T228" s="11">
        <f>IF($AF228="","",IF(INDEX(파견수련계획!$I$4:$I$83,$AF228)="","",INDEX(파견수련계획!$I$4:$I$83,$AF228)))</f>
        <v/>
      </c>
      <c r="U228" s="10">
        <f>IF($AF228="","",INDEX(파견수련계획!$X$4:$X$83,$AF228))</f>
        <v/>
      </c>
      <c r="V228" s="17">
        <f>IF($AF228="","",INDEX(파견수련계획!$V$4:$V$83,$AF228))</f>
        <v/>
      </c>
      <c r="W228" s="17">
        <f>IF(AND($U228="파견중",$T228&lt;&gt;""),$T228-TODAY(),"")</f>
        <v/>
      </c>
      <c r="X228" s="17">
        <f>IF(OR($B228="",TRIM($J228&amp;"")=""),"",SUMPRODUCT((파견수련계획!$Q$4:$Q$83=TRIM($J228&amp;""))*파견수련계획!$W$4:$W$83))</f>
        <v/>
      </c>
      <c r="Y228" s="10">
        <f>IF($B228="","",IF($AG228="","",IF(IF(TRIM($J228&amp;"")="",0,SUMPRODUCT((파견수련계획!$Q$4:$Q$83=TRIM($J228&amp;""))*파견수련계획!$AD$4:$AD$83))&gt;0,$AE228,IF(N($X228)&lt;=0,$AG228,IF($AH228+$AI228=DAY(EOMONTH(요약!$B$3,0)),IF(AND($AH228&gt;=요약!$E$3,$AI228&lt;요약!$E$3),"서울병원",IF(AND($AI228&gt;=요약!$E$3,$AH228&lt;요약!$E$3),"구리병원","⚠15일 판정불가(서울 "&amp;$AH228&amp;"일/구리 "&amp;$AI228&amp;"일)")),IF($AJ228="",$AE228,IF(INDEX(파견수련계획!$T$4:$T$83,$AJ228)="통합수련",INDEX(파견수련계획!$S$4:$S$83,$AJ228),$AE228)))))))</f>
        <v/>
      </c>
      <c r="Z228" s="19">
        <f>IF($B228="","",IF($AB228="","기본자료에 없는 사번",IF(COUNTIF($B$2:$B$401,$B228)&gt;1,"중복 사번",IF($AE228="","소속(입사장소) 입력",IF(IF(TRIM($J228&amp;"")="",0,SUMPRODUCT((파견수련계획!$Q$4:$Q$83=TRIM($J228&amp;""))*(파견수련계획!$AA$4:$AA$83&lt;&gt;"")))&gt;0,"파견수련계획 입력오류 확인",IF(LEFT($Y228,1)="⚠","서울·구리 15일 판정 불가(양쪽 모두 이상/미만)",IF(IF($AC228="",0,N(INDEX(인턴근무계획!$T$3:$T$62,$AC228)))&gt;0,"인턴계획 입력오류 확인",IF(AND($AC228&lt;&gt;"",$U228&lt;&gt;"파견중",$N228&lt;&gt;$AE228),"인턴 타지역 근무: 파견 여부 확인","정상"))))))))</f>
        <v/>
      </c>
      <c r="AA228" s="5" t="n"/>
      <c r="AB228" s="10">
        <f>IF($B228="","",IFERROR(MATCH($B228,기본자료!$B$2:$B$1001,0),IFERROR(MATCH($B228&amp;"",기본자료!$B$2:$B$1001,0),IFERROR(MATCH(VALUE($B228),기본자료!$B$2:$B$1001,0),""))))</f>
        <v/>
      </c>
      <c r="AC228" s="10">
        <f>IF($B228="","",IFERROR(MATCH($B228,인턴근무계획!$D$3:$D$62,0),IFERROR(MATCH($B228&amp;"",인턴근무계획!$D$3:$D$62,0),IFERROR(MATCH(VALUE($B228),인턴근무계획!$D$3:$D$62,0),""))))</f>
        <v/>
      </c>
      <c r="AD228" s="10">
        <f>IF(OR($AC228="",인턴현황!$G$3=""),"",INDEX(인턴근무계획!$M$3:$R$62,$AC228,인턴현황!$G$3)&amp;"")</f>
        <v/>
      </c>
      <c r="AE228" s="10">
        <f>IF($B228="","",IF($M228&lt;&gt;"",$M228,IF($AF228&lt;&gt;"",IF(LEFT(INDEX(파견수련계획!$R$4:$R$83,$AF228),1)&lt;&gt;"⚠",INDEX(파견수련계획!$R$4:$R$83,$AF228),IF($H228="","",IF(RIGHT($H228,2)="병원",$H228,$H228&amp;"병원"))),IF($H228="","",IF(RIGHT($H228,2)="병원",$H228,$H228&amp;"병원")))))</f>
        <v/>
      </c>
      <c r="AF228" s="10">
        <f>IF(OR($B228="",TRIM($J228&amp;"")=""),"",IFERROR(MATCH(TRIM($J228&amp;"")&amp;"|파견중",파견수련계획!$Y$4:$Y$83,0),IFERROR(MATCH(TRIM($J228&amp;"")&amp;"|파견예정",파견수련계획!$Y$4:$Y$83,0),IFERROR(MATCH(TRIM($J228&amp;"")&amp;"|파견종료",파견수련계획!$Y$4:$Y$83,0),""))))</f>
        <v/>
      </c>
      <c r="AG228" s="10">
        <f>IF($B228="","",IF(AND(IF(OR($AC228="",인턴현황!$K$2=""),"",INDEX(인턴근무계획!$M$3:$R$62,$AC228,인턴현황!$K$2)&amp;"")&lt;&gt;"",LEFT(IF(OR($AC228="",인턴현황!$K$2=""),"",INDEX(인턴근무계획!$M$3:$R$62,$AC228,인턴현황!$K$2)&amp;""),1)&lt;&gt;"⚠"),LEFT(IF(OR($AC228="",인턴현황!$K$2=""),"",INDEX(인턴근무계획!$M$3:$R$62,$AC228,인턴현황!$K$2)&amp;""),FIND(" ",IF(OR($AC228="",인턴현황!$K$2=""),"",INDEX(인턴근무계획!$M$3:$R$62,$AC228,인턴현황!$K$2)&amp;""))-1),$AE228))</f>
        <v/>
      </c>
      <c r="AH228" s="17">
        <f>IF($B228="","",IF(TRIM($J228&amp;"")="",0,SUMPRODUCT((파견수련계획!$Q$4:$Q$83=TRIM($J228&amp;""))*(파견수련계획!$S$4:$S$83="서울병원")*파견수련계획!$W$4:$W$83))+IF($AG228="서울병원",MAX(0,DAY(EOMONTH(요약!$B$3,0))-N($X228)),0))</f>
        <v/>
      </c>
      <c r="AI228" s="17">
        <f>IF($B228="","",IF(TRIM($J228&amp;"")="",0,SUMPRODUCT((파견수련계획!$Q$4:$Q$83=TRIM($J228&amp;""))*(파견수련계획!$S$4:$S$83="구리병원")*파견수련계획!$W$4:$W$83))+IF($AG228="구리병원",MAX(0,DAY(EOMONTH(요약!$B$3,0))-N($X228)),0))</f>
        <v/>
      </c>
      <c r="AJ228" s="10">
        <f>IF(OR($B228="",TRIM($J228&amp;"")=""),"",IFERROR(MATCH(TRIM($J228&amp;"")&amp;"|월",파견수련계획!$Z$4:$Z$83,0),""))</f>
        <v/>
      </c>
      <c r="AK228" s="10">
        <f>IF(OR($B228="",TRIM($J228&amp;"")=""),"",IFERROR(MATCH(TRIM($J228&amp;"")&amp;"|다기관",파견수련계획!$AE$4:$AE$83,0),""))</f>
        <v/>
      </c>
      <c r="AL228" s="10">
        <f>IF($AK228="","","다기관 "&amp;TEXT(INDEX(파견수련계획!$AB$4:$AB$83,$AK228),"yyyy-mm-dd")&amp;"~"&amp;IF(ISNUMBER(INDEX(파견수련계획!$AC$4:$AC$83,$AK228)),TEXT(INDEX(파견수련계획!$AC$4:$AC$83,$AK228),"yyyy-mm-dd"),""))</f>
        <v/>
      </c>
    </row>
    <row r="229">
      <c r="A229" s="10">
        <f>IF(B229="","",ROW()-1)</f>
        <v/>
      </c>
      <c r="B229" s="18" t="n"/>
      <c r="C229" s="10">
        <f>IF($AB229="","",IF(INDEX(기본자료!$C$2:$C$1001,$AB229)="","",INDEX(기본자료!$C$2:$C$1001,$AB229)))</f>
        <v/>
      </c>
      <c r="D229" s="10">
        <f>IF($AB229="","",IF(INDEX(기본자료!$J$2:$J$1001,$AB229)="","",INDEX(기본자료!$J$2:$J$1001,$AB229)))</f>
        <v/>
      </c>
      <c r="E229" s="11">
        <f>IF($AB229="","",IF(INDEX(기본자료!$K$2:$K$1001,$AB229)="","",IF(NOT(ISNUMBER(INDEX(기본자료!$K$2:$K$1001,$AB229))),INDEX(기본자료!$K$2:$K$1001,$AB229),IF(INDEX(기본자료!$K$2:$K$1001,$AB229)&lt;1000000,INDEX(기본자료!$K$2:$K$1001,$AB229),IF(AND(INDEX(기본자료!$K$2:$K$1001,$AB229)&gt;=10000101,INT(MOD(INDEX(기본자료!$K$2:$K$1001,$AB229),10000)/100)&gt;=1,INT(MOD(INDEX(기본자료!$K$2:$K$1001,$AB229),10000)/100)&lt;=12,MOD(INDEX(기본자료!$K$2:$K$1001,$AB229),100)&gt;=1,MOD(INDEX(기본자료!$K$2:$K$1001,$AB229),100)&lt;=31),DATE(INT(INDEX(기본자료!$K$2:$K$1001,$AB229)/10000),INT(MOD(INDEX(기본자료!$K$2:$K$1001,$AB229),10000)/100),MOD(INDEX(기본자료!$K$2:$K$1001,$AB229),100)),INDEX(기본자료!$K$2:$K$1001,$AB229)&amp;"")))))</f>
        <v/>
      </c>
      <c r="F229" s="10">
        <f>IF($AB229="","",IF(INDEX(기본자료!$D$2:$D$1001,$AB229)="","",INDEX(기본자료!$D$2:$D$1001,$AB229)))</f>
        <v/>
      </c>
      <c r="G229" s="10">
        <f>IF($AB229="","",IF(INDEX(기본자료!$E$2:$E$1001,$AB229)="","",INDEX(기본자료!$E$2:$E$1001,$AB229)))</f>
        <v/>
      </c>
      <c r="H229" s="10">
        <f>IF($AB229="","",IF(INDEX(기본자료!$F$2:$F$1001,$AB229)="","",INDEX(기본자료!$F$2:$F$1001,$AB229)))</f>
        <v/>
      </c>
      <c r="I229" s="11">
        <f>IF($AB229="","",IF(INDEX(기본자료!$G$2:$G$1001,$AB229)="","",IF(NOT(ISNUMBER(INDEX(기본자료!$G$2:$G$1001,$AB229))),INDEX(기본자료!$G$2:$G$1001,$AB229),IF(INDEX(기본자료!$G$2:$G$1001,$AB229)&lt;1000000,INDEX(기본자료!$G$2:$G$1001,$AB229),IF(AND(INDEX(기본자료!$G$2:$G$1001,$AB229)&gt;=10000101,INT(MOD(INDEX(기본자료!$G$2:$G$1001,$AB229),10000)/100)&gt;=1,INT(MOD(INDEX(기본자료!$G$2:$G$1001,$AB229),10000)/100)&lt;=12,MOD(INDEX(기본자료!$G$2:$G$1001,$AB229),100)&gt;=1,MOD(INDEX(기본자료!$G$2:$G$1001,$AB229),100)&lt;=31),DATE(INT(INDEX(기본자료!$G$2:$G$1001,$AB229)/10000),INT(MOD(INDEX(기본자료!$G$2:$G$1001,$AB229),10000)/100),MOD(INDEX(기본자료!$G$2:$G$1001,$AB229),100)),INDEX(기본자료!$G$2:$G$1001,$AB229)&amp;"")))))</f>
        <v/>
      </c>
      <c r="J229" s="10">
        <f>IF($AB229="","",IF(INDEX(기본자료!$H$2:$H$1001,$AB229)="","",INDEX(기본자료!$H$2:$H$1001,$AB229)))</f>
        <v/>
      </c>
      <c r="K229" s="10">
        <f>IF($AB229="","",IF(INDEX(기본자료!$I$2:$I$1001,$AB229)="","",INDEX(기본자료!$I$2:$I$1001,$AB229)))</f>
        <v/>
      </c>
      <c r="L229" s="10">
        <f>IF($AB229="","",IF(INDEX(기본자료!$A$2:$A$1001,$AB229)="","",INDEX(기본자료!$A$2:$A$1001,$AB229)))</f>
        <v/>
      </c>
      <c r="M229" s="15" t="n"/>
      <c r="N229" s="10">
        <f>IF($B229="","",IF(AND($U229="파견중",$Q229&lt;&gt;""),$Q229,IF(AND($AD229&lt;&gt;"",LEFT($AD229,1)&lt;&gt;"⚠"),LEFT($AD229,FIND(" ",$AD229)-1),IF($H229="","",IF(RIGHT($H229,2)="병원",$H229,$H229&amp;"병원")))))</f>
        <v/>
      </c>
      <c r="O229" s="10">
        <f>IF($B229="","",IF(AND($U229="파견중",$Q229&lt;&gt;""),IF($R229&lt;&gt;"",$R229,"파견과 미입력"),IF(AND($AD229&lt;&gt;"",LEFT($AD229,1)&lt;&gt;"⚠"),MID($AD229,FIND(" ",$AD229)+1,60),IF($F229="","",IF($F229="인턴","수련교육부(인턴)",$F229)))))</f>
        <v/>
      </c>
      <c r="P229" s="10">
        <f>IF($B229="","",IF($AK229&lt;&gt;"",IF(AND(TODAY()&gt;=INDEX(파견수련계획!$AB$4:$AB$83,$AK229),OR(NOT(ISNUMBER(INDEX(파견수련계획!$AC$4:$AC$83,$AK229))),TODAY()&lt;=INDEX(파견수련계획!$AC$4:$AC$83,$AK229))),"다기관",IF($AF229="","",INDEX(파견수련계획!$T$4:$T$83,$AF229))),IF($AF229="","",INDEX(파견수련계획!$T$4:$T$83,$AF229))))</f>
        <v/>
      </c>
      <c r="Q229" s="10">
        <f>IF($AF229="","",INDEX(파견수련계획!$S$4:$S$83,$AF229))</f>
        <v/>
      </c>
      <c r="R229" s="10">
        <f>IF($AF229="","",INDEX(파견수련계획!$U$4:$U$83,$AF229))</f>
        <v/>
      </c>
      <c r="S229" s="11">
        <f>IF($AF229="","",IF(INDEX(파견수련계획!$H$4:$H$83,$AF229)="","",INDEX(파견수련계획!$H$4:$H$83,$AF229)))</f>
        <v/>
      </c>
      <c r="T229" s="11">
        <f>IF($AF229="","",IF(INDEX(파견수련계획!$I$4:$I$83,$AF229)="","",INDEX(파견수련계획!$I$4:$I$83,$AF229)))</f>
        <v/>
      </c>
      <c r="U229" s="10">
        <f>IF($AF229="","",INDEX(파견수련계획!$X$4:$X$83,$AF229))</f>
        <v/>
      </c>
      <c r="V229" s="17">
        <f>IF($AF229="","",INDEX(파견수련계획!$V$4:$V$83,$AF229))</f>
        <v/>
      </c>
      <c r="W229" s="17">
        <f>IF(AND($U229="파견중",$T229&lt;&gt;""),$T229-TODAY(),"")</f>
        <v/>
      </c>
      <c r="X229" s="17">
        <f>IF(OR($B229="",TRIM($J229&amp;"")=""),"",SUMPRODUCT((파견수련계획!$Q$4:$Q$83=TRIM($J229&amp;""))*파견수련계획!$W$4:$W$83))</f>
        <v/>
      </c>
      <c r="Y229" s="10">
        <f>IF($B229="","",IF($AG229="","",IF(IF(TRIM($J229&amp;"")="",0,SUMPRODUCT((파견수련계획!$Q$4:$Q$83=TRIM($J229&amp;""))*파견수련계획!$AD$4:$AD$83))&gt;0,$AE229,IF(N($X229)&lt;=0,$AG229,IF($AH229+$AI229=DAY(EOMONTH(요약!$B$3,0)),IF(AND($AH229&gt;=요약!$E$3,$AI229&lt;요약!$E$3),"서울병원",IF(AND($AI229&gt;=요약!$E$3,$AH229&lt;요약!$E$3),"구리병원","⚠15일 판정불가(서울 "&amp;$AH229&amp;"일/구리 "&amp;$AI229&amp;"일)")),IF($AJ229="",$AE229,IF(INDEX(파견수련계획!$T$4:$T$83,$AJ229)="통합수련",INDEX(파견수련계획!$S$4:$S$83,$AJ229),$AE229)))))))</f>
        <v/>
      </c>
      <c r="Z229" s="19">
        <f>IF($B229="","",IF($AB229="","기본자료에 없는 사번",IF(COUNTIF($B$2:$B$401,$B229)&gt;1,"중복 사번",IF($AE229="","소속(입사장소) 입력",IF(IF(TRIM($J229&amp;"")="",0,SUMPRODUCT((파견수련계획!$Q$4:$Q$83=TRIM($J229&amp;""))*(파견수련계획!$AA$4:$AA$83&lt;&gt;"")))&gt;0,"파견수련계획 입력오류 확인",IF(LEFT($Y229,1)="⚠","서울·구리 15일 판정 불가(양쪽 모두 이상/미만)",IF(IF($AC229="",0,N(INDEX(인턴근무계획!$T$3:$T$62,$AC229)))&gt;0,"인턴계획 입력오류 확인",IF(AND($AC229&lt;&gt;"",$U229&lt;&gt;"파견중",$N229&lt;&gt;$AE229),"인턴 타지역 근무: 파견 여부 확인","정상"))))))))</f>
        <v/>
      </c>
      <c r="AA229" s="5" t="n"/>
      <c r="AB229" s="10">
        <f>IF($B229="","",IFERROR(MATCH($B229,기본자료!$B$2:$B$1001,0),IFERROR(MATCH($B229&amp;"",기본자료!$B$2:$B$1001,0),IFERROR(MATCH(VALUE($B229),기본자료!$B$2:$B$1001,0),""))))</f>
        <v/>
      </c>
      <c r="AC229" s="10">
        <f>IF($B229="","",IFERROR(MATCH($B229,인턴근무계획!$D$3:$D$62,0),IFERROR(MATCH($B229&amp;"",인턴근무계획!$D$3:$D$62,0),IFERROR(MATCH(VALUE($B229),인턴근무계획!$D$3:$D$62,0),""))))</f>
        <v/>
      </c>
      <c r="AD229" s="10">
        <f>IF(OR($AC229="",인턴현황!$G$3=""),"",INDEX(인턴근무계획!$M$3:$R$62,$AC229,인턴현황!$G$3)&amp;"")</f>
        <v/>
      </c>
      <c r="AE229" s="10">
        <f>IF($B229="","",IF($M229&lt;&gt;"",$M229,IF($AF229&lt;&gt;"",IF(LEFT(INDEX(파견수련계획!$R$4:$R$83,$AF229),1)&lt;&gt;"⚠",INDEX(파견수련계획!$R$4:$R$83,$AF229),IF($H229="","",IF(RIGHT($H229,2)="병원",$H229,$H229&amp;"병원"))),IF($H229="","",IF(RIGHT($H229,2)="병원",$H229,$H229&amp;"병원")))))</f>
        <v/>
      </c>
      <c r="AF229" s="10">
        <f>IF(OR($B229="",TRIM($J229&amp;"")=""),"",IFERROR(MATCH(TRIM($J229&amp;"")&amp;"|파견중",파견수련계획!$Y$4:$Y$83,0),IFERROR(MATCH(TRIM($J229&amp;"")&amp;"|파견예정",파견수련계획!$Y$4:$Y$83,0),IFERROR(MATCH(TRIM($J229&amp;"")&amp;"|파견종료",파견수련계획!$Y$4:$Y$83,0),""))))</f>
        <v/>
      </c>
      <c r="AG229" s="10">
        <f>IF($B229="","",IF(AND(IF(OR($AC229="",인턴현황!$K$2=""),"",INDEX(인턴근무계획!$M$3:$R$62,$AC229,인턴현황!$K$2)&amp;"")&lt;&gt;"",LEFT(IF(OR($AC229="",인턴현황!$K$2=""),"",INDEX(인턴근무계획!$M$3:$R$62,$AC229,인턴현황!$K$2)&amp;""),1)&lt;&gt;"⚠"),LEFT(IF(OR($AC229="",인턴현황!$K$2=""),"",INDEX(인턴근무계획!$M$3:$R$62,$AC229,인턴현황!$K$2)&amp;""),FIND(" ",IF(OR($AC229="",인턴현황!$K$2=""),"",INDEX(인턴근무계획!$M$3:$R$62,$AC229,인턴현황!$K$2)&amp;""))-1),$AE229))</f>
        <v/>
      </c>
      <c r="AH229" s="17">
        <f>IF($B229="","",IF(TRIM($J229&amp;"")="",0,SUMPRODUCT((파견수련계획!$Q$4:$Q$83=TRIM($J229&amp;""))*(파견수련계획!$S$4:$S$83="서울병원")*파견수련계획!$W$4:$W$83))+IF($AG229="서울병원",MAX(0,DAY(EOMONTH(요약!$B$3,0))-N($X229)),0))</f>
        <v/>
      </c>
      <c r="AI229" s="17">
        <f>IF($B229="","",IF(TRIM($J229&amp;"")="",0,SUMPRODUCT((파견수련계획!$Q$4:$Q$83=TRIM($J229&amp;""))*(파견수련계획!$S$4:$S$83="구리병원")*파견수련계획!$W$4:$W$83))+IF($AG229="구리병원",MAX(0,DAY(EOMONTH(요약!$B$3,0))-N($X229)),0))</f>
        <v/>
      </c>
      <c r="AJ229" s="10">
        <f>IF(OR($B229="",TRIM($J229&amp;"")=""),"",IFERROR(MATCH(TRIM($J229&amp;"")&amp;"|월",파견수련계획!$Z$4:$Z$83,0),""))</f>
        <v/>
      </c>
      <c r="AK229" s="10">
        <f>IF(OR($B229="",TRIM($J229&amp;"")=""),"",IFERROR(MATCH(TRIM($J229&amp;"")&amp;"|다기관",파견수련계획!$AE$4:$AE$83,0),""))</f>
        <v/>
      </c>
      <c r="AL229" s="10">
        <f>IF($AK229="","","다기관 "&amp;TEXT(INDEX(파견수련계획!$AB$4:$AB$83,$AK229),"yyyy-mm-dd")&amp;"~"&amp;IF(ISNUMBER(INDEX(파견수련계획!$AC$4:$AC$83,$AK229)),TEXT(INDEX(파견수련계획!$AC$4:$AC$83,$AK229),"yyyy-mm-dd"),""))</f>
        <v/>
      </c>
    </row>
    <row r="230">
      <c r="A230" s="10">
        <f>IF(B230="","",ROW()-1)</f>
        <v/>
      </c>
      <c r="B230" s="18" t="n"/>
      <c r="C230" s="10">
        <f>IF($AB230="","",IF(INDEX(기본자료!$C$2:$C$1001,$AB230)="","",INDEX(기본자료!$C$2:$C$1001,$AB230)))</f>
        <v/>
      </c>
      <c r="D230" s="10">
        <f>IF($AB230="","",IF(INDEX(기본자료!$J$2:$J$1001,$AB230)="","",INDEX(기본자료!$J$2:$J$1001,$AB230)))</f>
        <v/>
      </c>
      <c r="E230" s="11">
        <f>IF($AB230="","",IF(INDEX(기본자료!$K$2:$K$1001,$AB230)="","",IF(NOT(ISNUMBER(INDEX(기본자료!$K$2:$K$1001,$AB230))),INDEX(기본자료!$K$2:$K$1001,$AB230),IF(INDEX(기본자료!$K$2:$K$1001,$AB230)&lt;1000000,INDEX(기본자료!$K$2:$K$1001,$AB230),IF(AND(INDEX(기본자료!$K$2:$K$1001,$AB230)&gt;=10000101,INT(MOD(INDEX(기본자료!$K$2:$K$1001,$AB230),10000)/100)&gt;=1,INT(MOD(INDEX(기본자료!$K$2:$K$1001,$AB230),10000)/100)&lt;=12,MOD(INDEX(기본자료!$K$2:$K$1001,$AB230),100)&gt;=1,MOD(INDEX(기본자료!$K$2:$K$1001,$AB230),100)&lt;=31),DATE(INT(INDEX(기본자료!$K$2:$K$1001,$AB230)/10000),INT(MOD(INDEX(기본자료!$K$2:$K$1001,$AB230),10000)/100),MOD(INDEX(기본자료!$K$2:$K$1001,$AB230),100)),INDEX(기본자료!$K$2:$K$1001,$AB230)&amp;"")))))</f>
        <v/>
      </c>
      <c r="F230" s="10">
        <f>IF($AB230="","",IF(INDEX(기본자료!$D$2:$D$1001,$AB230)="","",INDEX(기본자료!$D$2:$D$1001,$AB230)))</f>
        <v/>
      </c>
      <c r="G230" s="10">
        <f>IF($AB230="","",IF(INDEX(기본자료!$E$2:$E$1001,$AB230)="","",INDEX(기본자료!$E$2:$E$1001,$AB230)))</f>
        <v/>
      </c>
      <c r="H230" s="10">
        <f>IF($AB230="","",IF(INDEX(기본자료!$F$2:$F$1001,$AB230)="","",INDEX(기본자료!$F$2:$F$1001,$AB230)))</f>
        <v/>
      </c>
      <c r="I230" s="11">
        <f>IF($AB230="","",IF(INDEX(기본자료!$G$2:$G$1001,$AB230)="","",IF(NOT(ISNUMBER(INDEX(기본자료!$G$2:$G$1001,$AB230))),INDEX(기본자료!$G$2:$G$1001,$AB230),IF(INDEX(기본자료!$G$2:$G$1001,$AB230)&lt;1000000,INDEX(기본자료!$G$2:$G$1001,$AB230),IF(AND(INDEX(기본자료!$G$2:$G$1001,$AB230)&gt;=10000101,INT(MOD(INDEX(기본자료!$G$2:$G$1001,$AB230),10000)/100)&gt;=1,INT(MOD(INDEX(기본자료!$G$2:$G$1001,$AB230),10000)/100)&lt;=12,MOD(INDEX(기본자료!$G$2:$G$1001,$AB230),100)&gt;=1,MOD(INDEX(기본자료!$G$2:$G$1001,$AB230),100)&lt;=31),DATE(INT(INDEX(기본자료!$G$2:$G$1001,$AB230)/10000),INT(MOD(INDEX(기본자료!$G$2:$G$1001,$AB230),10000)/100),MOD(INDEX(기본자료!$G$2:$G$1001,$AB230),100)),INDEX(기본자료!$G$2:$G$1001,$AB230)&amp;"")))))</f>
        <v/>
      </c>
      <c r="J230" s="10">
        <f>IF($AB230="","",IF(INDEX(기본자료!$H$2:$H$1001,$AB230)="","",INDEX(기본자료!$H$2:$H$1001,$AB230)))</f>
        <v/>
      </c>
      <c r="K230" s="10">
        <f>IF($AB230="","",IF(INDEX(기본자료!$I$2:$I$1001,$AB230)="","",INDEX(기본자료!$I$2:$I$1001,$AB230)))</f>
        <v/>
      </c>
      <c r="L230" s="10">
        <f>IF($AB230="","",IF(INDEX(기본자료!$A$2:$A$1001,$AB230)="","",INDEX(기본자료!$A$2:$A$1001,$AB230)))</f>
        <v/>
      </c>
      <c r="M230" s="15" t="n"/>
      <c r="N230" s="10">
        <f>IF($B230="","",IF(AND($U230="파견중",$Q230&lt;&gt;""),$Q230,IF(AND($AD230&lt;&gt;"",LEFT($AD230,1)&lt;&gt;"⚠"),LEFT($AD230,FIND(" ",$AD230)-1),IF($H230="","",IF(RIGHT($H230,2)="병원",$H230,$H230&amp;"병원")))))</f>
        <v/>
      </c>
      <c r="O230" s="10">
        <f>IF($B230="","",IF(AND($U230="파견중",$Q230&lt;&gt;""),IF($R230&lt;&gt;"",$R230,"파견과 미입력"),IF(AND($AD230&lt;&gt;"",LEFT($AD230,1)&lt;&gt;"⚠"),MID($AD230,FIND(" ",$AD230)+1,60),IF($F230="","",IF($F230="인턴","수련교육부(인턴)",$F230)))))</f>
        <v/>
      </c>
      <c r="P230" s="10">
        <f>IF($B230="","",IF($AK230&lt;&gt;"",IF(AND(TODAY()&gt;=INDEX(파견수련계획!$AB$4:$AB$83,$AK230),OR(NOT(ISNUMBER(INDEX(파견수련계획!$AC$4:$AC$83,$AK230))),TODAY()&lt;=INDEX(파견수련계획!$AC$4:$AC$83,$AK230))),"다기관",IF($AF230="","",INDEX(파견수련계획!$T$4:$T$83,$AF230))),IF($AF230="","",INDEX(파견수련계획!$T$4:$T$83,$AF230))))</f>
        <v/>
      </c>
      <c r="Q230" s="10">
        <f>IF($AF230="","",INDEX(파견수련계획!$S$4:$S$83,$AF230))</f>
        <v/>
      </c>
      <c r="R230" s="10">
        <f>IF($AF230="","",INDEX(파견수련계획!$U$4:$U$83,$AF230))</f>
        <v/>
      </c>
      <c r="S230" s="11">
        <f>IF($AF230="","",IF(INDEX(파견수련계획!$H$4:$H$83,$AF230)="","",INDEX(파견수련계획!$H$4:$H$83,$AF230)))</f>
        <v/>
      </c>
      <c r="T230" s="11">
        <f>IF($AF230="","",IF(INDEX(파견수련계획!$I$4:$I$83,$AF230)="","",INDEX(파견수련계획!$I$4:$I$83,$AF230)))</f>
        <v/>
      </c>
      <c r="U230" s="10">
        <f>IF($AF230="","",INDEX(파견수련계획!$X$4:$X$83,$AF230))</f>
        <v/>
      </c>
      <c r="V230" s="17">
        <f>IF($AF230="","",INDEX(파견수련계획!$V$4:$V$83,$AF230))</f>
        <v/>
      </c>
      <c r="W230" s="17">
        <f>IF(AND($U230="파견중",$T230&lt;&gt;""),$T230-TODAY(),"")</f>
        <v/>
      </c>
      <c r="X230" s="17">
        <f>IF(OR($B230="",TRIM($J230&amp;"")=""),"",SUMPRODUCT((파견수련계획!$Q$4:$Q$83=TRIM($J230&amp;""))*파견수련계획!$W$4:$W$83))</f>
        <v/>
      </c>
      <c r="Y230" s="10">
        <f>IF($B230="","",IF($AG230="","",IF(IF(TRIM($J230&amp;"")="",0,SUMPRODUCT((파견수련계획!$Q$4:$Q$83=TRIM($J230&amp;""))*파견수련계획!$AD$4:$AD$83))&gt;0,$AE230,IF(N($X230)&lt;=0,$AG230,IF($AH230+$AI230=DAY(EOMONTH(요약!$B$3,0)),IF(AND($AH230&gt;=요약!$E$3,$AI230&lt;요약!$E$3),"서울병원",IF(AND($AI230&gt;=요약!$E$3,$AH230&lt;요약!$E$3),"구리병원","⚠15일 판정불가(서울 "&amp;$AH230&amp;"일/구리 "&amp;$AI230&amp;"일)")),IF($AJ230="",$AE230,IF(INDEX(파견수련계획!$T$4:$T$83,$AJ230)="통합수련",INDEX(파견수련계획!$S$4:$S$83,$AJ230),$AE230)))))))</f>
        <v/>
      </c>
      <c r="Z230" s="19">
        <f>IF($B230="","",IF($AB230="","기본자료에 없는 사번",IF(COUNTIF($B$2:$B$401,$B230)&gt;1,"중복 사번",IF($AE230="","소속(입사장소) 입력",IF(IF(TRIM($J230&amp;"")="",0,SUMPRODUCT((파견수련계획!$Q$4:$Q$83=TRIM($J230&amp;""))*(파견수련계획!$AA$4:$AA$83&lt;&gt;"")))&gt;0,"파견수련계획 입력오류 확인",IF(LEFT($Y230,1)="⚠","서울·구리 15일 판정 불가(양쪽 모두 이상/미만)",IF(IF($AC230="",0,N(INDEX(인턴근무계획!$T$3:$T$62,$AC230)))&gt;0,"인턴계획 입력오류 확인",IF(AND($AC230&lt;&gt;"",$U230&lt;&gt;"파견중",$N230&lt;&gt;$AE230),"인턴 타지역 근무: 파견 여부 확인","정상"))))))))</f>
        <v/>
      </c>
      <c r="AA230" s="5" t="n"/>
      <c r="AB230" s="10">
        <f>IF($B230="","",IFERROR(MATCH($B230,기본자료!$B$2:$B$1001,0),IFERROR(MATCH($B230&amp;"",기본자료!$B$2:$B$1001,0),IFERROR(MATCH(VALUE($B230),기본자료!$B$2:$B$1001,0),""))))</f>
        <v/>
      </c>
      <c r="AC230" s="10">
        <f>IF($B230="","",IFERROR(MATCH($B230,인턴근무계획!$D$3:$D$62,0),IFERROR(MATCH($B230&amp;"",인턴근무계획!$D$3:$D$62,0),IFERROR(MATCH(VALUE($B230),인턴근무계획!$D$3:$D$62,0),""))))</f>
        <v/>
      </c>
      <c r="AD230" s="10">
        <f>IF(OR($AC230="",인턴현황!$G$3=""),"",INDEX(인턴근무계획!$M$3:$R$62,$AC230,인턴현황!$G$3)&amp;"")</f>
        <v/>
      </c>
      <c r="AE230" s="10">
        <f>IF($B230="","",IF($M230&lt;&gt;"",$M230,IF($AF230&lt;&gt;"",IF(LEFT(INDEX(파견수련계획!$R$4:$R$83,$AF230),1)&lt;&gt;"⚠",INDEX(파견수련계획!$R$4:$R$83,$AF230),IF($H230="","",IF(RIGHT($H230,2)="병원",$H230,$H230&amp;"병원"))),IF($H230="","",IF(RIGHT($H230,2)="병원",$H230,$H230&amp;"병원")))))</f>
        <v/>
      </c>
      <c r="AF230" s="10">
        <f>IF(OR($B230="",TRIM($J230&amp;"")=""),"",IFERROR(MATCH(TRIM($J230&amp;"")&amp;"|파견중",파견수련계획!$Y$4:$Y$83,0),IFERROR(MATCH(TRIM($J230&amp;"")&amp;"|파견예정",파견수련계획!$Y$4:$Y$83,0),IFERROR(MATCH(TRIM($J230&amp;"")&amp;"|파견종료",파견수련계획!$Y$4:$Y$83,0),""))))</f>
        <v/>
      </c>
      <c r="AG230" s="10">
        <f>IF($B230="","",IF(AND(IF(OR($AC230="",인턴현황!$K$2=""),"",INDEX(인턴근무계획!$M$3:$R$62,$AC230,인턴현황!$K$2)&amp;"")&lt;&gt;"",LEFT(IF(OR($AC230="",인턴현황!$K$2=""),"",INDEX(인턴근무계획!$M$3:$R$62,$AC230,인턴현황!$K$2)&amp;""),1)&lt;&gt;"⚠"),LEFT(IF(OR($AC230="",인턴현황!$K$2=""),"",INDEX(인턴근무계획!$M$3:$R$62,$AC230,인턴현황!$K$2)&amp;""),FIND(" ",IF(OR($AC230="",인턴현황!$K$2=""),"",INDEX(인턴근무계획!$M$3:$R$62,$AC230,인턴현황!$K$2)&amp;""))-1),$AE230))</f>
        <v/>
      </c>
      <c r="AH230" s="17">
        <f>IF($B230="","",IF(TRIM($J230&amp;"")="",0,SUMPRODUCT((파견수련계획!$Q$4:$Q$83=TRIM($J230&amp;""))*(파견수련계획!$S$4:$S$83="서울병원")*파견수련계획!$W$4:$W$83))+IF($AG230="서울병원",MAX(0,DAY(EOMONTH(요약!$B$3,0))-N($X230)),0))</f>
        <v/>
      </c>
      <c r="AI230" s="17">
        <f>IF($B230="","",IF(TRIM($J230&amp;"")="",0,SUMPRODUCT((파견수련계획!$Q$4:$Q$83=TRIM($J230&amp;""))*(파견수련계획!$S$4:$S$83="구리병원")*파견수련계획!$W$4:$W$83))+IF($AG230="구리병원",MAX(0,DAY(EOMONTH(요약!$B$3,0))-N($X230)),0))</f>
        <v/>
      </c>
      <c r="AJ230" s="10">
        <f>IF(OR($B230="",TRIM($J230&amp;"")=""),"",IFERROR(MATCH(TRIM($J230&amp;"")&amp;"|월",파견수련계획!$Z$4:$Z$83,0),""))</f>
        <v/>
      </c>
      <c r="AK230" s="10">
        <f>IF(OR($B230="",TRIM($J230&amp;"")=""),"",IFERROR(MATCH(TRIM($J230&amp;"")&amp;"|다기관",파견수련계획!$AE$4:$AE$83,0),""))</f>
        <v/>
      </c>
      <c r="AL230" s="10">
        <f>IF($AK230="","","다기관 "&amp;TEXT(INDEX(파견수련계획!$AB$4:$AB$83,$AK230),"yyyy-mm-dd")&amp;"~"&amp;IF(ISNUMBER(INDEX(파견수련계획!$AC$4:$AC$83,$AK230)),TEXT(INDEX(파견수련계획!$AC$4:$AC$83,$AK230),"yyyy-mm-dd"),""))</f>
        <v/>
      </c>
    </row>
    <row r="231">
      <c r="A231" s="10">
        <f>IF(B231="","",ROW()-1)</f>
        <v/>
      </c>
      <c r="B231" s="18" t="n"/>
      <c r="C231" s="10">
        <f>IF($AB231="","",IF(INDEX(기본자료!$C$2:$C$1001,$AB231)="","",INDEX(기본자료!$C$2:$C$1001,$AB231)))</f>
        <v/>
      </c>
      <c r="D231" s="10">
        <f>IF($AB231="","",IF(INDEX(기본자료!$J$2:$J$1001,$AB231)="","",INDEX(기본자료!$J$2:$J$1001,$AB231)))</f>
        <v/>
      </c>
      <c r="E231" s="11">
        <f>IF($AB231="","",IF(INDEX(기본자료!$K$2:$K$1001,$AB231)="","",IF(NOT(ISNUMBER(INDEX(기본자료!$K$2:$K$1001,$AB231))),INDEX(기본자료!$K$2:$K$1001,$AB231),IF(INDEX(기본자료!$K$2:$K$1001,$AB231)&lt;1000000,INDEX(기본자료!$K$2:$K$1001,$AB231),IF(AND(INDEX(기본자료!$K$2:$K$1001,$AB231)&gt;=10000101,INT(MOD(INDEX(기본자료!$K$2:$K$1001,$AB231),10000)/100)&gt;=1,INT(MOD(INDEX(기본자료!$K$2:$K$1001,$AB231),10000)/100)&lt;=12,MOD(INDEX(기본자료!$K$2:$K$1001,$AB231),100)&gt;=1,MOD(INDEX(기본자료!$K$2:$K$1001,$AB231),100)&lt;=31),DATE(INT(INDEX(기본자료!$K$2:$K$1001,$AB231)/10000),INT(MOD(INDEX(기본자료!$K$2:$K$1001,$AB231),10000)/100),MOD(INDEX(기본자료!$K$2:$K$1001,$AB231),100)),INDEX(기본자료!$K$2:$K$1001,$AB231)&amp;"")))))</f>
        <v/>
      </c>
      <c r="F231" s="10">
        <f>IF($AB231="","",IF(INDEX(기본자료!$D$2:$D$1001,$AB231)="","",INDEX(기본자료!$D$2:$D$1001,$AB231)))</f>
        <v/>
      </c>
      <c r="G231" s="10">
        <f>IF($AB231="","",IF(INDEX(기본자료!$E$2:$E$1001,$AB231)="","",INDEX(기본자료!$E$2:$E$1001,$AB231)))</f>
        <v/>
      </c>
      <c r="H231" s="10">
        <f>IF($AB231="","",IF(INDEX(기본자료!$F$2:$F$1001,$AB231)="","",INDEX(기본자료!$F$2:$F$1001,$AB231)))</f>
        <v/>
      </c>
      <c r="I231" s="11">
        <f>IF($AB231="","",IF(INDEX(기본자료!$G$2:$G$1001,$AB231)="","",IF(NOT(ISNUMBER(INDEX(기본자료!$G$2:$G$1001,$AB231))),INDEX(기본자료!$G$2:$G$1001,$AB231),IF(INDEX(기본자료!$G$2:$G$1001,$AB231)&lt;1000000,INDEX(기본자료!$G$2:$G$1001,$AB231),IF(AND(INDEX(기본자료!$G$2:$G$1001,$AB231)&gt;=10000101,INT(MOD(INDEX(기본자료!$G$2:$G$1001,$AB231),10000)/100)&gt;=1,INT(MOD(INDEX(기본자료!$G$2:$G$1001,$AB231),10000)/100)&lt;=12,MOD(INDEX(기본자료!$G$2:$G$1001,$AB231),100)&gt;=1,MOD(INDEX(기본자료!$G$2:$G$1001,$AB231),100)&lt;=31),DATE(INT(INDEX(기본자료!$G$2:$G$1001,$AB231)/10000),INT(MOD(INDEX(기본자료!$G$2:$G$1001,$AB231),10000)/100),MOD(INDEX(기본자료!$G$2:$G$1001,$AB231),100)),INDEX(기본자료!$G$2:$G$1001,$AB231)&amp;"")))))</f>
        <v/>
      </c>
      <c r="J231" s="10">
        <f>IF($AB231="","",IF(INDEX(기본자료!$H$2:$H$1001,$AB231)="","",INDEX(기본자료!$H$2:$H$1001,$AB231)))</f>
        <v/>
      </c>
      <c r="K231" s="10">
        <f>IF($AB231="","",IF(INDEX(기본자료!$I$2:$I$1001,$AB231)="","",INDEX(기본자료!$I$2:$I$1001,$AB231)))</f>
        <v/>
      </c>
      <c r="L231" s="10">
        <f>IF($AB231="","",IF(INDEX(기본자료!$A$2:$A$1001,$AB231)="","",INDEX(기본자료!$A$2:$A$1001,$AB231)))</f>
        <v/>
      </c>
      <c r="M231" s="15" t="n"/>
      <c r="N231" s="10">
        <f>IF($B231="","",IF(AND($U231="파견중",$Q231&lt;&gt;""),$Q231,IF(AND($AD231&lt;&gt;"",LEFT($AD231,1)&lt;&gt;"⚠"),LEFT($AD231,FIND(" ",$AD231)-1),IF($H231="","",IF(RIGHT($H231,2)="병원",$H231,$H231&amp;"병원")))))</f>
        <v/>
      </c>
      <c r="O231" s="10">
        <f>IF($B231="","",IF(AND($U231="파견중",$Q231&lt;&gt;""),IF($R231&lt;&gt;"",$R231,"파견과 미입력"),IF(AND($AD231&lt;&gt;"",LEFT($AD231,1)&lt;&gt;"⚠"),MID($AD231,FIND(" ",$AD231)+1,60),IF($F231="","",IF($F231="인턴","수련교육부(인턴)",$F231)))))</f>
        <v/>
      </c>
      <c r="P231" s="10">
        <f>IF($B231="","",IF($AK231&lt;&gt;"",IF(AND(TODAY()&gt;=INDEX(파견수련계획!$AB$4:$AB$83,$AK231),OR(NOT(ISNUMBER(INDEX(파견수련계획!$AC$4:$AC$83,$AK231))),TODAY()&lt;=INDEX(파견수련계획!$AC$4:$AC$83,$AK231))),"다기관",IF($AF231="","",INDEX(파견수련계획!$T$4:$T$83,$AF231))),IF($AF231="","",INDEX(파견수련계획!$T$4:$T$83,$AF231))))</f>
        <v/>
      </c>
      <c r="Q231" s="10">
        <f>IF($AF231="","",INDEX(파견수련계획!$S$4:$S$83,$AF231))</f>
        <v/>
      </c>
      <c r="R231" s="10">
        <f>IF($AF231="","",INDEX(파견수련계획!$U$4:$U$83,$AF231))</f>
        <v/>
      </c>
      <c r="S231" s="11">
        <f>IF($AF231="","",IF(INDEX(파견수련계획!$H$4:$H$83,$AF231)="","",INDEX(파견수련계획!$H$4:$H$83,$AF231)))</f>
        <v/>
      </c>
      <c r="T231" s="11">
        <f>IF($AF231="","",IF(INDEX(파견수련계획!$I$4:$I$83,$AF231)="","",INDEX(파견수련계획!$I$4:$I$83,$AF231)))</f>
        <v/>
      </c>
      <c r="U231" s="10">
        <f>IF($AF231="","",INDEX(파견수련계획!$X$4:$X$83,$AF231))</f>
        <v/>
      </c>
      <c r="V231" s="17">
        <f>IF($AF231="","",INDEX(파견수련계획!$V$4:$V$83,$AF231))</f>
        <v/>
      </c>
      <c r="W231" s="17">
        <f>IF(AND($U231="파견중",$T231&lt;&gt;""),$T231-TODAY(),"")</f>
        <v/>
      </c>
      <c r="X231" s="17">
        <f>IF(OR($B231="",TRIM($J231&amp;"")=""),"",SUMPRODUCT((파견수련계획!$Q$4:$Q$83=TRIM($J231&amp;""))*파견수련계획!$W$4:$W$83))</f>
        <v/>
      </c>
      <c r="Y231" s="10">
        <f>IF($B231="","",IF($AG231="","",IF(IF(TRIM($J231&amp;"")="",0,SUMPRODUCT((파견수련계획!$Q$4:$Q$83=TRIM($J231&amp;""))*파견수련계획!$AD$4:$AD$83))&gt;0,$AE231,IF(N($X231)&lt;=0,$AG231,IF($AH231+$AI231=DAY(EOMONTH(요약!$B$3,0)),IF(AND($AH231&gt;=요약!$E$3,$AI231&lt;요약!$E$3),"서울병원",IF(AND($AI231&gt;=요약!$E$3,$AH231&lt;요약!$E$3),"구리병원","⚠15일 판정불가(서울 "&amp;$AH231&amp;"일/구리 "&amp;$AI231&amp;"일)")),IF($AJ231="",$AE231,IF(INDEX(파견수련계획!$T$4:$T$83,$AJ231)="통합수련",INDEX(파견수련계획!$S$4:$S$83,$AJ231),$AE231)))))))</f>
        <v/>
      </c>
      <c r="Z231" s="19">
        <f>IF($B231="","",IF($AB231="","기본자료에 없는 사번",IF(COUNTIF($B$2:$B$401,$B231)&gt;1,"중복 사번",IF($AE231="","소속(입사장소) 입력",IF(IF(TRIM($J231&amp;"")="",0,SUMPRODUCT((파견수련계획!$Q$4:$Q$83=TRIM($J231&amp;""))*(파견수련계획!$AA$4:$AA$83&lt;&gt;"")))&gt;0,"파견수련계획 입력오류 확인",IF(LEFT($Y231,1)="⚠","서울·구리 15일 판정 불가(양쪽 모두 이상/미만)",IF(IF($AC231="",0,N(INDEX(인턴근무계획!$T$3:$T$62,$AC231)))&gt;0,"인턴계획 입력오류 확인",IF(AND($AC231&lt;&gt;"",$U231&lt;&gt;"파견중",$N231&lt;&gt;$AE231),"인턴 타지역 근무: 파견 여부 확인","정상"))))))))</f>
        <v/>
      </c>
      <c r="AA231" s="5" t="n"/>
      <c r="AB231" s="10">
        <f>IF($B231="","",IFERROR(MATCH($B231,기본자료!$B$2:$B$1001,0),IFERROR(MATCH($B231&amp;"",기본자료!$B$2:$B$1001,0),IFERROR(MATCH(VALUE($B231),기본자료!$B$2:$B$1001,0),""))))</f>
        <v/>
      </c>
      <c r="AC231" s="10">
        <f>IF($B231="","",IFERROR(MATCH($B231,인턴근무계획!$D$3:$D$62,0),IFERROR(MATCH($B231&amp;"",인턴근무계획!$D$3:$D$62,0),IFERROR(MATCH(VALUE($B231),인턴근무계획!$D$3:$D$62,0),""))))</f>
        <v/>
      </c>
      <c r="AD231" s="10">
        <f>IF(OR($AC231="",인턴현황!$G$3=""),"",INDEX(인턴근무계획!$M$3:$R$62,$AC231,인턴현황!$G$3)&amp;"")</f>
        <v/>
      </c>
      <c r="AE231" s="10">
        <f>IF($B231="","",IF($M231&lt;&gt;"",$M231,IF($AF231&lt;&gt;"",IF(LEFT(INDEX(파견수련계획!$R$4:$R$83,$AF231),1)&lt;&gt;"⚠",INDEX(파견수련계획!$R$4:$R$83,$AF231),IF($H231="","",IF(RIGHT($H231,2)="병원",$H231,$H231&amp;"병원"))),IF($H231="","",IF(RIGHT($H231,2)="병원",$H231,$H231&amp;"병원")))))</f>
        <v/>
      </c>
      <c r="AF231" s="10">
        <f>IF(OR($B231="",TRIM($J231&amp;"")=""),"",IFERROR(MATCH(TRIM($J231&amp;"")&amp;"|파견중",파견수련계획!$Y$4:$Y$83,0),IFERROR(MATCH(TRIM($J231&amp;"")&amp;"|파견예정",파견수련계획!$Y$4:$Y$83,0),IFERROR(MATCH(TRIM($J231&amp;"")&amp;"|파견종료",파견수련계획!$Y$4:$Y$83,0),""))))</f>
        <v/>
      </c>
      <c r="AG231" s="10">
        <f>IF($B231="","",IF(AND(IF(OR($AC231="",인턴현황!$K$2=""),"",INDEX(인턴근무계획!$M$3:$R$62,$AC231,인턴현황!$K$2)&amp;"")&lt;&gt;"",LEFT(IF(OR($AC231="",인턴현황!$K$2=""),"",INDEX(인턴근무계획!$M$3:$R$62,$AC231,인턴현황!$K$2)&amp;""),1)&lt;&gt;"⚠"),LEFT(IF(OR($AC231="",인턴현황!$K$2=""),"",INDEX(인턴근무계획!$M$3:$R$62,$AC231,인턴현황!$K$2)&amp;""),FIND(" ",IF(OR($AC231="",인턴현황!$K$2=""),"",INDEX(인턴근무계획!$M$3:$R$62,$AC231,인턴현황!$K$2)&amp;""))-1),$AE231))</f>
        <v/>
      </c>
      <c r="AH231" s="17">
        <f>IF($B231="","",IF(TRIM($J231&amp;"")="",0,SUMPRODUCT((파견수련계획!$Q$4:$Q$83=TRIM($J231&amp;""))*(파견수련계획!$S$4:$S$83="서울병원")*파견수련계획!$W$4:$W$83))+IF($AG231="서울병원",MAX(0,DAY(EOMONTH(요약!$B$3,0))-N($X231)),0))</f>
        <v/>
      </c>
      <c r="AI231" s="17">
        <f>IF($B231="","",IF(TRIM($J231&amp;"")="",0,SUMPRODUCT((파견수련계획!$Q$4:$Q$83=TRIM($J231&amp;""))*(파견수련계획!$S$4:$S$83="구리병원")*파견수련계획!$W$4:$W$83))+IF($AG231="구리병원",MAX(0,DAY(EOMONTH(요약!$B$3,0))-N($X231)),0))</f>
        <v/>
      </c>
      <c r="AJ231" s="10">
        <f>IF(OR($B231="",TRIM($J231&amp;"")=""),"",IFERROR(MATCH(TRIM($J231&amp;"")&amp;"|월",파견수련계획!$Z$4:$Z$83,0),""))</f>
        <v/>
      </c>
      <c r="AK231" s="10">
        <f>IF(OR($B231="",TRIM($J231&amp;"")=""),"",IFERROR(MATCH(TRIM($J231&amp;"")&amp;"|다기관",파견수련계획!$AE$4:$AE$83,0),""))</f>
        <v/>
      </c>
      <c r="AL231" s="10">
        <f>IF($AK231="","","다기관 "&amp;TEXT(INDEX(파견수련계획!$AB$4:$AB$83,$AK231),"yyyy-mm-dd")&amp;"~"&amp;IF(ISNUMBER(INDEX(파견수련계획!$AC$4:$AC$83,$AK231)),TEXT(INDEX(파견수련계획!$AC$4:$AC$83,$AK231),"yyyy-mm-dd"),""))</f>
        <v/>
      </c>
    </row>
    <row r="232">
      <c r="A232" s="10">
        <f>IF(B232="","",ROW()-1)</f>
        <v/>
      </c>
      <c r="B232" s="18" t="n"/>
      <c r="C232" s="10">
        <f>IF($AB232="","",IF(INDEX(기본자료!$C$2:$C$1001,$AB232)="","",INDEX(기본자료!$C$2:$C$1001,$AB232)))</f>
        <v/>
      </c>
      <c r="D232" s="10">
        <f>IF($AB232="","",IF(INDEX(기본자료!$J$2:$J$1001,$AB232)="","",INDEX(기본자료!$J$2:$J$1001,$AB232)))</f>
        <v/>
      </c>
      <c r="E232" s="11">
        <f>IF($AB232="","",IF(INDEX(기본자료!$K$2:$K$1001,$AB232)="","",IF(NOT(ISNUMBER(INDEX(기본자료!$K$2:$K$1001,$AB232))),INDEX(기본자료!$K$2:$K$1001,$AB232),IF(INDEX(기본자료!$K$2:$K$1001,$AB232)&lt;1000000,INDEX(기본자료!$K$2:$K$1001,$AB232),IF(AND(INDEX(기본자료!$K$2:$K$1001,$AB232)&gt;=10000101,INT(MOD(INDEX(기본자료!$K$2:$K$1001,$AB232),10000)/100)&gt;=1,INT(MOD(INDEX(기본자료!$K$2:$K$1001,$AB232),10000)/100)&lt;=12,MOD(INDEX(기본자료!$K$2:$K$1001,$AB232),100)&gt;=1,MOD(INDEX(기본자료!$K$2:$K$1001,$AB232),100)&lt;=31),DATE(INT(INDEX(기본자료!$K$2:$K$1001,$AB232)/10000),INT(MOD(INDEX(기본자료!$K$2:$K$1001,$AB232),10000)/100),MOD(INDEX(기본자료!$K$2:$K$1001,$AB232),100)),INDEX(기본자료!$K$2:$K$1001,$AB232)&amp;"")))))</f>
        <v/>
      </c>
      <c r="F232" s="10">
        <f>IF($AB232="","",IF(INDEX(기본자료!$D$2:$D$1001,$AB232)="","",INDEX(기본자료!$D$2:$D$1001,$AB232)))</f>
        <v/>
      </c>
      <c r="G232" s="10">
        <f>IF($AB232="","",IF(INDEX(기본자료!$E$2:$E$1001,$AB232)="","",INDEX(기본자료!$E$2:$E$1001,$AB232)))</f>
        <v/>
      </c>
      <c r="H232" s="10">
        <f>IF($AB232="","",IF(INDEX(기본자료!$F$2:$F$1001,$AB232)="","",INDEX(기본자료!$F$2:$F$1001,$AB232)))</f>
        <v/>
      </c>
      <c r="I232" s="11">
        <f>IF($AB232="","",IF(INDEX(기본자료!$G$2:$G$1001,$AB232)="","",IF(NOT(ISNUMBER(INDEX(기본자료!$G$2:$G$1001,$AB232))),INDEX(기본자료!$G$2:$G$1001,$AB232),IF(INDEX(기본자료!$G$2:$G$1001,$AB232)&lt;1000000,INDEX(기본자료!$G$2:$G$1001,$AB232),IF(AND(INDEX(기본자료!$G$2:$G$1001,$AB232)&gt;=10000101,INT(MOD(INDEX(기본자료!$G$2:$G$1001,$AB232),10000)/100)&gt;=1,INT(MOD(INDEX(기본자료!$G$2:$G$1001,$AB232),10000)/100)&lt;=12,MOD(INDEX(기본자료!$G$2:$G$1001,$AB232),100)&gt;=1,MOD(INDEX(기본자료!$G$2:$G$1001,$AB232),100)&lt;=31),DATE(INT(INDEX(기본자료!$G$2:$G$1001,$AB232)/10000),INT(MOD(INDEX(기본자료!$G$2:$G$1001,$AB232),10000)/100),MOD(INDEX(기본자료!$G$2:$G$1001,$AB232),100)),INDEX(기본자료!$G$2:$G$1001,$AB232)&amp;"")))))</f>
        <v/>
      </c>
      <c r="J232" s="10">
        <f>IF($AB232="","",IF(INDEX(기본자료!$H$2:$H$1001,$AB232)="","",INDEX(기본자료!$H$2:$H$1001,$AB232)))</f>
        <v/>
      </c>
      <c r="K232" s="10">
        <f>IF($AB232="","",IF(INDEX(기본자료!$I$2:$I$1001,$AB232)="","",INDEX(기본자료!$I$2:$I$1001,$AB232)))</f>
        <v/>
      </c>
      <c r="L232" s="10">
        <f>IF($AB232="","",IF(INDEX(기본자료!$A$2:$A$1001,$AB232)="","",INDEX(기본자료!$A$2:$A$1001,$AB232)))</f>
        <v/>
      </c>
      <c r="M232" s="15" t="n"/>
      <c r="N232" s="10">
        <f>IF($B232="","",IF(AND($U232="파견중",$Q232&lt;&gt;""),$Q232,IF(AND($AD232&lt;&gt;"",LEFT($AD232,1)&lt;&gt;"⚠"),LEFT($AD232,FIND(" ",$AD232)-1),IF($H232="","",IF(RIGHT($H232,2)="병원",$H232,$H232&amp;"병원")))))</f>
        <v/>
      </c>
      <c r="O232" s="10">
        <f>IF($B232="","",IF(AND($U232="파견중",$Q232&lt;&gt;""),IF($R232&lt;&gt;"",$R232,"파견과 미입력"),IF(AND($AD232&lt;&gt;"",LEFT($AD232,1)&lt;&gt;"⚠"),MID($AD232,FIND(" ",$AD232)+1,60),IF($F232="","",IF($F232="인턴","수련교육부(인턴)",$F232)))))</f>
        <v/>
      </c>
      <c r="P232" s="10">
        <f>IF($B232="","",IF($AK232&lt;&gt;"",IF(AND(TODAY()&gt;=INDEX(파견수련계획!$AB$4:$AB$83,$AK232),OR(NOT(ISNUMBER(INDEX(파견수련계획!$AC$4:$AC$83,$AK232))),TODAY()&lt;=INDEX(파견수련계획!$AC$4:$AC$83,$AK232))),"다기관",IF($AF232="","",INDEX(파견수련계획!$T$4:$T$83,$AF232))),IF($AF232="","",INDEX(파견수련계획!$T$4:$T$83,$AF232))))</f>
        <v/>
      </c>
      <c r="Q232" s="10">
        <f>IF($AF232="","",INDEX(파견수련계획!$S$4:$S$83,$AF232))</f>
        <v/>
      </c>
      <c r="R232" s="10">
        <f>IF($AF232="","",INDEX(파견수련계획!$U$4:$U$83,$AF232))</f>
        <v/>
      </c>
      <c r="S232" s="11">
        <f>IF($AF232="","",IF(INDEX(파견수련계획!$H$4:$H$83,$AF232)="","",INDEX(파견수련계획!$H$4:$H$83,$AF232)))</f>
        <v/>
      </c>
      <c r="T232" s="11">
        <f>IF($AF232="","",IF(INDEX(파견수련계획!$I$4:$I$83,$AF232)="","",INDEX(파견수련계획!$I$4:$I$83,$AF232)))</f>
        <v/>
      </c>
      <c r="U232" s="10">
        <f>IF($AF232="","",INDEX(파견수련계획!$X$4:$X$83,$AF232))</f>
        <v/>
      </c>
      <c r="V232" s="17">
        <f>IF($AF232="","",INDEX(파견수련계획!$V$4:$V$83,$AF232))</f>
        <v/>
      </c>
      <c r="W232" s="17">
        <f>IF(AND($U232="파견중",$T232&lt;&gt;""),$T232-TODAY(),"")</f>
        <v/>
      </c>
      <c r="X232" s="17">
        <f>IF(OR($B232="",TRIM($J232&amp;"")=""),"",SUMPRODUCT((파견수련계획!$Q$4:$Q$83=TRIM($J232&amp;""))*파견수련계획!$W$4:$W$83))</f>
        <v/>
      </c>
      <c r="Y232" s="10">
        <f>IF($B232="","",IF($AG232="","",IF(IF(TRIM($J232&amp;"")="",0,SUMPRODUCT((파견수련계획!$Q$4:$Q$83=TRIM($J232&amp;""))*파견수련계획!$AD$4:$AD$83))&gt;0,$AE232,IF(N($X232)&lt;=0,$AG232,IF($AH232+$AI232=DAY(EOMONTH(요약!$B$3,0)),IF(AND($AH232&gt;=요약!$E$3,$AI232&lt;요약!$E$3),"서울병원",IF(AND($AI232&gt;=요약!$E$3,$AH232&lt;요약!$E$3),"구리병원","⚠15일 판정불가(서울 "&amp;$AH232&amp;"일/구리 "&amp;$AI232&amp;"일)")),IF($AJ232="",$AE232,IF(INDEX(파견수련계획!$T$4:$T$83,$AJ232)="통합수련",INDEX(파견수련계획!$S$4:$S$83,$AJ232),$AE232)))))))</f>
        <v/>
      </c>
      <c r="Z232" s="19">
        <f>IF($B232="","",IF($AB232="","기본자료에 없는 사번",IF(COUNTIF($B$2:$B$401,$B232)&gt;1,"중복 사번",IF($AE232="","소속(입사장소) 입력",IF(IF(TRIM($J232&amp;"")="",0,SUMPRODUCT((파견수련계획!$Q$4:$Q$83=TRIM($J232&amp;""))*(파견수련계획!$AA$4:$AA$83&lt;&gt;"")))&gt;0,"파견수련계획 입력오류 확인",IF(LEFT($Y232,1)="⚠","서울·구리 15일 판정 불가(양쪽 모두 이상/미만)",IF(IF($AC232="",0,N(INDEX(인턴근무계획!$T$3:$T$62,$AC232)))&gt;0,"인턴계획 입력오류 확인",IF(AND($AC232&lt;&gt;"",$U232&lt;&gt;"파견중",$N232&lt;&gt;$AE232),"인턴 타지역 근무: 파견 여부 확인","정상"))))))))</f>
        <v/>
      </c>
      <c r="AA232" s="5" t="n"/>
      <c r="AB232" s="10">
        <f>IF($B232="","",IFERROR(MATCH($B232,기본자료!$B$2:$B$1001,0),IFERROR(MATCH($B232&amp;"",기본자료!$B$2:$B$1001,0),IFERROR(MATCH(VALUE($B232),기본자료!$B$2:$B$1001,0),""))))</f>
        <v/>
      </c>
      <c r="AC232" s="10">
        <f>IF($B232="","",IFERROR(MATCH($B232,인턴근무계획!$D$3:$D$62,0),IFERROR(MATCH($B232&amp;"",인턴근무계획!$D$3:$D$62,0),IFERROR(MATCH(VALUE($B232),인턴근무계획!$D$3:$D$62,0),""))))</f>
        <v/>
      </c>
      <c r="AD232" s="10">
        <f>IF(OR($AC232="",인턴현황!$G$3=""),"",INDEX(인턴근무계획!$M$3:$R$62,$AC232,인턴현황!$G$3)&amp;"")</f>
        <v/>
      </c>
      <c r="AE232" s="10">
        <f>IF($B232="","",IF($M232&lt;&gt;"",$M232,IF($AF232&lt;&gt;"",IF(LEFT(INDEX(파견수련계획!$R$4:$R$83,$AF232),1)&lt;&gt;"⚠",INDEX(파견수련계획!$R$4:$R$83,$AF232),IF($H232="","",IF(RIGHT($H232,2)="병원",$H232,$H232&amp;"병원"))),IF($H232="","",IF(RIGHT($H232,2)="병원",$H232,$H232&amp;"병원")))))</f>
        <v/>
      </c>
      <c r="AF232" s="10">
        <f>IF(OR($B232="",TRIM($J232&amp;"")=""),"",IFERROR(MATCH(TRIM($J232&amp;"")&amp;"|파견중",파견수련계획!$Y$4:$Y$83,0),IFERROR(MATCH(TRIM($J232&amp;"")&amp;"|파견예정",파견수련계획!$Y$4:$Y$83,0),IFERROR(MATCH(TRIM($J232&amp;"")&amp;"|파견종료",파견수련계획!$Y$4:$Y$83,0),""))))</f>
        <v/>
      </c>
      <c r="AG232" s="10">
        <f>IF($B232="","",IF(AND(IF(OR($AC232="",인턴현황!$K$2=""),"",INDEX(인턴근무계획!$M$3:$R$62,$AC232,인턴현황!$K$2)&amp;"")&lt;&gt;"",LEFT(IF(OR($AC232="",인턴현황!$K$2=""),"",INDEX(인턴근무계획!$M$3:$R$62,$AC232,인턴현황!$K$2)&amp;""),1)&lt;&gt;"⚠"),LEFT(IF(OR($AC232="",인턴현황!$K$2=""),"",INDEX(인턴근무계획!$M$3:$R$62,$AC232,인턴현황!$K$2)&amp;""),FIND(" ",IF(OR($AC232="",인턴현황!$K$2=""),"",INDEX(인턴근무계획!$M$3:$R$62,$AC232,인턴현황!$K$2)&amp;""))-1),$AE232))</f>
        <v/>
      </c>
      <c r="AH232" s="17">
        <f>IF($B232="","",IF(TRIM($J232&amp;"")="",0,SUMPRODUCT((파견수련계획!$Q$4:$Q$83=TRIM($J232&amp;""))*(파견수련계획!$S$4:$S$83="서울병원")*파견수련계획!$W$4:$W$83))+IF($AG232="서울병원",MAX(0,DAY(EOMONTH(요약!$B$3,0))-N($X232)),0))</f>
        <v/>
      </c>
      <c r="AI232" s="17">
        <f>IF($B232="","",IF(TRIM($J232&amp;"")="",0,SUMPRODUCT((파견수련계획!$Q$4:$Q$83=TRIM($J232&amp;""))*(파견수련계획!$S$4:$S$83="구리병원")*파견수련계획!$W$4:$W$83))+IF($AG232="구리병원",MAX(0,DAY(EOMONTH(요약!$B$3,0))-N($X232)),0))</f>
        <v/>
      </c>
      <c r="AJ232" s="10">
        <f>IF(OR($B232="",TRIM($J232&amp;"")=""),"",IFERROR(MATCH(TRIM($J232&amp;"")&amp;"|월",파견수련계획!$Z$4:$Z$83,0),""))</f>
        <v/>
      </c>
      <c r="AK232" s="10">
        <f>IF(OR($B232="",TRIM($J232&amp;"")=""),"",IFERROR(MATCH(TRIM($J232&amp;"")&amp;"|다기관",파견수련계획!$AE$4:$AE$83,0),""))</f>
        <v/>
      </c>
      <c r="AL232" s="10">
        <f>IF($AK232="","","다기관 "&amp;TEXT(INDEX(파견수련계획!$AB$4:$AB$83,$AK232),"yyyy-mm-dd")&amp;"~"&amp;IF(ISNUMBER(INDEX(파견수련계획!$AC$4:$AC$83,$AK232)),TEXT(INDEX(파견수련계획!$AC$4:$AC$83,$AK232),"yyyy-mm-dd"),""))</f>
        <v/>
      </c>
    </row>
    <row r="233">
      <c r="A233" s="10">
        <f>IF(B233="","",ROW()-1)</f>
        <v/>
      </c>
      <c r="B233" s="18" t="n"/>
      <c r="C233" s="10">
        <f>IF($AB233="","",IF(INDEX(기본자료!$C$2:$C$1001,$AB233)="","",INDEX(기본자료!$C$2:$C$1001,$AB233)))</f>
        <v/>
      </c>
      <c r="D233" s="10">
        <f>IF($AB233="","",IF(INDEX(기본자료!$J$2:$J$1001,$AB233)="","",INDEX(기본자료!$J$2:$J$1001,$AB233)))</f>
        <v/>
      </c>
      <c r="E233" s="11">
        <f>IF($AB233="","",IF(INDEX(기본자료!$K$2:$K$1001,$AB233)="","",IF(NOT(ISNUMBER(INDEX(기본자료!$K$2:$K$1001,$AB233))),INDEX(기본자료!$K$2:$K$1001,$AB233),IF(INDEX(기본자료!$K$2:$K$1001,$AB233)&lt;1000000,INDEX(기본자료!$K$2:$K$1001,$AB233),IF(AND(INDEX(기본자료!$K$2:$K$1001,$AB233)&gt;=10000101,INT(MOD(INDEX(기본자료!$K$2:$K$1001,$AB233),10000)/100)&gt;=1,INT(MOD(INDEX(기본자료!$K$2:$K$1001,$AB233),10000)/100)&lt;=12,MOD(INDEX(기본자료!$K$2:$K$1001,$AB233),100)&gt;=1,MOD(INDEX(기본자료!$K$2:$K$1001,$AB233),100)&lt;=31),DATE(INT(INDEX(기본자료!$K$2:$K$1001,$AB233)/10000),INT(MOD(INDEX(기본자료!$K$2:$K$1001,$AB233),10000)/100),MOD(INDEX(기본자료!$K$2:$K$1001,$AB233),100)),INDEX(기본자료!$K$2:$K$1001,$AB233)&amp;"")))))</f>
        <v/>
      </c>
      <c r="F233" s="10">
        <f>IF($AB233="","",IF(INDEX(기본자료!$D$2:$D$1001,$AB233)="","",INDEX(기본자료!$D$2:$D$1001,$AB233)))</f>
        <v/>
      </c>
      <c r="G233" s="10">
        <f>IF($AB233="","",IF(INDEX(기본자료!$E$2:$E$1001,$AB233)="","",INDEX(기본자료!$E$2:$E$1001,$AB233)))</f>
        <v/>
      </c>
      <c r="H233" s="10">
        <f>IF($AB233="","",IF(INDEX(기본자료!$F$2:$F$1001,$AB233)="","",INDEX(기본자료!$F$2:$F$1001,$AB233)))</f>
        <v/>
      </c>
      <c r="I233" s="11">
        <f>IF($AB233="","",IF(INDEX(기본자료!$G$2:$G$1001,$AB233)="","",IF(NOT(ISNUMBER(INDEX(기본자료!$G$2:$G$1001,$AB233))),INDEX(기본자료!$G$2:$G$1001,$AB233),IF(INDEX(기본자료!$G$2:$G$1001,$AB233)&lt;1000000,INDEX(기본자료!$G$2:$G$1001,$AB233),IF(AND(INDEX(기본자료!$G$2:$G$1001,$AB233)&gt;=10000101,INT(MOD(INDEX(기본자료!$G$2:$G$1001,$AB233),10000)/100)&gt;=1,INT(MOD(INDEX(기본자료!$G$2:$G$1001,$AB233),10000)/100)&lt;=12,MOD(INDEX(기본자료!$G$2:$G$1001,$AB233),100)&gt;=1,MOD(INDEX(기본자료!$G$2:$G$1001,$AB233),100)&lt;=31),DATE(INT(INDEX(기본자료!$G$2:$G$1001,$AB233)/10000),INT(MOD(INDEX(기본자료!$G$2:$G$1001,$AB233),10000)/100),MOD(INDEX(기본자료!$G$2:$G$1001,$AB233),100)),INDEX(기본자료!$G$2:$G$1001,$AB233)&amp;"")))))</f>
        <v/>
      </c>
      <c r="J233" s="10">
        <f>IF($AB233="","",IF(INDEX(기본자료!$H$2:$H$1001,$AB233)="","",INDEX(기본자료!$H$2:$H$1001,$AB233)))</f>
        <v/>
      </c>
      <c r="K233" s="10">
        <f>IF($AB233="","",IF(INDEX(기본자료!$I$2:$I$1001,$AB233)="","",INDEX(기본자료!$I$2:$I$1001,$AB233)))</f>
        <v/>
      </c>
      <c r="L233" s="10">
        <f>IF($AB233="","",IF(INDEX(기본자료!$A$2:$A$1001,$AB233)="","",INDEX(기본자료!$A$2:$A$1001,$AB233)))</f>
        <v/>
      </c>
      <c r="M233" s="15" t="n"/>
      <c r="N233" s="10">
        <f>IF($B233="","",IF(AND($U233="파견중",$Q233&lt;&gt;""),$Q233,IF(AND($AD233&lt;&gt;"",LEFT($AD233,1)&lt;&gt;"⚠"),LEFT($AD233,FIND(" ",$AD233)-1),IF($H233="","",IF(RIGHT($H233,2)="병원",$H233,$H233&amp;"병원")))))</f>
        <v/>
      </c>
      <c r="O233" s="10">
        <f>IF($B233="","",IF(AND($U233="파견중",$Q233&lt;&gt;""),IF($R233&lt;&gt;"",$R233,"파견과 미입력"),IF(AND($AD233&lt;&gt;"",LEFT($AD233,1)&lt;&gt;"⚠"),MID($AD233,FIND(" ",$AD233)+1,60),IF($F233="","",IF($F233="인턴","수련교육부(인턴)",$F233)))))</f>
        <v/>
      </c>
      <c r="P233" s="10">
        <f>IF($B233="","",IF($AK233&lt;&gt;"",IF(AND(TODAY()&gt;=INDEX(파견수련계획!$AB$4:$AB$83,$AK233),OR(NOT(ISNUMBER(INDEX(파견수련계획!$AC$4:$AC$83,$AK233))),TODAY()&lt;=INDEX(파견수련계획!$AC$4:$AC$83,$AK233))),"다기관",IF($AF233="","",INDEX(파견수련계획!$T$4:$T$83,$AF233))),IF($AF233="","",INDEX(파견수련계획!$T$4:$T$83,$AF233))))</f>
        <v/>
      </c>
      <c r="Q233" s="10">
        <f>IF($AF233="","",INDEX(파견수련계획!$S$4:$S$83,$AF233))</f>
        <v/>
      </c>
      <c r="R233" s="10">
        <f>IF($AF233="","",INDEX(파견수련계획!$U$4:$U$83,$AF233))</f>
        <v/>
      </c>
      <c r="S233" s="11">
        <f>IF($AF233="","",IF(INDEX(파견수련계획!$H$4:$H$83,$AF233)="","",INDEX(파견수련계획!$H$4:$H$83,$AF233)))</f>
        <v/>
      </c>
      <c r="T233" s="11">
        <f>IF($AF233="","",IF(INDEX(파견수련계획!$I$4:$I$83,$AF233)="","",INDEX(파견수련계획!$I$4:$I$83,$AF233)))</f>
        <v/>
      </c>
      <c r="U233" s="10">
        <f>IF($AF233="","",INDEX(파견수련계획!$X$4:$X$83,$AF233))</f>
        <v/>
      </c>
      <c r="V233" s="17">
        <f>IF($AF233="","",INDEX(파견수련계획!$V$4:$V$83,$AF233))</f>
        <v/>
      </c>
      <c r="W233" s="17">
        <f>IF(AND($U233="파견중",$T233&lt;&gt;""),$T233-TODAY(),"")</f>
        <v/>
      </c>
      <c r="X233" s="17">
        <f>IF(OR($B233="",TRIM($J233&amp;"")=""),"",SUMPRODUCT((파견수련계획!$Q$4:$Q$83=TRIM($J233&amp;""))*파견수련계획!$W$4:$W$83))</f>
        <v/>
      </c>
      <c r="Y233" s="10">
        <f>IF($B233="","",IF($AG233="","",IF(IF(TRIM($J233&amp;"")="",0,SUMPRODUCT((파견수련계획!$Q$4:$Q$83=TRIM($J233&amp;""))*파견수련계획!$AD$4:$AD$83))&gt;0,$AE233,IF(N($X233)&lt;=0,$AG233,IF($AH233+$AI233=DAY(EOMONTH(요약!$B$3,0)),IF(AND($AH233&gt;=요약!$E$3,$AI233&lt;요약!$E$3),"서울병원",IF(AND($AI233&gt;=요약!$E$3,$AH233&lt;요약!$E$3),"구리병원","⚠15일 판정불가(서울 "&amp;$AH233&amp;"일/구리 "&amp;$AI233&amp;"일)")),IF($AJ233="",$AE233,IF(INDEX(파견수련계획!$T$4:$T$83,$AJ233)="통합수련",INDEX(파견수련계획!$S$4:$S$83,$AJ233),$AE233)))))))</f>
        <v/>
      </c>
      <c r="Z233" s="19">
        <f>IF($B233="","",IF($AB233="","기본자료에 없는 사번",IF(COUNTIF($B$2:$B$401,$B233)&gt;1,"중복 사번",IF($AE233="","소속(입사장소) 입력",IF(IF(TRIM($J233&amp;"")="",0,SUMPRODUCT((파견수련계획!$Q$4:$Q$83=TRIM($J233&amp;""))*(파견수련계획!$AA$4:$AA$83&lt;&gt;"")))&gt;0,"파견수련계획 입력오류 확인",IF(LEFT($Y233,1)="⚠","서울·구리 15일 판정 불가(양쪽 모두 이상/미만)",IF(IF($AC233="",0,N(INDEX(인턴근무계획!$T$3:$T$62,$AC233)))&gt;0,"인턴계획 입력오류 확인",IF(AND($AC233&lt;&gt;"",$U233&lt;&gt;"파견중",$N233&lt;&gt;$AE233),"인턴 타지역 근무: 파견 여부 확인","정상"))))))))</f>
        <v/>
      </c>
      <c r="AA233" s="5" t="n"/>
      <c r="AB233" s="10">
        <f>IF($B233="","",IFERROR(MATCH($B233,기본자료!$B$2:$B$1001,0),IFERROR(MATCH($B233&amp;"",기본자료!$B$2:$B$1001,0),IFERROR(MATCH(VALUE($B233),기본자료!$B$2:$B$1001,0),""))))</f>
        <v/>
      </c>
      <c r="AC233" s="10">
        <f>IF($B233="","",IFERROR(MATCH($B233,인턴근무계획!$D$3:$D$62,0),IFERROR(MATCH($B233&amp;"",인턴근무계획!$D$3:$D$62,0),IFERROR(MATCH(VALUE($B233),인턴근무계획!$D$3:$D$62,0),""))))</f>
        <v/>
      </c>
      <c r="AD233" s="10">
        <f>IF(OR($AC233="",인턴현황!$G$3=""),"",INDEX(인턴근무계획!$M$3:$R$62,$AC233,인턴현황!$G$3)&amp;"")</f>
        <v/>
      </c>
      <c r="AE233" s="10">
        <f>IF($B233="","",IF($M233&lt;&gt;"",$M233,IF($AF233&lt;&gt;"",IF(LEFT(INDEX(파견수련계획!$R$4:$R$83,$AF233),1)&lt;&gt;"⚠",INDEX(파견수련계획!$R$4:$R$83,$AF233),IF($H233="","",IF(RIGHT($H233,2)="병원",$H233,$H233&amp;"병원"))),IF($H233="","",IF(RIGHT($H233,2)="병원",$H233,$H233&amp;"병원")))))</f>
        <v/>
      </c>
      <c r="AF233" s="10">
        <f>IF(OR($B233="",TRIM($J233&amp;"")=""),"",IFERROR(MATCH(TRIM($J233&amp;"")&amp;"|파견중",파견수련계획!$Y$4:$Y$83,0),IFERROR(MATCH(TRIM($J233&amp;"")&amp;"|파견예정",파견수련계획!$Y$4:$Y$83,0),IFERROR(MATCH(TRIM($J233&amp;"")&amp;"|파견종료",파견수련계획!$Y$4:$Y$83,0),""))))</f>
        <v/>
      </c>
      <c r="AG233" s="10">
        <f>IF($B233="","",IF(AND(IF(OR($AC233="",인턴현황!$K$2=""),"",INDEX(인턴근무계획!$M$3:$R$62,$AC233,인턴현황!$K$2)&amp;"")&lt;&gt;"",LEFT(IF(OR($AC233="",인턴현황!$K$2=""),"",INDEX(인턴근무계획!$M$3:$R$62,$AC233,인턴현황!$K$2)&amp;""),1)&lt;&gt;"⚠"),LEFT(IF(OR($AC233="",인턴현황!$K$2=""),"",INDEX(인턴근무계획!$M$3:$R$62,$AC233,인턴현황!$K$2)&amp;""),FIND(" ",IF(OR($AC233="",인턴현황!$K$2=""),"",INDEX(인턴근무계획!$M$3:$R$62,$AC233,인턴현황!$K$2)&amp;""))-1),$AE233))</f>
        <v/>
      </c>
      <c r="AH233" s="17">
        <f>IF($B233="","",IF(TRIM($J233&amp;"")="",0,SUMPRODUCT((파견수련계획!$Q$4:$Q$83=TRIM($J233&amp;""))*(파견수련계획!$S$4:$S$83="서울병원")*파견수련계획!$W$4:$W$83))+IF($AG233="서울병원",MAX(0,DAY(EOMONTH(요약!$B$3,0))-N($X233)),0))</f>
        <v/>
      </c>
      <c r="AI233" s="17">
        <f>IF($B233="","",IF(TRIM($J233&amp;"")="",0,SUMPRODUCT((파견수련계획!$Q$4:$Q$83=TRIM($J233&amp;""))*(파견수련계획!$S$4:$S$83="구리병원")*파견수련계획!$W$4:$W$83))+IF($AG233="구리병원",MAX(0,DAY(EOMONTH(요약!$B$3,0))-N($X233)),0))</f>
        <v/>
      </c>
      <c r="AJ233" s="10">
        <f>IF(OR($B233="",TRIM($J233&amp;"")=""),"",IFERROR(MATCH(TRIM($J233&amp;"")&amp;"|월",파견수련계획!$Z$4:$Z$83,0),""))</f>
        <v/>
      </c>
      <c r="AK233" s="10">
        <f>IF(OR($B233="",TRIM($J233&amp;"")=""),"",IFERROR(MATCH(TRIM($J233&amp;"")&amp;"|다기관",파견수련계획!$AE$4:$AE$83,0),""))</f>
        <v/>
      </c>
      <c r="AL233" s="10">
        <f>IF($AK233="","","다기관 "&amp;TEXT(INDEX(파견수련계획!$AB$4:$AB$83,$AK233),"yyyy-mm-dd")&amp;"~"&amp;IF(ISNUMBER(INDEX(파견수련계획!$AC$4:$AC$83,$AK233)),TEXT(INDEX(파견수련계획!$AC$4:$AC$83,$AK233),"yyyy-mm-dd"),""))</f>
        <v/>
      </c>
    </row>
    <row r="234">
      <c r="A234" s="10">
        <f>IF(B234="","",ROW()-1)</f>
        <v/>
      </c>
      <c r="B234" s="18" t="n"/>
      <c r="C234" s="10">
        <f>IF($AB234="","",IF(INDEX(기본자료!$C$2:$C$1001,$AB234)="","",INDEX(기본자료!$C$2:$C$1001,$AB234)))</f>
        <v/>
      </c>
      <c r="D234" s="10">
        <f>IF($AB234="","",IF(INDEX(기본자료!$J$2:$J$1001,$AB234)="","",INDEX(기본자료!$J$2:$J$1001,$AB234)))</f>
        <v/>
      </c>
      <c r="E234" s="11">
        <f>IF($AB234="","",IF(INDEX(기본자료!$K$2:$K$1001,$AB234)="","",IF(NOT(ISNUMBER(INDEX(기본자료!$K$2:$K$1001,$AB234))),INDEX(기본자료!$K$2:$K$1001,$AB234),IF(INDEX(기본자료!$K$2:$K$1001,$AB234)&lt;1000000,INDEX(기본자료!$K$2:$K$1001,$AB234),IF(AND(INDEX(기본자료!$K$2:$K$1001,$AB234)&gt;=10000101,INT(MOD(INDEX(기본자료!$K$2:$K$1001,$AB234),10000)/100)&gt;=1,INT(MOD(INDEX(기본자료!$K$2:$K$1001,$AB234),10000)/100)&lt;=12,MOD(INDEX(기본자료!$K$2:$K$1001,$AB234),100)&gt;=1,MOD(INDEX(기본자료!$K$2:$K$1001,$AB234),100)&lt;=31),DATE(INT(INDEX(기본자료!$K$2:$K$1001,$AB234)/10000),INT(MOD(INDEX(기본자료!$K$2:$K$1001,$AB234),10000)/100),MOD(INDEX(기본자료!$K$2:$K$1001,$AB234),100)),INDEX(기본자료!$K$2:$K$1001,$AB234)&amp;"")))))</f>
        <v/>
      </c>
      <c r="F234" s="10">
        <f>IF($AB234="","",IF(INDEX(기본자료!$D$2:$D$1001,$AB234)="","",INDEX(기본자료!$D$2:$D$1001,$AB234)))</f>
        <v/>
      </c>
      <c r="G234" s="10">
        <f>IF($AB234="","",IF(INDEX(기본자료!$E$2:$E$1001,$AB234)="","",INDEX(기본자료!$E$2:$E$1001,$AB234)))</f>
        <v/>
      </c>
      <c r="H234" s="10">
        <f>IF($AB234="","",IF(INDEX(기본자료!$F$2:$F$1001,$AB234)="","",INDEX(기본자료!$F$2:$F$1001,$AB234)))</f>
        <v/>
      </c>
      <c r="I234" s="11">
        <f>IF($AB234="","",IF(INDEX(기본자료!$G$2:$G$1001,$AB234)="","",IF(NOT(ISNUMBER(INDEX(기본자료!$G$2:$G$1001,$AB234))),INDEX(기본자료!$G$2:$G$1001,$AB234),IF(INDEX(기본자료!$G$2:$G$1001,$AB234)&lt;1000000,INDEX(기본자료!$G$2:$G$1001,$AB234),IF(AND(INDEX(기본자료!$G$2:$G$1001,$AB234)&gt;=10000101,INT(MOD(INDEX(기본자료!$G$2:$G$1001,$AB234),10000)/100)&gt;=1,INT(MOD(INDEX(기본자료!$G$2:$G$1001,$AB234),10000)/100)&lt;=12,MOD(INDEX(기본자료!$G$2:$G$1001,$AB234),100)&gt;=1,MOD(INDEX(기본자료!$G$2:$G$1001,$AB234),100)&lt;=31),DATE(INT(INDEX(기본자료!$G$2:$G$1001,$AB234)/10000),INT(MOD(INDEX(기본자료!$G$2:$G$1001,$AB234),10000)/100),MOD(INDEX(기본자료!$G$2:$G$1001,$AB234),100)),INDEX(기본자료!$G$2:$G$1001,$AB234)&amp;"")))))</f>
        <v/>
      </c>
      <c r="J234" s="10">
        <f>IF($AB234="","",IF(INDEX(기본자료!$H$2:$H$1001,$AB234)="","",INDEX(기본자료!$H$2:$H$1001,$AB234)))</f>
        <v/>
      </c>
      <c r="K234" s="10">
        <f>IF($AB234="","",IF(INDEX(기본자료!$I$2:$I$1001,$AB234)="","",INDEX(기본자료!$I$2:$I$1001,$AB234)))</f>
        <v/>
      </c>
      <c r="L234" s="10">
        <f>IF($AB234="","",IF(INDEX(기본자료!$A$2:$A$1001,$AB234)="","",INDEX(기본자료!$A$2:$A$1001,$AB234)))</f>
        <v/>
      </c>
      <c r="M234" s="15" t="n"/>
      <c r="N234" s="10">
        <f>IF($B234="","",IF(AND($U234="파견중",$Q234&lt;&gt;""),$Q234,IF(AND($AD234&lt;&gt;"",LEFT($AD234,1)&lt;&gt;"⚠"),LEFT($AD234,FIND(" ",$AD234)-1),IF($H234="","",IF(RIGHT($H234,2)="병원",$H234,$H234&amp;"병원")))))</f>
        <v/>
      </c>
      <c r="O234" s="10">
        <f>IF($B234="","",IF(AND($U234="파견중",$Q234&lt;&gt;""),IF($R234&lt;&gt;"",$R234,"파견과 미입력"),IF(AND($AD234&lt;&gt;"",LEFT($AD234,1)&lt;&gt;"⚠"),MID($AD234,FIND(" ",$AD234)+1,60),IF($F234="","",IF($F234="인턴","수련교육부(인턴)",$F234)))))</f>
        <v/>
      </c>
      <c r="P234" s="10">
        <f>IF($B234="","",IF($AK234&lt;&gt;"",IF(AND(TODAY()&gt;=INDEX(파견수련계획!$AB$4:$AB$83,$AK234),OR(NOT(ISNUMBER(INDEX(파견수련계획!$AC$4:$AC$83,$AK234))),TODAY()&lt;=INDEX(파견수련계획!$AC$4:$AC$83,$AK234))),"다기관",IF($AF234="","",INDEX(파견수련계획!$T$4:$T$83,$AF234))),IF($AF234="","",INDEX(파견수련계획!$T$4:$T$83,$AF234))))</f>
        <v/>
      </c>
      <c r="Q234" s="10">
        <f>IF($AF234="","",INDEX(파견수련계획!$S$4:$S$83,$AF234))</f>
        <v/>
      </c>
      <c r="R234" s="10">
        <f>IF($AF234="","",INDEX(파견수련계획!$U$4:$U$83,$AF234))</f>
        <v/>
      </c>
      <c r="S234" s="11">
        <f>IF($AF234="","",IF(INDEX(파견수련계획!$H$4:$H$83,$AF234)="","",INDEX(파견수련계획!$H$4:$H$83,$AF234)))</f>
        <v/>
      </c>
      <c r="T234" s="11">
        <f>IF($AF234="","",IF(INDEX(파견수련계획!$I$4:$I$83,$AF234)="","",INDEX(파견수련계획!$I$4:$I$83,$AF234)))</f>
        <v/>
      </c>
      <c r="U234" s="10">
        <f>IF($AF234="","",INDEX(파견수련계획!$X$4:$X$83,$AF234))</f>
        <v/>
      </c>
      <c r="V234" s="17">
        <f>IF($AF234="","",INDEX(파견수련계획!$V$4:$V$83,$AF234))</f>
        <v/>
      </c>
      <c r="W234" s="17">
        <f>IF(AND($U234="파견중",$T234&lt;&gt;""),$T234-TODAY(),"")</f>
        <v/>
      </c>
      <c r="X234" s="17">
        <f>IF(OR($B234="",TRIM($J234&amp;"")=""),"",SUMPRODUCT((파견수련계획!$Q$4:$Q$83=TRIM($J234&amp;""))*파견수련계획!$W$4:$W$83))</f>
        <v/>
      </c>
      <c r="Y234" s="10">
        <f>IF($B234="","",IF($AG234="","",IF(IF(TRIM($J234&amp;"")="",0,SUMPRODUCT((파견수련계획!$Q$4:$Q$83=TRIM($J234&amp;""))*파견수련계획!$AD$4:$AD$83))&gt;0,$AE234,IF(N($X234)&lt;=0,$AG234,IF($AH234+$AI234=DAY(EOMONTH(요약!$B$3,0)),IF(AND($AH234&gt;=요약!$E$3,$AI234&lt;요약!$E$3),"서울병원",IF(AND($AI234&gt;=요약!$E$3,$AH234&lt;요약!$E$3),"구리병원","⚠15일 판정불가(서울 "&amp;$AH234&amp;"일/구리 "&amp;$AI234&amp;"일)")),IF($AJ234="",$AE234,IF(INDEX(파견수련계획!$T$4:$T$83,$AJ234)="통합수련",INDEX(파견수련계획!$S$4:$S$83,$AJ234),$AE234)))))))</f>
        <v/>
      </c>
      <c r="Z234" s="19">
        <f>IF($B234="","",IF($AB234="","기본자료에 없는 사번",IF(COUNTIF($B$2:$B$401,$B234)&gt;1,"중복 사번",IF($AE234="","소속(입사장소) 입력",IF(IF(TRIM($J234&amp;"")="",0,SUMPRODUCT((파견수련계획!$Q$4:$Q$83=TRIM($J234&amp;""))*(파견수련계획!$AA$4:$AA$83&lt;&gt;"")))&gt;0,"파견수련계획 입력오류 확인",IF(LEFT($Y234,1)="⚠","서울·구리 15일 판정 불가(양쪽 모두 이상/미만)",IF(IF($AC234="",0,N(INDEX(인턴근무계획!$T$3:$T$62,$AC234)))&gt;0,"인턴계획 입력오류 확인",IF(AND($AC234&lt;&gt;"",$U234&lt;&gt;"파견중",$N234&lt;&gt;$AE234),"인턴 타지역 근무: 파견 여부 확인","정상"))))))))</f>
        <v/>
      </c>
      <c r="AA234" s="5" t="n"/>
      <c r="AB234" s="10">
        <f>IF($B234="","",IFERROR(MATCH($B234,기본자료!$B$2:$B$1001,0),IFERROR(MATCH($B234&amp;"",기본자료!$B$2:$B$1001,0),IFERROR(MATCH(VALUE($B234),기본자료!$B$2:$B$1001,0),""))))</f>
        <v/>
      </c>
      <c r="AC234" s="10">
        <f>IF($B234="","",IFERROR(MATCH($B234,인턴근무계획!$D$3:$D$62,0),IFERROR(MATCH($B234&amp;"",인턴근무계획!$D$3:$D$62,0),IFERROR(MATCH(VALUE($B234),인턴근무계획!$D$3:$D$62,0),""))))</f>
        <v/>
      </c>
      <c r="AD234" s="10">
        <f>IF(OR($AC234="",인턴현황!$G$3=""),"",INDEX(인턴근무계획!$M$3:$R$62,$AC234,인턴현황!$G$3)&amp;"")</f>
        <v/>
      </c>
      <c r="AE234" s="10">
        <f>IF($B234="","",IF($M234&lt;&gt;"",$M234,IF($AF234&lt;&gt;"",IF(LEFT(INDEX(파견수련계획!$R$4:$R$83,$AF234),1)&lt;&gt;"⚠",INDEX(파견수련계획!$R$4:$R$83,$AF234),IF($H234="","",IF(RIGHT($H234,2)="병원",$H234,$H234&amp;"병원"))),IF($H234="","",IF(RIGHT($H234,2)="병원",$H234,$H234&amp;"병원")))))</f>
        <v/>
      </c>
      <c r="AF234" s="10">
        <f>IF(OR($B234="",TRIM($J234&amp;"")=""),"",IFERROR(MATCH(TRIM($J234&amp;"")&amp;"|파견중",파견수련계획!$Y$4:$Y$83,0),IFERROR(MATCH(TRIM($J234&amp;"")&amp;"|파견예정",파견수련계획!$Y$4:$Y$83,0),IFERROR(MATCH(TRIM($J234&amp;"")&amp;"|파견종료",파견수련계획!$Y$4:$Y$83,0),""))))</f>
        <v/>
      </c>
      <c r="AG234" s="10">
        <f>IF($B234="","",IF(AND(IF(OR($AC234="",인턴현황!$K$2=""),"",INDEX(인턴근무계획!$M$3:$R$62,$AC234,인턴현황!$K$2)&amp;"")&lt;&gt;"",LEFT(IF(OR($AC234="",인턴현황!$K$2=""),"",INDEX(인턴근무계획!$M$3:$R$62,$AC234,인턴현황!$K$2)&amp;""),1)&lt;&gt;"⚠"),LEFT(IF(OR($AC234="",인턴현황!$K$2=""),"",INDEX(인턴근무계획!$M$3:$R$62,$AC234,인턴현황!$K$2)&amp;""),FIND(" ",IF(OR($AC234="",인턴현황!$K$2=""),"",INDEX(인턴근무계획!$M$3:$R$62,$AC234,인턴현황!$K$2)&amp;""))-1),$AE234))</f>
        <v/>
      </c>
      <c r="AH234" s="17">
        <f>IF($B234="","",IF(TRIM($J234&amp;"")="",0,SUMPRODUCT((파견수련계획!$Q$4:$Q$83=TRIM($J234&amp;""))*(파견수련계획!$S$4:$S$83="서울병원")*파견수련계획!$W$4:$W$83))+IF($AG234="서울병원",MAX(0,DAY(EOMONTH(요약!$B$3,0))-N($X234)),0))</f>
        <v/>
      </c>
      <c r="AI234" s="17">
        <f>IF($B234="","",IF(TRIM($J234&amp;"")="",0,SUMPRODUCT((파견수련계획!$Q$4:$Q$83=TRIM($J234&amp;""))*(파견수련계획!$S$4:$S$83="구리병원")*파견수련계획!$W$4:$W$83))+IF($AG234="구리병원",MAX(0,DAY(EOMONTH(요약!$B$3,0))-N($X234)),0))</f>
        <v/>
      </c>
      <c r="AJ234" s="10">
        <f>IF(OR($B234="",TRIM($J234&amp;"")=""),"",IFERROR(MATCH(TRIM($J234&amp;"")&amp;"|월",파견수련계획!$Z$4:$Z$83,0),""))</f>
        <v/>
      </c>
      <c r="AK234" s="10">
        <f>IF(OR($B234="",TRIM($J234&amp;"")=""),"",IFERROR(MATCH(TRIM($J234&amp;"")&amp;"|다기관",파견수련계획!$AE$4:$AE$83,0),""))</f>
        <v/>
      </c>
      <c r="AL234" s="10">
        <f>IF($AK234="","","다기관 "&amp;TEXT(INDEX(파견수련계획!$AB$4:$AB$83,$AK234),"yyyy-mm-dd")&amp;"~"&amp;IF(ISNUMBER(INDEX(파견수련계획!$AC$4:$AC$83,$AK234)),TEXT(INDEX(파견수련계획!$AC$4:$AC$83,$AK234),"yyyy-mm-dd"),""))</f>
        <v/>
      </c>
    </row>
    <row r="235">
      <c r="A235" s="10">
        <f>IF(B235="","",ROW()-1)</f>
        <v/>
      </c>
      <c r="B235" s="18" t="n"/>
      <c r="C235" s="10">
        <f>IF($AB235="","",IF(INDEX(기본자료!$C$2:$C$1001,$AB235)="","",INDEX(기본자료!$C$2:$C$1001,$AB235)))</f>
        <v/>
      </c>
      <c r="D235" s="10">
        <f>IF($AB235="","",IF(INDEX(기본자료!$J$2:$J$1001,$AB235)="","",INDEX(기본자료!$J$2:$J$1001,$AB235)))</f>
        <v/>
      </c>
      <c r="E235" s="11">
        <f>IF($AB235="","",IF(INDEX(기본자료!$K$2:$K$1001,$AB235)="","",IF(NOT(ISNUMBER(INDEX(기본자료!$K$2:$K$1001,$AB235))),INDEX(기본자료!$K$2:$K$1001,$AB235),IF(INDEX(기본자료!$K$2:$K$1001,$AB235)&lt;1000000,INDEX(기본자료!$K$2:$K$1001,$AB235),IF(AND(INDEX(기본자료!$K$2:$K$1001,$AB235)&gt;=10000101,INT(MOD(INDEX(기본자료!$K$2:$K$1001,$AB235),10000)/100)&gt;=1,INT(MOD(INDEX(기본자료!$K$2:$K$1001,$AB235),10000)/100)&lt;=12,MOD(INDEX(기본자료!$K$2:$K$1001,$AB235),100)&gt;=1,MOD(INDEX(기본자료!$K$2:$K$1001,$AB235),100)&lt;=31),DATE(INT(INDEX(기본자료!$K$2:$K$1001,$AB235)/10000),INT(MOD(INDEX(기본자료!$K$2:$K$1001,$AB235),10000)/100),MOD(INDEX(기본자료!$K$2:$K$1001,$AB235),100)),INDEX(기본자료!$K$2:$K$1001,$AB235)&amp;"")))))</f>
        <v/>
      </c>
      <c r="F235" s="10">
        <f>IF($AB235="","",IF(INDEX(기본자료!$D$2:$D$1001,$AB235)="","",INDEX(기본자료!$D$2:$D$1001,$AB235)))</f>
        <v/>
      </c>
      <c r="G235" s="10">
        <f>IF($AB235="","",IF(INDEX(기본자료!$E$2:$E$1001,$AB235)="","",INDEX(기본자료!$E$2:$E$1001,$AB235)))</f>
        <v/>
      </c>
      <c r="H235" s="10">
        <f>IF($AB235="","",IF(INDEX(기본자료!$F$2:$F$1001,$AB235)="","",INDEX(기본자료!$F$2:$F$1001,$AB235)))</f>
        <v/>
      </c>
      <c r="I235" s="11">
        <f>IF($AB235="","",IF(INDEX(기본자료!$G$2:$G$1001,$AB235)="","",IF(NOT(ISNUMBER(INDEX(기본자료!$G$2:$G$1001,$AB235))),INDEX(기본자료!$G$2:$G$1001,$AB235),IF(INDEX(기본자료!$G$2:$G$1001,$AB235)&lt;1000000,INDEX(기본자료!$G$2:$G$1001,$AB235),IF(AND(INDEX(기본자료!$G$2:$G$1001,$AB235)&gt;=10000101,INT(MOD(INDEX(기본자료!$G$2:$G$1001,$AB235),10000)/100)&gt;=1,INT(MOD(INDEX(기본자료!$G$2:$G$1001,$AB235),10000)/100)&lt;=12,MOD(INDEX(기본자료!$G$2:$G$1001,$AB235),100)&gt;=1,MOD(INDEX(기본자료!$G$2:$G$1001,$AB235),100)&lt;=31),DATE(INT(INDEX(기본자료!$G$2:$G$1001,$AB235)/10000),INT(MOD(INDEX(기본자료!$G$2:$G$1001,$AB235),10000)/100),MOD(INDEX(기본자료!$G$2:$G$1001,$AB235),100)),INDEX(기본자료!$G$2:$G$1001,$AB235)&amp;"")))))</f>
        <v/>
      </c>
      <c r="J235" s="10">
        <f>IF($AB235="","",IF(INDEX(기본자료!$H$2:$H$1001,$AB235)="","",INDEX(기본자료!$H$2:$H$1001,$AB235)))</f>
        <v/>
      </c>
      <c r="K235" s="10">
        <f>IF($AB235="","",IF(INDEX(기본자료!$I$2:$I$1001,$AB235)="","",INDEX(기본자료!$I$2:$I$1001,$AB235)))</f>
        <v/>
      </c>
      <c r="L235" s="10">
        <f>IF($AB235="","",IF(INDEX(기본자료!$A$2:$A$1001,$AB235)="","",INDEX(기본자료!$A$2:$A$1001,$AB235)))</f>
        <v/>
      </c>
      <c r="M235" s="15" t="n"/>
      <c r="N235" s="10">
        <f>IF($B235="","",IF(AND($U235="파견중",$Q235&lt;&gt;""),$Q235,IF(AND($AD235&lt;&gt;"",LEFT($AD235,1)&lt;&gt;"⚠"),LEFT($AD235,FIND(" ",$AD235)-1),IF($H235="","",IF(RIGHT($H235,2)="병원",$H235,$H235&amp;"병원")))))</f>
        <v/>
      </c>
      <c r="O235" s="10">
        <f>IF($B235="","",IF(AND($U235="파견중",$Q235&lt;&gt;""),IF($R235&lt;&gt;"",$R235,"파견과 미입력"),IF(AND($AD235&lt;&gt;"",LEFT($AD235,1)&lt;&gt;"⚠"),MID($AD235,FIND(" ",$AD235)+1,60),IF($F235="","",IF($F235="인턴","수련교육부(인턴)",$F235)))))</f>
        <v/>
      </c>
      <c r="P235" s="10">
        <f>IF($B235="","",IF($AK235&lt;&gt;"",IF(AND(TODAY()&gt;=INDEX(파견수련계획!$AB$4:$AB$83,$AK235),OR(NOT(ISNUMBER(INDEX(파견수련계획!$AC$4:$AC$83,$AK235))),TODAY()&lt;=INDEX(파견수련계획!$AC$4:$AC$83,$AK235))),"다기관",IF($AF235="","",INDEX(파견수련계획!$T$4:$T$83,$AF235))),IF($AF235="","",INDEX(파견수련계획!$T$4:$T$83,$AF235))))</f>
        <v/>
      </c>
      <c r="Q235" s="10">
        <f>IF($AF235="","",INDEX(파견수련계획!$S$4:$S$83,$AF235))</f>
        <v/>
      </c>
      <c r="R235" s="10">
        <f>IF($AF235="","",INDEX(파견수련계획!$U$4:$U$83,$AF235))</f>
        <v/>
      </c>
      <c r="S235" s="11">
        <f>IF($AF235="","",IF(INDEX(파견수련계획!$H$4:$H$83,$AF235)="","",INDEX(파견수련계획!$H$4:$H$83,$AF235)))</f>
        <v/>
      </c>
      <c r="T235" s="11">
        <f>IF($AF235="","",IF(INDEX(파견수련계획!$I$4:$I$83,$AF235)="","",INDEX(파견수련계획!$I$4:$I$83,$AF235)))</f>
        <v/>
      </c>
      <c r="U235" s="10">
        <f>IF($AF235="","",INDEX(파견수련계획!$X$4:$X$83,$AF235))</f>
        <v/>
      </c>
      <c r="V235" s="17">
        <f>IF($AF235="","",INDEX(파견수련계획!$V$4:$V$83,$AF235))</f>
        <v/>
      </c>
      <c r="W235" s="17">
        <f>IF(AND($U235="파견중",$T235&lt;&gt;""),$T235-TODAY(),"")</f>
        <v/>
      </c>
      <c r="X235" s="17">
        <f>IF(OR($B235="",TRIM($J235&amp;"")=""),"",SUMPRODUCT((파견수련계획!$Q$4:$Q$83=TRIM($J235&amp;""))*파견수련계획!$W$4:$W$83))</f>
        <v/>
      </c>
      <c r="Y235" s="10">
        <f>IF($B235="","",IF($AG235="","",IF(IF(TRIM($J235&amp;"")="",0,SUMPRODUCT((파견수련계획!$Q$4:$Q$83=TRIM($J235&amp;""))*파견수련계획!$AD$4:$AD$83))&gt;0,$AE235,IF(N($X235)&lt;=0,$AG235,IF($AH235+$AI235=DAY(EOMONTH(요약!$B$3,0)),IF(AND($AH235&gt;=요약!$E$3,$AI235&lt;요약!$E$3),"서울병원",IF(AND($AI235&gt;=요약!$E$3,$AH235&lt;요약!$E$3),"구리병원","⚠15일 판정불가(서울 "&amp;$AH235&amp;"일/구리 "&amp;$AI235&amp;"일)")),IF($AJ235="",$AE235,IF(INDEX(파견수련계획!$T$4:$T$83,$AJ235)="통합수련",INDEX(파견수련계획!$S$4:$S$83,$AJ235),$AE235)))))))</f>
        <v/>
      </c>
      <c r="Z235" s="19">
        <f>IF($B235="","",IF($AB235="","기본자료에 없는 사번",IF(COUNTIF($B$2:$B$401,$B235)&gt;1,"중복 사번",IF($AE235="","소속(입사장소) 입력",IF(IF(TRIM($J235&amp;"")="",0,SUMPRODUCT((파견수련계획!$Q$4:$Q$83=TRIM($J235&amp;""))*(파견수련계획!$AA$4:$AA$83&lt;&gt;"")))&gt;0,"파견수련계획 입력오류 확인",IF(LEFT($Y235,1)="⚠","서울·구리 15일 판정 불가(양쪽 모두 이상/미만)",IF(IF($AC235="",0,N(INDEX(인턴근무계획!$T$3:$T$62,$AC235)))&gt;0,"인턴계획 입력오류 확인",IF(AND($AC235&lt;&gt;"",$U235&lt;&gt;"파견중",$N235&lt;&gt;$AE235),"인턴 타지역 근무: 파견 여부 확인","정상"))))))))</f>
        <v/>
      </c>
      <c r="AA235" s="5" t="n"/>
      <c r="AB235" s="10">
        <f>IF($B235="","",IFERROR(MATCH($B235,기본자료!$B$2:$B$1001,0),IFERROR(MATCH($B235&amp;"",기본자료!$B$2:$B$1001,0),IFERROR(MATCH(VALUE($B235),기본자료!$B$2:$B$1001,0),""))))</f>
        <v/>
      </c>
      <c r="AC235" s="10">
        <f>IF($B235="","",IFERROR(MATCH($B235,인턴근무계획!$D$3:$D$62,0),IFERROR(MATCH($B235&amp;"",인턴근무계획!$D$3:$D$62,0),IFERROR(MATCH(VALUE($B235),인턴근무계획!$D$3:$D$62,0),""))))</f>
        <v/>
      </c>
      <c r="AD235" s="10">
        <f>IF(OR($AC235="",인턴현황!$G$3=""),"",INDEX(인턴근무계획!$M$3:$R$62,$AC235,인턴현황!$G$3)&amp;"")</f>
        <v/>
      </c>
      <c r="AE235" s="10">
        <f>IF($B235="","",IF($M235&lt;&gt;"",$M235,IF($AF235&lt;&gt;"",IF(LEFT(INDEX(파견수련계획!$R$4:$R$83,$AF235),1)&lt;&gt;"⚠",INDEX(파견수련계획!$R$4:$R$83,$AF235),IF($H235="","",IF(RIGHT($H235,2)="병원",$H235,$H235&amp;"병원"))),IF($H235="","",IF(RIGHT($H235,2)="병원",$H235,$H235&amp;"병원")))))</f>
        <v/>
      </c>
      <c r="AF235" s="10">
        <f>IF(OR($B235="",TRIM($J235&amp;"")=""),"",IFERROR(MATCH(TRIM($J235&amp;"")&amp;"|파견중",파견수련계획!$Y$4:$Y$83,0),IFERROR(MATCH(TRIM($J235&amp;"")&amp;"|파견예정",파견수련계획!$Y$4:$Y$83,0),IFERROR(MATCH(TRIM($J235&amp;"")&amp;"|파견종료",파견수련계획!$Y$4:$Y$83,0),""))))</f>
        <v/>
      </c>
      <c r="AG235" s="10">
        <f>IF($B235="","",IF(AND(IF(OR($AC235="",인턴현황!$K$2=""),"",INDEX(인턴근무계획!$M$3:$R$62,$AC235,인턴현황!$K$2)&amp;"")&lt;&gt;"",LEFT(IF(OR($AC235="",인턴현황!$K$2=""),"",INDEX(인턴근무계획!$M$3:$R$62,$AC235,인턴현황!$K$2)&amp;""),1)&lt;&gt;"⚠"),LEFT(IF(OR($AC235="",인턴현황!$K$2=""),"",INDEX(인턴근무계획!$M$3:$R$62,$AC235,인턴현황!$K$2)&amp;""),FIND(" ",IF(OR($AC235="",인턴현황!$K$2=""),"",INDEX(인턴근무계획!$M$3:$R$62,$AC235,인턴현황!$K$2)&amp;""))-1),$AE235))</f>
        <v/>
      </c>
      <c r="AH235" s="17">
        <f>IF($B235="","",IF(TRIM($J235&amp;"")="",0,SUMPRODUCT((파견수련계획!$Q$4:$Q$83=TRIM($J235&amp;""))*(파견수련계획!$S$4:$S$83="서울병원")*파견수련계획!$W$4:$W$83))+IF($AG235="서울병원",MAX(0,DAY(EOMONTH(요약!$B$3,0))-N($X235)),0))</f>
        <v/>
      </c>
      <c r="AI235" s="17">
        <f>IF($B235="","",IF(TRIM($J235&amp;"")="",0,SUMPRODUCT((파견수련계획!$Q$4:$Q$83=TRIM($J235&amp;""))*(파견수련계획!$S$4:$S$83="구리병원")*파견수련계획!$W$4:$W$83))+IF($AG235="구리병원",MAX(0,DAY(EOMONTH(요약!$B$3,0))-N($X235)),0))</f>
        <v/>
      </c>
      <c r="AJ235" s="10">
        <f>IF(OR($B235="",TRIM($J235&amp;"")=""),"",IFERROR(MATCH(TRIM($J235&amp;"")&amp;"|월",파견수련계획!$Z$4:$Z$83,0),""))</f>
        <v/>
      </c>
      <c r="AK235" s="10">
        <f>IF(OR($B235="",TRIM($J235&amp;"")=""),"",IFERROR(MATCH(TRIM($J235&amp;"")&amp;"|다기관",파견수련계획!$AE$4:$AE$83,0),""))</f>
        <v/>
      </c>
      <c r="AL235" s="10">
        <f>IF($AK235="","","다기관 "&amp;TEXT(INDEX(파견수련계획!$AB$4:$AB$83,$AK235),"yyyy-mm-dd")&amp;"~"&amp;IF(ISNUMBER(INDEX(파견수련계획!$AC$4:$AC$83,$AK235)),TEXT(INDEX(파견수련계획!$AC$4:$AC$83,$AK235),"yyyy-mm-dd"),""))</f>
        <v/>
      </c>
    </row>
    <row r="236">
      <c r="A236" s="10">
        <f>IF(B236="","",ROW()-1)</f>
        <v/>
      </c>
      <c r="B236" s="18" t="n"/>
      <c r="C236" s="10">
        <f>IF($AB236="","",IF(INDEX(기본자료!$C$2:$C$1001,$AB236)="","",INDEX(기본자료!$C$2:$C$1001,$AB236)))</f>
        <v/>
      </c>
      <c r="D236" s="10">
        <f>IF($AB236="","",IF(INDEX(기본자료!$J$2:$J$1001,$AB236)="","",INDEX(기본자료!$J$2:$J$1001,$AB236)))</f>
        <v/>
      </c>
      <c r="E236" s="11">
        <f>IF($AB236="","",IF(INDEX(기본자료!$K$2:$K$1001,$AB236)="","",IF(NOT(ISNUMBER(INDEX(기본자료!$K$2:$K$1001,$AB236))),INDEX(기본자료!$K$2:$K$1001,$AB236),IF(INDEX(기본자료!$K$2:$K$1001,$AB236)&lt;1000000,INDEX(기본자료!$K$2:$K$1001,$AB236),IF(AND(INDEX(기본자료!$K$2:$K$1001,$AB236)&gt;=10000101,INT(MOD(INDEX(기본자료!$K$2:$K$1001,$AB236),10000)/100)&gt;=1,INT(MOD(INDEX(기본자료!$K$2:$K$1001,$AB236),10000)/100)&lt;=12,MOD(INDEX(기본자료!$K$2:$K$1001,$AB236),100)&gt;=1,MOD(INDEX(기본자료!$K$2:$K$1001,$AB236),100)&lt;=31),DATE(INT(INDEX(기본자료!$K$2:$K$1001,$AB236)/10000),INT(MOD(INDEX(기본자료!$K$2:$K$1001,$AB236),10000)/100),MOD(INDEX(기본자료!$K$2:$K$1001,$AB236),100)),INDEX(기본자료!$K$2:$K$1001,$AB236)&amp;"")))))</f>
        <v/>
      </c>
      <c r="F236" s="10">
        <f>IF($AB236="","",IF(INDEX(기본자료!$D$2:$D$1001,$AB236)="","",INDEX(기본자료!$D$2:$D$1001,$AB236)))</f>
        <v/>
      </c>
      <c r="G236" s="10">
        <f>IF($AB236="","",IF(INDEX(기본자료!$E$2:$E$1001,$AB236)="","",INDEX(기본자료!$E$2:$E$1001,$AB236)))</f>
        <v/>
      </c>
      <c r="H236" s="10">
        <f>IF($AB236="","",IF(INDEX(기본자료!$F$2:$F$1001,$AB236)="","",INDEX(기본자료!$F$2:$F$1001,$AB236)))</f>
        <v/>
      </c>
      <c r="I236" s="11">
        <f>IF($AB236="","",IF(INDEX(기본자료!$G$2:$G$1001,$AB236)="","",IF(NOT(ISNUMBER(INDEX(기본자료!$G$2:$G$1001,$AB236))),INDEX(기본자료!$G$2:$G$1001,$AB236),IF(INDEX(기본자료!$G$2:$G$1001,$AB236)&lt;1000000,INDEX(기본자료!$G$2:$G$1001,$AB236),IF(AND(INDEX(기본자료!$G$2:$G$1001,$AB236)&gt;=10000101,INT(MOD(INDEX(기본자료!$G$2:$G$1001,$AB236),10000)/100)&gt;=1,INT(MOD(INDEX(기본자료!$G$2:$G$1001,$AB236),10000)/100)&lt;=12,MOD(INDEX(기본자료!$G$2:$G$1001,$AB236),100)&gt;=1,MOD(INDEX(기본자료!$G$2:$G$1001,$AB236),100)&lt;=31),DATE(INT(INDEX(기본자료!$G$2:$G$1001,$AB236)/10000),INT(MOD(INDEX(기본자료!$G$2:$G$1001,$AB236),10000)/100),MOD(INDEX(기본자료!$G$2:$G$1001,$AB236),100)),INDEX(기본자료!$G$2:$G$1001,$AB236)&amp;"")))))</f>
        <v/>
      </c>
      <c r="J236" s="10">
        <f>IF($AB236="","",IF(INDEX(기본자료!$H$2:$H$1001,$AB236)="","",INDEX(기본자료!$H$2:$H$1001,$AB236)))</f>
        <v/>
      </c>
      <c r="K236" s="10">
        <f>IF($AB236="","",IF(INDEX(기본자료!$I$2:$I$1001,$AB236)="","",INDEX(기본자료!$I$2:$I$1001,$AB236)))</f>
        <v/>
      </c>
      <c r="L236" s="10">
        <f>IF($AB236="","",IF(INDEX(기본자료!$A$2:$A$1001,$AB236)="","",INDEX(기본자료!$A$2:$A$1001,$AB236)))</f>
        <v/>
      </c>
      <c r="M236" s="15" t="n"/>
      <c r="N236" s="10">
        <f>IF($B236="","",IF(AND($U236="파견중",$Q236&lt;&gt;""),$Q236,IF(AND($AD236&lt;&gt;"",LEFT($AD236,1)&lt;&gt;"⚠"),LEFT($AD236,FIND(" ",$AD236)-1),IF($H236="","",IF(RIGHT($H236,2)="병원",$H236,$H236&amp;"병원")))))</f>
        <v/>
      </c>
      <c r="O236" s="10">
        <f>IF($B236="","",IF(AND($U236="파견중",$Q236&lt;&gt;""),IF($R236&lt;&gt;"",$R236,"파견과 미입력"),IF(AND($AD236&lt;&gt;"",LEFT($AD236,1)&lt;&gt;"⚠"),MID($AD236,FIND(" ",$AD236)+1,60),IF($F236="","",IF($F236="인턴","수련교육부(인턴)",$F236)))))</f>
        <v/>
      </c>
      <c r="P236" s="10">
        <f>IF($B236="","",IF($AK236&lt;&gt;"",IF(AND(TODAY()&gt;=INDEX(파견수련계획!$AB$4:$AB$83,$AK236),OR(NOT(ISNUMBER(INDEX(파견수련계획!$AC$4:$AC$83,$AK236))),TODAY()&lt;=INDEX(파견수련계획!$AC$4:$AC$83,$AK236))),"다기관",IF($AF236="","",INDEX(파견수련계획!$T$4:$T$83,$AF236))),IF($AF236="","",INDEX(파견수련계획!$T$4:$T$83,$AF236))))</f>
        <v/>
      </c>
      <c r="Q236" s="10">
        <f>IF($AF236="","",INDEX(파견수련계획!$S$4:$S$83,$AF236))</f>
        <v/>
      </c>
      <c r="R236" s="10">
        <f>IF($AF236="","",INDEX(파견수련계획!$U$4:$U$83,$AF236))</f>
        <v/>
      </c>
      <c r="S236" s="11">
        <f>IF($AF236="","",IF(INDEX(파견수련계획!$H$4:$H$83,$AF236)="","",INDEX(파견수련계획!$H$4:$H$83,$AF236)))</f>
        <v/>
      </c>
      <c r="T236" s="11">
        <f>IF($AF236="","",IF(INDEX(파견수련계획!$I$4:$I$83,$AF236)="","",INDEX(파견수련계획!$I$4:$I$83,$AF236)))</f>
        <v/>
      </c>
      <c r="U236" s="10">
        <f>IF($AF236="","",INDEX(파견수련계획!$X$4:$X$83,$AF236))</f>
        <v/>
      </c>
      <c r="V236" s="17">
        <f>IF($AF236="","",INDEX(파견수련계획!$V$4:$V$83,$AF236))</f>
        <v/>
      </c>
      <c r="W236" s="17">
        <f>IF(AND($U236="파견중",$T236&lt;&gt;""),$T236-TODAY(),"")</f>
        <v/>
      </c>
      <c r="X236" s="17">
        <f>IF(OR($B236="",TRIM($J236&amp;"")=""),"",SUMPRODUCT((파견수련계획!$Q$4:$Q$83=TRIM($J236&amp;""))*파견수련계획!$W$4:$W$83))</f>
        <v/>
      </c>
      <c r="Y236" s="10">
        <f>IF($B236="","",IF($AG236="","",IF(IF(TRIM($J236&amp;"")="",0,SUMPRODUCT((파견수련계획!$Q$4:$Q$83=TRIM($J236&amp;""))*파견수련계획!$AD$4:$AD$83))&gt;0,$AE236,IF(N($X236)&lt;=0,$AG236,IF($AH236+$AI236=DAY(EOMONTH(요약!$B$3,0)),IF(AND($AH236&gt;=요약!$E$3,$AI236&lt;요약!$E$3),"서울병원",IF(AND($AI236&gt;=요약!$E$3,$AH236&lt;요약!$E$3),"구리병원","⚠15일 판정불가(서울 "&amp;$AH236&amp;"일/구리 "&amp;$AI236&amp;"일)")),IF($AJ236="",$AE236,IF(INDEX(파견수련계획!$T$4:$T$83,$AJ236)="통합수련",INDEX(파견수련계획!$S$4:$S$83,$AJ236),$AE236)))))))</f>
        <v/>
      </c>
      <c r="Z236" s="19">
        <f>IF($B236="","",IF($AB236="","기본자료에 없는 사번",IF(COUNTIF($B$2:$B$401,$B236)&gt;1,"중복 사번",IF($AE236="","소속(입사장소) 입력",IF(IF(TRIM($J236&amp;"")="",0,SUMPRODUCT((파견수련계획!$Q$4:$Q$83=TRIM($J236&amp;""))*(파견수련계획!$AA$4:$AA$83&lt;&gt;"")))&gt;0,"파견수련계획 입력오류 확인",IF(LEFT($Y236,1)="⚠","서울·구리 15일 판정 불가(양쪽 모두 이상/미만)",IF(IF($AC236="",0,N(INDEX(인턴근무계획!$T$3:$T$62,$AC236)))&gt;0,"인턴계획 입력오류 확인",IF(AND($AC236&lt;&gt;"",$U236&lt;&gt;"파견중",$N236&lt;&gt;$AE236),"인턴 타지역 근무: 파견 여부 확인","정상"))))))))</f>
        <v/>
      </c>
      <c r="AA236" s="5" t="n"/>
      <c r="AB236" s="10">
        <f>IF($B236="","",IFERROR(MATCH($B236,기본자료!$B$2:$B$1001,0),IFERROR(MATCH($B236&amp;"",기본자료!$B$2:$B$1001,0),IFERROR(MATCH(VALUE($B236),기본자료!$B$2:$B$1001,0),""))))</f>
        <v/>
      </c>
      <c r="AC236" s="10">
        <f>IF($B236="","",IFERROR(MATCH($B236,인턴근무계획!$D$3:$D$62,0),IFERROR(MATCH($B236&amp;"",인턴근무계획!$D$3:$D$62,0),IFERROR(MATCH(VALUE($B236),인턴근무계획!$D$3:$D$62,0),""))))</f>
        <v/>
      </c>
      <c r="AD236" s="10">
        <f>IF(OR($AC236="",인턴현황!$G$3=""),"",INDEX(인턴근무계획!$M$3:$R$62,$AC236,인턴현황!$G$3)&amp;"")</f>
        <v/>
      </c>
      <c r="AE236" s="10">
        <f>IF($B236="","",IF($M236&lt;&gt;"",$M236,IF($AF236&lt;&gt;"",IF(LEFT(INDEX(파견수련계획!$R$4:$R$83,$AF236),1)&lt;&gt;"⚠",INDEX(파견수련계획!$R$4:$R$83,$AF236),IF($H236="","",IF(RIGHT($H236,2)="병원",$H236,$H236&amp;"병원"))),IF($H236="","",IF(RIGHT($H236,2)="병원",$H236,$H236&amp;"병원")))))</f>
        <v/>
      </c>
      <c r="AF236" s="10">
        <f>IF(OR($B236="",TRIM($J236&amp;"")=""),"",IFERROR(MATCH(TRIM($J236&amp;"")&amp;"|파견중",파견수련계획!$Y$4:$Y$83,0),IFERROR(MATCH(TRIM($J236&amp;"")&amp;"|파견예정",파견수련계획!$Y$4:$Y$83,0),IFERROR(MATCH(TRIM($J236&amp;"")&amp;"|파견종료",파견수련계획!$Y$4:$Y$83,0),""))))</f>
        <v/>
      </c>
      <c r="AG236" s="10">
        <f>IF($B236="","",IF(AND(IF(OR($AC236="",인턴현황!$K$2=""),"",INDEX(인턴근무계획!$M$3:$R$62,$AC236,인턴현황!$K$2)&amp;"")&lt;&gt;"",LEFT(IF(OR($AC236="",인턴현황!$K$2=""),"",INDEX(인턴근무계획!$M$3:$R$62,$AC236,인턴현황!$K$2)&amp;""),1)&lt;&gt;"⚠"),LEFT(IF(OR($AC236="",인턴현황!$K$2=""),"",INDEX(인턴근무계획!$M$3:$R$62,$AC236,인턴현황!$K$2)&amp;""),FIND(" ",IF(OR($AC236="",인턴현황!$K$2=""),"",INDEX(인턴근무계획!$M$3:$R$62,$AC236,인턴현황!$K$2)&amp;""))-1),$AE236))</f>
        <v/>
      </c>
      <c r="AH236" s="17">
        <f>IF($B236="","",IF(TRIM($J236&amp;"")="",0,SUMPRODUCT((파견수련계획!$Q$4:$Q$83=TRIM($J236&amp;""))*(파견수련계획!$S$4:$S$83="서울병원")*파견수련계획!$W$4:$W$83))+IF($AG236="서울병원",MAX(0,DAY(EOMONTH(요약!$B$3,0))-N($X236)),0))</f>
        <v/>
      </c>
      <c r="AI236" s="17">
        <f>IF($B236="","",IF(TRIM($J236&amp;"")="",0,SUMPRODUCT((파견수련계획!$Q$4:$Q$83=TRIM($J236&amp;""))*(파견수련계획!$S$4:$S$83="구리병원")*파견수련계획!$W$4:$W$83))+IF($AG236="구리병원",MAX(0,DAY(EOMONTH(요약!$B$3,0))-N($X236)),0))</f>
        <v/>
      </c>
      <c r="AJ236" s="10">
        <f>IF(OR($B236="",TRIM($J236&amp;"")=""),"",IFERROR(MATCH(TRIM($J236&amp;"")&amp;"|월",파견수련계획!$Z$4:$Z$83,0),""))</f>
        <v/>
      </c>
      <c r="AK236" s="10">
        <f>IF(OR($B236="",TRIM($J236&amp;"")=""),"",IFERROR(MATCH(TRIM($J236&amp;"")&amp;"|다기관",파견수련계획!$AE$4:$AE$83,0),""))</f>
        <v/>
      </c>
      <c r="AL236" s="10">
        <f>IF($AK236="","","다기관 "&amp;TEXT(INDEX(파견수련계획!$AB$4:$AB$83,$AK236),"yyyy-mm-dd")&amp;"~"&amp;IF(ISNUMBER(INDEX(파견수련계획!$AC$4:$AC$83,$AK236)),TEXT(INDEX(파견수련계획!$AC$4:$AC$83,$AK236),"yyyy-mm-dd"),""))</f>
        <v/>
      </c>
    </row>
    <row r="237">
      <c r="A237" s="10">
        <f>IF(B237="","",ROW()-1)</f>
        <v/>
      </c>
      <c r="B237" s="18" t="n"/>
      <c r="C237" s="10">
        <f>IF($AB237="","",IF(INDEX(기본자료!$C$2:$C$1001,$AB237)="","",INDEX(기본자료!$C$2:$C$1001,$AB237)))</f>
        <v/>
      </c>
      <c r="D237" s="10">
        <f>IF($AB237="","",IF(INDEX(기본자료!$J$2:$J$1001,$AB237)="","",INDEX(기본자료!$J$2:$J$1001,$AB237)))</f>
        <v/>
      </c>
      <c r="E237" s="11">
        <f>IF($AB237="","",IF(INDEX(기본자료!$K$2:$K$1001,$AB237)="","",IF(NOT(ISNUMBER(INDEX(기본자료!$K$2:$K$1001,$AB237))),INDEX(기본자료!$K$2:$K$1001,$AB237),IF(INDEX(기본자료!$K$2:$K$1001,$AB237)&lt;1000000,INDEX(기본자료!$K$2:$K$1001,$AB237),IF(AND(INDEX(기본자료!$K$2:$K$1001,$AB237)&gt;=10000101,INT(MOD(INDEX(기본자료!$K$2:$K$1001,$AB237),10000)/100)&gt;=1,INT(MOD(INDEX(기본자료!$K$2:$K$1001,$AB237),10000)/100)&lt;=12,MOD(INDEX(기본자료!$K$2:$K$1001,$AB237),100)&gt;=1,MOD(INDEX(기본자료!$K$2:$K$1001,$AB237),100)&lt;=31),DATE(INT(INDEX(기본자료!$K$2:$K$1001,$AB237)/10000),INT(MOD(INDEX(기본자료!$K$2:$K$1001,$AB237),10000)/100),MOD(INDEX(기본자료!$K$2:$K$1001,$AB237),100)),INDEX(기본자료!$K$2:$K$1001,$AB237)&amp;"")))))</f>
        <v/>
      </c>
      <c r="F237" s="10">
        <f>IF($AB237="","",IF(INDEX(기본자료!$D$2:$D$1001,$AB237)="","",INDEX(기본자료!$D$2:$D$1001,$AB237)))</f>
        <v/>
      </c>
      <c r="G237" s="10">
        <f>IF($AB237="","",IF(INDEX(기본자료!$E$2:$E$1001,$AB237)="","",INDEX(기본자료!$E$2:$E$1001,$AB237)))</f>
        <v/>
      </c>
      <c r="H237" s="10">
        <f>IF($AB237="","",IF(INDEX(기본자료!$F$2:$F$1001,$AB237)="","",INDEX(기본자료!$F$2:$F$1001,$AB237)))</f>
        <v/>
      </c>
      <c r="I237" s="11">
        <f>IF($AB237="","",IF(INDEX(기본자료!$G$2:$G$1001,$AB237)="","",IF(NOT(ISNUMBER(INDEX(기본자료!$G$2:$G$1001,$AB237))),INDEX(기본자료!$G$2:$G$1001,$AB237),IF(INDEX(기본자료!$G$2:$G$1001,$AB237)&lt;1000000,INDEX(기본자료!$G$2:$G$1001,$AB237),IF(AND(INDEX(기본자료!$G$2:$G$1001,$AB237)&gt;=10000101,INT(MOD(INDEX(기본자료!$G$2:$G$1001,$AB237),10000)/100)&gt;=1,INT(MOD(INDEX(기본자료!$G$2:$G$1001,$AB237),10000)/100)&lt;=12,MOD(INDEX(기본자료!$G$2:$G$1001,$AB237),100)&gt;=1,MOD(INDEX(기본자료!$G$2:$G$1001,$AB237),100)&lt;=31),DATE(INT(INDEX(기본자료!$G$2:$G$1001,$AB237)/10000),INT(MOD(INDEX(기본자료!$G$2:$G$1001,$AB237),10000)/100),MOD(INDEX(기본자료!$G$2:$G$1001,$AB237),100)),INDEX(기본자료!$G$2:$G$1001,$AB237)&amp;"")))))</f>
        <v/>
      </c>
      <c r="J237" s="10">
        <f>IF($AB237="","",IF(INDEX(기본자료!$H$2:$H$1001,$AB237)="","",INDEX(기본자료!$H$2:$H$1001,$AB237)))</f>
        <v/>
      </c>
      <c r="K237" s="10">
        <f>IF($AB237="","",IF(INDEX(기본자료!$I$2:$I$1001,$AB237)="","",INDEX(기본자료!$I$2:$I$1001,$AB237)))</f>
        <v/>
      </c>
      <c r="L237" s="10">
        <f>IF($AB237="","",IF(INDEX(기본자료!$A$2:$A$1001,$AB237)="","",INDEX(기본자료!$A$2:$A$1001,$AB237)))</f>
        <v/>
      </c>
      <c r="M237" s="15" t="n"/>
      <c r="N237" s="10">
        <f>IF($B237="","",IF(AND($U237="파견중",$Q237&lt;&gt;""),$Q237,IF(AND($AD237&lt;&gt;"",LEFT($AD237,1)&lt;&gt;"⚠"),LEFT($AD237,FIND(" ",$AD237)-1),IF($H237="","",IF(RIGHT($H237,2)="병원",$H237,$H237&amp;"병원")))))</f>
        <v/>
      </c>
      <c r="O237" s="10">
        <f>IF($B237="","",IF(AND($U237="파견중",$Q237&lt;&gt;""),IF($R237&lt;&gt;"",$R237,"파견과 미입력"),IF(AND($AD237&lt;&gt;"",LEFT($AD237,1)&lt;&gt;"⚠"),MID($AD237,FIND(" ",$AD237)+1,60),IF($F237="","",IF($F237="인턴","수련교육부(인턴)",$F237)))))</f>
        <v/>
      </c>
      <c r="P237" s="10">
        <f>IF($B237="","",IF($AK237&lt;&gt;"",IF(AND(TODAY()&gt;=INDEX(파견수련계획!$AB$4:$AB$83,$AK237),OR(NOT(ISNUMBER(INDEX(파견수련계획!$AC$4:$AC$83,$AK237))),TODAY()&lt;=INDEX(파견수련계획!$AC$4:$AC$83,$AK237))),"다기관",IF($AF237="","",INDEX(파견수련계획!$T$4:$T$83,$AF237))),IF($AF237="","",INDEX(파견수련계획!$T$4:$T$83,$AF237))))</f>
        <v/>
      </c>
      <c r="Q237" s="10">
        <f>IF($AF237="","",INDEX(파견수련계획!$S$4:$S$83,$AF237))</f>
        <v/>
      </c>
      <c r="R237" s="10">
        <f>IF($AF237="","",INDEX(파견수련계획!$U$4:$U$83,$AF237))</f>
        <v/>
      </c>
      <c r="S237" s="11">
        <f>IF($AF237="","",IF(INDEX(파견수련계획!$H$4:$H$83,$AF237)="","",INDEX(파견수련계획!$H$4:$H$83,$AF237)))</f>
        <v/>
      </c>
      <c r="T237" s="11">
        <f>IF($AF237="","",IF(INDEX(파견수련계획!$I$4:$I$83,$AF237)="","",INDEX(파견수련계획!$I$4:$I$83,$AF237)))</f>
        <v/>
      </c>
      <c r="U237" s="10">
        <f>IF($AF237="","",INDEX(파견수련계획!$X$4:$X$83,$AF237))</f>
        <v/>
      </c>
      <c r="V237" s="17">
        <f>IF($AF237="","",INDEX(파견수련계획!$V$4:$V$83,$AF237))</f>
        <v/>
      </c>
      <c r="W237" s="17">
        <f>IF(AND($U237="파견중",$T237&lt;&gt;""),$T237-TODAY(),"")</f>
        <v/>
      </c>
      <c r="X237" s="17">
        <f>IF(OR($B237="",TRIM($J237&amp;"")=""),"",SUMPRODUCT((파견수련계획!$Q$4:$Q$83=TRIM($J237&amp;""))*파견수련계획!$W$4:$W$83))</f>
        <v/>
      </c>
      <c r="Y237" s="10">
        <f>IF($B237="","",IF($AG237="","",IF(IF(TRIM($J237&amp;"")="",0,SUMPRODUCT((파견수련계획!$Q$4:$Q$83=TRIM($J237&amp;""))*파견수련계획!$AD$4:$AD$83))&gt;0,$AE237,IF(N($X237)&lt;=0,$AG237,IF($AH237+$AI237=DAY(EOMONTH(요약!$B$3,0)),IF(AND($AH237&gt;=요약!$E$3,$AI237&lt;요약!$E$3),"서울병원",IF(AND($AI237&gt;=요약!$E$3,$AH237&lt;요약!$E$3),"구리병원","⚠15일 판정불가(서울 "&amp;$AH237&amp;"일/구리 "&amp;$AI237&amp;"일)")),IF($AJ237="",$AE237,IF(INDEX(파견수련계획!$T$4:$T$83,$AJ237)="통합수련",INDEX(파견수련계획!$S$4:$S$83,$AJ237),$AE237)))))))</f>
        <v/>
      </c>
      <c r="Z237" s="19">
        <f>IF($B237="","",IF($AB237="","기본자료에 없는 사번",IF(COUNTIF($B$2:$B$401,$B237)&gt;1,"중복 사번",IF($AE237="","소속(입사장소) 입력",IF(IF(TRIM($J237&amp;"")="",0,SUMPRODUCT((파견수련계획!$Q$4:$Q$83=TRIM($J237&amp;""))*(파견수련계획!$AA$4:$AA$83&lt;&gt;"")))&gt;0,"파견수련계획 입력오류 확인",IF(LEFT($Y237,1)="⚠","서울·구리 15일 판정 불가(양쪽 모두 이상/미만)",IF(IF($AC237="",0,N(INDEX(인턴근무계획!$T$3:$T$62,$AC237)))&gt;0,"인턴계획 입력오류 확인",IF(AND($AC237&lt;&gt;"",$U237&lt;&gt;"파견중",$N237&lt;&gt;$AE237),"인턴 타지역 근무: 파견 여부 확인","정상"))))))))</f>
        <v/>
      </c>
      <c r="AA237" s="5" t="n"/>
      <c r="AB237" s="10">
        <f>IF($B237="","",IFERROR(MATCH($B237,기본자료!$B$2:$B$1001,0),IFERROR(MATCH($B237&amp;"",기본자료!$B$2:$B$1001,0),IFERROR(MATCH(VALUE($B237),기본자료!$B$2:$B$1001,0),""))))</f>
        <v/>
      </c>
      <c r="AC237" s="10">
        <f>IF($B237="","",IFERROR(MATCH($B237,인턴근무계획!$D$3:$D$62,0),IFERROR(MATCH($B237&amp;"",인턴근무계획!$D$3:$D$62,0),IFERROR(MATCH(VALUE($B237),인턴근무계획!$D$3:$D$62,0),""))))</f>
        <v/>
      </c>
      <c r="AD237" s="10">
        <f>IF(OR($AC237="",인턴현황!$G$3=""),"",INDEX(인턴근무계획!$M$3:$R$62,$AC237,인턴현황!$G$3)&amp;"")</f>
        <v/>
      </c>
      <c r="AE237" s="10">
        <f>IF($B237="","",IF($M237&lt;&gt;"",$M237,IF($AF237&lt;&gt;"",IF(LEFT(INDEX(파견수련계획!$R$4:$R$83,$AF237),1)&lt;&gt;"⚠",INDEX(파견수련계획!$R$4:$R$83,$AF237),IF($H237="","",IF(RIGHT($H237,2)="병원",$H237,$H237&amp;"병원"))),IF($H237="","",IF(RIGHT($H237,2)="병원",$H237,$H237&amp;"병원")))))</f>
        <v/>
      </c>
      <c r="AF237" s="10">
        <f>IF(OR($B237="",TRIM($J237&amp;"")=""),"",IFERROR(MATCH(TRIM($J237&amp;"")&amp;"|파견중",파견수련계획!$Y$4:$Y$83,0),IFERROR(MATCH(TRIM($J237&amp;"")&amp;"|파견예정",파견수련계획!$Y$4:$Y$83,0),IFERROR(MATCH(TRIM($J237&amp;"")&amp;"|파견종료",파견수련계획!$Y$4:$Y$83,0),""))))</f>
        <v/>
      </c>
      <c r="AG237" s="10">
        <f>IF($B237="","",IF(AND(IF(OR($AC237="",인턴현황!$K$2=""),"",INDEX(인턴근무계획!$M$3:$R$62,$AC237,인턴현황!$K$2)&amp;"")&lt;&gt;"",LEFT(IF(OR($AC237="",인턴현황!$K$2=""),"",INDEX(인턴근무계획!$M$3:$R$62,$AC237,인턴현황!$K$2)&amp;""),1)&lt;&gt;"⚠"),LEFT(IF(OR($AC237="",인턴현황!$K$2=""),"",INDEX(인턴근무계획!$M$3:$R$62,$AC237,인턴현황!$K$2)&amp;""),FIND(" ",IF(OR($AC237="",인턴현황!$K$2=""),"",INDEX(인턴근무계획!$M$3:$R$62,$AC237,인턴현황!$K$2)&amp;""))-1),$AE237))</f>
        <v/>
      </c>
      <c r="AH237" s="17">
        <f>IF($B237="","",IF(TRIM($J237&amp;"")="",0,SUMPRODUCT((파견수련계획!$Q$4:$Q$83=TRIM($J237&amp;""))*(파견수련계획!$S$4:$S$83="서울병원")*파견수련계획!$W$4:$W$83))+IF($AG237="서울병원",MAX(0,DAY(EOMONTH(요약!$B$3,0))-N($X237)),0))</f>
        <v/>
      </c>
      <c r="AI237" s="17">
        <f>IF($B237="","",IF(TRIM($J237&amp;"")="",0,SUMPRODUCT((파견수련계획!$Q$4:$Q$83=TRIM($J237&amp;""))*(파견수련계획!$S$4:$S$83="구리병원")*파견수련계획!$W$4:$W$83))+IF($AG237="구리병원",MAX(0,DAY(EOMONTH(요약!$B$3,0))-N($X237)),0))</f>
        <v/>
      </c>
      <c r="AJ237" s="10">
        <f>IF(OR($B237="",TRIM($J237&amp;"")=""),"",IFERROR(MATCH(TRIM($J237&amp;"")&amp;"|월",파견수련계획!$Z$4:$Z$83,0),""))</f>
        <v/>
      </c>
      <c r="AK237" s="10">
        <f>IF(OR($B237="",TRIM($J237&amp;"")=""),"",IFERROR(MATCH(TRIM($J237&amp;"")&amp;"|다기관",파견수련계획!$AE$4:$AE$83,0),""))</f>
        <v/>
      </c>
      <c r="AL237" s="10">
        <f>IF($AK237="","","다기관 "&amp;TEXT(INDEX(파견수련계획!$AB$4:$AB$83,$AK237),"yyyy-mm-dd")&amp;"~"&amp;IF(ISNUMBER(INDEX(파견수련계획!$AC$4:$AC$83,$AK237)),TEXT(INDEX(파견수련계획!$AC$4:$AC$83,$AK237),"yyyy-mm-dd"),""))</f>
        <v/>
      </c>
    </row>
    <row r="238">
      <c r="A238" s="10">
        <f>IF(B238="","",ROW()-1)</f>
        <v/>
      </c>
      <c r="B238" s="18" t="n"/>
      <c r="C238" s="10">
        <f>IF($AB238="","",IF(INDEX(기본자료!$C$2:$C$1001,$AB238)="","",INDEX(기본자료!$C$2:$C$1001,$AB238)))</f>
        <v/>
      </c>
      <c r="D238" s="10">
        <f>IF($AB238="","",IF(INDEX(기본자료!$J$2:$J$1001,$AB238)="","",INDEX(기본자료!$J$2:$J$1001,$AB238)))</f>
        <v/>
      </c>
      <c r="E238" s="11">
        <f>IF($AB238="","",IF(INDEX(기본자료!$K$2:$K$1001,$AB238)="","",IF(NOT(ISNUMBER(INDEX(기본자료!$K$2:$K$1001,$AB238))),INDEX(기본자료!$K$2:$K$1001,$AB238),IF(INDEX(기본자료!$K$2:$K$1001,$AB238)&lt;1000000,INDEX(기본자료!$K$2:$K$1001,$AB238),IF(AND(INDEX(기본자료!$K$2:$K$1001,$AB238)&gt;=10000101,INT(MOD(INDEX(기본자료!$K$2:$K$1001,$AB238),10000)/100)&gt;=1,INT(MOD(INDEX(기본자료!$K$2:$K$1001,$AB238),10000)/100)&lt;=12,MOD(INDEX(기본자료!$K$2:$K$1001,$AB238),100)&gt;=1,MOD(INDEX(기본자료!$K$2:$K$1001,$AB238),100)&lt;=31),DATE(INT(INDEX(기본자료!$K$2:$K$1001,$AB238)/10000),INT(MOD(INDEX(기본자료!$K$2:$K$1001,$AB238),10000)/100),MOD(INDEX(기본자료!$K$2:$K$1001,$AB238),100)),INDEX(기본자료!$K$2:$K$1001,$AB238)&amp;"")))))</f>
        <v/>
      </c>
      <c r="F238" s="10">
        <f>IF($AB238="","",IF(INDEX(기본자료!$D$2:$D$1001,$AB238)="","",INDEX(기본자료!$D$2:$D$1001,$AB238)))</f>
        <v/>
      </c>
      <c r="G238" s="10">
        <f>IF($AB238="","",IF(INDEX(기본자료!$E$2:$E$1001,$AB238)="","",INDEX(기본자료!$E$2:$E$1001,$AB238)))</f>
        <v/>
      </c>
      <c r="H238" s="10">
        <f>IF($AB238="","",IF(INDEX(기본자료!$F$2:$F$1001,$AB238)="","",INDEX(기본자료!$F$2:$F$1001,$AB238)))</f>
        <v/>
      </c>
      <c r="I238" s="11">
        <f>IF($AB238="","",IF(INDEX(기본자료!$G$2:$G$1001,$AB238)="","",IF(NOT(ISNUMBER(INDEX(기본자료!$G$2:$G$1001,$AB238))),INDEX(기본자료!$G$2:$G$1001,$AB238),IF(INDEX(기본자료!$G$2:$G$1001,$AB238)&lt;1000000,INDEX(기본자료!$G$2:$G$1001,$AB238),IF(AND(INDEX(기본자료!$G$2:$G$1001,$AB238)&gt;=10000101,INT(MOD(INDEX(기본자료!$G$2:$G$1001,$AB238),10000)/100)&gt;=1,INT(MOD(INDEX(기본자료!$G$2:$G$1001,$AB238),10000)/100)&lt;=12,MOD(INDEX(기본자료!$G$2:$G$1001,$AB238),100)&gt;=1,MOD(INDEX(기본자료!$G$2:$G$1001,$AB238),100)&lt;=31),DATE(INT(INDEX(기본자료!$G$2:$G$1001,$AB238)/10000),INT(MOD(INDEX(기본자료!$G$2:$G$1001,$AB238),10000)/100),MOD(INDEX(기본자료!$G$2:$G$1001,$AB238),100)),INDEX(기본자료!$G$2:$G$1001,$AB238)&amp;"")))))</f>
        <v/>
      </c>
      <c r="J238" s="10">
        <f>IF($AB238="","",IF(INDEX(기본자료!$H$2:$H$1001,$AB238)="","",INDEX(기본자료!$H$2:$H$1001,$AB238)))</f>
        <v/>
      </c>
      <c r="K238" s="10">
        <f>IF($AB238="","",IF(INDEX(기본자료!$I$2:$I$1001,$AB238)="","",INDEX(기본자료!$I$2:$I$1001,$AB238)))</f>
        <v/>
      </c>
      <c r="L238" s="10">
        <f>IF($AB238="","",IF(INDEX(기본자료!$A$2:$A$1001,$AB238)="","",INDEX(기본자료!$A$2:$A$1001,$AB238)))</f>
        <v/>
      </c>
      <c r="M238" s="15" t="n"/>
      <c r="N238" s="10">
        <f>IF($B238="","",IF(AND($U238="파견중",$Q238&lt;&gt;""),$Q238,IF(AND($AD238&lt;&gt;"",LEFT($AD238,1)&lt;&gt;"⚠"),LEFT($AD238,FIND(" ",$AD238)-1),IF($H238="","",IF(RIGHT($H238,2)="병원",$H238,$H238&amp;"병원")))))</f>
        <v/>
      </c>
      <c r="O238" s="10">
        <f>IF($B238="","",IF(AND($U238="파견중",$Q238&lt;&gt;""),IF($R238&lt;&gt;"",$R238,"파견과 미입력"),IF(AND($AD238&lt;&gt;"",LEFT($AD238,1)&lt;&gt;"⚠"),MID($AD238,FIND(" ",$AD238)+1,60),IF($F238="","",IF($F238="인턴","수련교육부(인턴)",$F238)))))</f>
        <v/>
      </c>
      <c r="P238" s="10">
        <f>IF($B238="","",IF($AK238&lt;&gt;"",IF(AND(TODAY()&gt;=INDEX(파견수련계획!$AB$4:$AB$83,$AK238),OR(NOT(ISNUMBER(INDEX(파견수련계획!$AC$4:$AC$83,$AK238))),TODAY()&lt;=INDEX(파견수련계획!$AC$4:$AC$83,$AK238))),"다기관",IF($AF238="","",INDEX(파견수련계획!$T$4:$T$83,$AF238))),IF($AF238="","",INDEX(파견수련계획!$T$4:$T$83,$AF238))))</f>
        <v/>
      </c>
      <c r="Q238" s="10">
        <f>IF($AF238="","",INDEX(파견수련계획!$S$4:$S$83,$AF238))</f>
        <v/>
      </c>
      <c r="R238" s="10">
        <f>IF($AF238="","",INDEX(파견수련계획!$U$4:$U$83,$AF238))</f>
        <v/>
      </c>
      <c r="S238" s="11">
        <f>IF($AF238="","",IF(INDEX(파견수련계획!$H$4:$H$83,$AF238)="","",INDEX(파견수련계획!$H$4:$H$83,$AF238)))</f>
        <v/>
      </c>
      <c r="T238" s="11">
        <f>IF($AF238="","",IF(INDEX(파견수련계획!$I$4:$I$83,$AF238)="","",INDEX(파견수련계획!$I$4:$I$83,$AF238)))</f>
        <v/>
      </c>
      <c r="U238" s="10">
        <f>IF($AF238="","",INDEX(파견수련계획!$X$4:$X$83,$AF238))</f>
        <v/>
      </c>
      <c r="V238" s="17">
        <f>IF($AF238="","",INDEX(파견수련계획!$V$4:$V$83,$AF238))</f>
        <v/>
      </c>
      <c r="W238" s="17">
        <f>IF(AND($U238="파견중",$T238&lt;&gt;""),$T238-TODAY(),"")</f>
        <v/>
      </c>
      <c r="X238" s="17">
        <f>IF(OR($B238="",TRIM($J238&amp;"")=""),"",SUMPRODUCT((파견수련계획!$Q$4:$Q$83=TRIM($J238&amp;""))*파견수련계획!$W$4:$W$83))</f>
        <v/>
      </c>
      <c r="Y238" s="10">
        <f>IF($B238="","",IF($AG238="","",IF(IF(TRIM($J238&amp;"")="",0,SUMPRODUCT((파견수련계획!$Q$4:$Q$83=TRIM($J238&amp;""))*파견수련계획!$AD$4:$AD$83))&gt;0,$AE238,IF(N($X238)&lt;=0,$AG238,IF($AH238+$AI238=DAY(EOMONTH(요약!$B$3,0)),IF(AND($AH238&gt;=요약!$E$3,$AI238&lt;요약!$E$3),"서울병원",IF(AND($AI238&gt;=요약!$E$3,$AH238&lt;요약!$E$3),"구리병원","⚠15일 판정불가(서울 "&amp;$AH238&amp;"일/구리 "&amp;$AI238&amp;"일)")),IF($AJ238="",$AE238,IF(INDEX(파견수련계획!$T$4:$T$83,$AJ238)="통합수련",INDEX(파견수련계획!$S$4:$S$83,$AJ238),$AE238)))))))</f>
        <v/>
      </c>
      <c r="Z238" s="19">
        <f>IF($B238="","",IF($AB238="","기본자료에 없는 사번",IF(COUNTIF($B$2:$B$401,$B238)&gt;1,"중복 사번",IF($AE238="","소속(입사장소) 입력",IF(IF(TRIM($J238&amp;"")="",0,SUMPRODUCT((파견수련계획!$Q$4:$Q$83=TRIM($J238&amp;""))*(파견수련계획!$AA$4:$AA$83&lt;&gt;"")))&gt;0,"파견수련계획 입력오류 확인",IF(LEFT($Y238,1)="⚠","서울·구리 15일 판정 불가(양쪽 모두 이상/미만)",IF(IF($AC238="",0,N(INDEX(인턴근무계획!$T$3:$T$62,$AC238)))&gt;0,"인턴계획 입력오류 확인",IF(AND($AC238&lt;&gt;"",$U238&lt;&gt;"파견중",$N238&lt;&gt;$AE238),"인턴 타지역 근무: 파견 여부 확인","정상"))))))))</f>
        <v/>
      </c>
      <c r="AA238" s="5" t="n"/>
      <c r="AB238" s="10">
        <f>IF($B238="","",IFERROR(MATCH($B238,기본자료!$B$2:$B$1001,0),IFERROR(MATCH($B238&amp;"",기본자료!$B$2:$B$1001,0),IFERROR(MATCH(VALUE($B238),기본자료!$B$2:$B$1001,0),""))))</f>
        <v/>
      </c>
      <c r="AC238" s="10">
        <f>IF($B238="","",IFERROR(MATCH($B238,인턴근무계획!$D$3:$D$62,0),IFERROR(MATCH($B238&amp;"",인턴근무계획!$D$3:$D$62,0),IFERROR(MATCH(VALUE($B238),인턴근무계획!$D$3:$D$62,0),""))))</f>
        <v/>
      </c>
      <c r="AD238" s="10">
        <f>IF(OR($AC238="",인턴현황!$G$3=""),"",INDEX(인턴근무계획!$M$3:$R$62,$AC238,인턴현황!$G$3)&amp;"")</f>
        <v/>
      </c>
      <c r="AE238" s="10">
        <f>IF($B238="","",IF($M238&lt;&gt;"",$M238,IF($AF238&lt;&gt;"",IF(LEFT(INDEX(파견수련계획!$R$4:$R$83,$AF238),1)&lt;&gt;"⚠",INDEX(파견수련계획!$R$4:$R$83,$AF238),IF($H238="","",IF(RIGHT($H238,2)="병원",$H238,$H238&amp;"병원"))),IF($H238="","",IF(RIGHT($H238,2)="병원",$H238,$H238&amp;"병원")))))</f>
        <v/>
      </c>
      <c r="AF238" s="10">
        <f>IF(OR($B238="",TRIM($J238&amp;"")=""),"",IFERROR(MATCH(TRIM($J238&amp;"")&amp;"|파견중",파견수련계획!$Y$4:$Y$83,0),IFERROR(MATCH(TRIM($J238&amp;"")&amp;"|파견예정",파견수련계획!$Y$4:$Y$83,0),IFERROR(MATCH(TRIM($J238&amp;"")&amp;"|파견종료",파견수련계획!$Y$4:$Y$83,0),""))))</f>
        <v/>
      </c>
      <c r="AG238" s="10">
        <f>IF($B238="","",IF(AND(IF(OR($AC238="",인턴현황!$K$2=""),"",INDEX(인턴근무계획!$M$3:$R$62,$AC238,인턴현황!$K$2)&amp;"")&lt;&gt;"",LEFT(IF(OR($AC238="",인턴현황!$K$2=""),"",INDEX(인턴근무계획!$M$3:$R$62,$AC238,인턴현황!$K$2)&amp;""),1)&lt;&gt;"⚠"),LEFT(IF(OR($AC238="",인턴현황!$K$2=""),"",INDEX(인턴근무계획!$M$3:$R$62,$AC238,인턴현황!$K$2)&amp;""),FIND(" ",IF(OR($AC238="",인턴현황!$K$2=""),"",INDEX(인턴근무계획!$M$3:$R$62,$AC238,인턴현황!$K$2)&amp;""))-1),$AE238))</f>
        <v/>
      </c>
      <c r="AH238" s="17">
        <f>IF($B238="","",IF(TRIM($J238&amp;"")="",0,SUMPRODUCT((파견수련계획!$Q$4:$Q$83=TRIM($J238&amp;""))*(파견수련계획!$S$4:$S$83="서울병원")*파견수련계획!$W$4:$W$83))+IF($AG238="서울병원",MAX(0,DAY(EOMONTH(요약!$B$3,0))-N($X238)),0))</f>
        <v/>
      </c>
      <c r="AI238" s="17">
        <f>IF($B238="","",IF(TRIM($J238&amp;"")="",0,SUMPRODUCT((파견수련계획!$Q$4:$Q$83=TRIM($J238&amp;""))*(파견수련계획!$S$4:$S$83="구리병원")*파견수련계획!$W$4:$W$83))+IF($AG238="구리병원",MAX(0,DAY(EOMONTH(요약!$B$3,0))-N($X238)),0))</f>
        <v/>
      </c>
      <c r="AJ238" s="10">
        <f>IF(OR($B238="",TRIM($J238&amp;"")=""),"",IFERROR(MATCH(TRIM($J238&amp;"")&amp;"|월",파견수련계획!$Z$4:$Z$83,0),""))</f>
        <v/>
      </c>
      <c r="AK238" s="10">
        <f>IF(OR($B238="",TRIM($J238&amp;"")=""),"",IFERROR(MATCH(TRIM($J238&amp;"")&amp;"|다기관",파견수련계획!$AE$4:$AE$83,0),""))</f>
        <v/>
      </c>
      <c r="AL238" s="10">
        <f>IF($AK238="","","다기관 "&amp;TEXT(INDEX(파견수련계획!$AB$4:$AB$83,$AK238),"yyyy-mm-dd")&amp;"~"&amp;IF(ISNUMBER(INDEX(파견수련계획!$AC$4:$AC$83,$AK238)),TEXT(INDEX(파견수련계획!$AC$4:$AC$83,$AK238),"yyyy-mm-dd"),""))</f>
        <v/>
      </c>
    </row>
    <row r="239">
      <c r="A239" s="10">
        <f>IF(B239="","",ROW()-1)</f>
        <v/>
      </c>
      <c r="B239" s="18" t="n"/>
      <c r="C239" s="10">
        <f>IF($AB239="","",IF(INDEX(기본자료!$C$2:$C$1001,$AB239)="","",INDEX(기본자료!$C$2:$C$1001,$AB239)))</f>
        <v/>
      </c>
      <c r="D239" s="10">
        <f>IF($AB239="","",IF(INDEX(기본자료!$J$2:$J$1001,$AB239)="","",INDEX(기본자료!$J$2:$J$1001,$AB239)))</f>
        <v/>
      </c>
      <c r="E239" s="11">
        <f>IF($AB239="","",IF(INDEX(기본자료!$K$2:$K$1001,$AB239)="","",IF(NOT(ISNUMBER(INDEX(기본자료!$K$2:$K$1001,$AB239))),INDEX(기본자료!$K$2:$K$1001,$AB239),IF(INDEX(기본자료!$K$2:$K$1001,$AB239)&lt;1000000,INDEX(기본자료!$K$2:$K$1001,$AB239),IF(AND(INDEX(기본자료!$K$2:$K$1001,$AB239)&gt;=10000101,INT(MOD(INDEX(기본자료!$K$2:$K$1001,$AB239),10000)/100)&gt;=1,INT(MOD(INDEX(기본자료!$K$2:$K$1001,$AB239),10000)/100)&lt;=12,MOD(INDEX(기본자료!$K$2:$K$1001,$AB239),100)&gt;=1,MOD(INDEX(기본자료!$K$2:$K$1001,$AB239),100)&lt;=31),DATE(INT(INDEX(기본자료!$K$2:$K$1001,$AB239)/10000),INT(MOD(INDEX(기본자료!$K$2:$K$1001,$AB239),10000)/100),MOD(INDEX(기본자료!$K$2:$K$1001,$AB239),100)),INDEX(기본자료!$K$2:$K$1001,$AB239)&amp;"")))))</f>
        <v/>
      </c>
      <c r="F239" s="10">
        <f>IF($AB239="","",IF(INDEX(기본자료!$D$2:$D$1001,$AB239)="","",INDEX(기본자료!$D$2:$D$1001,$AB239)))</f>
        <v/>
      </c>
      <c r="G239" s="10">
        <f>IF($AB239="","",IF(INDEX(기본자료!$E$2:$E$1001,$AB239)="","",INDEX(기본자료!$E$2:$E$1001,$AB239)))</f>
        <v/>
      </c>
      <c r="H239" s="10">
        <f>IF($AB239="","",IF(INDEX(기본자료!$F$2:$F$1001,$AB239)="","",INDEX(기본자료!$F$2:$F$1001,$AB239)))</f>
        <v/>
      </c>
      <c r="I239" s="11">
        <f>IF($AB239="","",IF(INDEX(기본자료!$G$2:$G$1001,$AB239)="","",IF(NOT(ISNUMBER(INDEX(기본자료!$G$2:$G$1001,$AB239))),INDEX(기본자료!$G$2:$G$1001,$AB239),IF(INDEX(기본자료!$G$2:$G$1001,$AB239)&lt;1000000,INDEX(기본자료!$G$2:$G$1001,$AB239),IF(AND(INDEX(기본자료!$G$2:$G$1001,$AB239)&gt;=10000101,INT(MOD(INDEX(기본자료!$G$2:$G$1001,$AB239),10000)/100)&gt;=1,INT(MOD(INDEX(기본자료!$G$2:$G$1001,$AB239),10000)/100)&lt;=12,MOD(INDEX(기본자료!$G$2:$G$1001,$AB239),100)&gt;=1,MOD(INDEX(기본자료!$G$2:$G$1001,$AB239),100)&lt;=31),DATE(INT(INDEX(기본자료!$G$2:$G$1001,$AB239)/10000),INT(MOD(INDEX(기본자료!$G$2:$G$1001,$AB239),10000)/100),MOD(INDEX(기본자료!$G$2:$G$1001,$AB239),100)),INDEX(기본자료!$G$2:$G$1001,$AB239)&amp;"")))))</f>
        <v/>
      </c>
      <c r="J239" s="10">
        <f>IF($AB239="","",IF(INDEX(기본자료!$H$2:$H$1001,$AB239)="","",INDEX(기본자료!$H$2:$H$1001,$AB239)))</f>
        <v/>
      </c>
      <c r="K239" s="10">
        <f>IF($AB239="","",IF(INDEX(기본자료!$I$2:$I$1001,$AB239)="","",INDEX(기본자료!$I$2:$I$1001,$AB239)))</f>
        <v/>
      </c>
      <c r="L239" s="10">
        <f>IF($AB239="","",IF(INDEX(기본자료!$A$2:$A$1001,$AB239)="","",INDEX(기본자료!$A$2:$A$1001,$AB239)))</f>
        <v/>
      </c>
      <c r="M239" s="15" t="n"/>
      <c r="N239" s="10">
        <f>IF($B239="","",IF(AND($U239="파견중",$Q239&lt;&gt;""),$Q239,IF(AND($AD239&lt;&gt;"",LEFT($AD239,1)&lt;&gt;"⚠"),LEFT($AD239,FIND(" ",$AD239)-1),IF($H239="","",IF(RIGHT($H239,2)="병원",$H239,$H239&amp;"병원")))))</f>
        <v/>
      </c>
      <c r="O239" s="10">
        <f>IF($B239="","",IF(AND($U239="파견중",$Q239&lt;&gt;""),IF($R239&lt;&gt;"",$R239,"파견과 미입력"),IF(AND($AD239&lt;&gt;"",LEFT($AD239,1)&lt;&gt;"⚠"),MID($AD239,FIND(" ",$AD239)+1,60),IF($F239="","",IF($F239="인턴","수련교육부(인턴)",$F239)))))</f>
        <v/>
      </c>
      <c r="P239" s="10">
        <f>IF($B239="","",IF($AK239&lt;&gt;"",IF(AND(TODAY()&gt;=INDEX(파견수련계획!$AB$4:$AB$83,$AK239),OR(NOT(ISNUMBER(INDEX(파견수련계획!$AC$4:$AC$83,$AK239))),TODAY()&lt;=INDEX(파견수련계획!$AC$4:$AC$83,$AK239))),"다기관",IF($AF239="","",INDEX(파견수련계획!$T$4:$T$83,$AF239))),IF($AF239="","",INDEX(파견수련계획!$T$4:$T$83,$AF239))))</f>
        <v/>
      </c>
      <c r="Q239" s="10">
        <f>IF($AF239="","",INDEX(파견수련계획!$S$4:$S$83,$AF239))</f>
        <v/>
      </c>
      <c r="R239" s="10">
        <f>IF($AF239="","",INDEX(파견수련계획!$U$4:$U$83,$AF239))</f>
        <v/>
      </c>
      <c r="S239" s="11">
        <f>IF($AF239="","",IF(INDEX(파견수련계획!$H$4:$H$83,$AF239)="","",INDEX(파견수련계획!$H$4:$H$83,$AF239)))</f>
        <v/>
      </c>
      <c r="T239" s="11">
        <f>IF($AF239="","",IF(INDEX(파견수련계획!$I$4:$I$83,$AF239)="","",INDEX(파견수련계획!$I$4:$I$83,$AF239)))</f>
        <v/>
      </c>
      <c r="U239" s="10">
        <f>IF($AF239="","",INDEX(파견수련계획!$X$4:$X$83,$AF239))</f>
        <v/>
      </c>
      <c r="V239" s="17">
        <f>IF($AF239="","",INDEX(파견수련계획!$V$4:$V$83,$AF239))</f>
        <v/>
      </c>
      <c r="W239" s="17">
        <f>IF(AND($U239="파견중",$T239&lt;&gt;""),$T239-TODAY(),"")</f>
        <v/>
      </c>
      <c r="X239" s="17">
        <f>IF(OR($B239="",TRIM($J239&amp;"")=""),"",SUMPRODUCT((파견수련계획!$Q$4:$Q$83=TRIM($J239&amp;""))*파견수련계획!$W$4:$W$83))</f>
        <v/>
      </c>
      <c r="Y239" s="10">
        <f>IF($B239="","",IF($AG239="","",IF(IF(TRIM($J239&amp;"")="",0,SUMPRODUCT((파견수련계획!$Q$4:$Q$83=TRIM($J239&amp;""))*파견수련계획!$AD$4:$AD$83))&gt;0,$AE239,IF(N($X239)&lt;=0,$AG239,IF($AH239+$AI239=DAY(EOMONTH(요약!$B$3,0)),IF(AND($AH239&gt;=요약!$E$3,$AI239&lt;요약!$E$3),"서울병원",IF(AND($AI239&gt;=요약!$E$3,$AH239&lt;요약!$E$3),"구리병원","⚠15일 판정불가(서울 "&amp;$AH239&amp;"일/구리 "&amp;$AI239&amp;"일)")),IF($AJ239="",$AE239,IF(INDEX(파견수련계획!$T$4:$T$83,$AJ239)="통합수련",INDEX(파견수련계획!$S$4:$S$83,$AJ239),$AE239)))))))</f>
        <v/>
      </c>
      <c r="Z239" s="19">
        <f>IF($B239="","",IF($AB239="","기본자료에 없는 사번",IF(COUNTIF($B$2:$B$401,$B239)&gt;1,"중복 사번",IF($AE239="","소속(입사장소) 입력",IF(IF(TRIM($J239&amp;"")="",0,SUMPRODUCT((파견수련계획!$Q$4:$Q$83=TRIM($J239&amp;""))*(파견수련계획!$AA$4:$AA$83&lt;&gt;"")))&gt;0,"파견수련계획 입력오류 확인",IF(LEFT($Y239,1)="⚠","서울·구리 15일 판정 불가(양쪽 모두 이상/미만)",IF(IF($AC239="",0,N(INDEX(인턴근무계획!$T$3:$T$62,$AC239)))&gt;0,"인턴계획 입력오류 확인",IF(AND($AC239&lt;&gt;"",$U239&lt;&gt;"파견중",$N239&lt;&gt;$AE239),"인턴 타지역 근무: 파견 여부 확인","정상"))))))))</f>
        <v/>
      </c>
      <c r="AA239" s="5" t="n"/>
      <c r="AB239" s="10">
        <f>IF($B239="","",IFERROR(MATCH($B239,기본자료!$B$2:$B$1001,0),IFERROR(MATCH($B239&amp;"",기본자료!$B$2:$B$1001,0),IFERROR(MATCH(VALUE($B239),기본자료!$B$2:$B$1001,0),""))))</f>
        <v/>
      </c>
      <c r="AC239" s="10">
        <f>IF($B239="","",IFERROR(MATCH($B239,인턴근무계획!$D$3:$D$62,0),IFERROR(MATCH($B239&amp;"",인턴근무계획!$D$3:$D$62,0),IFERROR(MATCH(VALUE($B239),인턴근무계획!$D$3:$D$62,0),""))))</f>
        <v/>
      </c>
      <c r="AD239" s="10">
        <f>IF(OR($AC239="",인턴현황!$G$3=""),"",INDEX(인턴근무계획!$M$3:$R$62,$AC239,인턴현황!$G$3)&amp;"")</f>
        <v/>
      </c>
      <c r="AE239" s="10">
        <f>IF($B239="","",IF($M239&lt;&gt;"",$M239,IF($AF239&lt;&gt;"",IF(LEFT(INDEX(파견수련계획!$R$4:$R$83,$AF239),1)&lt;&gt;"⚠",INDEX(파견수련계획!$R$4:$R$83,$AF239),IF($H239="","",IF(RIGHT($H239,2)="병원",$H239,$H239&amp;"병원"))),IF($H239="","",IF(RIGHT($H239,2)="병원",$H239,$H239&amp;"병원")))))</f>
        <v/>
      </c>
      <c r="AF239" s="10">
        <f>IF(OR($B239="",TRIM($J239&amp;"")=""),"",IFERROR(MATCH(TRIM($J239&amp;"")&amp;"|파견중",파견수련계획!$Y$4:$Y$83,0),IFERROR(MATCH(TRIM($J239&amp;"")&amp;"|파견예정",파견수련계획!$Y$4:$Y$83,0),IFERROR(MATCH(TRIM($J239&amp;"")&amp;"|파견종료",파견수련계획!$Y$4:$Y$83,0),""))))</f>
        <v/>
      </c>
      <c r="AG239" s="10">
        <f>IF($B239="","",IF(AND(IF(OR($AC239="",인턴현황!$K$2=""),"",INDEX(인턴근무계획!$M$3:$R$62,$AC239,인턴현황!$K$2)&amp;"")&lt;&gt;"",LEFT(IF(OR($AC239="",인턴현황!$K$2=""),"",INDEX(인턴근무계획!$M$3:$R$62,$AC239,인턴현황!$K$2)&amp;""),1)&lt;&gt;"⚠"),LEFT(IF(OR($AC239="",인턴현황!$K$2=""),"",INDEX(인턴근무계획!$M$3:$R$62,$AC239,인턴현황!$K$2)&amp;""),FIND(" ",IF(OR($AC239="",인턴현황!$K$2=""),"",INDEX(인턴근무계획!$M$3:$R$62,$AC239,인턴현황!$K$2)&amp;""))-1),$AE239))</f>
        <v/>
      </c>
      <c r="AH239" s="17">
        <f>IF($B239="","",IF(TRIM($J239&amp;"")="",0,SUMPRODUCT((파견수련계획!$Q$4:$Q$83=TRIM($J239&amp;""))*(파견수련계획!$S$4:$S$83="서울병원")*파견수련계획!$W$4:$W$83))+IF($AG239="서울병원",MAX(0,DAY(EOMONTH(요약!$B$3,0))-N($X239)),0))</f>
        <v/>
      </c>
      <c r="AI239" s="17">
        <f>IF($B239="","",IF(TRIM($J239&amp;"")="",0,SUMPRODUCT((파견수련계획!$Q$4:$Q$83=TRIM($J239&amp;""))*(파견수련계획!$S$4:$S$83="구리병원")*파견수련계획!$W$4:$W$83))+IF($AG239="구리병원",MAX(0,DAY(EOMONTH(요약!$B$3,0))-N($X239)),0))</f>
        <v/>
      </c>
      <c r="AJ239" s="10">
        <f>IF(OR($B239="",TRIM($J239&amp;"")=""),"",IFERROR(MATCH(TRIM($J239&amp;"")&amp;"|월",파견수련계획!$Z$4:$Z$83,0),""))</f>
        <v/>
      </c>
      <c r="AK239" s="10">
        <f>IF(OR($B239="",TRIM($J239&amp;"")=""),"",IFERROR(MATCH(TRIM($J239&amp;"")&amp;"|다기관",파견수련계획!$AE$4:$AE$83,0),""))</f>
        <v/>
      </c>
      <c r="AL239" s="10">
        <f>IF($AK239="","","다기관 "&amp;TEXT(INDEX(파견수련계획!$AB$4:$AB$83,$AK239),"yyyy-mm-dd")&amp;"~"&amp;IF(ISNUMBER(INDEX(파견수련계획!$AC$4:$AC$83,$AK239)),TEXT(INDEX(파견수련계획!$AC$4:$AC$83,$AK239),"yyyy-mm-dd"),""))</f>
        <v/>
      </c>
    </row>
    <row r="240">
      <c r="A240" s="10">
        <f>IF(B240="","",ROW()-1)</f>
        <v/>
      </c>
      <c r="B240" s="18" t="n"/>
      <c r="C240" s="10">
        <f>IF($AB240="","",IF(INDEX(기본자료!$C$2:$C$1001,$AB240)="","",INDEX(기본자료!$C$2:$C$1001,$AB240)))</f>
        <v/>
      </c>
      <c r="D240" s="10">
        <f>IF($AB240="","",IF(INDEX(기본자료!$J$2:$J$1001,$AB240)="","",INDEX(기본자료!$J$2:$J$1001,$AB240)))</f>
        <v/>
      </c>
      <c r="E240" s="11">
        <f>IF($AB240="","",IF(INDEX(기본자료!$K$2:$K$1001,$AB240)="","",IF(NOT(ISNUMBER(INDEX(기본자료!$K$2:$K$1001,$AB240))),INDEX(기본자료!$K$2:$K$1001,$AB240),IF(INDEX(기본자료!$K$2:$K$1001,$AB240)&lt;1000000,INDEX(기본자료!$K$2:$K$1001,$AB240),IF(AND(INDEX(기본자료!$K$2:$K$1001,$AB240)&gt;=10000101,INT(MOD(INDEX(기본자료!$K$2:$K$1001,$AB240),10000)/100)&gt;=1,INT(MOD(INDEX(기본자료!$K$2:$K$1001,$AB240),10000)/100)&lt;=12,MOD(INDEX(기본자료!$K$2:$K$1001,$AB240),100)&gt;=1,MOD(INDEX(기본자료!$K$2:$K$1001,$AB240),100)&lt;=31),DATE(INT(INDEX(기본자료!$K$2:$K$1001,$AB240)/10000),INT(MOD(INDEX(기본자료!$K$2:$K$1001,$AB240),10000)/100),MOD(INDEX(기본자료!$K$2:$K$1001,$AB240),100)),INDEX(기본자료!$K$2:$K$1001,$AB240)&amp;"")))))</f>
        <v/>
      </c>
      <c r="F240" s="10">
        <f>IF($AB240="","",IF(INDEX(기본자료!$D$2:$D$1001,$AB240)="","",INDEX(기본자료!$D$2:$D$1001,$AB240)))</f>
        <v/>
      </c>
      <c r="G240" s="10">
        <f>IF($AB240="","",IF(INDEX(기본자료!$E$2:$E$1001,$AB240)="","",INDEX(기본자료!$E$2:$E$1001,$AB240)))</f>
        <v/>
      </c>
      <c r="H240" s="10">
        <f>IF($AB240="","",IF(INDEX(기본자료!$F$2:$F$1001,$AB240)="","",INDEX(기본자료!$F$2:$F$1001,$AB240)))</f>
        <v/>
      </c>
      <c r="I240" s="11">
        <f>IF($AB240="","",IF(INDEX(기본자료!$G$2:$G$1001,$AB240)="","",IF(NOT(ISNUMBER(INDEX(기본자료!$G$2:$G$1001,$AB240))),INDEX(기본자료!$G$2:$G$1001,$AB240),IF(INDEX(기본자료!$G$2:$G$1001,$AB240)&lt;1000000,INDEX(기본자료!$G$2:$G$1001,$AB240),IF(AND(INDEX(기본자료!$G$2:$G$1001,$AB240)&gt;=10000101,INT(MOD(INDEX(기본자료!$G$2:$G$1001,$AB240),10000)/100)&gt;=1,INT(MOD(INDEX(기본자료!$G$2:$G$1001,$AB240),10000)/100)&lt;=12,MOD(INDEX(기본자료!$G$2:$G$1001,$AB240),100)&gt;=1,MOD(INDEX(기본자료!$G$2:$G$1001,$AB240),100)&lt;=31),DATE(INT(INDEX(기본자료!$G$2:$G$1001,$AB240)/10000),INT(MOD(INDEX(기본자료!$G$2:$G$1001,$AB240),10000)/100),MOD(INDEX(기본자료!$G$2:$G$1001,$AB240),100)),INDEX(기본자료!$G$2:$G$1001,$AB240)&amp;"")))))</f>
        <v/>
      </c>
      <c r="J240" s="10">
        <f>IF($AB240="","",IF(INDEX(기본자료!$H$2:$H$1001,$AB240)="","",INDEX(기본자료!$H$2:$H$1001,$AB240)))</f>
        <v/>
      </c>
      <c r="K240" s="10">
        <f>IF($AB240="","",IF(INDEX(기본자료!$I$2:$I$1001,$AB240)="","",INDEX(기본자료!$I$2:$I$1001,$AB240)))</f>
        <v/>
      </c>
      <c r="L240" s="10">
        <f>IF($AB240="","",IF(INDEX(기본자료!$A$2:$A$1001,$AB240)="","",INDEX(기본자료!$A$2:$A$1001,$AB240)))</f>
        <v/>
      </c>
      <c r="M240" s="15" t="n"/>
      <c r="N240" s="10">
        <f>IF($B240="","",IF(AND($U240="파견중",$Q240&lt;&gt;""),$Q240,IF(AND($AD240&lt;&gt;"",LEFT($AD240,1)&lt;&gt;"⚠"),LEFT($AD240,FIND(" ",$AD240)-1),IF($H240="","",IF(RIGHT($H240,2)="병원",$H240,$H240&amp;"병원")))))</f>
        <v/>
      </c>
      <c r="O240" s="10">
        <f>IF($B240="","",IF(AND($U240="파견중",$Q240&lt;&gt;""),IF($R240&lt;&gt;"",$R240,"파견과 미입력"),IF(AND($AD240&lt;&gt;"",LEFT($AD240,1)&lt;&gt;"⚠"),MID($AD240,FIND(" ",$AD240)+1,60),IF($F240="","",IF($F240="인턴","수련교육부(인턴)",$F240)))))</f>
        <v/>
      </c>
      <c r="P240" s="10">
        <f>IF($B240="","",IF($AK240&lt;&gt;"",IF(AND(TODAY()&gt;=INDEX(파견수련계획!$AB$4:$AB$83,$AK240),OR(NOT(ISNUMBER(INDEX(파견수련계획!$AC$4:$AC$83,$AK240))),TODAY()&lt;=INDEX(파견수련계획!$AC$4:$AC$83,$AK240))),"다기관",IF($AF240="","",INDEX(파견수련계획!$T$4:$T$83,$AF240))),IF($AF240="","",INDEX(파견수련계획!$T$4:$T$83,$AF240))))</f>
        <v/>
      </c>
      <c r="Q240" s="10">
        <f>IF($AF240="","",INDEX(파견수련계획!$S$4:$S$83,$AF240))</f>
        <v/>
      </c>
      <c r="R240" s="10">
        <f>IF($AF240="","",INDEX(파견수련계획!$U$4:$U$83,$AF240))</f>
        <v/>
      </c>
      <c r="S240" s="11">
        <f>IF($AF240="","",IF(INDEX(파견수련계획!$H$4:$H$83,$AF240)="","",INDEX(파견수련계획!$H$4:$H$83,$AF240)))</f>
        <v/>
      </c>
      <c r="T240" s="11">
        <f>IF($AF240="","",IF(INDEX(파견수련계획!$I$4:$I$83,$AF240)="","",INDEX(파견수련계획!$I$4:$I$83,$AF240)))</f>
        <v/>
      </c>
      <c r="U240" s="10">
        <f>IF($AF240="","",INDEX(파견수련계획!$X$4:$X$83,$AF240))</f>
        <v/>
      </c>
      <c r="V240" s="17">
        <f>IF($AF240="","",INDEX(파견수련계획!$V$4:$V$83,$AF240))</f>
        <v/>
      </c>
      <c r="W240" s="17">
        <f>IF(AND($U240="파견중",$T240&lt;&gt;""),$T240-TODAY(),"")</f>
        <v/>
      </c>
      <c r="X240" s="17">
        <f>IF(OR($B240="",TRIM($J240&amp;"")=""),"",SUMPRODUCT((파견수련계획!$Q$4:$Q$83=TRIM($J240&amp;""))*파견수련계획!$W$4:$W$83))</f>
        <v/>
      </c>
      <c r="Y240" s="10">
        <f>IF($B240="","",IF($AG240="","",IF(IF(TRIM($J240&amp;"")="",0,SUMPRODUCT((파견수련계획!$Q$4:$Q$83=TRIM($J240&amp;""))*파견수련계획!$AD$4:$AD$83))&gt;0,$AE240,IF(N($X240)&lt;=0,$AG240,IF($AH240+$AI240=DAY(EOMONTH(요약!$B$3,0)),IF(AND($AH240&gt;=요약!$E$3,$AI240&lt;요약!$E$3),"서울병원",IF(AND($AI240&gt;=요약!$E$3,$AH240&lt;요약!$E$3),"구리병원","⚠15일 판정불가(서울 "&amp;$AH240&amp;"일/구리 "&amp;$AI240&amp;"일)")),IF($AJ240="",$AE240,IF(INDEX(파견수련계획!$T$4:$T$83,$AJ240)="통합수련",INDEX(파견수련계획!$S$4:$S$83,$AJ240),$AE240)))))))</f>
        <v/>
      </c>
      <c r="Z240" s="19">
        <f>IF($B240="","",IF($AB240="","기본자료에 없는 사번",IF(COUNTIF($B$2:$B$401,$B240)&gt;1,"중복 사번",IF($AE240="","소속(입사장소) 입력",IF(IF(TRIM($J240&amp;"")="",0,SUMPRODUCT((파견수련계획!$Q$4:$Q$83=TRIM($J240&amp;""))*(파견수련계획!$AA$4:$AA$83&lt;&gt;"")))&gt;0,"파견수련계획 입력오류 확인",IF(LEFT($Y240,1)="⚠","서울·구리 15일 판정 불가(양쪽 모두 이상/미만)",IF(IF($AC240="",0,N(INDEX(인턴근무계획!$T$3:$T$62,$AC240)))&gt;0,"인턴계획 입력오류 확인",IF(AND($AC240&lt;&gt;"",$U240&lt;&gt;"파견중",$N240&lt;&gt;$AE240),"인턴 타지역 근무: 파견 여부 확인","정상"))))))))</f>
        <v/>
      </c>
      <c r="AA240" s="5" t="n"/>
      <c r="AB240" s="10">
        <f>IF($B240="","",IFERROR(MATCH($B240,기본자료!$B$2:$B$1001,0),IFERROR(MATCH($B240&amp;"",기본자료!$B$2:$B$1001,0),IFERROR(MATCH(VALUE($B240),기본자료!$B$2:$B$1001,0),""))))</f>
        <v/>
      </c>
      <c r="AC240" s="10">
        <f>IF($B240="","",IFERROR(MATCH($B240,인턴근무계획!$D$3:$D$62,0),IFERROR(MATCH($B240&amp;"",인턴근무계획!$D$3:$D$62,0),IFERROR(MATCH(VALUE($B240),인턴근무계획!$D$3:$D$62,0),""))))</f>
        <v/>
      </c>
      <c r="AD240" s="10">
        <f>IF(OR($AC240="",인턴현황!$G$3=""),"",INDEX(인턴근무계획!$M$3:$R$62,$AC240,인턴현황!$G$3)&amp;"")</f>
        <v/>
      </c>
      <c r="AE240" s="10">
        <f>IF($B240="","",IF($M240&lt;&gt;"",$M240,IF($AF240&lt;&gt;"",IF(LEFT(INDEX(파견수련계획!$R$4:$R$83,$AF240),1)&lt;&gt;"⚠",INDEX(파견수련계획!$R$4:$R$83,$AF240),IF($H240="","",IF(RIGHT($H240,2)="병원",$H240,$H240&amp;"병원"))),IF($H240="","",IF(RIGHT($H240,2)="병원",$H240,$H240&amp;"병원")))))</f>
        <v/>
      </c>
      <c r="AF240" s="10">
        <f>IF(OR($B240="",TRIM($J240&amp;"")=""),"",IFERROR(MATCH(TRIM($J240&amp;"")&amp;"|파견중",파견수련계획!$Y$4:$Y$83,0),IFERROR(MATCH(TRIM($J240&amp;"")&amp;"|파견예정",파견수련계획!$Y$4:$Y$83,0),IFERROR(MATCH(TRIM($J240&amp;"")&amp;"|파견종료",파견수련계획!$Y$4:$Y$83,0),""))))</f>
        <v/>
      </c>
      <c r="AG240" s="10">
        <f>IF($B240="","",IF(AND(IF(OR($AC240="",인턴현황!$K$2=""),"",INDEX(인턴근무계획!$M$3:$R$62,$AC240,인턴현황!$K$2)&amp;"")&lt;&gt;"",LEFT(IF(OR($AC240="",인턴현황!$K$2=""),"",INDEX(인턴근무계획!$M$3:$R$62,$AC240,인턴현황!$K$2)&amp;""),1)&lt;&gt;"⚠"),LEFT(IF(OR($AC240="",인턴현황!$K$2=""),"",INDEX(인턴근무계획!$M$3:$R$62,$AC240,인턴현황!$K$2)&amp;""),FIND(" ",IF(OR($AC240="",인턴현황!$K$2=""),"",INDEX(인턴근무계획!$M$3:$R$62,$AC240,인턴현황!$K$2)&amp;""))-1),$AE240))</f>
        <v/>
      </c>
      <c r="AH240" s="17">
        <f>IF($B240="","",IF(TRIM($J240&amp;"")="",0,SUMPRODUCT((파견수련계획!$Q$4:$Q$83=TRIM($J240&amp;""))*(파견수련계획!$S$4:$S$83="서울병원")*파견수련계획!$W$4:$W$83))+IF($AG240="서울병원",MAX(0,DAY(EOMONTH(요약!$B$3,0))-N($X240)),0))</f>
        <v/>
      </c>
      <c r="AI240" s="17">
        <f>IF($B240="","",IF(TRIM($J240&amp;"")="",0,SUMPRODUCT((파견수련계획!$Q$4:$Q$83=TRIM($J240&amp;""))*(파견수련계획!$S$4:$S$83="구리병원")*파견수련계획!$W$4:$W$83))+IF($AG240="구리병원",MAX(0,DAY(EOMONTH(요약!$B$3,0))-N($X240)),0))</f>
        <v/>
      </c>
      <c r="AJ240" s="10">
        <f>IF(OR($B240="",TRIM($J240&amp;"")=""),"",IFERROR(MATCH(TRIM($J240&amp;"")&amp;"|월",파견수련계획!$Z$4:$Z$83,0),""))</f>
        <v/>
      </c>
      <c r="AK240" s="10">
        <f>IF(OR($B240="",TRIM($J240&amp;"")=""),"",IFERROR(MATCH(TRIM($J240&amp;"")&amp;"|다기관",파견수련계획!$AE$4:$AE$83,0),""))</f>
        <v/>
      </c>
      <c r="AL240" s="10">
        <f>IF($AK240="","","다기관 "&amp;TEXT(INDEX(파견수련계획!$AB$4:$AB$83,$AK240),"yyyy-mm-dd")&amp;"~"&amp;IF(ISNUMBER(INDEX(파견수련계획!$AC$4:$AC$83,$AK240)),TEXT(INDEX(파견수련계획!$AC$4:$AC$83,$AK240),"yyyy-mm-dd"),""))</f>
        <v/>
      </c>
    </row>
    <row r="241">
      <c r="A241" s="10">
        <f>IF(B241="","",ROW()-1)</f>
        <v/>
      </c>
      <c r="B241" s="18" t="n"/>
      <c r="C241" s="10">
        <f>IF($AB241="","",IF(INDEX(기본자료!$C$2:$C$1001,$AB241)="","",INDEX(기본자료!$C$2:$C$1001,$AB241)))</f>
        <v/>
      </c>
      <c r="D241" s="10">
        <f>IF($AB241="","",IF(INDEX(기본자료!$J$2:$J$1001,$AB241)="","",INDEX(기본자료!$J$2:$J$1001,$AB241)))</f>
        <v/>
      </c>
      <c r="E241" s="11">
        <f>IF($AB241="","",IF(INDEX(기본자료!$K$2:$K$1001,$AB241)="","",IF(NOT(ISNUMBER(INDEX(기본자료!$K$2:$K$1001,$AB241))),INDEX(기본자료!$K$2:$K$1001,$AB241),IF(INDEX(기본자료!$K$2:$K$1001,$AB241)&lt;1000000,INDEX(기본자료!$K$2:$K$1001,$AB241),IF(AND(INDEX(기본자료!$K$2:$K$1001,$AB241)&gt;=10000101,INT(MOD(INDEX(기본자료!$K$2:$K$1001,$AB241),10000)/100)&gt;=1,INT(MOD(INDEX(기본자료!$K$2:$K$1001,$AB241),10000)/100)&lt;=12,MOD(INDEX(기본자료!$K$2:$K$1001,$AB241),100)&gt;=1,MOD(INDEX(기본자료!$K$2:$K$1001,$AB241),100)&lt;=31),DATE(INT(INDEX(기본자료!$K$2:$K$1001,$AB241)/10000),INT(MOD(INDEX(기본자료!$K$2:$K$1001,$AB241),10000)/100),MOD(INDEX(기본자료!$K$2:$K$1001,$AB241),100)),INDEX(기본자료!$K$2:$K$1001,$AB241)&amp;"")))))</f>
        <v/>
      </c>
      <c r="F241" s="10">
        <f>IF($AB241="","",IF(INDEX(기본자료!$D$2:$D$1001,$AB241)="","",INDEX(기본자료!$D$2:$D$1001,$AB241)))</f>
        <v/>
      </c>
      <c r="G241" s="10">
        <f>IF($AB241="","",IF(INDEX(기본자료!$E$2:$E$1001,$AB241)="","",INDEX(기본자료!$E$2:$E$1001,$AB241)))</f>
        <v/>
      </c>
      <c r="H241" s="10">
        <f>IF($AB241="","",IF(INDEX(기본자료!$F$2:$F$1001,$AB241)="","",INDEX(기본자료!$F$2:$F$1001,$AB241)))</f>
        <v/>
      </c>
      <c r="I241" s="11">
        <f>IF($AB241="","",IF(INDEX(기본자료!$G$2:$G$1001,$AB241)="","",IF(NOT(ISNUMBER(INDEX(기본자료!$G$2:$G$1001,$AB241))),INDEX(기본자료!$G$2:$G$1001,$AB241),IF(INDEX(기본자료!$G$2:$G$1001,$AB241)&lt;1000000,INDEX(기본자료!$G$2:$G$1001,$AB241),IF(AND(INDEX(기본자료!$G$2:$G$1001,$AB241)&gt;=10000101,INT(MOD(INDEX(기본자료!$G$2:$G$1001,$AB241),10000)/100)&gt;=1,INT(MOD(INDEX(기본자료!$G$2:$G$1001,$AB241),10000)/100)&lt;=12,MOD(INDEX(기본자료!$G$2:$G$1001,$AB241),100)&gt;=1,MOD(INDEX(기본자료!$G$2:$G$1001,$AB241),100)&lt;=31),DATE(INT(INDEX(기본자료!$G$2:$G$1001,$AB241)/10000),INT(MOD(INDEX(기본자료!$G$2:$G$1001,$AB241),10000)/100),MOD(INDEX(기본자료!$G$2:$G$1001,$AB241),100)),INDEX(기본자료!$G$2:$G$1001,$AB241)&amp;"")))))</f>
        <v/>
      </c>
      <c r="J241" s="10">
        <f>IF($AB241="","",IF(INDEX(기본자료!$H$2:$H$1001,$AB241)="","",INDEX(기본자료!$H$2:$H$1001,$AB241)))</f>
        <v/>
      </c>
      <c r="K241" s="10">
        <f>IF($AB241="","",IF(INDEX(기본자료!$I$2:$I$1001,$AB241)="","",INDEX(기본자료!$I$2:$I$1001,$AB241)))</f>
        <v/>
      </c>
      <c r="L241" s="10">
        <f>IF($AB241="","",IF(INDEX(기본자료!$A$2:$A$1001,$AB241)="","",INDEX(기본자료!$A$2:$A$1001,$AB241)))</f>
        <v/>
      </c>
      <c r="M241" s="15" t="n"/>
      <c r="N241" s="10">
        <f>IF($B241="","",IF(AND($U241="파견중",$Q241&lt;&gt;""),$Q241,IF(AND($AD241&lt;&gt;"",LEFT($AD241,1)&lt;&gt;"⚠"),LEFT($AD241,FIND(" ",$AD241)-1),IF($H241="","",IF(RIGHT($H241,2)="병원",$H241,$H241&amp;"병원")))))</f>
        <v/>
      </c>
      <c r="O241" s="10">
        <f>IF($B241="","",IF(AND($U241="파견중",$Q241&lt;&gt;""),IF($R241&lt;&gt;"",$R241,"파견과 미입력"),IF(AND($AD241&lt;&gt;"",LEFT($AD241,1)&lt;&gt;"⚠"),MID($AD241,FIND(" ",$AD241)+1,60),IF($F241="","",IF($F241="인턴","수련교육부(인턴)",$F241)))))</f>
        <v/>
      </c>
      <c r="P241" s="10">
        <f>IF($B241="","",IF($AK241&lt;&gt;"",IF(AND(TODAY()&gt;=INDEX(파견수련계획!$AB$4:$AB$83,$AK241),OR(NOT(ISNUMBER(INDEX(파견수련계획!$AC$4:$AC$83,$AK241))),TODAY()&lt;=INDEX(파견수련계획!$AC$4:$AC$83,$AK241))),"다기관",IF($AF241="","",INDEX(파견수련계획!$T$4:$T$83,$AF241))),IF($AF241="","",INDEX(파견수련계획!$T$4:$T$83,$AF241))))</f>
        <v/>
      </c>
      <c r="Q241" s="10">
        <f>IF($AF241="","",INDEX(파견수련계획!$S$4:$S$83,$AF241))</f>
        <v/>
      </c>
      <c r="R241" s="10">
        <f>IF($AF241="","",INDEX(파견수련계획!$U$4:$U$83,$AF241))</f>
        <v/>
      </c>
      <c r="S241" s="11">
        <f>IF($AF241="","",IF(INDEX(파견수련계획!$H$4:$H$83,$AF241)="","",INDEX(파견수련계획!$H$4:$H$83,$AF241)))</f>
        <v/>
      </c>
      <c r="T241" s="11">
        <f>IF($AF241="","",IF(INDEX(파견수련계획!$I$4:$I$83,$AF241)="","",INDEX(파견수련계획!$I$4:$I$83,$AF241)))</f>
        <v/>
      </c>
      <c r="U241" s="10">
        <f>IF($AF241="","",INDEX(파견수련계획!$X$4:$X$83,$AF241))</f>
        <v/>
      </c>
      <c r="V241" s="17">
        <f>IF($AF241="","",INDEX(파견수련계획!$V$4:$V$83,$AF241))</f>
        <v/>
      </c>
      <c r="W241" s="17">
        <f>IF(AND($U241="파견중",$T241&lt;&gt;""),$T241-TODAY(),"")</f>
        <v/>
      </c>
      <c r="X241" s="17">
        <f>IF(OR($B241="",TRIM($J241&amp;"")=""),"",SUMPRODUCT((파견수련계획!$Q$4:$Q$83=TRIM($J241&amp;""))*파견수련계획!$W$4:$W$83))</f>
        <v/>
      </c>
      <c r="Y241" s="10">
        <f>IF($B241="","",IF($AG241="","",IF(IF(TRIM($J241&amp;"")="",0,SUMPRODUCT((파견수련계획!$Q$4:$Q$83=TRIM($J241&amp;""))*파견수련계획!$AD$4:$AD$83))&gt;0,$AE241,IF(N($X241)&lt;=0,$AG241,IF($AH241+$AI241=DAY(EOMONTH(요약!$B$3,0)),IF(AND($AH241&gt;=요약!$E$3,$AI241&lt;요약!$E$3),"서울병원",IF(AND($AI241&gt;=요약!$E$3,$AH241&lt;요약!$E$3),"구리병원","⚠15일 판정불가(서울 "&amp;$AH241&amp;"일/구리 "&amp;$AI241&amp;"일)")),IF($AJ241="",$AE241,IF(INDEX(파견수련계획!$T$4:$T$83,$AJ241)="통합수련",INDEX(파견수련계획!$S$4:$S$83,$AJ241),$AE241)))))))</f>
        <v/>
      </c>
      <c r="Z241" s="19">
        <f>IF($B241="","",IF($AB241="","기본자료에 없는 사번",IF(COUNTIF($B$2:$B$401,$B241)&gt;1,"중복 사번",IF($AE241="","소속(입사장소) 입력",IF(IF(TRIM($J241&amp;"")="",0,SUMPRODUCT((파견수련계획!$Q$4:$Q$83=TRIM($J241&amp;""))*(파견수련계획!$AA$4:$AA$83&lt;&gt;"")))&gt;0,"파견수련계획 입력오류 확인",IF(LEFT($Y241,1)="⚠","서울·구리 15일 판정 불가(양쪽 모두 이상/미만)",IF(IF($AC241="",0,N(INDEX(인턴근무계획!$T$3:$T$62,$AC241)))&gt;0,"인턴계획 입력오류 확인",IF(AND($AC241&lt;&gt;"",$U241&lt;&gt;"파견중",$N241&lt;&gt;$AE241),"인턴 타지역 근무: 파견 여부 확인","정상"))))))))</f>
        <v/>
      </c>
      <c r="AA241" s="5" t="n"/>
      <c r="AB241" s="10">
        <f>IF($B241="","",IFERROR(MATCH($B241,기본자료!$B$2:$B$1001,0),IFERROR(MATCH($B241&amp;"",기본자료!$B$2:$B$1001,0),IFERROR(MATCH(VALUE($B241),기본자료!$B$2:$B$1001,0),""))))</f>
        <v/>
      </c>
      <c r="AC241" s="10">
        <f>IF($B241="","",IFERROR(MATCH($B241,인턴근무계획!$D$3:$D$62,0),IFERROR(MATCH($B241&amp;"",인턴근무계획!$D$3:$D$62,0),IFERROR(MATCH(VALUE($B241),인턴근무계획!$D$3:$D$62,0),""))))</f>
        <v/>
      </c>
      <c r="AD241" s="10">
        <f>IF(OR($AC241="",인턴현황!$G$3=""),"",INDEX(인턴근무계획!$M$3:$R$62,$AC241,인턴현황!$G$3)&amp;"")</f>
        <v/>
      </c>
      <c r="AE241" s="10">
        <f>IF($B241="","",IF($M241&lt;&gt;"",$M241,IF($AF241&lt;&gt;"",IF(LEFT(INDEX(파견수련계획!$R$4:$R$83,$AF241),1)&lt;&gt;"⚠",INDEX(파견수련계획!$R$4:$R$83,$AF241),IF($H241="","",IF(RIGHT($H241,2)="병원",$H241,$H241&amp;"병원"))),IF($H241="","",IF(RIGHT($H241,2)="병원",$H241,$H241&amp;"병원")))))</f>
        <v/>
      </c>
      <c r="AF241" s="10">
        <f>IF(OR($B241="",TRIM($J241&amp;"")=""),"",IFERROR(MATCH(TRIM($J241&amp;"")&amp;"|파견중",파견수련계획!$Y$4:$Y$83,0),IFERROR(MATCH(TRIM($J241&amp;"")&amp;"|파견예정",파견수련계획!$Y$4:$Y$83,0),IFERROR(MATCH(TRIM($J241&amp;"")&amp;"|파견종료",파견수련계획!$Y$4:$Y$83,0),""))))</f>
        <v/>
      </c>
      <c r="AG241" s="10">
        <f>IF($B241="","",IF(AND(IF(OR($AC241="",인턴현황!$K$2=""),"",INDEX(인턴근무계획!$M$3:$R$62,$AC241,인턴현황!$K$2)&amp;"")&lt;&gt;"",LEFT(IF(OR($AC241="",인턴현황!$K$2=""),"",INDEX(인턴근무계획!$M$3:$R$62,$AC241,인턴현황!$K$2)&amp;""),1)&lt;&gt;"⚠"),LEFT(IF(OR($AC241="",인턴현황!$K$2=""),"",INDEX(인턴근무계획!$M$3:$R$62,$AC241,인턴현황!$K$2)&amp;""),FIND(" ",IF(OR($AC241="",인턴현황!$K$2=""),"",INDEX(인턴근무계획!$M$3:$R$62,$AC241,인턴현황!$K$2)&amp;""))-1),$AE241))</f>
        <v/>
      </c>
      <c r="AH241" s="17">
        <f>IF($B241="","",IF(TRIM($J241&amp;"")="",0,SUMPRODUCT((파견수련계획!$Q$4:$Q$83=TRIM($J241&amp;""))*(파견수련계획!$S$4:$S$83="서울병원")*파견수련계획!$W$4:$W$83))+IF($AG241="서울병원",MAX(0,DAY(EOMONTH(요약!$B$3,0))-N($X241)),0))</f>
        <v/>
      </c>
      <c r="AI241" s="17">
        <f>IF($B241="","",IF(TRIM($J241&amp;"")="",0,SUMPRODUCT((파견수련계획!$Q$4:$Q$83=TRIM($J241&amp;""))*(파견수련계획!$S$4:$S$83="구리병원")*파견수련계획!$W$4:$W$83))+IF($AG241="구리병원",MAX(0,DAY(EOMONTH(요약!$B$3,0))-N($X241)),0))</f>
        <v/>
      </c>
      <c r="AJ241" s="10">
        <f>IF(OR($B241="",TRIM($J241&amp;"")=""),"",IFERROR(MATCH(TRIM($J241&amp;"")&amp;"|월",파견수련계획!$Z$4:$Z$83,0),""))</f>
        <v/>
      </c>
      <c r="AK241" s="10">
        <f>IF(OR($B241="",TRIM($J241&amp;"")=""),"",IFERROR(MATCH(TRIM($J241&amp;"")&amp;"|다기관",파견수련계획!$AE$4:$AE$83,0),""))</f>
        <v/>
      </c>
      <c r="AL241" s="10">
        <f>IF($AK241="","","다기관 "&amp;TEXT(INDEX(파견수련계획!$AB$4:$AB$83,$AK241),"yyyy-mm-dd")&amp;"~"&amp;IF(ISNUMBER(INDEX(파견수련계획!$AC$4:$AC$83,$AK241)),TEXT(INDEX(파견수련계획!$AC$4:$AC$83,$AK241),"yyyy-mm-dd"),""))</f>
        <v/>
      </c>
    </row>
    <row r="242">
      <c r="A242" s="10">
        <f>IF(B242="","",ROW()-1)</f>
        <v/>
      </c>
      <c r="B242" s="18" t="n"/>
      <c r="C242" s="10">
        <f>IF($AB242="","",IF(INDEX(기본자료!$C$2:$C$1001,$AB242)="","",INDEX(기본자료!$C$2:$C$1001,$AB242)))</f>
        <v/>
      </c>
      <c r="D242" s="10">
        <f>IF($AB242="","",IF(INDEX(기본자료!$J$2:$J$1001,$AB242)="","",INDEX(기본자료!$J$2:$J$1001,$AB242)))</f>
        <v/>
      </c>
      <c r="E242" s="11">
        <f>IF($AB242="","",IF(INDEX(기본자료!$K$2:$K$1001,$AB242)="","",IF(NOT(ISNUMBER(INDEX(기본자료!$K$2:$K$1001,$AB242))),INDEX(기본자료!$K$2:$K$1001,$AB242),IF(INDEX(기본자료!$K$2:$K$1001,$AB242)&lt;1000000,INDEX(기본자료!$K$2:$K$1001,$AB242),IF(AND(INDEX(기본자료!$K$2:$K$1001,$AB242)&gt;=10000101,INT(MOD(INDEX(기본자료!$K$2:$K$1001,$AB242),10000)/100)&gt;=1,INT(MOD(INDEX(기본자료!$K$2:$K$1001,$AB242),10000)/100)&lt;=12,MOD(INDEX(기본자료!$K$2:$K$1001,$AB242),100)&gt;=1,MOD(INDEX(기본자료!$K$2:$K$1001,$AB242),100)&lt;=31),DATE(INT(INDEX(기본자료!$K$2:$K$1001,$AB242)/10000),INT(MOD(INDEX(기본자료!$K$2:$K$1001,$AB242),10000)/100),MOD(INDEX(기본자료!$K$2:$K$1001,$AB242),100)),INDEX(기본자료!$K$2:$K$1001,$AB242)&amp;"")))))</f>
        <v/>
      </c>
      <c r="F242" s="10">
        <f>IF($AB242="","",IF(INDEX(기본자료!$D$2:$D$1001,$AB242)="","",INDEX(기본자료!$D$2:$D$1001,$AB242)))</f>
        <v/>
      </c>
      <c r="G242" s="10">
        <f>IF($AB242="","",IF(INDEX(기본자료!$E$2:$E$1001,$AB242)="","",INDEX(기본자료!$E$2:$E$1001,$AB242)))</f>
        <v/>
      </c>
      <c r="H242" s="10">
        <f>IF($AB242="","",IF(INDEX(기본자료!$F$2:$F$1001,$AB242)="","",INDEX(기본자료!$F$2:$F$1001,$AB242)))</f>
        <v/>
      </c>
      <c r="I242" s="11">
        <f>IF($AB242="","",IF(INDEX(기본자료!$G$2:$G$1001,$AB242)="","",IF(NOT(ISNUMBER(INDEX(기본자료!$G$2:$G$1001,$AB242))),INDEX(기본자료!$G$2:$G$1001,$AB242),IF(INDEX(기본자료!$G$2:$G$1001,$AB242)&lt;1000000,INDEX(기본자료!$G$2:$G$1001,$AB242),IF(AND(INDEX(기본자료!$G$2:$G$1001,$AB242)&gt;=10000101,INT(MOD(INDEX(기본자료!$G$2:$G$1001,$AB242),10000)/100)&gt;=1,INT(MOD(INDEX(기본자료!$G$2:$G$1001,$AB242),10000)/100)&lt;=12,MOD(INDEX(기본자료!$G$2:$G$1001,$AB242),100)&gt;=1,MOD(INDEX(기본자료!$G$2:$G$1001,$AB242),100)&lt;=31),DATE(INT(INDEX(기본자료!$G$2:$G$1001,$AB242)/10000),INT(MOD(INDEX(기본자료!$G$2:$G$1001,$AB242),10000)/100),MOD(INDEX(기본자료!$G$2:$G$1001,$AB242),100)),INDEX(기본자료!$G$2:$G$1001,$AB242)&amp;"")))))</f>
        <v/>
      </c>
      <c r="J242" s="10">
        <f>IF($AB242="","",IF(INDEX(기본자료!$H$2:$H$1001,$AB242)="","",INDEX(기본자료!$H$2:$H$1001,$AB242)))</f>
        <v/>
      </c>
      <c r="K242" s="10">
        <f>IF($AB242="","",IF(INDEX(기본자료!$I$2:$I$1001,$AB242)="","",INDEX(기본자료!$I$2:$I$1001,$AB242)))</f>
        <v/>
      </c>
      <c r="L242" s="10">
        <f>IF($AB242="","",IF(INDEX(기본자료!$A$2:$A$1001,$AB242)="","",INDEX(기본자료!$A$2:$A$1001,$AB242)))</f>
        <v/>
      </c>
      <c r="M242" s="15" t="n"/>
      <c r="N242" s="10">
        <f>IF($B242="","",IF(AND($U242="파견중",$Q242&lt;&gt;""),$Q242,IF(AND($AD242&lt;&gt;"",LEFT($AD242,1)&lt;&gt;"⚠"),LEFT($AD242,FIND(" ",$AD242)-1),IF($H242="","",IF(RIGHT($H242,2)="병원",$H242,$H242&amp;"병원")))))</f>
        <v/>
      </c>
      <c r="O242" s="10">
        <f>IF($B242="","",IF(AND($U242="파견중",$Q242&lt;&gt;""),IF($R242&lt;&gt;"",$R242,"파견과 미입력"),IF(AND($AD242&lt;&gt;"",LEFT($AD242,1)&lt;&gt;"⚠"),MID($AD242,FIND(" ",$AD242)+1,60),IF($F242="","",IF($F242="인턴","수련교육부(인턴)",$F242)))))</f>
        <v/>
      </c>
      <c r="P242" s="10">
        <f>IF($B242="","",IF($AK242&lt;&gt;"",IF(AND(TODAY()&gt;=INDEX(파견수련계획!$AB$4:$AB$83,$AK242),OR(NOT(ISNUMBER(INDEX(파견수련계획!$AC$4:$AC$83,$AK242))),TODAY()&lt;=INDEX(파견수련계획!$AC$4:$AC$83,$AK242))),"다기관",IF($AF242="","",INDEX(파견수련계획!$T$4:$T$83,$AF242))),IF($AF242="","",INDEX(파견수련계획!$T$4:$T$83,$AF242))))</f>
        <v/>
      </c>
      <c r="Q242" s="10">
        <f>IF($AF242="","",INDEX(파견수련계획!$S$4:$S$83,$AF242))</f>
        <v/>
      </c>
      <c r="R242" s="10">
        <f>IF($AF242="","",INDEX(파견수련계획!$U$4:$U$83,$AF242))</f>
        <v/>
      </c>
      <c r="S242" s="11">
        <f>IF($AF242="","",IF(INDEX(파견수련계획!$H$4:$H$83,$AF242)="","",INDEX(파견수련계획!$H$4:$H$83,$AF242)))</f>
        <v/>
      </c>
      <c r="T242" s="11">
        <f>IF($AF242="","",IF(INDEX(파견수련계획!$I$4:$I$83,$AF242)="","",INDEX(파견수련계획!$I$4:$I$83,$AF242)))</f>
        <v/>
      </c>
      <c r="U242" s="10">
        <f>IF($AF242="","",INDEX(파견수련계획!$X$4:$X$83,$AF242))</f>
        <v/>
      </c>
      <c r="V242" s="17">
        <f>IF($AF242="","",INDEX(파견수련계획!$V$4:$V$83,$AF242))</f>
        <v/>
      </c>
      <c r="W242" s="17">
        <f>IF(AND($U242="파견중",$T242&lt;&gt;""),$T242-TODAY(),"")</f>
        <v/>
      </c>
      <c r="X242" s="17">
        <f>IF(OR($B242="",TRIM($J242&amp;"")=""),"",SUMPRODUCT((파견수련계획!$Q$4:$Q$83=TRIM($J242&amp;""))*파견수련계획!$W$4:$W$83))</f>
        <v/>
      </c>
      <c r="Y242" s="10">
        <f>IF($B242="","",IF($AG242="","",IF(IF(TRIM($J242&amp;"")="",0,SUMPRODUCT((파견수련계획!$Q$4:$Q$83=TRIM($J242&amp;""))*파견수련계획!$AD$4:$AD$83))&gt;0,$AE242,IF(N($X242)&lt;=0,$AG242,IF($AH242+$AI242=DAY(EOMONTH(요약!$B$3,0)),IF(AND($AH242&gt;=요약!$E$3,$AI242&lt;요약!$E$3),"서울병원",IF(AND($AI242&gt;=요약!$E$3,$AH242&lt;요약!$E$3),"구리병원","⚠15일 판정불가(서울 "&amp;$AH242&amp;"일/구리 "&amp;$AI242&amp;"일)")),IF($AJ242="",$AE242,IF(INDEX(파견수련계획!$T$4:$T$83,$AJ242)="통합수련",INDEX(파견수련계획!$S$4:$S$83,$AJ242),$AE242)))))))</f>
        <v/>
      </c>
      <c r="Z242" s="19">
        <f>IF($B242="","",IF($AB242="","기본자료에 없는 사번",IF(COUNTIF($B$2:$B$401,$B242)&gt;1,"중복 사번",IF($AE242="","소속(입사장소) 입력",IF(IF(TRIM($J242&amp;"")="",0,SUMPRODUCT((파견수련계획!$Q$4:$Q$83=TRIM($J242&amp;""))*(파견수련계획!$AA$4:$AA$83&lt;&gt;"")))&gt;0,"파견수련계획 입력오류 확인",IF(LEFT($Y242,1)="⚠","서울·구리 15일 판정 불가(양쪽 모두 이상/미만)",IF(IF($AC242="",0,N(INDEX(인턴근무계획!$T$3:$T$62,$AC242)))&gt;0,"인턴계획 입력오류 확인",IF(AND($AC242&lt;&gt;"",$U242&lt;&gt;"파견중",$N242&lt;&gt;$AE242),"인턴 타지역 근무: 파견 여부 확인","정상"))))))))</f>
        <v/>
      </c>
      <c r="AA242" s="5" t="n"/>
      <c r="AB242" s="10">
        <f>IF($B242="","",IFERROR(MATCH($B242,기본자료!$B$2:$B$1001,0),IFERROR(MATCH($B242&amp;"",기본자료!$B$2:$B$1001,0),IFERROR(MATCH(VALUE($B242),기본자료!$B$2:$B$1001,0),""))))</f>
        <v/>
      </c>
      <c r="AC242" s="10">
        <f>IF($B242="","",IFERROR(MATCH($B242,인턴근무계획!$D$3:$D$62,0),IFERROR(MATCH($B242&amp;"",인턴근무계획!$D$3:$D$62,0),IFERROR(MATCH(VALUE($B242),인턴근무계획!$D$3:$D$62,0),""))))</f>
        <v/>
      </c>
      <c r="AD242" s="10">
        <f>IF(OR($AC242="",인턴현황!$G$3=""),"",INDEX(인턴근무계획!$M$3:$R$62,$AC242,인턴현황!$G$3)&amp;"")</f>
        <v/>
      </c>
      <c r="AE242" s="10">
        <f>IF($B242="","",IF($M242&lt;&gt;"",$M242,IF($AF242&lt;&gt;"",IF(LEFT(INDEX(파견수련계획!$R$4:$R$83,$AF242),1)&lt;&gt;"⚠",INDEX(파견수련계획!$R$4:$R$83,$AF242),IF($H242="","",IF(RIGHT($H242,2)="병원",$H242,$H242&amp;"병원"))),IF($H242="","",IF(RIGHT($H242,2)="병원",$H242,$H242&amp;"병원")))))</f>
        <v/>
      </c>
      <c r="AF242" s="10">
        <f>IF(OR($B242="",TRIM($J242&amp;"")=""),"",IFERROR(MATCH(TRIM($J242&amp;"")&amp;"|파견중",파견수련계획!$Y$4:$Y$83,0),IFERROR(MATCH(TRIM($J242&amp;"")&amp;"|파견예정",파견수련계획!$Y$4:$Y$83,0),IFERROR(MATCH(TRIM($J242&amp;"")&amp;"|파견종료",파견수련계획!$Y$4:$Y$83,0),""))))</f>
        <v/>
      </c>
      <c r="AG242" s="10">
        <f>IF($B242="","",IF(AND(IF(OR($AC242="",인턴현황!$K$2=""),"",INDEX(인턴근무계획!$M$3:$R$62,$AC242,인턴현황!$K$2)&amp;"")&lt;&gt;"",LEFT(IF(OR($AC242="",인턴현황!$K$2=""),"",INDEX(인턴근무계획!$M$3:$R$62,$AC242,인턴현황!$K$2)&amp;""),1)&lt;&gt;"⚠"),LEFT(IF(OR($AC242="",인턴현황!$K$2=""),"",INDEX(인턴근무계획!$M$3:$R$62,$AC242,인턴현황!$K$2)&amp;""),FIND(" ",IF(OR($AC242="",인턴현황!$K$2=""),"",INDEX(인턴근무계획!$M$3:$R$62,$AC242,인턴현황!$K$2)&amp;""))-1),$AE242))</f>
        <v/>
      </c>
      <c r="AH242" s="17">
        <f>IF($B242="","",IF(TRIM($J242&amp;"")="",0,SUMPRODUCT((파견수련계획!$Q$4:$Q$83=TRIM($J242&amp;""))*(파견수련계획!$S$4:$S$83="서울병원")*파견수련계획!$W$4:$W$83))+IF($AG242="서울병원",MAX(0,DAY(EOMONTH(요약!$B$3,0))-N($X242)),0))</f>
        <v/>
      </c>
      <c r="AI242" s="17">
        <f>IF($B242="","",IF(TRIM($J242&amp;"")="",0,SUMPRODUCT((파견수련계획!$Q$4:$Q$83=TRIM($J242&amp;""))*(파견수련계획!$S$4:$S$83="구리병원")*파견수련계획!$W$4:$W$83))+IF($AG242="구리병원",MAX(0,DAY(EOMONTH(요약!$B$3,0))-N($X242)),0))</f>
        <v/>
      </c>
      <c r="AJ242" s="10">
        <f>IF(OR($B242="",TRIM($J242&amp;"")=""),"",IFERROR(MATCH(TRIM($J242&amp;"")&amp;"|월",파견수련계획!$Z$4:$Z$83,0),""))</f>
        <v/>
      </c>
      <c r="AK242" s="10">
        <f>IF(OR($B242="",TRIM($J242&amp;"")=""),"",IFERROR(MATCH(TRIM($J242&amp;"")&amp;"|다기관",파견수련계획!$AE$4:$AE$83,0),""))</f>
        <v/>
      </c>
      <c r="AL242" s="10">
        <f>IF($AK242="","","다기관 "&amp;TEXT(INDEX(파견수련계획!$AB$4:$AB$83,$AK242),"yyyy-mm-dd")&amp;"~"&amp;IF(ISNUMBER(INDEX(파견수련계획!$AC$4:$AC$83,$AK242)),TEXT(INDEX(파견수련계획!$AC$4:$AC$83,$AK242),"yyyy-mm-dd"),""))</f>
        <v/>
      </c>
    </row>
    <row r="243">
      <c r="A243" s="10">
        <f>IF(B243="","",ROW()-1)</f>
        <v/>
      </c>
      <c r="B243" s="18" t="n"/>
      <c r="C243" s="10">
        <f>IF($AB243="","",IF(INDEX(기본자료!$C$2:$C$1001,$AB243)="","",INDEX(기본자료!$C$2:$C$1001,$AB243)))</f>
        <v/>
      </c>
      <c r="D243" s="10">
        <f>IF($AB243="","",IF(INDEX(기본자료!$J$2:$J$1001,$AB243)="","",INDEX(기본자료!$J$2:$J$1001,$AB243)))</f>
        <v/>
      </c>
      <c r="E243" s="11">
        <f>IF($AB243="","",IF(INDEX(기본자료!$K$2:$K$1001,$AB243)="","",IF(NOT(ISNUMBER(INDEX(기본자료!$K$2:$K$1001,$AB243))),INDEX(기본자료!$K$2:$K$1001,$AB243),IF(INDEX(기본자료!$K$2:$K$1001,$AB243)&lt;1000000,INDEX(기본자료!$K$2:$K$1001,$AB243),IF(AND(INDEX(기본자료!$K$2:$K$1001,$AB243)&gt;=10000101,INT(MOD(INDEX(기본자료!$K$2:$K$1001,$AB243),10000)/100)&gt;=1,INT(MOD(INDEX(기본자료!$K$2:$K$1001,$AB243),10000)/100)&lt;=12,MOD(INDEX(기본자료!$K$2:$K$1001,$AB243),100)&gt;=1,MOD(INDEX(기본자료!$K$2:$K$1001,$AB243),100)&lt;=31),DATE(INT(INDEX(기본자료!$K$2:$K$1001,$AB243)/10000),INT(MOD(INDEX(기본자료!$K$2:$K$1001,$AB243),10000)/100),MOD(INDEX(기본자료!$K$2:$K$1001,$AB243),100)),INDEX(기본자료!$K$2:$K$1001,$AB243)&amp;"")))))</f>
        <v/>
      </c>
      <c r="F243" s="10">
        <f>IF($AB243="","",IF(INDEX(기본자료!$D$2:$D$1001,$AB243)="","",INDEX(기본자료!$D$2:$D$1001,$AB243)))</f>
        <v/>
      </c>
      <c r="G243" s="10">
        <f>IF($AB243="","",IF(INDEX(기본자료!$E$2:$E$1001,$AB243)="","",INDEX(기본자료!$E$2:$E$1001,$AB243)))</f>
        <v/>
      </c>
      <c r="H243" s="10">
        <f>IF($AB243="","",IF(INDEX(기본자료!$F$2:$F$1001,$AB243)="","",INDEX(기본자료!$F$2:$F$1001,$AB243)))</f>
        <v/>
      </c>
      <c r="I243" s="11">
        <f>IF($AB243="","",IF(INDEX(기본자료!$G$2:$G$1001,$AB243)="","",IF(NOT(ISNUMBER(INDEX(기본자료!$G$2:$G$1001,$AB243))),INDEX(기본자료!$G$2:$G$1001,$AB243),IF(INDEX(기본자료!$G$2:$G$1001,$AB243)&lt;1000000,INDEX(기본자료!$G$2:$G$1001,$AB243),IF(AND(INDEX(기본자료!$G$2:$G$1001,$AB243)&gt;=10000101,INT(MOD(INDEX(기본자료!$G$2:$G$1001,$AB243),10000)/100)&gt;=1,INT(MOD(INDEX(기본자료!$G$2:$G$1001,$AB243),10000)/100)&lt;=12,MOD(INDEX(기본자료!$G$2:$G$1001,$AB243),100)&gt;=1,MOD(INDEX(기본자료!$G$2:$G$1001,$AB243),100)&lt;=31),DATE(INT(INDEX(기본자료!$G$2:$G$1001,$AB243)/10000),INT(MOD(INDEX(기본자료!$G$2:$G$1001,$AB243),10000)/100),MOD(INDEX(기본자료!$G$2:$G$1001,$AB243),100)),INDEX(기본자료!$G$2:$G$1001,$AB243)&amp;"")))))</f>
        <v/>
      </c>
      <c r="J243" s="10">
        <f>IF($AB243="","",IF(INDEX(기본자료!$H$2:$H$1001,$AB243)="","",INDEX(기본자료!$H$2:$H$1001,$AB243)))</f>
        <v/>
      </c>
      <c r="K243" s="10">
        <f>IF($AB243="","",IF(INDEX(기본자료!$I$2:$I$1001,$AB243)="","",INDEX(기본자료!$I$2:$I$1001,$AB243)))</f>
        <v/>
      </c>
      <c r="L243" s="10">
        <f>IF($AB243="","",IF(INDEX(기본자료!$A$2:$A$1001,$AB243)="","",INDEX(기본자료!$A$2:$A$1001,$AB243)))</f>
        <v/>
      </c>
      <c r="M243" s="15" t="n"/>
      <c r="N243" s="10">
        <f>IF($B243="","",IF(AND($U243="파견중",$Q243&lt;&gt;""),$Q243,IF(AND($AD243&lt;&gt;"",LEFT($AD243,1)&lt;&gt;"⚠"),LEFT($AD243,FIND(" ",$AD243)-1),IF($H243="","",IF(RIGHT($H243,2)="병원",$H243,$H243&amp;"병원")))))</f>
        <v/>
      </c>
      <c r="O243" s="10">
        <f>IF($B243="","",IF(AND($U243="파견중",$Q243&lt;&gt;""),IF($R243&lt;&gt;"",$R243,"파견과 미입력"),IF(AND($AD243&lt;&gt;"",LEFT($AD243,1)&lt;&gt;"⚠"),MID($AD243,FIND(" ",$AD243)+1,60),IF($F243="","",IF($F243="인턴","수련교육부(인턴)",$F243)))))</f>
        <v/>
      </c>
      <c r="P243" s="10">
        <f>IF($B243="","",IF($AK243&lt;&gt;"",IF(AND(TODAY()&gt;=INDEX(파견수련계획!$AB$4:$AB$83,$AK243),OR(NOT(ISNUMBER(INDEX(파견수련계획!$AC$4:$AC$83,$AK243))),TODAY()&lt;=INDEX(파견수련계획!$AC$4:$AC$83,$AK243))),"다기관",IF($AF243="","",INDEX(파견수련계획!$T$4:$T$83,$AF243))),IF($AF243="","",INDEX(파견수련계획!$T$4:$T$83,$AF243))))</f>
        <v/>
      </c>
      <c r="Q243" s="10">
        <f>IF($AF243="","",INDEX(파견수련계획!$S$4:$S$83,$AF243))</f>
        <v/>
      </c>
      <c r="R243" s="10">
        <f>IF($AF243="","",INDEX(파견수련계획!$U$4:$U$83,$AF243))</f>
        <v/>
      </c>
      <c r="S243" s="11">
        <f>IF($AF243="","",IF(INDEX(파견수련계획!$H$4:$H$83,$AF243)="","",INDEX(파견수련계획!$H$4:$H$83,$AF243)))</f>
        <v/>
      </c>
      <c r="T243" s="11">
        <f>IF($AF243="","",IF(INDEX(파견수련계획!$I$4:$I$83,$AF243)="","",INDEX(파견수련계획!$I$4:$I$83,$AF243)))</f>
        <v/>
      </c>
      <c r="U243" s="10">
        <f>IF($AF243="","",INDEX(파견수련계획!$X$4:$X$83,$AF243))</f>
        <v/>
      </c>
      <c r="V243" s="17">
        <f>IF($AF243="","",INDEX(파견수련계획!$V$4:$V$83,$AF243))</f>
        <v/>
      </c>
      <c r="W243" s="17">
        <f>IF(AND($U243="파견중",$T243&lt;&gt;""),$T243-TODAY(),"")</f>
        <v/>
      </c>
      <c r="X243" s="17">
        <f>IF(OR($B243="",TRIM($J243&amp;"")=""),"",SUMPRODUCT((파견수련계획!$Q$4:$Q$83=TRIM($J243&amp;""))*파견수련계획!$W$4:$W$83))</f>
        <v/>
      </c>
      <c r="Y243" s="10">
        <f>IF($B243="","",IF($AG243="","",IF(IF(TRIM($J243&amp;"")="",0,SUMPRODUCT((파견수련계획!$Q$4:$Q$83=TRIM($J243&amp;""))*파견수련계획!$AD$4:$AD$83))&gt;0,$AE243,IF(N($X243)&lt;=0,$AG243,IF($AH243+$AI243=DAY(EOMONTH(요약!$B$3,0)),IF(AND($AH243&gt;=요약!$E$3,$AI243&lt;요약!$E$3),"서울병원",IF(AND($AI243&gt;=요약!$E$3,$AH243&lt;요약!$E$3),"구리병원","⚠15일 판정불가(서울 "&amp;$AH243&amp;"일/구리 "&amp;$AI243&amp;"일)")),IF($AJ243="",$AE243,IF(INDEX(파견수련계획!$T$4:$T$83,$AJ243)="통합수련",INDEX(파견수련계획!$S$4:$S$83,$AJ243),$AE243)))))))</f>
        <v/>
      </c>
      <c r="Z243" s="19">
        <f>IF($B243="","",IF($AB243="","기본자료에 없는 사번",IF(COUNTIF($B$2:$B$401,$B243)&gt;1,"중복 사번",IF($AE243="","소속(입사장소) 입력",IF(IF(TRIM($J243&amp;"")="",0,SUMPRODUCT((파견수련계획!$Q$4:$Q$83=TRIM($J243&amp;""))*(파견수련계획!$AA$4:$AA$83&lt;&gt;"")))&gt;0,"파견수련계획 입력오류 확인",IF(LEFT($Y243,1)="⚠","서울·구리 15일 판정 불가(양쪽 모두 이상/미만)",IF(IF($AC243="",0,N(INDEX(인턴근무계획!$T$3:$T$62,$AC243)))&gt;0,"인턴계획 입력오류 확인",IF(AND($AC243&lt;&gt;"",$U243&lt;&gt;"파견중",$N243&lt;&gt;$AE243),"인턴 타지역 근무: 파견 여부 확인","정상"))))))))</f>
        <v/>
      </c>
      <c r="AA243" s="5" t="n"/>
      <c r="AB243" s="10">
        <f>IF($B243="","",IFERROR(MATCH($B243,기본자료!$B$2:$B$1001,0),IFERROR(MATCH($B243&amp;"",기본자료!$B$2:$B$1001,0),IFERROR(MATCH(VALUE($B243),기본자료!$B$2:$B$1001,0),""))))</f>
        <v/>
      </c>
      <c r="AC243" s="10">
        <f>IF($B243="","",IFERROR(MATCH($B243,인턴근무계획!$D$3:$D$62,0),IFERROR(MATCH($B243&amp;"",인턴근무계획!$D$3:$D$62,0),IFERROR(MATCH(VALUE($B243),인턴근무계획!$D$3:$D$62,0),""))))</f>
        <v/>
      </c>
      <c r="AD243" s="10">
        <f>IF(OR($AC243="",인턴현황!$G$3=""),"",INDEX(인턴근무계획!$M$3:$R$62,$AC243,인턴현황!$G$3)&amp;"")</f>
        <v/>
      </c>
      <c r="AE243" s="10">
        <f>IF($B243="","",IF($M243&lt;&gt;"",$M243,IF($AF243&lt;&gt;"",IF(LEFT(INDEX(파견수련계획!$R$4:$R$83,$AF243),1)&lt;&gt;"⚠",INDEX(파견수련계획!$R$4:$R$83,$AF243),IF($H243="","",IF(RIGHT($H243,2)="병원",$H243,$H243&amp;"병원"))),IF($H243="","",IF(RIGHT($H243,2)="병원",$H243,$H243&amp;"병원")))))</f>
        <v/>
      </c>
      <c r="AF243" s="10">
        <f>IF(OR($B243="",TRIM($J243&amp;"")=""),"",IFERROR(MATCH(TRIM($J243&amp;"")&amp;"|파견중",파견수련계획!$Y$4:$Y$83,0),IFERROR(MATCH(TRIM($J243&amp;"")&amp;"|파견예정",파견수련계획!$Y$4:$Y$83,0),IFERROR(MATCH(TRIM($J243&amp;"")&amp;"|파견종료",파견수련계획!$Y$4:$Y$83,0),""))))</f>
        <v/>
      </c>
      <c r="AG243" s="10">
        <f>IF($B243="","",IF(AND(IF(OR($AC243="",인턴현황!$K$2=""),"",INDEX(인턴근무계획!$M$3:$R$62,$AC243,인턴현황!$K$2)&amp;"")&lt;&gt;"",LEFT(IF(OR($AC243="",인턴현황!$K$2=""),"",INDEX(인턴근무계획!$M$3:$R$62,$AC243,인턴현황!$K$2)&amp;""),1)&lt;&gt;"⚠"),LEFT(IF(OR($AC243="",인턴현황!$K$2=""),"",INDEX(인턴근무계획!$M$3:$R$62,$AC243,인턴현황!$K$2)&amp;""),FIND(" ",IF(OR($AC243="",인턴현황!$K$2=""),"",INDEX(인턴근무계획!$M$3:$R$62,$AC243,인턴현황!$K$2)&amp;""))-1),$AE243))</f>
        <v/>
      </c>
      <c r="AH243" s="17">
        <f>IF($B243="","",IF(TRIM($J243&amp;"")="",0,SUMPRODUCT((파견수련계획!$Q$4:$Q$83=TRIM($J243&amp;""))*(파견수련계획!$S$4:$S$83="서울병원")*파견수련계획!$W$4:$W$83))+IF($AG243="서울병원",MAX(0,DAY(EOMONTH(요약!$B$3,0))-N($X243)),0))</f>
        <v/>
      </c>
      <c r="AI243" s="17">
        <f>IF($B243="","",IF(TRIM($J243&amp;"")="",0,SUMPRODUCT((파견수련계획!$Q$4:$Q$83=TRIM($J243&amp;""))*(파견수련계획!$S$4:$S$83="구리병원")*파견수련계획!$W$4:$W$83))+IF($AG243="구리병원",MAX(0,DAY(EOMONTH(요약!$B$3,0))-N($X243)),0))</f>
        <v/>
      </c>
      <c r="AJ243" s="10">
        <f>IF(OR($B243="",TRIM($J243&amp;"")=""),"",IFERROR(MATCH(TRIM($J243&amp;"")&amp;"|월",파견수련계획!$Z$4:$Z$83,0),""))</f>
        <v/>
      </c>
      <c r="AK243" s="10">
        <f>IF(OR($B243="",TRIM($J243&amp;"")=""),"",IFERROR(MATCH(TRIM($J243&amp;"")&amp;"|다기관",파견수련계획!$AE$4:$AE$83,0),""))</f>
        <v/>
      </c>
      <c r="AL243" s="10">
        <f>IF($AK243="","","다기관 "&amp;TEXT(INDEX(파견수련계획!$AB$4:$AB$83,$AK243),"yyyy-mm-dd")&amp;"~"&amp;IF(ISNUMBER(INDEX(파견수련계획!$AC$4:$AC$83,$AK243)),TEXT(INDEX(파견수련계획!$AC$4:$AC$83,$AK243),"yyyy-mm-dd"),""))</f>
        <v/>
      </c>
    </row>
    <row r="244">
      <c r="A244" s="10">
        <f>IF(B244="","",ROW()-1)</f>
        <v/>
      </c>
      <c r="B244" s="18" t="n"/>
      <c r="C244" s="10">
        <f>IF($AB244="","",IF(INDEX(기본자료!$C$2:$C$1001,$AB244)="","",INDEX(기본자료!$C$2:$C$1001,$AB244)))</f>
        <v/>
      </c>
      <c r="D244" s="10">
        <f>IF($AB244="","",IF(INDEX(기본자료!$J$2:$J$1001,$AB244)="","",INDEX(기본자료!$J$2:$J$1001,$AB244)))</f>
        <v/>
      </c>
      <c r="E244" s="11">
        <f>IF($AB244="","",IF(INDEX(기본자료!$K$2:$K$1001,$AB244)="","",IF(NOT(ISNUMBER(INDEX(기본자료!$K$2:$K$1001,$AB244))),INDEX(기본자료!$K$2:$K$1001,$AB244),IF(INDEX(기본자료!$K$2:$K$1001,$AB244)&lt;1000000,INDEX(기본자료!$K$2:$K$1001,$AB244),IF(AND(INDEX(기본자료!$K$2:$K$1001,$AB244)&gt;=10000101,INT(MOD(INDEX(기본자료!$K$2:$K$1001,$AB244),10000)/100)&gt;=1,INT(MOD(INDEX(기본자료!$K$2:$K$1001,$AB244),10000)/100)&lt;=12,MOD(INDEX(기본자료!$K$2:$K$1001,$AB244),100)&gt;=1,MOD(INDEX(기본자료!$K$2:$K$1001,$AB244),100)&lt;=31),DATE(INT(INDEX(기본자료!$K$2:$K$1001,$AB244)/10000),INT(MOD(INDEX(기본자료!$K$2:$K$1001,$AB244),10000)/100),MOD(INDEX(기본자료!$K$2:$K$1001,$AB244),100)),INDEX(기본자료!$K$2:$K$1001,$AB244)&amp;"")))))</f>
        <v/>
      </c>
      <c r="F244" s="10">
        <f>IF($AB244="","",IF(INDEX(기본자료!$D$2:$D$1001,$AB244)="","",INDEX(기본자료!$D$2:$D$1001,$AB244)))</f>
        <v/>
      </c>
      <c r="G244" s="10">
        <f>IF($AB244="","",IF(INDEX(기본자료!$E$2:$E$1001,$AB244)="","",INDEX(기본자료!$E$2:$E$1001,$AB244)))</f>
        <v/>
      </c>
      <c r="H244" s="10">
        <f>IF($AB244="","",IF(INDEX(기본자료!$F$2:$F$1001,$AB244)="","",INDEX(기본자료!$F$2:$F$1001,$AB244)))</f>
        <v/>
      </c>
      <c r="I244" s="11">
        <f>IF($AB244="","",IF(INDEX(기본자료!$G$2:$G$1001,$AB244)="","",IF(NOT(ISNUMBER(INDEX(기본자료!$G$2:$G$1001,$AB244))),INDEX(기본자료!$G$2:$G$1001,$AB244),IF(INDEX(기본자료!$G$2:$G$1001,$AB244)&lt;1000000,INDEX(기본자료!$G$2:$G$1001,$AB244),IF(AND(INDEX(기본자료!$G$2:$G$1001,$AB244)&gt;=10000101,INT(MOD(INDEX(기본자료!$G$2:$G$1001,$AB244),10000)/100)&gt;=1,INT(MOD(INDEX(기본자료!$G$2:$G$1001,$AB244),10000)/100)&lt;=12,MOD(INDEX(기본자료!$G$2:$G$1001,$AB244),100)&gt;=1,MOD(INDEX(기본자료!$G$2:$G$1001,$AB244),100)&lt;=31),DATE(INT(INDEX(기본자료!$G$2:$G$1001,$AB244)/10000),INT(MOD(INDEX(기본자료!$G$2:$G$1001,$AB244),10000)/100),MOD(INDEX(기본자료!$G$2:$G$1001,$AB244),100)),INDEX(기본자료!$G$2:$G$1001,$AB244)&amp;"")))))</f>
        <v/>
      </c>
      <c r="J244" s="10">
        <f>IF($AB244="","",IF(INDEX(기본자료!$H$2:$H$1001,$AB244)="","",INDEX(기본자료!$H$2:$H$1001,$AB244)))</f>
        <v/>
      </c>
      <c r="K244" s="10">
        <f>IF($AB244="","",IF(INDEX(기본자료!$I$2:$I$1001,$AB244)="","",INDEX(기본자료!$I$2:$I$1001,$AB244)))</f>
        <v/>
      </c>
      <c r="L244" s="10">
        <f>IF($AB244="","",IF(INDEX(기본자료!$A$2:$A$1001,$AB244)="","",INDEX(기본자료!$A$2:$A$1001,$AB244)))</f>
        <v/>
      </c>
      <c r="M244" s="15" t="n"/>
      <c r="N244" s="10">
        <f>IF($B244="","",IF(AND($U244="파견중",$Q244&lt;&gt;""),$Q244,IF(AND($AD244&lt;&gt;"",LEFT($AD244,1)&lt;&gt;"⚠"),LEFT($AD244,FIND(" ",$AD244)-1),IF($H244="","",IF(RIGHT($H244,2)="병원",$H244,$H244&amp;"병원")))))</f>
        <v/>
      </c>
      <c r="O244" s="10">
        <f>IF($B244="","",IF(AND($U244="파견중",$Q244&lt;&gt;""),IF($R244&lt;&gt;"",$R244,"파견과 미입력"),IF(AND($AD244&lt;&gt;"",LEFT($AD244,1)&lt;&gt;"⚠"),MID($AD244,FIND(" ",$AD244)+1,60),IF($F244="","",IF($F244="인턴","수련교육부(인턴)",$F244)))))</f>
        <v/>
      </c>
      <c r="P244" s="10">
        <f>IF($B244="","",IF($AK244&lt;&gt;"",IF(AND(TODAY()&gt;=INDEX(파견수련계획!$AB$4:$AB$83,$AK244),OR(NOT(ISNUMBER(INDEX(파견수련계획!$AC$4:$AC$83,$AK244))),TODAY()&lt;=INDEX(파견수련계획!$AC$4:$AC$83,$AK244))),"다기관",IF($AF244="","",INDEX(파견수련계획!$T$4:$T$83,$AF244))),IF($AF244="","",INDEX(파견수련계획!$T$4:$T$83,$AF244))))</f>
        <v/>
      </c>
      <c r="Q244" s="10">
        <f>IF($AF244="","",INDEX(파견수련계획!$S$4:$S$83,$AF244))</f>
        <v/>
      </c>
      <c r="R244" s="10">
        <f>IF($AF244="","",INDEX(파견수련계획!$U$4:$U$83,$AF244))</f>
        <v/>
      </c>
      <c r="S244" s="11">
        <f>IF($AF244="","",IF(INDEX(파견수련계획!$H$4:$H$83,$AF244)="","",INDEX(파견수련계획!$H$4:$H$83,$AF244)))</f>
        <v/>
      </c>
      <c r="T244" s="11">
        <f>IF($AF244="","",IF(INDEX(파견수련계획!$I$4:$I$83,$AF244)="","",INDEX(파견수련계획!$I$4:$I$83,$AF244)))</f>
        <v/>
      </c>
      <c r="U244" s="10">
        <f>IF($AF244="","",INDEX(파견수련계획!$X$4:$X$83,$AF244))</f>
        <v/>
      </c>
      <c r="V244" s="17">
        <f>IF($AF244="","",INDEX(파견수련계획!$V$4:$V$83,$AF244))</f>
        <v/>
      </c>
      <c r="W244" s="17">
        <f>IF(AND($U244="파견중",$T244&lt;&gt;""),$T244-TODAY(),"")</f>
        <v/>
      </c>
      <c r="X244" s="17">
        <f>IF(OR($B244="",TRIM($J244&amp;"")=""),"",SUMPRODUCT((파견수련계획!$Q$4:$Q$83=TRIM($J244&amp;""))*파견수련계획!$W$4:$W$83))</f>
        <v/>
      </c>
      <c r="Y244" s="10">
        <f>IF($B244="","",IF($AG244="","",IF(IF(TRIM($J244&amp;"")="",0,SUMPRODUCT((파견수련계획!$Q$4:$Q$83=TRIM($J244&amp;""))*파견수련계획!$AD$4:$AD$83))&gt;0,$AE244,IF(N($X244)&lt;=0,$AG244,IF($AH244+$AI244=DAY(EOMONTH(요약!$B$3,0)),IF(AND($AH244&gt;=요약!$E$3,$AI244&lt;요약!$E$3),"서울병원",IF(AND($AI244&gt;=요약!$E$3,$AH244&lt;요약!$E$3),"구리병원","⚠15일 판정불가(서울 "&amp;$AH244&amp;"일/구리 "&amp;$AI244&amp;"일)")),IF($AJ244="",$AE244,IF(INDEX(파견수련계획!$T$4:$T$83,$AJ244)="통합수련",INDEX(파견수련계획!$S$4:$S$83,$AJ244),$AE244)))))))</f>
        <v/>
      </c>
      <c r="Z244" s="19">
        <f>IF($B244="","",IF($AB244="","기본자료에 없는 사번",IF(COUNTIF($B$2:$B$401,$B244)&gt;1,"중복 사번",IF($AE244="","소속(입사장소) 입력",IF(IF(TRIM($J244&amp;"")="",0,SUMPRODUCT((파견수련계획!$Q$4:$Q$83=TRIM($J244&amp;""))*(파견수련계획!$AA$4:$AA$83&lt;&gt;"")))&gt;0,"파견수련계획 입력오류 확인",IF(LEFT($Y244,1)="⚠","서울·구리 15일 판정 불가(양쪽 모두 이상/미만)",IF(IF($AC244="",0,N(INDEX(인턴근무계획!$T$3:$T$62,$AC244)))&gt;0,"인턴계획 입력오류 확인",IF(AND($AC244&lt;&gt;"",$U244&lt;&gt;"파견중",$N244&lt;&gt;$AE244),"인턴 타지역 근무: 파견 여부 확인","정상"))))))))</f>
        <v/>
      </c>
      <c r="AA244" s="5" t="n"/>
      <c r="AB244" s="10">
        <f>IF($B244="","",IFERROR(MATCH($B244,기본자료!$B$2:$B$1001,0),IFERROR(MATCH($B244&amp;"",기본자료!$B$2:$B$1001,0),IFERROR(MATCH(VALUE($B244),기본자료!$B$2:$B$1001,0),""))))</f>
        <v/>
      </c>
      <c r="AC244" s="10">
        <f>IF($B244="","",IFERROR(MATCH($B244,인턴근무계획!$D$3:$D$62,0),IFERROR(MATCH($B244&amp;"",인턴근무계획!$D$3:$D$62,0),IFERROR(MATCH(VALUE($B244),인턴근무계획!$D$3:$D$62,0),""))))</f>
        <v/>
      </c>
      <c r="AD244" s="10">
        <f>IF(OR($AC244="",인턴현황!$G$3=""),"",INDEX(인턴근무계획!$M$3:$R$62,$AC244,인턴현황!$G$3)&amp;"")</f>
        <v/>
      </c>
      <c r="AE244" s="10">
        <f>IF($B244="","",IF($M244&lt;&gt;"",$M244,IF($AF244&lt;&gt;"",IF(LEFT(INDEX(파견수련계획!$R$4:$R$83,$AF244),1)&lt;&gt;"⚠",INDEX(파견수련계획!$R$4:$R$83,$AF244),IF($H244="","",IF(RIGHT($H244,2)="병원",$H244,$H244&amp;"병원"))),IF($H244="","",IF(RIGHT($H244,2)="병원",$H244,$H244&amp;"병원")))))</f>
        <v/>
      </c>
      <c r="AF244" s="10">
        <f>IF(OR($B244="",TRIM($J244&amp;"")=""),"",IFERROR(MATCH(TRIM($J244&amp;"")&amp;"|파견중",파견수련계획!$Y$4:$Y$83,0),IFERROR(MATCH(TRIM($J244&amp;"")&amp;"|파견예정",파견수련계획!$Y$4:$Y$83,0),IFERROR(MATCH(TRIM($J244&amp;"")&amp;"|파견종료",파견수련계획!$Y$4:$Y$83,0),""))))</f>
        <v/>
      </c>
      <c r="AG244" s="10">
        <f>IF($B244="","",IF(AND(IF(OR($AC244="",인턴현황!$K$2=""),"",INDEX(인턴근무계획!$M$3:$R$62,$AC244,인턴현황!$K$2)&amp;"")&lt;&gt;"",LEFT(IF(OR($AC244="",인턴현황!$K$2=""),"",INDEX(인턴근무계획!$M$3:$R$62,$AC244,인턴현황!$K$2)&amp;""),1)&lt;&gt;"⚠"),LEFT(IF(OR($AC244="",인턴현황!$K$2=""),"",INDEX(인턴근무계획!$M$3:$R$62,$AC244,인턴현황!$K$2)&amp;""),FIND(" ",IF(OR($AC244="",인턴현황!$K$2=""),"",INDEX(인턴근무계획!$M$3:$R$62,$AC244,인턴현황!$K$2)&amp;""))-1),$AE244))</f>
        <v/>
      </c>
      <c r="AH244" s="17">
        <f>IF($B244="","",IF(TRIM($J244&amp;"")="",0,SUMPRODUCT((파견수련계획!$Q$4:$Q$83=TRIM($J244&amp;""))*(파견수련계획!$S$4:$S$83="서울병원")*파견수련계획!$W$4:$W$83))+IF($AG244="서울병원",MAX(0,DAY(EOMONTH(요약!$B$3,0))-N($X244)),0))</f>
        <v/>
      </c>
      <c r="AI244" s="17">
        <f>IF($B244="","",IF(TRIM($J244&amp;"")="",0,SUMPRODUCT((파견수련계획!$Q$4:$Q$83=TRIM($J244&amp;""))*(파견수련계획!$S$4:$S$83="구리병원")*파견수련계획!$W$4:$W$83))+IF($AG244="구리병원",MAX(0,DAY(EOMONTH(요약!$B$3,0))-N($X244)),0))</f>
        <v/>
      </c>
      <c r="AJ244" s="10">
        <f>IF(OR($B244="",TRIM($J244&amp;"")=""),"",IFERROR(MATCH(TRIM($J244&amp;"")&amp;"|월",파견수련계획!$Z$4:$Z$83,0),""))</f>
        <v/>
      </c>
      <c r="AK244" s="10">
        <f>IF(OR($B244="",TRIM($J244&amp;"")=""),"",IFERROR(MATCH(TRIM($J244&amp;"")&amp;"|다기관",파견수련계획!$AE$4:$AE$83,0),""))</f>
        <v/>
      </c>
      <c r="AL244" s="10">
        <f>IF($AK244="","","다기관 "&amp;TEXT(INDEX(파견수련계획!$AB$4:$AB$83,$AK244),"yyyy-mm-dd")&amp;"~"&amp;IF(ISNUMBER(INDEX(파견수련계획!$AC$4:$AC$83,$AK244)),TEXT(INDEX(파견수련계획!$AC$4:$AC$83,$AK244),"yyyy-mm-dd"),""))</f>
        <v/>
      </c>
    </row>
    <row r="245">
      <c r="A245" s="10">
        <f>IF(B245="","",ROW()-1)</f>
        <v/>
      </c>
      <c r="B245" s="18" t="n"/>
      <c r="C245" s="10">
        <f>IF($AB245="","",IF(INDEX(기본자료!$C$2:$C$1001,$AB245)="","",INDEX(기본자료!$C$2:$C$1001,$AB245)))</f>
        <v/>
      </c>
      <c r="D245" s="10">
        <f>IF($AB245="","",IF(INDEX(기본자료!$J$2:$J$1001,$AB245)="","",INDEX(기본자료!$J$2:$J$1001,$AB245)))</f>
        <v/>
      </c>
      <c r="E245" s="11">
        <f>IF($AB245="","",IF(INDEX(기본자료!$K$2:$K$1001,$AB245)="","",IF(NOT(ISNUMBER(INDEX(기본자료!$K$2:$K$1001,$AB245))),INDEX(기본자료!$K$2:$K$1001,$AB245),IF(INDEX(기본자료!$K$2:$K$1001,$AB245)&lt;1000000,INDEX(기본자료!$K$2:$K$1001,$AB245),IF(AND(INDEX(기본자료!$K$2:$K$1001,$AB245)&gt;=10000101,INT(MOD(INDEX(기본자료!$K$2:$K$1001,$AB245),10000)/100)&gt;=1,INT(MOD(INDEX(기본자료!$K$2:$K$1001,$AB245),10000)/100)&lt;=12,MOD(INDEX(기본자료!$K$2:$K$1001,$AB245),100)&gt;=1,MOD(INDEX(기본자료!$K$2:$K$1001,$AB245),100)&lt;=31),DATE(INT(INDEX(기본자료!$K$2:$K$1001,$AB245)/10000),INT(MOD(INDEX(기본자료!$K$2:$K$1001,$AB245),10000)/100),MOD(INDEX(기본자료!$K$2:$K$1001,$AB245),100)),INDEX(기본자료!$K$2:$K$1001,$AB245)&amp;"")))))</f>
        <v/>
      </c>
      <c r="F245" s="10">
        <f>IF($AB245="","",IF(INDEX(기본자료!$D$2:$D$1001,$AB245)="","",INDEX(기본자료!$D$2:$D$1001,$AB245)))</f>
        <v/>
      </c>
      <c r="G245" s="10">
        <f>IF($AB245="","",IF(INDEX(기본자료!$E$2:$E$1001,$AB245)="","",INDEX(기본자료!$E$2:$E$1001,$AB245)))</f>
        <v/>
      </c>
      <c r="H245" s="10">
        <f>IF($AB245="","",IF(INDEX(기본자료!$F$2:$F$1001,$AB245)="","",INDEX(기본자료!$F$2:$F$1001,$AB245)))</f>
        <v/>
      </c>
      <c r="I245" s="11">
        <f>IF($AB245="","",IF(INDEX(기본자료!$G$2:$G$1001,$AB245)="","",IF(NOT(ISNUMBER(INDEX(기본자료!$G$2:$G$1001,$AB245))),INDEX(기본자료!$G$2:$G$1001,$AB245),IF(INDEX(기본자료!$G$2:$G$1001,$AB245)&lt;1000000,INDEX(기본자료!$G$2:$G$1001,$AB245),IF(AND(INDEX(기본자료!$G$2:$G$1001,$AB245)&gt;=10000101,INT(MOD(INDEX(기본자료!$G$2:$G$1001,$AB245),10000)/100)&gt;=1,INT(MOD(INDEX(기본자료!$G$2:$G$1001,$AB245),10000)/100)&lt;=12,MOD(INDEX(기본자료!$G$2:$G$1001,$AB245),100)&gt;=1,MOD(INDEX(기본자료!$G$2:$G$1001,$AB245),100)&lt;=31),DATE(INT(INDEX(기본자료!$G$2:$G$1001,$AB245)/10000),INT(MOD(INDEX(기본자료!$G$2:$G$1001,$AB245),10000)/100),MOD(INDEX(기본자료!$G$2:$G$1001,$AB245),100)),INDEX(기본자료!$G$2:$G$1001,$AB245)&amp;"")))))</f>
        <v/>
      </c>
      <c r="J245" s="10">
        <f>IF($AB245="","",IF(INDEX(기본자료!$H$2:$H$1001,$AB245)="","",INDEX(기본자료!$H$2:$H$1001,$AB245)))</f>
        <v/>
      </c>
      <c r="K245" s="10">
        <f>IF($AB245="","",IF(INDEX(기본자료!$I$2:$I$1001,$AB245)="","",INDEX(기본자료!$I$2:$I$1001,$AB245)))</f>
        <v/>
      </c>
      <c r="L245" s="10">
        <f>IF($AB245="","",IF(INDEX(기본자료!$A$2:$A$1001,$AB245)="","",INDEX(기본자료!$A$2:$A$1001,$AB245)))</f>
        <v/>
      </c>
      <c r="M245" s="15" t="n"/>
      <c r="N245" s="10">
        <f>IF($B245="","",IF(AND($U245="파견중",$Q245&lt;&gt;""),$Q245,IF(AND($AD245&lt;&gt;"",LEFT($AD245,1)&lt;&gt;"⚠"),LEFT($AD245,FIND(" ",$AD245)-1),IF($H245="","",IF(RIGHT($H245,2)="병원",$H245,$H245&amp;"병원")))))</f>
        <v/>
      </c>
      <c r="O245" s="10">
        <f>IF($B245="","",IF(AND($U245="파견중",$Q245&lt;&gt;""),IF($R245&lt;&gt;"",$R245,"파견과 미입력"),IF(AND($AD245&lt;&gt;"",LEFT($AD245,1)&lt;&gt;"⚠"),MID($AD245,FIND(" ",$AD245)+1,60),IF($F245="","",IF($F245="인턴","수련교육부(인턴)",$F245)))))</f>
        <v/>
      </c>
      <c r="P245" s="10">
        <f>IF($B245="","",IF($AK245&lt;&gt;"",IF(AND(TODAY()&gt;=INDEX(파견수련계획!$AB$4:$AB$83,$AK245),OR(NOT(ISNUMBER(INDEX(파견수련계획!$AC$4:$AC$83,$AK245))),TODAY()&lt;=INDEX(파견수련계획!$AC$4:$AC$83,$AK245))),"다기관",IF($AF245="","",INDEX(파견수련계획!$T$4:$T$83,$AF245))),IF($AF245="","",INDEX(파견수련계획!$T$4:$T$83,$AF245))))</f>
        <v/>
      </c>
      <c r="Q245" s="10">
        <f>IF($AF245="","",INDEX(파견수련계획!$S$4:$S$83,$AF245))</f>
        <v/>
      </c>
      <c r="R245" s="10">
        <f>IF($AF245="","",INDEX(파견수련계획!$U$4:$U$83,$AF245))</f>
        <v/>
      </c>
      <c r="S245" s="11">
        <f>IF($AF245="","",IF(INDEX(파견수련계획!$H$4:$H$83,$AF245)="","",INDEX(파견수련계획!$H$4:$H$83,$AF245)))</f>
        <v/>
      </c>
      <c r="T245" s="11">
        <f>IF($AF245="","",IF(INDEX(파견수련계획!$I$4:$I$83,$AF245)="","",INDEX(파견수련계획!$I$4:$I$83,$AF245)))</f>
        <v/>
      </c>
      <c r="U245" s="10">
        <f>IF($AF245="","",INDEX(파견수련계획!$X$4:$X$83,$AF245))</f>
        <v/>
      </c>
      <c r="V245" s="17">
        <f>IF($AF245="","",INDEX(파견수련계획!$V$4:$V$83,$AF245))</f>
        <v/>
      </c>
      <c r="W245" s="17">
        <f>IF(AND($U245="파견중",$T245&lt;&gt;""),$T245-TODAY(),"")</f>
        <v/>
      </c>
      <c r="X245" s="17">
        <f>IF(OR($B245="",TRIM($J245&amp;"")=""),"",SUMPRODUCT((파견수련계획!$Q$4:$Q$83=TRIM($J245&amp;""))*파견수련계획!$W$4:$W$83))</f>
        <v/>
      </c>
      <c r="Y245" s="10">
        <f>IF($B245="","",IF($AG245="","",IF(IF(TRIM($J245&amp;"")="",0,SUMPRODUCT((파견수련계획!$Q$4:$Q$83=TRIM($J245&amp;""))*파견수련계획!$AD$4:$AD$83))&gt;0,$AE245,IF(N($X245)&lt;=0,$AG245,IF($AH245+$AI245=DAY(EOMONTH(요약!$B$3,0)),IF(AND($AH245&gt;=요약!$E$3,$AI245&lt;요약!$E$3),"서울병원",IF(AND($AI245&gt;=요약!$E$3,$AH245&lt;요약!$E$3),"구리병원","⚠15일 판정불가(서울 "&amp;$AH245&amp;"일/구리 "&amp;$AI245&amp;"일)")),IF($AJ245="",$AE245,IF(INDEX(파견수련계획!$T$4:$T$83,$AJ245)="통합수련",INDEX(파견수련계획!$S$4:$S$83,$AJ245),$AE245)))))))</f>
        <v/>
      </c>
      <c r="Z245" s="19">
        <f>IF($B245="","",IF($AB245="","기본자료에 없는 사번",IF(COUNTIF($B$2:$B$401,$B245)&gt;1,"중복 사번",IF($AE245="","소속(입사장소) 입력",IF(IF(TRIM($J245&amp;"")="",0,SUMPRODUCT((파견수련계획!$Q$4:$Q$83=TRIM($J245&amp;""))*(파견수련계획!$AA$4:$AA$83&lt;&gt;"")))&gt;0,"파견수련계획 입력오류 확인",IF(LEFT($Y245,1)="⚠","서울·구리 15일 판정 불가(양쪽 모두 이상/미만)",IF(IF($AC245="",0,N(INDEX(인턴근무계획!$T$3:$T$62,$AC245)))&gt;0,"인턴계획 입력오류 확인",IF(AND($AC245&lt;&gt;"",$U245&lt;&gt;"파견중",$N245&lt;&gt;$AE245),"인턴 타지역 근무: 파견 여부 확인","정상"))))))))</f>
        <v/>
      </c>
      <c r="AA245" s="5" t="n"/>
      <c r="AB245" s="10">
        <f>IF($B245="","",IFERROR(MATCH($B245,기본자료!$B$2:$B$1001,0),IFERROR(MATCH($B245&amp;"",기본자료!$B$2:$B$1001,0),IFERROR(MATCH(VALUE($B245),기본자료!$B$2:$B$1001,0),""))))</f>
        <v/>
      </c>
      <c r="AC245" s="10">
        <f>IF($B245="","",IFERROR(MATCH($B245,인턴근무계획!$D$3:$D$62,0),IFERROR(MATCH($B245&amp;"",인턴근무계획!$D$3:$D$62,0),IFERROR(MATCH(VALUE($B245),인턴근무계획!$D$3:$D$62,0),""))))</f>
        <v/>
      </c>
      <c r="AD245" s="10">
        <f>IF(OR($AC245="",인턴현황!$G$3=""),"",INDEX(인턴근무계획!$M$3:$R$62,$AC245,인턴현황!$G$3)&amp;"")</f>
        <v/>
      </c>
      <c r="AE245" s="10">
        <f>IF($B245="","",IF($M245&lt;&gt;"",$M245,IF($AF245&lt;&gt;"",IF(LEFT(INDEX(파견수련계획!$R$4:$R$83,$AF245),1)&lt;&gt;"⚠",INDEX(파견수련계획!$R$4:$R$83,$AF245),IF($H245="","",IF(RIGHT($H245,2)="병원",$H245,$H245&amp;"병원"))),IF($H245="","",IF(RIGHT($H245,2)="병원",$H245,$H245&amp;"병원")))))</f>
        <v/>
      </c>
      <c r="AF245" s="10">
        <f>IF(OR($B245="",TRIM($J245&amp;"")=""),"",IFERROR(MATCH(TRIM($J245&amp;"")&amp;"|파견중",파견수련계획!$Y$4:$Y$83,0),IFERROR(MATCH(TRIM($J245&amp;"")&amp;"|파견예정",파견수련계획!$Y$4:$Y$83,0),IFERROR(MATCH(TRIM($J245&amp;"")&amp;"|파견종료",파견수련계획!$Y$4:$Y$83,0),""))))</f>
        <v/>
      </c>
      <c r="AG245" s="10">
        <f>IF($B245="","",IF(AND(IF(OR($AC245="",인턴현황!$K$2=""),"",INDEX(인턴근무계획!$M$3:$R$62,$AC245,인턴현황!$K$2)&amp;"")&lt;&gt;"",LEFT(IF(OR($AC245="",인턴현황!$K$2=""),"",INDEX(인턴근무계획!$M$3:$R$62,$AC245,인턴현황!$K$2)&amp;""),1)&lt;&gt;"⚠"),LEFT(IF(OR($AC245="",인턴현황!$K$2=""),"",INDEX(인턴근무계획!$M$3:$R$62,$AC245,인턴현황!$K$2)&amp;""),FIND(" ",IF(OR($AC245="",인턴현황!$K$2=""),"",INDEX(인턴근무계획!$M$3:$R$62,$AC245,인턴현황!$K$2)&amp;""))-1),$AE245))</f>
        <v/>
      </c>
      <c r="AH245" s="17">
        <f>IF($B245="","",IF(TRIM($J245&amp;"")="",0,SUMPRODUCT((파견수련계획!$Q$4:$Q$83=TRIM($J245&amp;""))*(파견수련계획!$S$4:$S$83="서울병원")*파견수련계획!$W$4:$W$83))+IF($AG245="서울병원",MAX(0,DAY(EOMONTH(요약!$B$3,0))-N($X245)),0))</f>
        <v/>
      </c>
      <c r="AI245" s="17">
        <f>IF($B245="","",IF(TRIM($J245&amp;"")="",0,SUMPRODUCT((파견수련계획!$Q$4:$Q$83=TRIM($J245&amp;""))*(파견수련계획!$S$4:$S$83="구리병원")*파견수련계획!$W$4:$W$83))+IF($AG245="구리병원",MAX(0,DAY(EOMONTH(요약!$B$3,0))-N($X245)),0))</f>
        <v/>
      </c>
      <c r="AJ245" s="10">
        <f>IF(OR($B245="",TRIM($J245&amp;"")=""),"",IFERROR(MATCH(TRIM($J245&amp;"")&amp;"|월",파견수련계획!$Z$4:$Z$83,0),""))</f>
        <v/>
      </c>
      <c r="AK245" s="10">
        <f>IF(OR($B245="",TRIM($J245&amp;"")=""),"",IFERROR(MATCH(TRIM($J245&amp;"")&amp;"|다기관",파견수련계획!$AE$4:$AE$83,0),""))</f>
        <v/>
      </c>
      <c r="AL245" s="10">
        <f>IF($AK245="","","다기관 "&amp;TEXT(INDEX(파견수련계획!$AB$4:$AB$83,$AK245),"yyyy-mm-dd")&amp;"~"&amp;IF(ISNUMBER(INDEX(파견수련계획!$AC$4:$AC$83,$AK245)),TEXT(INDEX(파견수련계획!$AC$4:$AC$83,$AK245),"yyyy-mm-dd"),""))</f>
        <v/>
      </c>
    </row>
    <row r="246">
      <c r="A246" s="10">
        <f>IF(B246="","",ROW()-1)</f>
        <v/>
      </c>
      <c r="B246" s="18" t="n"/>
      <c r="C246" s="10">
        <f>IF($AB246="","",IF(INDEX(기본자료!$C$2:$C$1001,$AB246)="","",INDEX(기본자료!$C$2:$C$1001,$AB246)))</f>
        <v/>
      </c>
      <c r="D246" s="10">
        <f>IF($AB246="","",IF(INDEX(기본자료!$J$2:$J$1001,$AB246)="","",INDEX(기본자료!$J$2:$J$1001,$AB246)))</f>
        <v/>
      </c>
      <c r="E246" s="11">
        <f>IF($AB246="","",IF(INDEX(기본자료!$K$2:$K$1001,$AB246)="","",IF(NOT(ISNUMBER(INDEX(기본자료!$K$2:$K$1001,$AB246))),INDEX(기본자료!$K$2:$K$1001,$AB246),IF(INDEX(기본자료!$K$2:$K$1001,$AB246)&lt;1000000,INDEX(기본자료!$K$2:$K$1001,$AB246),IF(AND(INDEX(기본자료!$K$2:$K$1001,$AB246)&gt;=10000101,INT(MOD(INDEX(기본자료!$K$2:$K$1001,$AB246),10000)/100)&gt;=1,INT(MOD(INDEX(기본자료!$K$2:$K$1001,$AB246),10000)/100)&lt;=12,MOD(INDEX(기본자료!$K$2:$K$1001,$AB246),100)&gt;=1,MOD(INDEX(기본자료!$K$2:$K$1001,$AB246),100)&lt;=31),DATE(INT(INDEX(기본자료!$K$2:$K$1001,$AB246)/10000),INT(MOD(INDEX(기본자료!$K$2:$K$1001,$AB246),10000)/100),MOD(INDEX(기본자료!$K$2:$K$1001,$AB246),100)),INDEX(기본자료!$K$2:$K$1001,$AB246)&amp;"")))))</f>
        <v/>
      </c>
      <c r="F246" s="10">
        <f>IF($AB246="","",IF(INDEX(기본자료!$D$2:$D$1001,$AB246)="","",INDEX(기본자료!$D$2:$D$1001,$AB246)))</f>
        <v/>
      </c>
      <c r="G246" s="10">
        <f>IF($AB246="","",IF(INDEX(기본자료!$E$2:$E$1001,$AB246)="","",INDEX(기본자료!$E$2:$E$1001,$AB246)))</f>
        <v/>
      </c>
      <c r="H246" s="10">
        <f>IF($AB246="","",IF(INDEX(기본자료!$F$2:$F$1001,$AB246)="","",INDEX(기본자료!$F$2:$F$1001,$AB246)))</f>
        <v/>
      </c>
      <c r="I246" s="11">
        <f>IF($AB246="","",IF(INDEX(기본자료!$G$2:$G$1001,$AB246)="","",IF(NOT(ISNUMBER(INDEX(기본자료!$G$2:$G$1001,$AB246))),INDEX(기본자료!$G$2:$G$1001,$AB246),IF(INDEX(기본자료!$G$2:$G$1001,$AB246)&lt;1000000,INDEX(기본자료!$G$2:$G$1001,$AB246),IF(AND(INDEX(기본자료!$G$2:$G$1001,$AB246)&gt;=10000101,INT(MOD(INDEX(기본자료!$G$2:$G$1001,$AB246),10000)/100)&gt;=1,INT(MOD(INDEX(기본자료!$G$2:$G$1001,$AB246),10000)/100)&lt;=12,MOD(INDEX(기본자료!$G$2:$G$1001,$AB246),100)&gt;=1,MOD(INDEX(기본자료!$G$2:$G$1001,$AB246),100)&lt;=31),DATE(INT(INDEX(기본자료!$G$2:$G$1001,$AB246)/10000),INT(MOD(INDEX(기본자료!$G$2:$G$1001,$AB246),10000)/100),MOD(INDEX(기본자료!$G$2:$G$1001,$AB246),100)),INDEX(기본자료!$G$2:$G$1001,$AB246)&amp;"")))))</f>
        <v/>
      </c>
      <c r="J246" s="10">
        <f>IF($AB246="","",IF(INDEX(기본자료!$H$2:$H$1001,$AB246)="","",INDEX(기본자료!$H$2:$H$1001,$AB246)))</f>
        <v/>
      </c>
      <c r="K246" s="10">
        <f>IF($AB246="","",IF(INDEX(기본자료!$I$2:$I$1001,$AB246)="","",INDEX(기본자료!$I$2:$I$1001,$AB246)))</f>
        <v/>
      </c>
      <c r="L246" s="10">
        <f>IF($AB246="","",IF(INDEX(기본자료!$A$2:$A$1001,$AB246)="","",INDEX(기본자료!$A$2:$A$1001,$AB246)))</f>
        <v/>
      </c>
      <c r="M246" s="15" t="n"/>
      <c r="N246" s="10">
        <f>IF($B246="","",IF(AND($U246="파견중",$Q246&lt;&gt;""),$Q246,IF(AND($AD246&lt;&gt;"",LEFT($AD246,1)&lt;&gt;"⚠"),LEFT($AD246,FIND(" ",$AD246)-1),IF($H246="","",IF(RIGHT($H246,2)="병원",$H246,$H246&amp;"병원")))))</f>
        <v/>
      </c>
      <c r="O246" s="10">
        <f>IF($B246="","",IF(AND($U246="파견중",$Q246&lt;&gt;""),IF($R246&lt;&gt;"",$R246,"파견과 미입력"),IF(AND($AD246&lt;&gt;"",LEFT($AD246,1)&lt;&gt;"⚠"),MID($AD246,FIND(" ",$AD246)+1,60),IF($F246="","",IF($F246="인턴","수련교육부(인턴)",$F246)))))</f>
        <v/>
      </c>
      <c r="P246" s="10">
        <f>IF($B246="","",IF($AK246&lt;&gt;"",IF(AND(TODAY()&gt;=INDEX(파견수련계획!$AB$4:$AB$83,$AK246),OR(NOT(ISNUMBER(INDEX(파견수련계획!$AC$4:$AC$83,$AK246))),TODAY()&lt;=INDEX(파견수련계획!$AC$4:$AC$83,$AK246))),"다기관",IF($AF246="","",INDEX(파견수련계획!$T$4:$T$83,$AF246))),IF($AF246="","",INDEX(파견수련계획!$T$4:$T$83,$AF246))))</f>
        <v/>
      </c>
      <c r="Q246" s="10">
        <f>IF($AF246="","",INDEX(파견수련계획!$S$4:$S$83,$AF246))</f>
        <v/>
      </c>
      <c r="R246" s="10">
        <f>IF($AF246="","",INDEX(파견수련계획!$U$4:$U$83,$AF246))</f>
        <v/>
      </c>
      <c r="S246" s="11">
        <f>IF($AF246="","",IF(INDEX(파견수련계획!$H$4:$H$83,$AF246)="","",INDEX(파견수련계획!$H$4:$H$83,$AF246)))</f>
        <v/>
      </c>
      <c r="T246" s="11">
        <f>IF($AF246="","",IF(INDEX(파견수련계획!$I$4:$I$83,$AF246)="","",INDEX(파견수련계획!$I$4:$I$83,$AF246)))</f>
        <v/>
      </c>
      <c r="U246" s="10">
        <f>IF($AF246="","",INDEX(파견수련계획!$X$4:$X$83,$AF246))</f>
        <v/>
      </c>
      <c r="V246" s="17">
        <f>IF($AF246="","",INDEX(파견수련계획!$V$4:$V$83,$AF246))</f>
        <v/>
      </c>
      <c r="W246" s="17">
        <f>IF(AND($U246="파견중",$T246&lt;&gt;""),$T246-TODAY(),"")</f>
        <v/>
      </c>
      <c r="X246" s="17">
        <f>IF(OR($B246="",TRIM($J246&amp;"")=""),"",SUMPRODUCT((파견수련계획!$Q$4:$Q$83=TRIM($J246&amp;""))*파견수련계획!$W$4:$W$83))</f>
        <v/>
      </c>
      <c r="Y246" s="10">
        <f>IF($B246="","",IF($AG246="","",IF(IF(TRIM($J246&amp;"")="",0,SUMPRODUCT((파견수련계획!$Q$4:$Q$83=TRIM($J246&amp;""))*파견수련계획!$AD$4:$AD$83))&gt;0,$AE246,IF(N($X246)&lt;=0,$AG246,IF($AH246+$AI246=DAY(EOMONTH(요약!$B$3,0)),IF(AND($AH246&gt;=요약!$E$3,$AI246&lt;요약!$E$3),"서울병원",IF(AND($AI246&gt;=요약!$E$3,$AH246&lt;요약!$E$3),"구리병원","⚠15일 판정불가(서울 "&amp;$AH246&amp;"일/구리 "&amp;$AI246&amp;"일)")),IF($AJ246="",$AE246,IF(INDEX(파견수련계획!$T$4:$T$83,$AJ246)="통합수련",INDEX(파견수련계획!$S$4:$S$83,$AJ246),$AE246)))))))</f>
        <v/>
      </c>
      <c r="Z246" s="19">
        <f>IF($B246="","",IF($AB246="","기본자료에 없는 사번",IF(COUNTIF($B$2:$B$401,$B246)&gt;1,"중복 사번",IF($AE246="","소속(입사장소) 입력",IF(IF(TRIM($J246&amp;"")="",0,SUMPRODUCT((파견수련계획!$Q$4:$Q$83=TRIM($J246&amp;""))*(파견수련계획!$AA$4:$AA$83&lt;&gt;"")))&gt;0,"파견수련계획 입력오류 확인",IF(LEFT($Y246,1)="⚠","서울·구리 15일 판정 불가(양쪽 모두 이상/미만)",IF(IF($AC246="",0,N(INDEX(인턴근무계획!$T$3:$T$62,$AC246)))&gt;0,"인턴계획 입력오류 확인",IF(AND($AC246&lt;&gt;"",$U246&lt;&gt;"파견중",$N246&lt;&gt;$AE246),"인턴 타지역 근무: 파견 여부 확인","정상"))))))))</f>
        <v/>
      </c>
      <c r="AA246" s="5" t="n"/>
      <c r="AB246" s="10">
        <f>IF($B246="","",IFERROR(MATCH($B246,기본자료!$B$2:$B$1001,0),IFERROR(MATCH($B246&amp;"",기본자료!$B$2:$B$1001,0),IFERROR(MATCH(VALUE($B246),기본자료!$B$2:$B$1001,0),""))))</f>
        <v/>
      </c>
      <c r="AC246" s="10">
        <f>IF($B246="","",IFERROR(MATCH($B246,인턴근무계획!$D$3:$D$62,0),IFERROR(MATCH($B246&amp;"",인턴근무계획!$D$3:$D$62,0),IFERROR(MATCH(VALUE($B246),인턴근무계획!$D$3:$D$62,0),""))))</f>
        <v/>
      </c>
      <c r="AD246" s="10">
        <f>IF(OR($AC246="",인턴현황!$G$3=""),"",INDEX(인턴근무계획!$M$3:$R$62,$AC246,인턴현황!$G$3)&amp;"")</f>
        <v/>
      </c>
      <c r="AE246" s="10">
        <f>IF($B246="","",IF($M246&lt;&gt;"",$M246,IF($AF246&lt;&gt;"",IF(LEFT(INDEX(파견수련계획!$R$4:$R$83,$AF246),1)&lt;&gt;"⚠",INDEX(파견수련계획!$R$4:$R$83,$AF246),IF($H246="","",IF(RIGHT($H246,2)="병원",$H246,$H246&amp;"병원"))),IF($H246="","",IF(RIGHT($H246,2)="병원",$H246,$H246&amp;"병원")))))</f>
        <v/>
      </c>
      <c r="AF246" s="10">
        <f>IF(OR($B246="",TRIM($J246&amp;"")=""),"",IFERROR(MATCH(TRIM($J246&amp;"")&amp;"|파견중",파견수련계획!$Y$4:$Y$83,0),IFERROR(MATCH(TRIM($J246&amp;"")&amp;"|파견예정",파견수련계획!$Y$4:$Y$83,0),IFERROR(MATCH(TRIM($J246&amp;"")&amp;"|파견종료",파견수련계획!$Y$4:$Y$83,0),""))))</f>
        <v/>
      </c>
      <c r="AG246" s="10">
        <f>IF($B246="","",IF(AND(IF(OR($AC246="",인턴현황!$K$2=""),"",INDEX(인턴근무계획!$M$3:$R$62,$AC246,인턴현황!$K$2)&amp;"")&lt;&gt;"",LEFT(IF(OR($AC246="",인턴현황!$K$2=""),"",INDEX(인턴근무계획!$M$3:$R$62,$AC246,인턴현황!$K$2)&amp;""),1)&lt;&gt;"⚠"),LEFT(IF(OR($AC246="",인턴현황!$K$2=""),"",INDEX(인턴근무계획!$M$3:$R$62,$AC246,인턴현황!$K$2)&amp;""),FIND(" ",IF(OR($AC246="",인턴현황!$K$2=""),"",INDEX(인턴근무계획!$M$3:$R$62,$AC246,인턴현황!$K$2)&amp;""))-1),$AE246))</f>
        <v/>
      </c>
      <c r="AH246" s="17">
        <f>IF($B246="","",IF(TRIM($J246&amp;"")="",0,SUMPRODUCT((파견수련계획!$Q$4:$Q$83=TRIM($J246&amp;""))*(파견수련계획!$S$4:$S$83="서울병원")*파견수련계획!$W$4:$W$83))+IF($AG246="서울병원",MAX(0,DAY(EOMONTH(요약!$B$3,0))-N($X246)),0))</f>
        <v/>
      </c>
      <c r="AI246" s="17">
        <f>IF($B246="","",IF(TRIM($J246&amp;"")="",0,SUMPRODUCT((파견수련계획!$Q$4:$Q$83=TRIM($J246&amp;""))*(파견수련계획!$S$4:$S$83="구리병원")*파견수련계획!$W$4:$W$83))+IF($AG246="구리병원",MAX(0,DAY(EOMONTH(요약!$B$3,0))-N($X246)),0))</f>
        <v/>
      </c>
      <c r="AJ246" s="10">
        <f>IF(OR($B246="",TRIM($J246&amp;"")=""),"",IFERROR(MATCH(TRIM($J246&amp;"")&amp;"|월",파견수련계획!$Z$4:$Z$83,0),""))</f>
        <v/>
      </c>
      <c r="AK246" s="10">
        <f>IF(OR($B246="",TRIM($J246&amp;"")=""),"",IFERROR(MATCH(TRIM($J246&amp;"")&amp;"|다기관",파견수련계획!$AE$4:$AE$83,0),""))</f>
        <v/>
      </c>
      <c r="AL246" s="10">
        <f>IF($AK246="","","다기관 "&amp;TEXT(INDEX(파견수련계획!$AB$4:$AB$83,$AK246),"yyyy-mm-dd")&amp;"~"&amp;IF(ISNUMBER(INDEX(파견수련계획!$AC$4:$AC$83,$AK246)),TEXT(INDEX(파견수련계획!$AC$4:$AC$83,$AK246),"yyyy-mm-dd"),""))</f>
        <v/>
      </c>
    </row>
    <row r="247">
      <c r="A247" s="10">
        <f>IF(B247="","",ROW()-1)</f>
        <v/>
      </c>
      <c r="B247" s="18" t="n"/>
      <c r="C247" s="10">
        <f>IF($AB247="","",IF(INDEX(기본자료!$C$2:$C$1001,$AB247)="","",INDEX(기본자료!$C$2:$C$1001,$AB247)))</f>
        <v/>
      </c>
      <c r="D247" s="10">
        <f>IF($AB247="","",IF(INDEX(기본자료!$J$2:$J$1001,$AB247)="","",INDEX(기본자료!$J$2:$J$1001,$AB247)))</f>
        <v/>
      </c>
      <c r="E247" s="11">
        <f>IF($AB247="","",IF(INDEX(기본자료!$K$2:$K$1001,$AB247)="","",IF(NOT(ISNUMBER(INDEX(기본자료!$K$2:$K$1001,$AB247))),INDEX(기본자료!$K$2:$K$1001,$AB247),IF(INDEX(기본자료!$K$2:$K$1001,$AB247)&lt;1000000,INDEX(기본자료!$K$2:$K$1001,$AB247),IF(AND(INDEX(기본자료!$K$2:$K$1001,$AB247)&gt;=10000101,INT(MOD(INDEX(기본자료!$K$2:$K$1001,$AB247),10000)/100)&gt;=1,INT(MOD(INDEX(기본자료!$K$2:$K$1001,$AB247),10000)/100)&lt;=12,MOD(INDEX(기본자료!$K$2:$K$1001,$AB247),100)&gt;=1,MOD(INDEX(기본자료!$K$2:$K$1001,$AB247),100)&lt;=31),DATE(INT(INDEX(기본자료!$K$2:$K$1001,$AB247)/10000),INT(MOD(INDEX(기본자료!$K$2:$K$1001,$AB247),10000)/100),MOD(INDEX(기본자료!$K$2:$K$1001,$AB247),100)),INDEX(기본자료!$K$2:$K$1001,$AB247)&amp;"")))))</f>
        <v/>
      </c>
      <c r="F247" s="10">
        <f>IF($AB247="","",IF(INDEX(기본자료!$D$2:$D$1001,$AB247)="","",INDEX(기본자료!$D$2:$D$1001,$AB247)))</f>
        <v/>
      </c>
      <c r="G247" s="10">
        <f>IF($AB247="","",IF(INDEX(기본자료!$E$2:$E$1001,$AB247)="","",INDEX(기본자료!$E$2:$E$1001,$AB247)))</f>
        <v/>
      </c>
      <c r="H247" s="10">
        <f>IF($AB247="","",IF(INDEX(기본자료!$F$2:$F$1001,$AB247)="","",INDEX(기본자료!$F$2:$F$1001,$AB247)))</f>
        <v/>
      </c>
      <c r="I247" s="11">
        <f>IF($AB247="","",IF(INDEX(기본자료!$G$2:$G$1001,$AB247)="","",IF(NOT(ISNUMBER(INDEX(기본자료!$G$2:$G$1001,$AB247))),INDEX(기본자료!$G$2:$G$1001,$AB247),IF(INDEX(기본자료!$G$2:$G$1001,$AB247)&lt;1000000,INDEX(기본자료!$G$2:$G$1001,$AB247),IF(AND(INDEX(기본자료!$G$2:$G$1001,$AB247)&gt;=10000101,INT(MOD(INDEX(기본자료!$G$2:$G$1001,$AB247),10000)/100)&gt;=1,INT(MOD(INDEX(기본자료!$G$2:$G$1001,$AB247),10000)/100)&lt;=12,MOD(INDEX(기본자료!$G$2:$G$1001,$AB247),100)&gt;=1,MOD(INDEX(기본자료!$G$2:$G$1001,$AB247),100)&lt;=31),DATE(INT(INDEX(기본자료!$G$2:$G$1001,$AB247)/10000),INT(MOD(INDEX(기본자료!$G$2:$G$1001,$AB247),10000)/100),MOD(INDEX(기본자료!$G$2:$G$1001,$AB247),100)),INDEX(기본자료!$G$2:$G$1001,$AB247)&amp;"")))))</f>
        <v/>
      </c>
      <c r="J247" s="10">
        <f>IF($AB247="","",IF(INDEX(기본자료!$H$2:$H$1001,$AB247)="","",INDEX(기본자료!$H$2:$H$1001,$AB247)))</f>
        <v/>
      </c>
      <c r="K247" s="10">
        <f>IF($AB247="","",IF(INDEX(기본자료!$I$2:$I$1001,$AB247)="","",INDEX(기본자료!$I$2:$I$1001,$AB247)))</f>
        <v/>
      </c>
      <c r="L247" s="10">
        <f>IF($AB247="","",IF(INDEX(기본자료!$A$2:$A$1001,$AB247)="","",INDEX(기본자료!$A$2:$A$1001,$AB247)))</f>
        <v/>
      </c>
      <c r="M247" s="15" t="n"/>
      <c r="N247" s="10">
        <f>IF($B247="","",IF(AND($U247="파견중",$Q247&lt;&gt;""),$Q247,IF(AND($AD247&lt;&gt;"",LEFT($AD247,1)&lt;&gt;"⚠"),LEFT($AD247,FIND(" ",$AD247)-1),IF($H247="","",IF(RIGHT($H247,2)="병원",$H247,$H247&amp;"병원")))))</f>
        <v/>
      </c>
      <c r="O247" s="10">
        <f>IF($B247="","",IF(AND($U247="파견중",$Q247&lt;&gt;""),IF($R247&lt;&gt;"",$R247,"파견과 미입력"),IF(AND($AD247&lt;&gt;"",LEFT($AD247,1)&lt;&gt;"⚠"),MID($AD247,FIND(" ",$AD247)+1,60),IF($F247="","",IF($F247="인턴","수련교육부(인턴)",$F247)))))</f>
        <v/>
      </c>
      <c r="P247" s="10">
        <f>IF($B247="","",IF($AK247&lt;&gt;"",IF(AND(TODAY()&gt;=INDEX(파견수련계획!$AB$4:$AB$83,$AK247),OR(NOT(ISNUMBER(INDEX(파견수련계획!$AC$4:$AC$83,$AK247))),TODAY()&lt;=INDEX(파견수련계획!$AC$4:$AC$83,$AK247))),"다기관",IF($AF247="","",INDEX(파견수련계획!$T$4:$T$83,$AF247))),IF($AF247="","",INDEX(파견수련계획!$T$4:$T$83,$AF247))))</f>
        <v/>
      </c>
      <c r="Q247" s="10">
        <f>IF($AF247="","",INDEX(파견수련계획!$S$4:$S$83,$AF247))</f>
        <v/>
      </c>
      <c r="R247" s="10">
        <f>IF($AF247="","",INDEX(파견수련계획!$U$4:$U$83,$AF247))</f>
        <v/>
      </c>
      <c r="S247" s="11">
        <f>IF($AF247="","",IF(INDEX(파견수련계획!$H$4:$H$83,$AF247)="","",INDEX(파견수련계획!$H$4:$H$83,$AF247)))</f>
        <v/>
      </c>
      <c r="T247" s="11">
        <f>IF($AF247="","",IF(INDEX(파견수련계획!$I$4:$I$83,$AF247)="","",INDEX(파견수련계획!$I$4:$I$83,$AF247)))</f>
        <v/>
      </c>
      <c r="U247" s="10">
        <f>IF($AF247="","",INDEX(파견수련계획!$X$4:$X$83,$AF247))</f>
        <v/>
      </c>
      <c r="V247" s="17">
        <f>IF($AF247="","",INDEX(파견수련계획!$V$4:$V$83,$AF247))</f>
        <v/>
      </c>
      <c r="W247" s="17">
        <f>IF(AND($U247="파견중",$T247&lt;&gt;""),$T247-TODAY(),"")</f>
        <v/>
      </c>
      <c r="X247" s="17">
        <f>IF(OR($B247="",TRIM($J247&amp;"")=""),"",SUMPRODUCT((파견수련계획!$Q$4:$Q$83=TRIM($J247&amp;""))*파견수련계획!$W$4:$W$83))</f>
        <v/>
      </c>
      <c r="Y247" s="10">
        <f>IF($B247="","",IF($AG247="","",IF(IF(TRIM($J247&amp;"")="",0,SUMPRODUCT((파견수련계획!$Q$4:$Q$83=TRIM($J247&amp;""))*파견수련계획!$AD$4:$AD$83))&gt;0,$AE247,IF(N($X247)&lt;=0,$AG247,IF($AH247+$AI247=DAY(EOMONTH(요약!$B$3,0)),IF(AND($AH247&gt;=요약!$E$3,$AI247&lt;요약!$E$3),"서울병원",IF(AND($AI247&gt;=요약!$E$3,$AH247&lt;요약!$E$3),"구리병원","⚠15일 판정불가(서울 "&amp;$AH247&amp;"일/구리 "&amp;$AI247&amp;"일)")),IF($AJ247="",$AE247,IF(INDEX(파견수련계획!$T$4:$T$83,$AJ247)="통합수련",INDEX(파견수련계획!$S$4:$S$83,$AJ247),$AE247)))))))</f>
        <v/>
      </c>
      <c r="Z247" s="19">
        <f>IF($B247="","",IF($AB247="","기본자료에 없는 사번",IF(COUNTIF($B$2:$B$401,$B247)&gt;1,"중복 사번",IF($AE247="","소속(입사장소) 입력",IF(IF(TRIM($J247&amp;"")="",0,SUMPRODUCT((파견수련계획!$Q$4:$Q$83=TRIM($J247&amp;""))*(파견수련계획!$AA$4:$AA$83&lt;&gt;"")))&gt;0,"파견수련계획 입력오류 확인",IF(LEFT($Y247,1)="⚠","서울·구리 15일 판정 불가(양쪽 모두 이상/미만)",IF(IF($AC247="",0,N(INDEX(인턴근무계획!$T$3:$T$62,$AC247)))&gt;0,"인턴계획 입력오류 확인",IF(AND($AC247&lt;&gt;"",$U247&lt;&gt;"파견중",$N247&lt;&gt;$AE247),"인턴 타지역 근무: 파견 여부 확인","정상"))))))))</f>
        <v/>
      </c>
      <c r="AA247" s="5" t="n"/>
      <c r="AB247" s="10">
        <f>IF($B247="","",IFERROR(MATCH($B247,기본자료!$B$2:$B$1001,0),IFERROR(MATCH($B247&amp;"",기본자료!$B$2:$B$1001,0),IFERROR(MATCH(VALUE($B247),기본자료!$B$2:$B$1001,0),""))))</f>
        <v/>
      </c>
      <c r="AC247" s="10">
        <f>IF($B247="","",IFERROR(MATCH($B247,인턴근무계획!$D$3:$D$62,0),IFERROR(MATCH($B247&amp;"",인턴근무계획!$D$3:$D$62,0),IFERROR(MATCH(VALUE($B247),인턴근무계획!$D$3:$D$62,0),""))))</f>
        <v/>
      </c>
      <c r="AD247" s="10">
        <f>IF(OR($AC247="",인턴현황!$G$3=""),"",INDEX(인턴근무계획!$M$3:$R$62,$AC247,인턴현황!$G$3)&amp;"")</f>
        <v/>
      </c>
      <c r="AE247" s="10">
        <f>IF($B247="","",IF($M247&lt;&gt;"",$M247,IF($AF247&lt;&gt;"",IF(LEFT(INDEX(파견수련계획!$R$4:$R$83,$AF247),1)&lt;&gt;"⚠",INDEX(파견수련계획!$R$4:$R$83,$AF247),IF($H247="","",IF(RIGHT($H247,2)="병원",$H247,$H247&amp;"병원"))),IF($H247="","",IF(RIGHT($H247,2)="병원",$H247,$H247&amp;"병원")))))</f>
        <v/>
      </c>
      <c r="AF247" s="10">
        <f>IF(OR($B247="",TRIM($J247&amp;"")=""),"",IFERROR(MATCH(TRIM($J247&amp;"")&amp;"|파견중",파견수련계획!$Y$4:$Y$83,0),IFERROR(MATCH(TRIM($J247&amp;"")&amp;"|파견예정",파견수련계획!$Y$4:$Y$83,0),IFERROR(MATCH(TRIM($J247&amp;"")&amp;"|파견종료",파견수련계획!$Y$4:$Y$83,0),""))))</f>
        <v/>
      </c>
      <c r="AG247" s="10">
        <f>IF($B247="","",IF(AND(IF(OR($AC247="",인턴현황!$K$2=""),"",INDEX(인턴근무계획!$M$3:$R$62,$AC247,인턴현황!$K$2)&amp;"")&lt;&gt;"",LEFT(IF(OR($AC247="",인턴현황!$K$2=""),"",INDEX(인턴근무계획!$M$3:$R$62,$AC247,인턴현황!$K$2)&amp;""),1)&lt;&gt;"⚠"),LEFT(IF(OR($AC247="",인턴현황!$K$2=""),"",INDEX(인턴근무계획!$M$3:$R$62,$AC247,인턴현황!$K$2)&amp;""),FIND(" ",IF(OR($AC247="",인턴현황!$K$2=""),"",INDEX(인턴근무계획!$M$3:$R$62,$AC247,인턴현황!$K$2)&amp;""))-1),$AE247))</f>
        <v/>
      </c>
      <c r="AH247" s="17">
        <f>IF($B247="","",IF(TRIM($J247&amp;"")="",0,SUMPRODUCT((파견수련계획!$Q$4:$Q$83=TRIM($J247&amp;""))*(파견수련계획!$S$4:$S$83="서울병원")*파견수련계획!$W$4:$W$83))+IF($AG247="서울병원",MAX(0,DAY(EOMONTH(요약!$B$3,0))-N($X247)),0))</f>
        <v/>
      </c>
      <c r="AI247" s="17">
        <f>IF($B247="","",IF(TRIM($J247&amp;"")="",0,SUMPRODUCT((파견수련계획!$Q$4:$Q$83=TRIM($J247&amp;""))*(파견수련계획!$S$4:$S$83="구리병원")*파견수련계획!$W$4:$W$83))+IF($AG247="구리병원",MAX(0,DAY(EOMONTH(요약!$B$3,0))-N($X247)),0))</f>
        <v/>
      </c>
      <c r="AJ247" s="10">
        <f>IF(OR($B247="",TRIM($J247&amp;"")=""),"",IFERROR(MATCH(TRIM($J247&amp;"")&amp;"|월",파견수련계획!$Z$4:$Z$83,0),""))</f>
        <v/>
      </c>
      <c r="AK247" s="10">
        <f>IF(OR($B247="",TRIM($J247&amp;"")=""),"",IFERROR(MATCH(TRIM($J247&amp;"")&amp;"|다기관",파견수련계획!$AE$4:$AE$83,0),""))</f>
        <v/>
      </c>
      <c r="AL247" s="10">
        <f>IF($AK247="","","다기관 "&amp;TEXT(INDEX(파견수련계획!$AB$4:$AB$83,$AK247),"yyyy-mm-dd")&amp;"~"&amp;IF(ISNUMBER(INDEX(파견수련계획!$AC$4:$AC$83,$AK247)),TEXT(INDEX(파견수련계획!$AC$4:$AC$83,$AK247),"yyyy-mm-dd"),""))</f>
        <v/>
      </c>
    </row>
    <row r="248">
      <c r="A248" s="10">
        <f>IF(B248="","",ROW()-1)</f>
        <v/>
      </c>
      <c r="B248" s="18" t="n"/>
      <c r="C248" s="10">
        <f>IF($AB248="","",IF(INDEX(기본자료!$C$2:$C$1001,$AB248)="","",INDEX(기본자료!$C$2:$C$1001,$AB248)))</f>
        <v/>
      </c>
      <c r="D248" s="10">
        <f>IF($AB248="","",IF(INDEX(기본자료!$J$2:$J$1001,$AB248)="","",INDEX(기본자료!$J$2:$J$1001,$AB248)))</f>
        <v/>
      </c>
      <c r="E248" s="11">
        <f>IF($AB248="","",IF(INDEX(기본자료!$K$2:$K$1001,$AB248)="","",IF(NOT(ISNUMBER(INDEX(기본자료!$K$2:$K$1001,$AB248))),INDEX(기본자료!$K$2:$K$1001,$AB248),IF(INDEX(기본자료!$K$2:$K$1001,$AB248)&lt;1000000,INDEX(기본자료!$K$2:$K$1001,$AB248),IF(AND(INDEX(기본자료!$K$2:$K$1001,$AB248)&gt;=10000101,INT(MOD(INDEX(기본자료!$K$2:$K$1001,$AB248),10000)/100)&gt;=1,INT(MOD(INDEX(기본자료!$K$2:$K$1001,$AB248),10000)/100)&lt;=12,MOD(INDEX(기본자료!$K$2:$K$1001,$AB248),100)&gt;=1,MOD(INDEX(기본자료!$K$2:$K$1001,$AB248),100)&lt;=31),DATE(INT(INDEX(기본자료!$K$2:$K$1001,$AB248)/10000),INT(MOD(INDEX(기본자료!$K$2:$K$1001,$AB248),10000)/100),MOD(INDEX(기본자료!$K$2:$K$1001,$AB248),100)),INDEX(기본자료!$K$2:$K$1001,$AB248)&amp;"")))))</f>
        <v/>
      </c>
      <c r="F248" s="10">
        <f>IF($AB248="","",IF(INDEX(기본자료!$D$2:$D$1001,$AB248)="","",INDEX(기본자료!$D$2:$D$1001,$AB248)))</f>
        <v/>
      </c>
      <c r="G248" s="10">
        <f>IF($AB248="","",IF(INDEX(기본자료!$E$2:$E$1001,$AB248)="","",INDEX(기본자료!$E$2:$E$1001,$AB248)))</f>
        <v/>
      </c>
      <c r="H248" s="10">
        <f>IF($AB248="","",IF(INDEX(기본자료!$F$2:$F$1001,$AB248)="","",INDEX(기본자료!$F$2:$F$1001,$AB248)))</f>
        <v/>
      </c>
      <c r="I248" s="11">
        <f>IF($AB248="","",IF(INDEX(기본자료!$G$2:$G$1001,$AB248)="","",IF(NOT(ISNUMBER(INDEX(기본자료!$G$2:$G$1001,$AB248))),INDEX(기본자료!$G$2:$G$1001,$AB248),IF(INDEX(기본자료!$G$2:$G$1001,$AB248)&lt;1000000,INDEX(기본자료!$G$2:$G$1001,$AB248),IF(AND(INDEX(기본자료!$G$2:$G$1001,$AB248)&gt;=10000101,INT(MOD(INDEX(기본자료!$G$2:$G$1001,$AB248),10000)/100)&gt;=1,INT(MOD(INDEX(기본자료!$G$2:$G$1001,$AB248),10000)/100)&lt;=12,MOD(INDEX(기본자료!$G$2:$G$1001,$AB248),100)&gt;=1,MOD(INDEX(기본자료!$G$2:$G$1001,$AB248),100)&lt;=31),DATE(INT(INDEX(기본자료!$G$2:$G$1001,$AB248)/10000),INT(MOD(INDEX(기본자료!$G$2:$G$1001,$AB248),10000)/100),MOD(INDEX(기본자료!$G$2:$G$1001,$AB248),100)),INDEX(기본자료!$G$2:$G$1001,$AB248)&amp;"")))))</f>
        <v/>
      </c>
      <c r="J248" s="10">
        <f>IF($AB248="","",IF(INDEX(기본자료!$H$2:$H$1001,$AB248)="","",INDEX(기본자료!$H$2:$H$1001,$AB248)))</f>
        <v/>
      </c>
      <c r="K248" s="10">
        <f>IF($AB248="","",IF(INDEX(기본자료!$I$2:$I$1001,$AB248)="","",INDEX(기본자료!$I$2:$I$1001,$AB248)))</f>
        <v/>
      </c>
      <c r="L248" s="10">
        <f>IF($AB248="","",IF(INDEX(기본자료!$A$2:$A$1001,$AB248)="","",INDEX(기본자료!$A$2:$A$1001,$AB248)))</f>
        <v/>
      </c>
      <c r="M248" s="15" t="n"/>
      <c r="N248" s="10">
        <f>IF($B248="","",IF(AND($U248="파견중",$Q248&lt;&gt;""),$Q248,IF(AND($AD248&lt;&gt;"",LEFT($AD248,1)&lt;&gt;"⚠"),LEFT($AD248,FIND(" ",$AD248)-1),IF($H248="","",IF(RIGHT($H248,2)="병원",$H248,$H248&amp;"병원")))))</f>
        <v/>
      </c>
      <c r="O248" s="10">
        <f>IF($B248="","",IF(AND($U248="파견중",$Q248&lt;&gt;""),IF($R248&lt;&gt;"",$R248,"파견과 미입력"),IF(AND($AD248&lt;&gt;"",LEFT($AD248,1)&lt;&gt;"⚠"),MID($AD248,FIND(" ",$AD248)+1,60),IF($F248="","",IF($F248="인턴","수련교육부(인턴)",$F248)))))</f>
        <v/>
      </c>
      <c r="P248" s="10">
        <f>IF($B248="","",IF($AK248&lt;&gt;"",IF(AND(TODAY()&gt;=INDEX(파견수련계획!$AB$4:$AB$83,$AK248),OR(NOT(ISNUMBER(INDEX(파견수련계획!$AC$4:$AC$83,$AK248))),TODAY()&lt;=INDEX(파견수련계획!$AC$4:$AC$83,$AK248))),"다기관",IF($AF248="","",INDEX(파견수련계획!$T$4:$T$83,$AF248))),IF($AF248="","",INDEX(파견수련계획!$T$4:$T$83,$AF248))))</f>
        <v/>
      </c>
      <c r="Q248" s="10">
        <f>IF($AF248="","",INDEX(파견수련계획!$S$4:$S$83,$AF248))</f>
        <v/>
      </c>
      <c r="R248" s="10">
        <f>IF($AF248="","",INDEX(파견수련계획!$U$4:$U$83,$AF248))</f>
        <v/>
      </c>
      <c r="S248" s="11">
        <f>IF($AF248="","",IF(INDEX(파견수련계획!$H$4:$H$83,$AF248)="","",INDEX(파견수련계획!$H$4:$H$83,$AF248)))</f>
        <v/>
      </c>
      <c r="T248" s="11">
        <f>IF($AF248="","",IF(INDEX(파견수련계획!$I$4:$I$83,$AF248)="","",INDEX(파견수련계획!$I$4:$I$83,$AF248)))</f>
        <v/>
      </c>
      <c r="U248" s="10">
        <f>IF($AF248="","",INDEX(파견수련계획!$X$4:$X$83,$AF248))</f>
        <v/>
      </c>
      <c r="V248" s="17">
        <f>IF($AF248="","",INDEX(파견수련계획!$V$4:$V$83,$AF248))</f>
        <v/>
      </c>
      <c r="W248" s="17">
        <f>IF(AND($U248="파견중",$T248&lt;&gt;""),$T248-TODAY(),"")</f>
        <v/>
      </c>
      <c r="X248" s="17">
        <f>IF(OR($B248="",TRIM($J248&amp;"")=""),"",SUMPRODUCT((파견수련계획!$Q$4:$Q$83=TRIM($J248&amp;""))*파견수련계획!$W$4:$W$83))</f>
        <v/>
      </c>
      <c r="Y248" s="10">
        <f>IF($B248="","",IF($AG248="","",IF(IF(TRIM($J248&amp;"")="",0,SUMPRODUCT((파견수련계획!$Q$4:$Q$83=TRIM($J248&amp;""))*파견수련계획!$AD$4:$AD$83))&gt;0,$AE248,IF(N($X248)&lt;=0,$AG248,IF($AH248+$AI248=DAY(EOMONTH(요약!$B$3,0)),IF(AND($AH248&gt;=요약!$E$3,$AI248&lt;요약!$E$3),"서울병원",IF(AND($AI248&gt;=요약!$E$3,$AH248&lt;요약!$E$3),"구리병원","⚠15일 판정불가(서울 "&amp;$AH248&amp;"일/구리 "&amp;$AI248&amp;"일)")),IF($AJ248="",$AE248,IF(INDEX(파견수련계획!$T$4:$T$83,$AJ248)="통합수련",INDEX(파견수련계획!$S$4:$S$83,$AJ248),$AE248)))))))</f>
        <v/>
      </c>
      <c r="Z248" s="19">
        <f>IF($B248="","",IF($AB248="","기본자료에 없는 사번",IF(COUNTIF($B$2:$B$401,$B248)&gt;1,"중복 사번",IF($AE248="","소속(입사장소) 입력",IF(IF(TRIM($J248&amp;"")="",0,SUMPRODUCT((파견수련계획!$Q$4:$Q$83=TRIM($J248&amp;""))*(파견수련계획!$AA$4:$AA$83&lt;&gt;"")))&gt;0,"파견수련계획 입력오류 확인",IF(LEFT($Y248,1)="⚠","서울·구리 15일 판정 불가(양쪽 모두 이상/미만)",IF(IF($AC248="",0,N(INDEX(인턴근무계획!$T$3:$T$62,$AC248)))&gt;0,"인턴계획 입력오류 확인",IF(AND($AC248&lt;&gt;"",$U248&lt;&gt;"파견중",$N248&lt;&gt;$AE248),"인턴 타지역 근무: 파견 여부 확인","정상"))))))))</f>
        <v/>
      </c>
      <c r="AA248" s="5" t="n"/>
      <c r="AB248" s="10">
        <f>IF($B248="","",IFERROR(MATCH($B248,기본자료!$B$2:$B$1001,0),IFERROR(MATCH($B248&amp;"",기본자료!$B$2:$B$1001,0),IFERROR(MATCH(VALUE($B248),기본자료!$B$2:$B$1001,0),""))))</f>
        <v/>
      </c>
      <c r="AC248" s="10">
        <f>IF($B248="","",IFERROR(MATCH($B248,인턴근무계획!$D$3:$D$62,0),IFERROR(MATCH($B248&amp;"",인턴근무계획!$D$3:$D$62,0),IFERROR(MATCH(VALUE($B248),인턴근무계획!$D$3:$D$62,0),""))))</f>
        <v/>
      </c>
      <c r="AD248" s="10">
        <f>IF(OR($AC248="",인턴현황!$G$3=""),"",INDEX(인턴근무계획!$M$3:$R$62,$AC248,인턴현황!$G$3)&amp;"")</f>
        <v/>
      </c>
      <c r="AE248" s="10">
        <f>IF($B248="","",IF($M248&lt;&gt;"",$M248,IF($AF248&lt;&gt;"",IF(LEFT(INDEX(파견수련계획!$R$4:$R$83,$AF248),1)&lt;&gt;"⚠",INDEX(파견수련계획!$R$4:$R$83,$AF248),IF($H248="","",IF(RIGHT($H248,2)="병원",$H248,$H248&amp;"병원"))),IF($H248="","",IF(RIGHT($H248,2)="병원",$H248,$H248&amp;"병원")))))</f>
        <v/>
      </c>
      <c r="AF248" s="10">
        <f>IF(OR($B248="",TRIM($J248&amp;"")=""),"",IFERROR(MATCH(TRIM($J248&amp;"")&amp;"|파견중",파견수련계획!$Y$4:$Y$83,0),IFERROR(MATCH(TRIM($J248&amp;"")&amp;"|파견예정",파견수련계획!$Y$4:$Y$83,0),IFERROR(MATCH(TRIM($J248&amp;"")&amp;"|파견종료",파견수련계획!$Y$4:$Y$83,0),""))))</f>
        <v/>
      </c>
      <c r="AG248" s="10">
        <f>IF($B248="","",IF(AND(IF(OR($AC248="",인턴현황!$K$2=""),"",INDEX(인턴근무계획!$M$3:$R$62,$AC248,인턴현황!$K$2)&amp;"")&lt;&gt;"",LEFT(IF(OR($AC248="",인턴현황!$K$2=""),"",INDEX(인턴근무계획!$M$3:$R$62,$AC248,인턴현황!$K$2)&amp;""),1)&lt;&gt;"⚠"),LEFT(IF(OR($AC248="",인턴현황!$K$2=""),"",INDEX(인턴근무계획!$M$3:$R$62,$AC248,인턴현황!$K$2)&amp;""),FIND(" ",IF(OR($AC248="",인턴현황!$K$2=""),"",INDEX(인턴근무계획!$M$3:$R$62,$AC248,인턴현황!$K$2)&amp;""))-1),$AE248))</f>
        <v/>
      </c>
      <c r="AH248" s="17">
        <f>IF($B248="","",IF(TRIM($J248&amp;"")="",0,SUMPRODUCT((파견수련계획!$Q$4:$Q$83=TRIM($J248&amp;""))*(파견수련계획!$S$4:$S$83="서울병원")*파견수련계획!$W$4:$W$83))+IF($AG248="서울병원",MAX(0,DAY(EOMONTH(요약!$B$3,0))-N($X248)),0))</f>
        <v/>
      </c>
      <c r="AI248" s="17">
        <f>IF($B248="","",IF(TRIM($J248&amp;"")="",0,SUMPRODUCT((파견수련계획!$Q$4:$Q$83=TRIM($J248&amp;""))*(파견수련계획!$S$4:$S$83="구리병원")*파견수련계획!$W$4:$W$83))+IF($AG248="구리병원",MAX(0,DAY(EOMONTH(요약!$B$3,0))-N($X248)),0))</f>
        <v/>
      </c>
      <c r="AJ248" s="10">
        <f>IF(OR($B248="",TRIM($J248&amp;"")=""),"",IFERROR(MATCH(TRIM($J248&amp;"")&amp;"|월",파견수련계획!$Z$4:$Z$83,0),""))</f>
        <v/>
      </c>
      <c r="AK248" s="10">
        <f>IF(OR($B248="",TRIM($J248&amp;"")=""),"",IFERROR(MATCH(TRIM($J248&amp;"")&amp;"|다기관",파견수련계획!$AE$4:$AE$83,0),""))</f>
        <v/>
      </c>
      <c r="AL248" s="10">
        <f>IF($AK248="","","다기관 "&amp;TEXT(INDEX(파견수련계획!$AB$4:$AB$83,$AK248),"yyyy-mm-dd")&amp;"~"&amp;IF(ISNUMBER(INDEX(파견수련계획!$AC$4:$AC$83,$AK248)),TEXT(INDEX(파견수련계획!$AC$4:$AC$83,$AK248),"yyyy-mm-dd"),""))</f>
        <v/>
      </c>
    </row>
    <row r="249">
      <c r="A249" s="10">
        <f>IF(B249="","",ROW()-1)</f>
        <v/>
      </c>
      <c r="B249" s="18" t="n"/>
      <c r="C249" s="10">
        <f>IF($AB249="","",IF(INDEX(기본자료!$C$2:$C$1001,$AB249)="","",INDEX(기본자료!$C$2:$C$1001,$AB249)))</f>
        <v/>
      </c>
      <c r="D249" s="10">
        <f>IF($AB249="","",IF(INDEX(기본자료!$J$2:$J$1001,$AB249)="","",INDEX(기본자료!$J$2:$J$1001,$AB249)))</f>
        <v/>
      </c>
      <c r="E249" s="11">
        <f>IF($AB249="","",IF(INDEX(기본자료!$K$2:$K$1001,$AB249)="","",IF(NOT(ISNUMBER(INDEX(기본자료!$K$2:$K$1001,$AB249))),INDEX(기본자료!$K$2:$K$1001,$AB249),IF(INDEX(기본자료!$K$2:$K$1001,$AB249)&lt;1000000,INDEX(기본자료!$K$2:$K$1001,$AB249),IF(AND(INDEX(기본자료!$K$2:$K$1001,$AB249)&gt;=10000101,INT(MOD(INDEX(기본자료!$K$2:$K$1001,$AB249),10000)/100)&gt;=1,INT(MOD(INDEX(기본자료!$K$2:$K$1001,$AB249),10000)/100)&lt;=12,MOD(INDEX(기본자료!$K$2:$K$1001,$AB249),100)&gt;=1,MOD(INDEX(기본자료!$K$2:$K$1001,$AB249),100)&lt;=31),DATE(INT(INDEX(기본자료!$K$2:$K$1001,$AB249)/10000),INT(MOD(INDEX(기본자료!$K$2:$K$1001,$AB249),10000)/100),MOD(INDEX(기본자료!$K$2:$K$1001,$AB249),100)),INDEX(기본자료!$K$2:$K$1001,$AB249)&amp;"")))))</f>
        <v/>
      </c>
      <c r="F249" s="10">
        <f>IF($AB249="","",IF(INDEX(기본자료!$D$2:$D$1001,$AB249)="","",INDEX(기본자료!$D$2:$D$1001,$AB249)))</f>
        <v/>
      </c>
      <c r="G249" s="10">
        <f>IF($AB249="","",IF(INDEX(기본자료!$E$2:$E$1001,$AB249)="","",INDEX(기본자료!$E$2:$E$1001,$AB249)))</f>
        <v/>
      </c>
      <c r="H249" s="10">
        <f>IF($AB249="","",IF(INDEX(기본자료!$F$2:$F$1001,$AB249)="","",INDEX(기본자료!$F$2:$F$1001,$AB249)))</f>
        <v/>
      </c>
      <c r="I249" s="11">
        <f>IF($AB249="","",IF(INDEX(기본자료!$G$2:$G$1001,$AB249)="","",IF(NOT(ISNUMBER(INDEX(기본자료!$G$2:$G$1001,$AB249))),INDEX(기본자료!$G$2:$G$1001,$AB249),IF(INDEX(기본자료!$G$2:$G$1001,$AB249)&lt;1000000,INDEX(기본자료!$G$2:$G$1001,$AB249),IF(AND(INDEX(기본자료!$G$2:$G$1001,$AB249)&gt;=10000101,INT(MOD(INDEX(기본자료!$G$2:$G$1001,$AB249),10000)/100)&gt;=1,INT(MOD(INDEX(기본자료!$G$2:$G$1001,$AB249),10000)/100)&lt;=12,MOD(INDEX(기본자료!$G$2:$G$1001,$AB249),100)&gt;=1,MOD(INDEX(기본자료!$G$2:$G$1001,$AB249),100)&lt;=31),DATE(INT(INDEX(기본자료!$G$2:$G$1001,$AB249)/10000),INT(MOD(INDEX(기본자료!$G$2:$G$1001,$AB249),10000)/100),MOD(INDEX(기본자료!$G$2:$G$1001,$AB249),100)),INDEX(기본자료!$G$2:$G$1001,$AB249)&amp;"")))))</f>
        <v/>
      </c>
      <c r="J249" s="10">
        <f>IF($AB249="","",IF(INDEX(기본자료!$H$2:$H$1001,$AB249)="","",INDEX(기본자료!$H$2:$H$1001,$AB249)))</f>
        <v/>
      </c>
      <c r="K249" s="10">
        <f>IF($AB249="","",IF(INDEX(기본자료!$I$2:$I$1001,$AB249)="","",INDEX(기본자료!$I$2:$I$1001,$AB249)))</f>
        <v/>
      </c>
      <c r="L249" s="10">
        <f>IF($AB249="","",IF(INDEX(기본자료!$A$2:$A$1001,$AB249)="","",INDEX(기본자료!$A$2:$A$1001,$AB249)))</f>
        <v/>
      </c>
      <c r="M249" s="15" t="n"/>
      <c r="N249" s="10">
        <f>IF($B249="","",IF(AND($U249="파견중",$Q249&lt;&gt;""),$Q249,IF(AND($AD249&lt;&gt;"",LEFT($AD249,1)&lt;&gt;"⚠"),LEFT($AD249,FIND(" ",$AD249)-1),IF($H249="","",IF(RIGHT($H249,2)="병원",$H249,$H249&amp;"병원")))))</f>
        <v/>
      </c>
      <c r="O249" s="10">
        <f>IF($B249="","",IF(AND($U249="파견중",$Q249&lt;&gt;""),IF($R249&lt;&gt;"",$R249,"파견과 미입력"),IF(AND($AD249&lt;&gt;"",LEFT($AD249,1)&lt;&gt;"⚠"),MID($AD249,FIND(" ",$AD249)+1,60),IF($F249="","",IF($F249="인턴","수련교육부(인턴)",$F249)))))</f>
        <v/>
      </c>
      <c r="P249" s="10">
        <f>IF($B249="","",IF($AK249&lt;&gt;"",IF(AND(TODAY()&gt;=INDEX(파견수련계획!$AB$4:$AB$83,$AK249),OR(NOT(ISNUMBER(INDEX(파견수련계획!$AC$4:$AC$83,$AK249))),TODAY()&lt;=INDEX(파견수련계획!$AC$4:$AC$83,$AK249))),"다기관",IF($AF249="","",INDEX(파견수련계획!$T$4:$T$83,$AF249))),IF($AF249="","",INDEX(파견수련계획!$T$4:$T$83,$AF249))))</f>
        <v/>
      </c>
      <c r="Q249" s="10">
        <f>IF($AF249="","",INDEX(파견수련계획!$S$4:$S$83,$AF249))</f>
        <v/>
      </c>
      <c r="R249" s="10">
        <f>IF($AF249="","",INDEX(파견수련계획!$U$4:$U$83,$AF249))</f>
        <v/>
      </c>
      <c r="S249" s="11">
        <f>IF($AF249="","",IF(INDEX(파견수련계획!$H$4:$H$83,$AF249)="","",INDEX(파견수련계획!$H$4:$H$83,$AF249)))</f>
        <v/>
      </c>
      <c r="T249" s="11">
        <f>IF($AF249="","",IF(INDEX(파견수련계획!$I$4:$I$83,$AF249)="","",INDEX(파견수련계획!$I$4:$I$83,$AF249)))</f>
        <v/>
      </c>
      <c r="U249" s="10">
        <f>IF($AF249="","",INDEX(파견수련계획!$X$4:$X$83,$AF249))</f>
        <v/>
      </c>
      <c r="V249" s="17">
        <f>IF($AF249="","",INDEX(파견수련계획!$V$4:$V$83,$AF249))</f>
        <v/>
      </c>
      <c r="W249" s="17">
        <f>IF(AND($U249="파견중",$T249&lt;&gt;""),$T249-TODAY(),"")</f>
        <v/>
      </c>
      <c r="X249" s="17">
        <f>IF(OR($B249="",TRIM($J249&amp;"")=""),"",SUMPRODUCT((파견수련계획!$Q$4:$Q$83=TRIM($J249&amp;""))*파견수련계획!$W$4:$W$83))</f>
        <v/>
      </c>
      <c r="Y249" s="10">
        <f>IF($B249="","",IF($AG249="","",IF(IF(TRIM($J249&amp;"")="",0,SUMPRODUCT((파견수련계획!$Q$4:$Q$83=TRIM($J249&amp;""))*파견수련계획!$AD$4:$AD$83))&gt;0,$AE249,IF(N($X249)&lt;=0,$AG249,IF($AH249+$AI249=DAY(EOMONTH(요약!$B$3,0)),IF(AND($AH249&gt;=요약!$E$3,$AI249&lt;요약!$E$3),"서울병원",IF(AND($AI249&gt;=요약!$E$3,$AH249&lt;요약!$E$3),"구리병원","⚠15일 판정불가(서울 "&amp;$AH249&amp;"일/구리 "&amp;$AI249&amp;"일)")),IF($AJ249="",$AE249,IF(INDEX(파견수련계획!$T$4:$T$83,$AJ249)="통합수련",INDEX(파견수련계획!$S$4:$S$83,$AJ249),$AE249)))))))</f>
        <v/>
      </c>
      <c r="Z249" s="19">
        <f>IF($B249="","",IF($AB249="","기본자료에 없는 사번",IF(COUNTIF($B$2:$B$401,$B249)&gt;1,"중복 사번",IF($AE249="","소속(입사장소) 입력",IF(IF(TRIM($J249&amp;"")="",0,SUMPRODUCT((파견수련계획!$Q$4:$Q$83=TRIM($J249&amp;""))*(파견수련계획!$AA$4:$AA$83&lt;&gt;"")))&gt;0,"파견수련계획 입력오류 확인",IF(LEFT($Y249,1)="⚠","서울·구리 15일 판정 불가(양쪽 모두 이상/미만)",IF(IF($AC249="",0,N(INDEX(인턴근무계획!$T$3:$T$62,$AC249)))&gt;0,"인턴계획 입력오류 확인",IF(AND($AC249&lt;&gt;"",$U249&lt;&gt;"파견중",$N249&lt;&gt;$AE249),"인턴 타지역 근무: 파견 여부 확인","정상"))))))))</f>
        <v/>
      </c>
      <c r="AA249" s="5" t="n"/>
      <c r="AB249" s="10">
        <f>IF($B249="","",IFERROR(MATCH($B249,기본자료!$B$2:$B$1001,0),IFERROR(MATCH($B249&amp;"",기본자료!$B$2:$B$1001,0),IFERROR(MATCH(VALUE($B249),기본자료!$B$2:$B$1001,0),""))))</f>
        <v/>
      </c>
      <c r="AC249" s="10">
        <f>IF($B249="","",IFERROR(MATCH($B249,인턴근무계획!$D$3:$D$62,0),IFERROR(MATCH($B249&amp;"",인턴근무계획!$D$3:$D$62,0),IFERROR(MATCH(VALUE($B249),인턴근무계획!$D$3:$D$62,0),""))))</f>
        <v/>
      </c>
      <c r="AD249" s="10">
        <f>IF(OR($AC249="",인턴현황!$G$3=""),"",INDEX(인턴근무계획!$M$3:$R$62,$AC249,인턴현황!$G$3)&amp;"")</f>
        <v/>
      </c>
      <c r="AE249" s="10">
        <f>IF($B249="","",IF($M249&lt;&gt;"",$M249,IF($AF249&lt;&gt;"",IF(LEFT(INDEX(파견수련계획!$R$4:$R$83,$AF249),1)&lt;&gt;"⚠",INDEX(파견수련계획!$R$4:$R$83,$AF249),IF($H249="","",IF(RIGHT($H249,2)="병원",$H249,$H249&amp;"병원"))),IF($H249="","",IF(RIGHT($H249,2)="병원",$H249,$H249&amp;"병원")))))</f>
        <v/>
      </c>
      <c r="AF249" s="10">
        <f>IF(OR($B249="",TRIM($J249&amp;"")=""),"",IFERROR(MATCH(TRIM($J249&amp;"")&amp;"|파견중",파견수련계획!$Y$4:$Y$83,0),IFERROR(MATCH(TRIM($J249&amp;"")&amp;"|파견예정",파견수련계획!$Y$4:$Y$83,0),IFERROR(MATCH(TRIM($J249&amp;"")&amp;"|파견종료",파견수련계획!$Y$4:$Y$83,0),""))))</f>
        <v/>
      </c>
      <c r="AG249" s="10">
        <f>IF($B249="","",IF(AND(IF(OR($AC249="",인턴현황!$K$2=""),"",INDEX(인턴근무계획!$M$3:$R$62,$AC249,인턴현황!$K$2)&amp;"")&lt;&gt;"",LEFT(IF(OR($AC249="",인턴현황!$K$2=""),"",INDEX(인턴근무계획!$M$3:$R$62,$AC249,인턴현황!$K$2)&amp;""),1)&lt;&gt;"⚠"),LEFT(IF(OR($AC249="",인턴현황!$K$2=""),"",INDEX(인턴근무계획!$M$3:$R$62,$AC249,인턴현황!$K$2)&amp;""),FIND(" ",IF(OR($AC249="",인턴현황!$K$2=""),"",INDEX(인턴근무계획!$M$3:$R$62,$AC249,인턴현황!$K$2)&amp;""))-1),$AE249))</f>
        <v/>
      </c>
      <c r="AH249" s="17">
        <f>IF($B249="","",IF(TRIM($J249&amp;"")="",0,SUMPRODUCT((파견수련계획!$Q$4:$Q$83=TRIM($J249&amp;""))*(파견수련계획!$S$4:$S$83="서울병원")*파견수련계획!$W$4:$W$83))+IF($AG249="서울병원",MAX(0,DAY(EOMONTH(요약!$B$3,0))-N($X249)),0))</f>
        <v/>
      </c>
      <c r="AI249" s="17">
        <f>IF($B249="","",IF(TRIM($J249&amp;"")="",0,SUMPRODUCT((파견수련계획!$Q$4:$Q$83=TRIM($J249&amp;""))*(파견수련계획!$S$4:$S$83="구리병원")*파견수련계획!$W$4:$W$83))+IF($AG249="구리병원",MAX(0,DAY(EOMONTH(요약!$B$3,0))-N($X249)),0))</f>
        <v/>
      </c>
      <c r="AJ249" s="10">
        <f>IF(OR($B249="",TRIM($J249&amp;"")=""),"",IFERROR(MATCH(TRIM($J249&amp;"")&amp;"|월",파견수련계획!$Z$4:$Z$83,0),""))</f>
        <v/>
      </c>
      <c r="AK249" s="10">
        <f>IF(OR($B249="",TRIM($J249&amp;"")=""),"",IFERROR(MATCH(TRIM($J249&amp;"")&amp;"|다기관",파견수련계획!$AE$4:$AE$83,0),""))</f>
        <v/>
      </c>
      <c r="AL249" s="10">
        <f>IF($AK249="","","다기관 "&amp;TEXT(INDEX(파견수련계획!$AB$4:$AB$83,$AK249),"yyyy-mm-dd")&amp;"~"&amp;IF(ISNUMBER(INDEX(파견수련계획!$AC$4:$AC$83,$AK249)),TEXT(INDEX(파견수련계획!$AC$4:$AC$83,$AK249),"yyyy-mm-dd"),""))</f>
        <v/>
      </c>
    </row>
    <row r="250">
      <c r="A250" s="10">
        <f>IF(B250="","",ROW()-1)</f>
        <v/>
      </c>
      <c r="B250" s="18" t="n"/>
      <c r="C250" s="10">
        <f>IF($AB250="","",IF(INDEX(기본자료!$C$2:$C$1001,$AB250)="","",INDEX(기본자료!$C$2:$C$1001,$AB250)))</f>
        <v/>
      </c>
      <c r="D250" s="10">
        <f>IF($AB250="","",IF(INDEX(기본자료!$J$2:$J$1001,$AB250)="","",INDEX(기본자료!$J$2:$J$1001,$AB250)))</f>
        <v/>
      </c>
      <c r="E250" s="11">
        <f>IF($AB250="","",IF(INDEX(기본자료!$K$2:$K$1001,$AB250)="","",IF(NOT(ISNUMBER(INDEX(기본자료!$K$2:$K$1001,$AB250))),INDEX(기본자료!$K$2:$K$1001,$AB250),IF(INDEX(기본자료!$K$2:$K$1001,$AB250)&lt;1000000,INDEX(기본자료!$K$2:$K$1001,$AB250),IF(AND(INDEX(기본자료!$K$2:$K$1001,$AB250)&gt;=10000101,INT(MOD(INDEX(기본자료!$K$2:$K$1001,$AB250),10000)/100)&gt;=1,INT(MOD(INDEX(기본자료!$K$2:$K$1001,$AB250),10000)/100)&lt;=12,MOD(INDEX(기본자료!$K$2:$K$1001,$AB250),100)&gt;=1,MOD(INDEX(기본자료!$K$2:$K$1001,$AB250),100)&lt;=31),DATE(INT(INDEX(기본자료!$K$2:$K$1001,$AB250)/10000),INT(MOD(INDEX(기본자료!$K$2:$K$1001,$AB250),10000)/100),MOD(INDEX(기본자료!$K$2:$K$1001,$AB250),100)),INDEX(기본자료!$K$2:$K$1001,$AB250)&amp;"")))))</f>
        <v/>
      </c>
      <c r="F250" s="10">
        <f>IF($AB250="","",IF(INDEX(기본자료!$D$2:$D$1001,$AB250)="","",INDEX(기본자료!$D$2:$D$1001,$AB250)))</f>
        <v/>
      </c>
      <c r="G250" s="10">
        <f>IF($AB250="","",IF(INDEX(기본자료!$E$2:$E$1001,$AB250)="","",INDEX(기본자료!$E$2:$E$1001,$AB250)))</f>
        <v/>
      </c>
      <c r="H250" s="10">
        <f>IF($AB250="","",IF(INDEX(기본자료!$F$2:$F$1001,$AB250)="","",INDEX(기본자료!$F$2:$F$1001,$AB250)))</f>
        <v/>
      </c>
      <c r="I250" s="11">
        <f>IF($AB250="","",IF(INDEX(기본자료!$G$2:$G$1001,$AB250)="","",IF(NOT(ISNUMBER(INDEX(기본자료!$G$2:$G$1001,$AB250))),INDEX(기본자료!$G$2:$G$1001,$AB250),IF(INDEX(기본자료!$G$2:$G$1001,$AB250)&lt;1000000,INDEX(기본자료!$G$2:$G$1001,$AB250),IF(AND(INDEX(기본자료!$G$2:$G$1001,$AB250)&gt;=10000101,INT(MOD(INDEX(기본자료!$G$2:$G$1001,$AB250),10000)/100)&gt;=1,INT(MOD(INDEX(기본자료!$G$2:$G$1001,$AB250),10000)/100)&lt;=12,MOD(INDEX(기본자료!$G$2:$G$1001,$AB250),100)&gt;=1,MOD(INDEX(기본자료!$G$2:$G$1001,$AB250),100)&lt;=31),DATE(INT(INDEX(기본자료!$G$2:$G$1001,$AB250)/10000),INT(MOD(INDEX(기본자료!$G$2:$G$1001,$AB250),10000)/100),MOD(INDEX(기본자료!$G$2:$G$1001,$AB250),100)),INDEX(기본자료!$G$2:$G$1001,$AB250)&amp;"")))))</f>
        <v/>
      </c>
      <c r="J250" s="10">
        <f>IF($AB250="","",IF(INDEX(기본자료!$H$2:$H$1001,$AB250)="","",INDEX(기본자료!$H$2:$H$1001,$AB250)))</f>
        <v/>
      </c>
      <c r="K250" s="10">
        <f>IF($AB250="","",IF(INDEX(기본자료!$I$2:$I$1001,$AB250)="","",INDEX(기본자료!$I$2:$I$1001,$AB250)))</f>
        <v/>
      </c>
      <c r="L250" s="10">
        <f>IF($AB250="","",IF(INDEX(기본자료!$A$2:$A$1001,$AB250)="","",INDEX(기본자료!$A$2:$A$1001,$AB250)))</f>
        <v/>
      </c>
      <c r="M250" s="15" t="n"/>
      <c r="N250" s="10">
        <f>IF($B250="","",IF(AND($U250="파견중",$Q250&lt;&gt;""),$Q250,IF(AND($AD250&lt;&gt;"",LEFT($AD250,1)&lt;&gt;"⚠"),LEFT($AD250,FIND(" ",$AD250)-1),IF($H250="","",IF(RIGHT($H250,2)="병원",$H250,$H250&amp;"병원")))))</f>
        <v/>
      </c>
      <c r="O250" s="10">
        <f>IF($B250="","",IF(AND($U250="파견중",$Q250&lt;&gt;""),IF($R250&lt;&gt;"",$R250,"파견과 미입력"),IF(AND($AD250&lt;&gt;"",LEFT($AD250,1)&lt;&gt;"⚠"),MID($AD250,FIND(" ",$AD250)+1,60),IF($F250="","",IF($F250="인턴","수련교육부(인턴)",$F250)))))</f>
        <v/>
      </c>
      <c r="P250" s="10">
        <f>IF($B250="","",IF($AK250&lt;&gt;"",IF(AND(TODAY()&gt;=INDEX(파견수련계획!$AB$4:$AB$83,$AK250),OR(NOT(ISNUMBER(INDEX(파견수련계획!$AC$4:$AC$83,$AK250))),TODAY()&lt;=INDEX(파견수련계획!$AC$4:$AC$83,$AK250))),"다기관",IF($AF250="","",INDEX(파견수련계획!$T$4:$T$83,$AF250))),IF($AF250="","",INDEX(파견수련계획!$T$4:$T$83,$AF250))))</f>
        <v/>
      </c>
      <c r="Q250" s="10">
        <f>IF($AF250="","",INDEX(파견수련계획!$S$4:$S$83,$AF250))</f>
        <v/>
      </c>
      <c r="R250" s="10">
        <f>IF($AF250="","",INDEX(파견수련계획!$U$4:$U$83,$AF250))</f>
        <v/>
      </c>
      <c r="S250" s="11">
        <f>IF($AF250="","",IF(INDEX(파견수련계획!$H$4:$H$83,$AF250)="","",INDEX(파견수련계획!$H$4:$H$83,$AF250)))</f>
        <v/>
      </c>
      <c r="T250" s="11">
        <f>IF($AF250="","",IF(INDEX(파견수련계획!$I$4:$I$83,$AF250)="","",INDEX(파견수련계획!$I$4:$I$83,$AF250)))</f>
        <v/>
      </c>
      <c r="U250" s="10">
        <f>IF($AF250="","",INDEX(파견수련계획!$X$4:$X$83,$AF250))</f>
        <v/>
      </c>
      <c r="V250" s="17">
        <f>IF($AF250="","",INDEX(파견수련계획!$V$4:$V$83,$AF250))</f>
        <v/>
      </c>
      <c r="W250" s="17">
        <f>IF(AND($U250="파견중",$T250&lt;&gt;""),$T250-TODAY(),"")</f>
        <v/>
      </c>
      <c r="X250" s="17">
        <f>IF(OR($B250="",TRIM($J250&amp;"")=""),"",SUMPRODUCT((파견수련계획!$Q$4:$Q$83=TRIM($J250&amp;""))*파견수련계획!$W$4:$W$83))</f>
        <v/>
      </c>
      <c r="Y250" s="10">
        <f>IF($B250="","",IF($AG250="","",IF(IF(TRIM($J250&amp;"")="",0,SUMPRODUCT((파견수련계획!$Q$4:$Q$83=TRIM($J250&amp;""))*파견수련계획!$AD$4:$AD$83))&gt;0,$AE250,IF(N($X250)&lt;=0,$AG250,IF($AH250+$AI250=DAY(EOMONTH(요약!$B$3,0)),IF(AND($AH250&gt;=요약!$E$3,$AI250&lt;요약!$E$3),"서울병원",IF(AND($AI250&gt;=요약!$E$3,$AH250&lt;요약!$E$3),"구리병원","⚠15일 판정불가(서울 "&amp;$AH250&amp;"일/구리 "&amp;$AI250&amp;"일)")),IF($AJ250="",$AE250,IF(INDEX(파견수련계획!$T$4:$T$83,$AJ250)="통합수련",INDEX(파견수련계획!$S$4:$S$83,$AJ250),$AE250)))))))</f>
        <v/>
      </c>
      <c r="Z250" s="19">
        <f>IF($B250="","",IF($AB250="","기본자료에 없는 사번",IF(COUNTIF($B$2:$B$401,$B250)&gt;1,"중복 사번",IF($AE250="","소속(입사장소) 입력",IF(IF(TRIM($J250&amp;"")="",0,SUMPRODUCT((파견수련계획!$Q$4:$Q$83=TRIM($J250&amp;""))*(파견수련계획!$AA$4:$AA$83&lt;&gt;"")))&gt;0,"파견수련계획 입력오류 확인",IF(LEFT($Y250,1)="⚠","서울·구리 15일 판정 불가(양쪽 모두 이상/미만)",IF(IF($AC250="",0,N(INDEX(인턴근무계획!$T$3:$T$62,$AC250)))&gt;0,"인턴계획 입력오류 확인",IF(AND($AC250&lt;&gt;"",$U250&lt;&gt;"파견중",$N250&lt;&gt;$AE250),"인턴 타지역 근무: 파견 여부 확인","정상"))))))))</f>
        <v/>
      </c>
      <c r="AA250" s="5" t="n"/>
      <c r="AB250" s="10">
        <f>IF($B250="","",IFERROR(MATCH($B250,기본자료!$B$2:$B$1001,0),IFERROR(MATCH($B250&amp;"",기본자료!$B$2:$B$1001,0),IFERROR(MATCH(VALUE($B250),기본자료!$B$2:$B$1001,0),""))))</f>
        <v/>
      </c>
      <c r="AC250" s="10">
        <f>IF($B250="","",IFERROR(MATCH($B250,인턴근무계획!$D$3:$D$62,0),IFERROR(MATCH($B250&amp;"",인턴근무계획!$D$3:$D$62,0),IFERROR(MATCH(VALUE($B250),인턴근무계획!$D$3:$D$62,0),""))))</f>
        <v/>
      </c>
      <c r="AD250" s="10">
        <f>IF(OR($AC250="",인턴현황!$G$3=""),"",INDEX(인턴근무계획!$M$3:$R$62,$AC250,인턴현황!$G$3)&amp;"")</f>
        <v/>
      </c>
      <c r="AE250" s="10">
        <f>IF($B250="","",IF($M250&lt;&gt;"",$M250,IF($AF250&lt;&gt;"",IF(LEFT(INDEX(파견수련계획!$R$4:$R$83,$AF250),1)&lt;&gt;"⚠",INDEX(파견수련계획!$R$4:$R$83,$AF250),IF($H250="","",IF(RIGHT($H250,2)="병원",$H250,$H250&amp;"병원"))),IF($H250="","",IF(RIGHT($H250,2)="병원",$H250,$H250&amp;"병원")))))</f>
        <v/>
      </c>
      <c r="AF250" s="10">
        <f>IF(OR($B250="",TRIM($J250&amp;"")=""),"",IFERROR(MATCH(TRIM($J250&amp;"")&amp;"|파견중",파견수련계획!$Y$4:$Y$83,0),IFERROR(MATCH(TRIM($J250&amp;"")&amp;"|파견예정",파견수련계획!$Y$4:$Y$83,0),IFERROR(MATCH(TRIM($J250&amp;"")&amp;"|파견종료",파견수련계획!$Y$4:$Y$83,0),""))))</f>
        <v/>
      </c>
      <c r="AG250" s="10">
        <f>IF($B250="","",IF(AND(IF(OR($AC250="",인턴현황!$K$2=""),"",INDEX(인턴근무계획!$M$3:$R$62,$AC250,인턴현황!$K$2)&amp;"")&lt;&gt;"",LEFT(IF(OR($AC250="",인턴현황!$K$2=""),"",INDEX(인턴근무계획!$M$3:$R$62,$AC250,인턴현황!$K$2)&amp;""),1)&lt;&gt;"⚠"),LEFT(IF(OR($AC250="",인턴현황!$K$2=""),"",INDEX(인턴근무계획!$M$3:$R$62,$AC250,인턴현황!$K$2)&amp;""),FIND(" ",IF(OR($AC250="",인턴현황!$K$2=""),"",INDEX(인턴근무계획!$M$3:$R$62,$AC250,인턴현황!$K$2)&amp;""))-1),$AE250))</f>
        <v/>
      </c>
      <c r="AH250" s="17">
        <f>IF($B250="","",IF(TRIM($J250&amp;"")="",0,SUMPRODUCT((파견수련계획!$Q$4:$Q$83=TRIM($J250&amp;""))*(파견수련계획!$S$4:$S$83="서울병원")*파견수련계획!$W$4:$W$83))+IF($AG250="서울병원",MAX(0,DAY(EOMONTH(요약!$B$3,0))-N($X250)),0))</f>
        <v/>
      </c>
      <c r="AI250" s="17">
        <f>IF($B250="","",IF(TRIM($J250&amp;"")="",0,SUMPRODUCT((파견수련계획!$Q$4:$Q$83=TRIM($J250&amp;""))*(파견수련계획!$S$4:$S$83="구리병원")*파견수련계획!$W$4:$W$83))+IF($AG250="구리병원",MAX(0,DAY(EOMONTH(요약!$B$3,0))-N($X250)),0))</f>
        <v/>
      </c>
      <c r="AJ250" s="10">
        <f>IF(OR($B250="",TRIM($J250&amp;"")=""),"",IFERROR(MATCH(TRIM($J250&amp;"")&amp;"|월",파견수련계획!$Z$4:$Z$83,0),""))</f>
        <v/>
      </c>
      <c r="AK250" s="10">
        <f>IF(OR($B250="",TRIM($J250&amp;"")=""),"",IFERROR(MATCH(TRIM($J250&amp;"")&amp;"|다기관",파견수련계획!$AE$4:$AE$83,0),""))</f>
        <v/>
      </c>
      <c r="AL250" s="10">
        <f>IF($AK250="","","다기관 "&amp;TEXT(INDEX(파견수련계획!$AB$4:$AB$83,$AK250),"yyyy-mm-dd")&amp;"~"&amp;IF(ISNUMBER(INDEX(파견수련계획!$AC$4:$AC$83,$AK250)),TEXT(INDEX(파견수련계획!$AC$4:$AC$83,$AK250),"yyyy-mm-dd"),""))</f>
        <v/>
      </c>
    </row>
    <row r="251">
      <c r="A251" s="10">
        <f>IF(B251="","",ROW()-1)</f>
        <v/>
      </c>
      <c r="B251" s="18" t="n"/>
      <c r="C251" s="10">
        <f>IF($AB251="","",IF(INDEX(기본자료!$C$2:$C$1001,$AB251)="","",INDEX(기본자료!$C$2:$C$1001,$AB251)))</f>
        <v/>
      </c>
      <c r="D251" s="10">
        <f>IF($AB251="","",IF(INDEX(기본자료!$J$2:$J$1001,$AB251)="","",INDEX(기본자료!$J$2:$J$1001,$AB251)))</f>
        <v/>
      </c>
      <c r="E251" s="11">
        <f>IF($AB251="","",IF(INDEX(기본자료!$K$2:$K$1001,$AB251)="","",IF(NOT(ISNUMBER(INDEX(기본자료!$K$2:$K$1001,$AB251))),INDEX(기본자료!$K$2:$K$1001,$AB251),IF(INDEX(기본자료!$K$2:$K$1001,$AB251)&lt;1000000,INDEX(기본자료!$K$2:$K$1001,$AB251),IF(AND(INDEX(기본자료!$K$2:$K$1001,$AB251)&gt;=10000101,INT(MOD(INDEX(기본자료!$K$2:$K$1001,$AB251),10000)/100)&gt;=1,INT(MOD(INDEX(기본자료!$K$2:$K$1001,$AB251),10000)/100)&lt;=12,MOD(INDEX(기본자료!$K$2:$K$1001,$AB251),100)&gt;=1,MOD(INDEX(기본자료!$K$2:$K$1001,$AB251),100)&lt;=31),DATE(INT(INDEX(기본자료!$K$2:$K$1001,$AB251)/10000),INT(MOD(INDEX(기본자료!$K$2:$K$1001,$AB251),10000)/100),MOD(INDEX(기본자료!$K$2:$K$1001,$AB251),100)),INDEX(기본자료!$K$2:$K$1001,$AB251)&amp;"")))))</f>
        <v/>
      </c>
      <c r="F251" s="10">
        <f>IF($AB251="","",IF(INDEX(기본자료!$D$2:$D$1001,$AB251)="","",INDEX(기본자료!$D$2:$D$1001,$AB251)))</f>
        <v/>
      </c>
      <c r="G251" s="10">
        <f>IF($AB251="","",IF(INDEX(기본자료!$E$2:$E$1001,$AB251)="","",INDEX(기본자료!$E$2:$E$1001,$AB251)))</f>
        <v/>
      </c>
      <c r="H251" s="10">
        <f>IF($AB251="","",IF(INDEX(기본자료!$F$2:$F$1001,$AB251)="","",INDEX(기본자료!$F$2:$F$1001,$AB251)))</f>
        <v/>
      </c>
      <c r="I251" s="11">
        <f>IF($AB251="","",IF(INDEX(기본자료!$G$2:$G$1001,$AB251)="","",IF(NOT(ISNUMBER(INDEX(기본자료!$G$2:$G$1001,$AB251))),INDEX(기본자료!$G$2:$G$1001,$AB251),IF(INDEX(기본자료!$G$2:$G$1001,$AB251)&lt;1000000,INDEX(기본자료!$G$2:$G$1001,$AB251),IF(AND(INDEX(기본자료!$G$2:$G$1001,$AB251)&gt;=10000101,INT(MOD(INDEX(기본자료!$G$2:$G$1001,$AB251),10000)/100)&gt;=1,INT(MOD(INDEX(기본자료!$G$2:$G$1001,$AB251),10000)/100)&lt;=12,MOD(INDEX(기본자료!$G$2:$G$1001,$AB251),100)&gt;=1,MOD(INDEX(기본자료!$G$2:$G$1001,$AB251),100)&lt;=31),DATE(INT(INDEX(기본자료!$G$2:$G$1001,$AB251)/10000),INT(MOD(INDEX(기본자료!$G$2:$G$1001,$AB251),10000)/100),MOD(INDEX(기본자료!$G$2:$G$1001,$AB251),100)),INDEX(기본자료!$G$2:$G$1001,$AB251)&amp;"")))))</f>
        <v/>
      </c>
      <c r="J251" s="10">
        <f>IF($AB251="","",IF(INDEX(기본자료!$H$2:$H$1001,$AB251)="","",INDEX(기본자료!$H$2:$H$1001,$AB251)))</f>
        <v/>
      </c>
      <c r="K251" s="10">
        <f>IF($AB251="","",IF(INDEX(기본자료!$I$2:$I$1001,$AB251)="","",INDEX(기본자료!$I$2:$I$1001,$AB251)))</f>
        <v/>
      </c>
      <c r="L251" s="10">
        <f>IF($AB251="","",IF(INDEX(기본자료!$A$2:$A$1001,$AB251)="","",INDEX(기본자료!$A$2:$A$1001,$AB251)))</f>
        <v/>
      </c>
      <c r="M251" s="15" t="n"/>
      <c r="N251" s="10">
        <f>IF($B251="","",IF(AND($U251="파견중",$Q251&lt;&gt;""),$Q251,IF(AND($AD251&lt;&gt;"",LEFT($AD251,1)&lt;&gt;"⚠"),LEFT($AD251,FIND(" ",$AD251)-1),IF($H251="","",IF(RIGHT($H251,2)="병원",$H251,$H251&amp;"병원")))))</f>
        <v/>
      </c>
      <c r="O251" s="10">
        <f>IF($B251="","",IF(AND($U251="파견중",$Q251&lt;&gt;""),IF($R251&lt;&gt;"",$R251,"파견과 미입력"),IF(AND($AD251&lt;&gt;"",LEFT($AD251,1)&lt;&gt;"⚠"),MID($AD251,FIND(" ",$AD251)+1,60),IF($F251="","",IF($F251="인턴","수련교육부(인턴)",$F251)))))</f>
        <v/>
      </c>
      <c r="P251" s="10">
        <f>IF($B251="","",IF($AK251&lt;&gt;"",IF(AND(TODAY()&gt;=INDEX(파견수련계획!$AB$4:$AB$83,$AK251),OR(NOT(ISNUMBER(INDEX(파견수련계획!$AC$4:$AC$83,$AK251))),TODAY()&lt;=INDEX(파견수련계획!$AC$4:$AC$83,$AK251))),"다기관",IF($AF251="","",INDEX(파견수련계획!$T$4:$T$83,$AF251))),IF($AF251="","",INDEX(파견수련계획!$T$4:$T$83,$AF251))))</f>
        <v/>
      </c>
      <c r="Q251" s="10">
        <f>IF($AF251="","",INDEX(파견수련계획!$S$4:$S$83,$AF251))</f>
        <v/>
      </c>
      <c r="R251" s="10">
        <f>IF($AF251="","",INDEX(파견수련계획!$U$4:$U$83,$AF251))</f>
        <v/>
      </c>
      <c r="S251" s="11">
        <f>IF($AF251="","",IF(INDEX(파견수련계획!$H$4:$H$83,$AF251)="","",INDEX(파견수련계획!$H$4:$H$83,$AF251)))</f>
        <v/>
      </c>
      <c r="T251" s="11">
        <f>IF($AF251="","",IF(INDEX(파견수련계획!$I$4:$I$83,$AF251)="","",INDEX(파견수련계획!$I$4:$I$83,$AF251)))</f>
        <v/>
      </c>
      <c r="U251" s="10">
        <f>IF($AF251="","",INDEX(파견수련계획!$X$4:$X$83,$AF251))</f>
        <v/>
      </c>
      <c r="V251" s="17">
        <f>IF($AF251="","",INDEX(파견수련계획!$V$4:$V$83,$AF251))</f>
        <v/>
      </c>
      <c r="W251" s="17">
        <f>IF(AND($U251="파견중",$T251&lt;&gt;""),$T251-TODAY(),"")</f>
        <v/>
      </c>
      <c r="X251" s="17">
        <f>IF(OR($B251="",TRIM($J251&amp;"")=""),"",SUMPRODUCT((파견수련계획!$Q$4:$Q$83=TRIM($J251&amp;""))*파견수련계획!$W$4:$W$83))</f>
        <v/>
      </c>
      <c r="Y251" s="10">
        <f>IF($B251="","",IF($AG251="","",IF(IF(TRIM($J251&amp;"")="",0,SUMPRODUCT((파견수련계획!$Q$4:$Q$83=TRIM($J251&amp;""))*파견수련계획!$AD$4:$AD$83))&gt;0,$AE251,IF(N($X251)&lt;=0,$AG251,IF($AH251+$AI251=DAY(EOMONTH(요약!$B$3,0)),IF(AND($AH251&gt;=요약!$E$3,$AI251&lt;요약!$E$3),"서울병원",IF(AND($AI251&gt;=요약!$E$3,$AH251&lt;요약!$E$3),"구리병원","⚠15일 판정불가(서울 "&amp;$AH251&amp;"일/구리 "&amp;$AI251&amp;"일)")),IF($AJ251="",$AE251,IF(INDEX(파견수련계획!$T$4:$T$83,$AJ251)="통합수련",INDEX(파견수련계획!$S$4:$S$83,$AJ251),$AE251)))))))</f>
        <v/>
      </c>
      <c r="Z251" s="19">
        <f>IF($B251="","",IF($AB251="","기본자료에 없는 사번",IF(COUNTIF($B$2:$B$401,$B251)&gt;1,"중복 사번",IF($AE251="","소속(입사장소) 입력",IF(IF(TRIM($J251&amp;"")="",0,SUMPRODUCT((파견수련계획!$Q$4:$Q$83=TRIM($J251&amp;""))*(파견수련계획!$AA$4:$AA$83&lt;&gt;"")))&gt;0,"파견수련계획 입력오류 확인",IF(LEFT($Y251,1)="⚠","서울·구리 15일 판정 불가(양쪽 모두 이상/미만)",IF(IF($AC251="",0,N(INDEX(인턴근무계획!$T$3:$T$62,$AC251)))&gt;0,"인턴계획 입력오류 확인",IF(AND($AC251&lt;&gt;"",$U251&lt;&gt;"파견중",$N251&lt;&gt;$AE251),"인턴 타지역 근무: 파견 여부 확인","정상"))))))))</f>
        <v/>
      </c>
      <c r="AA251" s="5" t="n"/>
      <c r="AB251" s="10">
        <f>IF($B251="","",IFERROR(MATCH($B251,기본자료!$B$2:$B$1001,0),IFERROR(MATCH($B251&amp;"",기본자료!$B$2:$B$1001,0),IFERROR(MATCH(VALUE($B251),기본자료!$B$2:$B$1001,0),""))))</f>
        <v/>
      </c>
      <c r="AC251" s="10">
        <f>IF($B251="","",IFERROR(MATCH($B251,인턴근무계획!$D$3:$D$62,0),IFERROR(MATCH($B251&amp;"",인턴근무계획!$D$3:$D$62,0),IFERROR(MATCH(VALUE($B251),인턴근무계획!$D$3:$D$62,0),""))))</f>
        <v/>
      </c>
      <c r="AD251" s="10">
        <f>IF(OR($AC251="",인턴현황!$G$3=""),"",INDEX(인턴근무계획!$M$3:$R$62,$AC251,인턴현황!$G$3)&amp;"")</f>
        <v/>
      </c>
      <c r="AE251" s="10">
        <f>IF($B251="","",IF($M251&lt;&gt;"",$M251,IF($AF251&lt;&gt;"",IF(LEFT(INDEX(파견수련계획!$R$4:$R$83,$AF251),1)&lt;&gt;"⚠",INDEX(파견수련계획!$R$4:$R$83,$AF251),IF($H251="","",IF(RIGHT($H251,2)="병원",$H251,$H251&amp;"병원"))),IF($H251="","",IF(RIGHT($H251,2)="병원",$H251,$H251&amp;"병원")))))</f>
        <v/>
      </c>
      <c r="AF251" s="10">
        <f>IF(OR($B251="",TRIM($J251&amp;"")=""),"",IFERROR(MATCH(TRIM($J251&amp;"")&amp;"|파견중",파견수련계획!$Y$4:$Y$83,0),IFERROR(MATCH(TRIM($J251&amp;"")&amp;"|파견예정",파견수련계획!$Y$4:$Y$83,0),IFERROR(MATCH(TRIM($J251&amp;"")&amp;"|파견종료",파견수련계획!$Y$4:$Y$83,0),""))))</f>
        <v/>
      </c>
      <c r="AG251" s="10">
        <f>IF($B251="","",IF(AND(IF(OR($AC251="",인턴현황!$K$2=""),"",INDEX(인턴근무계획!$M$3:$R$62,$AC251,인턴현황!$K$2)&amp;"")&lt;&gt;"",LEFT(IF(OR($AC251="",인턴현황!$K$2=""),"",INDEX(인턴근무계획!$M$3:$R$62,$AC251,인턴현황!$K$2)&amp;""),1)&lt;&gt;"⚠"),LEFT(IF(OR($AC251="",인턴현황!$K$2=""),"",INDEX(인턴근무계획!$M$3:$R$62,$AC251,인턴현황!$K$2)&amp;""),FIND(" ",IF(OR($AC251="",인턴현황!$K$2=""),"",INDEX(인턴근무계획!$M$3:$R$62,$AC251,인턴현황!$K$2)&amp;""))-1),$AE251))</f>
        <v/>
      </c>
      <c r="AH251" s="17">
        <f>IF($B251="","",IF(TRIM($J251&amp;"")="",0,SUMPRODUCT((파견수련계획!$Q$4:$Q$83=TRIM($J251&amp;""))*(파견수련계획!$S$4:$S$83="서울병원")*파견수련계획!$W$4:$W$83))+IF($AG251="서울병원",MAX(0,DAY(EOMONTH(요약!$B$3,0))-N($X251)),0))</f>
        <v/>
      </c>
      <c r="AI251" s="17">
        <f>IF($B251="","",IF(TRIM($J251&amp;"")="",0,SUMPRODUCT((파견수련계획!$Q$4:$Q$83=TRIM($J251&amp;""))*(파견수련계획!$S$4:$S$83="구리병원")*파견수련계획!$W$4:$W$83))+IF($AG251="구리병원",MAX(0,DAY(EOMONTH(요약!$B$3,0))-N($X251)),0))</f>
        <v/>
      </c>
      <c r="AJ251" s="10">
        <f>IF(OR($B251="",TRIM($J251&amp;"")=""),"",IFERROR(MATCH(TRIM($J251&amp;"")&amp;"|월",파견수련계획!$Z$4:$Z$83,0),""))</f>
        <v/>
      </c>
      <c r="AK251" s="10">
        <f>IF(OR($B251="",TRIM($J251&amp;"")=""),"",IFERROR(MATCH(TRIM($J251&amp;"")&amp;"|다기관",파견수련계획!$AE$4:$AE$83,0),""))</f>
        <v/>
      </c>
      <c r="AL251" s="10">
        <f>IF($AK251="","","다기관 "&amp;TEXT(INDEX(파견수련계획!$AB$4:$AB$83,$AK251),"yyyy-mm-dd")&amp;"~"&amp;IF(ISNUMBER(INDEX(파견수련계획!$AC$4:$AC$83,$AK251)),TEXT(INDEX(파견수련계획!$AC$4:$AC$83,$AK251),"yyyy-mm-dd"),""))</f>
        <v/>
      </c>
    </row>
    <row r="252">
      <c r="A252" s="10">
        <f>IF(B252="","",ROW()-1)</f>
        <v/>
      </c>
      <c r="B252" s="18" t="n"/>
      <c r="C252" s="10">
        <f>IF($AB252="","",IF(INDEX(기본자료!$C$2:$C$1001,$AB252)="","",INDEX(기본자료!$C$2:$C$1001,$AB252)))</f>
        <v/>
      </c>
      <c r="D252" s="10">
        <f>IF($AB252="","",IF(INDEX(기본자료!$J$2:$J$1001,$AB252)="","",INDEX(기본자료!$J$2:$J$1001,$AB252)))</f>
        <v/>
      </c>
      <c r="E252" s="11">
        <f>IF($AB252="","",IF(INDEX(기본자료!$K$2:$K$1001,$AB252)="","",IF(NOT(ISNUMBER(INDEX(기본자료!$K$2:$K$1001,$AB252))),INDEX(기본자료!$K$2:$K$1001,$AB252),IF(INDEX(기본자료!$K$2:$K$1001,$AB252)&lt;1000000,INDEX(기본자료!$K$2:$K$1001,$AB252),IF(AND(INDEX(기본자료!$K$2:$K$1001,$AB252)&gt;=10000101,INT(MOD(INDEX(기본자료!$K$2:$K$1001,$AB252),10000)/100)&gt;=1,INT(MOD(INDEX(기본자료!$K$2:$K$1001,$AB252),10000)/100)&lt;=12,MOD(INDEX(기본자료!$K$2:$K$1001,$AB252),100)&gt;=1,MOD(INDEX(기본자료!$K$2:$K$1001,$AB252),100)&lt;=31),DATE(INT(INDEX(기본자료!$K$2:$K$1001,$AB252)/10000),INT(MOD(INDEX(기본자료!$K$2:$K$1001,$AB252),10000)/100),MOD(INDEX(기본자료!$K$2:$K$1001,$AB252),100)),INDEX(기본자료!$K$2:$K$1001,$AB252)&amp;"")))))</f>
        <v/>
      </c>
      <c r="F252" s="10">
        <f>IF($AB252="","",IF(INDEX(기본자료!$D$2:$D$1001,$AB252)="","",INDEX(기본자료!$D$2:$D$1001,$AB252)))</f>
        <v/>
      </c>
      <c r="G252" s="10">
        <f>IF($AB252="","",IF(INDEX(기본자료!$E$2:$E$1001,$AB252)="","",INDEX(기본자료!$E$2:$E$1001,$AB252)))</f>
        <v/>
      </c>
      <c r="H252" s="10">
        <f>IF($AB252="","",IF(INDEX(기본자료!$F$2:$F$1001,$AB252)="","",INDEX(기본자료!$F$2:$F$1001,$AB252)))</f>
        <v/>
      </c>
      <c r="I252" s="11">
        <f>IF($AB252="","",IF(INDEX(기본자료!$G$2:$G$1001,$AB252)="","",IF(NOT(ISNUMBER(INDEX(기본자료!$G$2:$G$1001,$AB252))),INDEX(기본자료!$G$2:$G$1001,$AB252),IF(INDEX(기본자료!$G$2:$G$1001,$AB252)&lt;1000000,INDEX(기본자료!$G$2:$G$1001,$AB252),IF(AND(INDEX(기본자료!$G$2:$G$1001,$AB252)&gt;=10000101,INT(MOD(INDEX(기본자료!$G$2:$G$1001,$AB252),10000)/100)&gt;=1,INT(MOD(INDEX(기본자료!$G$2:$G$1001,$AB252),10000)/100)&lt;=12,MOD(INDEX(기본자료!$G$2:$G$1001,$AB252),100)&gt;=1,MOD(INDEX(기본자료!$G$2:$G$1001,$AB252),100)&lt;=31),DATE(INT(INDEX(기본자료!$G$2:$G$1001,$AB252)/10000),INT(MOD(INDEX(기본자료!$G$2:$G$1001,$AB252),10000)/100),MOD(INDEX(기본자료!$G$2:$G$1001,$AB252),100)),INDEX(기본자료!$G$2:$G$1001,$AB252)&amp;"")))))</f>
        <v/>
      </c>
      <c r="J252" s="10">
        <f>IF($AB252="","",IF(INDEX(기본자료!$H$2:$H$1001,$AB252)="","",INDEX(기본자료!$H$2:$H$1001,$AB252)))</f>
        <v/>
      </c>
      <c r="K252" s="10">
        <f>IF($AB252="","",IF(INDEX(기본자료!$I$2:$I$1001,$AB252)="","",INDEX(기본자료!$I$2:$I$1001,$AB252)))</f>
        <v/>
      </c>
      <c r="L252" s="10">
        <f>IF($AB252="","",IF(INDEX(기본자료!$A$2:$A$1001,$AB252)="","",INDEX(기본자료!$A$2:$A$1001,$AB252)))</f>
        <v/>
      </c>
      <c r="M252" s="15" t="n"/>
      <c r="N252" s="10">
        <f>IF($B252="","",IF(AND($U252="파견중",$Q252&lt;&gt;""),$Q252,IF(AND($AD252&lt;&gt;"",LEFT($AD252,1)&lt;&gt;"⚠"),LEFT($AD252,FIND(" ",$AD252)-1),IF($H252="","",IF(RIGHT($H252,2)="병원",$H252,$H252&amp;"병원")))))</f>
        <v/>
      </c>
      <c r="O252" s="10">
        <f>IF($B252="","",IF(AND($U252="파견중",$Q252&lt;&gt;""),IF($R252&lt;&gt;"",$R252,"파견과 미입력"),IF(AND($AD252&lt;&gt;"",LEFT($AD252,1)&lt;&gt;"⚠"),MID($AD252,FIND(" ",$AD252)+1,60),IF($F252="","",IF($F252="인턴","수련교육부(인턴)",$F252)))))</f>
        <v/>
      </c>
      <c r="P252" s="10">
        <f>IF($B252="","",IF($AK252&lt;&gt;"",IF(AND(TODAY()&gt;=INDEX(파견수련계획!$AB$4:$AB$83,$AK252),OR(NOT(ISNUMBER(INDEX(파견수련계획!$AC$4:$AC$83,$AK252))),TODAY()&lt;=INDEX(파견수련계획!$AC$4:$AC$83,$AK252))),"다기관",IF($AF252="","",INDEX(파견수련계획!$T$4:$T$83,$AF252))),IF($AF252="","",INDEX(파견수련계획!$T$4:$T$83,$AF252))))</f>
        <v/>
      </c>
      <c r="Q252" s="10">
        <f>IF($AF252="","",INDEX(파견수련계획!$S$4:$S$83,$AF252))</f>
        <v/>
      </c>
      <c r="R252" s="10">
        <f>IF($AF252="","",INDEX(파견수련계획!$U$4:$U$83,$AF252))</f>
        <v/>
      </c>
      <c r="S252" s="11">
        <f>IF($AF252="","",IF(INDEX(파견수련계획!$H$4:$H$83,$AF252)="","",INDEX(파견수련계획!$H$4:$H$83,$AF252)))</f>
        <v/>
      </c>
      <c r="T252" s="11">
        <f>IF($AF252="","",IF(INDEX(파견수련계획!$I$4:$I$83,$AF252)="","",INDEX(파견수련계획!$I$4:$I$83,$AF252)))</f>
        <v/>
      </c>
      <c r="U252" s="10">
        <f>IF($AF252="","",INDEX(파견수련계획!$X$4:$X$83,$AF252))</f>
        <v/>
      </c>
      <c r="V252" s="17">
        <f>IF($AF252="","",INDEX(파견수련계획!$V$4:$V$83,$AF252))</f>
        <v/>
      </c>
      <c r="W252" s="17">
        <f>IF(AND($U252="파견중",$T252&lt;&gt;""),$T252-TODAY(),"")</f>
        <v/>
      </c>
      <c r="X252" s="17">
        <f>IF(OR($B252="",TRIM($J252&amp;"")=""),"",SUMPRODUCT((파견수련계획!$Q$4:$Q$83=TRIM($J252&amp;""))*파견수련계획!$W$4:$W$83))</f>
        <v/>
      </c>
      <c r="Y252" s="10">
        <f>IF($B252="","",IF($AG252="","",IF(IF(TRIM($J252&amp;"")="",0,SUMPRODUCT((파견수련계획!$Q$4:$Q$83=TRIM($J252&amp;""))*파견수련계획!$AD$4:$AD$83))&gt;0,$AE252,IF(N($X252)&lt;=0,$AG252,IF($AH252+$AI252=DAY(EOMONTH(요약!$B$3,0)),IF(AND($AH252&gt;=요약!$E$3,$AI252&lt;요약!$E$3),"서울병원",IF(AND($AI252&gt;=요약!$E$3,$AH252&lt;요약!$E$3),"구리병원","⚠15일 판정불가(서울 "&amp;$AH252&amp;"일/구리 "&amp;$AI252&amp;"일)")),IF($AJ252="",$AE252,IF(INDEX(파견수련계획!$T$4:$T$83,$AJ252)="통합수련",INDEX(파견수련계획!$S$4:$S$83,$AJ252),$AE252)))))))</f>
        <v/>
      </c>
      <c r="Z252" s="19">
        <f>IF($B252="","",IF($AB252="","기본자료에 없는 사번",IF(COUNTIF($B$2:$B$401,$B252)&gt;1,"중복 사번",IF($AE252="","소속(입사장소) 입력",IF(IF(TRIM($J252&amp;"")="",0,SUMPRODUCT((파견수련계획!$Q$4:$Q$83=TRIM($J252&amp;""))*(파견수련계획!$AA$4:$AA$83&lt;&gt;"")))&gt;0,"파견수련계획 입력오류 확인",IF(LEFT($Y252,1)="⚠","서울·구리 15일 판정 불가(양쪽 모두 이상/미만)",IF(IF($AC252="",0,N(INDEX(인턴근무계획!$T$3:$T$62,$AC252)))&gt;0,"인턴계획 입력오류 확인",IF(AND($AC252&lt;&gt;"",$U252&lt;&gt;"파견중",$N252&lt;&gt;$AE252),"인턴 타지역 근무: 파견 여부 확인","정상"))))))))</f>
        <v/>
      </c>
      <c r="AA252" s="5" t="n"/>
      <c r="AB252" s="10">
        <f>IF($B252="","",IFERROR(MATCH($B252,기본자료!$B$2:$B$1001,0),IFERROR(MATCH($B252&amp;"",기본자료!$B$2:$B$1001,0),IFERROR(MATCH(VALUE($B252),기본자료!$B$2:$B$1001,0),""))))</f>
        <v/>
      </c>
      <c r="AC252" s="10">
        <f>IF($B252="","",IFERROR(MATCH($B252,인턴근무계획!$D$3:$D$62,0),IFERROR(MATCH($B252&amp;"",인턴근무계획!$D$3:$D$62,0),IFERROR(MATCH(VALUE($B252),인턴근무계획!$D$3:$D$62,0),""))))</f>
        <v/>
      </c>
      <c r="AD252" s="10">
        <f>IF(OR($AC252="",인턴현황!$G$3=""),"",INDEX(인턴근무계획!$M$3:$R$62,$AC252,인턴현황!$G$3)&amp;"")</f>
        <v/>
      </c>
      <c r="AE252" s="10">
        <f>IF($B252="","",IF($M252&lt;&gt;"",$M252,IF($AF252&lt;&gt;"",IF(LEFT(INDEX(파견수련계획!$R$4:$R$83,$AF252),1)&lt;&gt;"⚠",INDEX(파견수련계획!$R$4:$R$83,$AF252),IF($H252="","",IF(RIGHT($H252,2)="병원",$H252,$H252&amp;"병원"))),IF($H252="","",IF(RIGHT($H252,2)="병원",$H252,$H252&amp;"병원")))))</f>
        <v/>
      </c>
      <c r="AF252" s="10">
        <f>IF(OR($B252="",TRIM($J252&amp;"")=""),"",IFERROR(MATCH(TRIM($J252&amp;"")&amp;"|파견중",파견수련계획!$Y$4:$Y$83,0),IFERROR(MATCH(TRIM($J252&amp;"")&amp;"|파견예정",파견수련계획!$Y$4:$Y$83,0),IFERROR(MATCH(TRIM($J252&amp;"")&amp;"|파견종료",파견수련계획!$Y$4:$Y$83,0),""))))</f>
        <v/>
      </c>
      <c r="AG252" s="10">
        <f>IF($B252="","",IF(AND(IF(OR($AC252="",인턴현황!$K$2=""),"",INDEX(인턴근무계획!$M$3:$R$62,$AC252,인턴현황!$K$2)&amp;"")&lt;&gt;"",LEFT(IF(OR($AC252="",인턴현황!$K$2=""),"",INDEX(인턴근무계획!$M$3:$R$62,$AC252,인턴현황!$K$2)&amp;""),1)&lt;&gt;"⚠"),LEFT(IF(OR($AC252="",인턴현황!$K$2=""),"",INDEX(인턴근무계획!$M$3:$R$62,$AC252,인턴현황!$K$2)&amp;""),FIND(" ",IF(OR($AC252="",인턴현황!$K$2=""),"",INDEX(인턴근무계획!$M$3:$R$62,$AC252,인턴현황!$K$2)&amp;""))-1),$AE252))</f>
        <v/>
      </c>
      <c r="AH252" s="17">
        <f>IF($B252="","",IF(TRIM($J252&amp;"")="",0,SUMPRODUCT((파견수련계획!$Q$4:$Q$83=TRIM($J252&amp;""))*(파견수련계획!$S$4:$S$83="서울병원")*파견수련계획!$W$4:$W$83))+IF($AG252="서울병원",MAX(0,DAY(EOMONTH(요약!$B$3,0))-N($X252)),0))</f>
        <v/>
      </c>
      <c r="AI252" s="17">
        <f>IF($B252="","",IF(TRIM($J252&amp;"")="",0,SUMPRODUCT((파견수련계획!$Q$4:$Q$83=TRIM($J252&amp;""))*(파견수련계획!$S$4:$S$83="구리병원")*파견수련계획!$W$4:$W$83))+IF($AG252="구리병원",MAX(0,DAY(EOMONTH(요약!$B$3,0))-N($X252)),0))</f>
        <v/>
      </c>
      <c r="AJ252" s="10">
        <f>IF(OR($B252="",TRIM($J252&amp;"")=""),"",IFERROR(MATCH(TRIM($J252&amp;"")&amp;"|월",파견수련계획!$Z$4:$Z$83,0),""))</f>
        <v/>
      </c>
      <c r="AK252" s="10">
        <f>IF(OR($B252="",TRIM($J252&amp;"")=""),"",IFERROR(MATCH(TRIM($J252&amp;"")&amp;"|다기관",파견수련계획!$AE$4:$AE$83,0),""))</f>
        <v/>
      </c>
      <c r="AL252" s="10">
        <f>IF($AK252="","","다기관 "&amp;TEXT(INDEX(파견수련계획!$AB$4:$AB$83,$AK252),"yyyy-mm-dd")&amp;"~"&amp;IF(ISNUMBER(INDEX(파견수련계획!$AC$4:$AC$83,$AK252)),TEXT(INDEX(파견수련계획!$AC$4:$AC$83,$AK252),"yyyy-mm-dd"),""))</f>
        <v/>
      </c>
    </row>
    <row r="253">
      <c r="A253" s="10">
        <f>IF(B253="","",ROW()-1)</f>
        <v/>
      </c>
      <c r="B253" s="18" t="n"/>
      <c r="C253" s="10">
        <f>IF($AB253="","",IF(INDEX(기본자료!$C$2:$C$1001,$AB253)="","",INDEX(기본자료!$C$2:$C$1001,$AB253)))</f>
        <v/>
      </c>
      <c r="D253" s="10">
        <f>IF($AB253="","",IF(INDEX(기본자료!$J$2:$J$1001,$AB253)="","",INDEX(기본자료!$J$2:$J$1001,$AB253)))</f>
        <v/>
      </c>
      <c r="E253" s="11">
        <f>IF($AB253="","",IF(INDEX(기본자료!$K$2:$K$1001,$AB253)="","",IF(NOT(ISNUMBER(INDEX(기본자료!$K$2:$K$1001,$AB253))),INDEX(기본자료!$K$2:$K$1001,$AB253),IF(INDEX(기본자료!$K$2:$K$1001,$AB253)&lt;1000000,INDEX(기본자료!$K$2:$K$1001,$AB253),IF(AND(INDEX(기본자료!$K$2:$K$1001,$AB253)&gt;=10000101,INT(MOD(INDEX(기본자료!$K$2:$K$1001,$AB253),10000)/100)&gt;=1,INT(MOD(INDEX(기본자료!$K$2:$K$1001,$AB253),10000)/100)&lt;=12,MOD(INDEX(기본자료!$K$2:$K$1001,$AB253),100)&gt;=1,MOD(INDEX(기본자료!$K$2:$K$1001,$AB253),100)&lt;=31),DATE(INT(INDEX(기본자료!$K$2:$K$1001,$AB253)/10000),INT(MOD(INDEX(기본자료!$K$2:$K$1001,$AB253),10000)/100),MOD(INDEX(기본자료!$K$2:$K$1001,$AB253),100)),INDEX(기본자료!$K$2:$K$1001,$AB253)&amp;"")))))</f>
        <v/>
      </c>
      <c r="F253" s="10">
        <f>IF($AB253="","",IF(INDEX(기본자료!$D$2:$D$1001,$AB253)="","",INDEX(기본자료!$D$2:$D$1001,$AB253)))</f>
        <v/>
      </c>
      <c r="G253" s="10">
        <f>IF($AB253="","",IF(INDEX(기본자료!$E$2:$E$1001,$AB253)="","",INDEX(기본자료!$E$2:$E$1001,$AB253)))</f>
        <v/>
      </c>
      <c r="H253" s="10">
        <f>IF($AB253="","",IF(INDEX(기본자료!$F$2:$F$1001,$AB253)="","",INDEX(기본자료!$F$2:$F$1001,$AB253)))</f>
        <v/>
      </c>
      <c r="I253" s="11">
        <f>IF($AB253="","",IF(INDEX(기본자료!$G$2:$G$1001,$AB253)="","",IF(NOT(ISNUMBER(INDEX(기본자료!$G$2:$G$1001,$AB253))),INDEX(기본자료!$G$2:$G$1001,$AB253),IF(INDEX(기본자료!$G$2:$G$1001,$AB253)&lt;1000000,INDEX(기본자료!$G$2:$G$1001,$AB253),IF(AND(INDEX(기본자료!$G$2:$G$1001,$AB253)&gt;=10000101,INT(MOD(INDEX(기본자료!$G$2:$G$1001,$AB253),10000)/100)&gt;=1,INT(MOD(INDEX(기본자료!$G$2:$G$1001,$AB253),10000)/100)&lt;=12,MOD(INDEX(기본자료!$G$2:$G$1001,$AB253),100)&gt;=1,MOD(INDEX(기본자료!$G$2:$G$1001,$AB253),100)&lt;=31),DATE(INT(INDEX(기본자료!$G$2:$G$1001,$AB253)/10000),INT(MOD(INDEX(기본자료!$G$2:$G$1001,$AB253),10000)/100),MOD(INDEX(기본자료!$G$2:$G$1001,$AB253),100)),INDEX(기본자료!$G$2:$G$1001,$AB253)&amp;"")))))</f>
        <v/>
      </c>
      <c r="J253" s="10">
        <f>IF($AB253="","",IF(INDEX(기본자료!$H$2:$H$1001,$AB253)="","",INDEX(기본자료!$H$2:$H$1001,$AB253)))</f>
        <v/>
      </c>
      <c r="K253" s="10">
        <f>IF($AB253="","",IF(INDEX(기본자료!$I$2:$I$1001,$AB253)="","",INDEX(기본자료!$I$2:$I$1001,$AB253)))</f>
        <v/>
      </c>
      <c r="L253" s="10">
        <f>IF($AB253="","",IF(INDEX(기본자료!$A$2:$A$1001,$AB253)="","",INDEX(기본자료!$A$2:$A$1001,$AB253)))</f>
        <v/>
      </c>
      <c r="M253" s="15" t="n"/>
      <c r="N253" s="10">
        <f>IF($B253="","",IF(AND($U253="파견중",$Q253&lt;&gt;""),$Q253,IF(AND($AD253&lt;&gt;"",LEFT($AD253,1)&lt;&gt;"⚠"),LEFT($AD253,FIND(" ",$AD253)-1),IF($H253="","",IF(RIGHT($H253,2)="병원",$H253,$H253&amp;"병원")))))</f>
        <v/>
      </c>
      <c r="O253" s="10">
        <f>IF($B253="","",IF(AND($U253="파견중",$Q253&lt;&gt;""),IF($R253&lt;&gt;"",$R253,"파견과 미입력"),IF(AND($AD253&lt;&gt;"",LEFT($AD253,1)&lt;&gt;"⚠"),MID($AD253,FIND(" ",$AD253)+1,60),IF($F253="","",IF($F253="인턴","수련교육부(인턴)",$F253)))))</f>
        <v/>
      </c>
      <c r="P253" s="10">
        <f>IF($B253="","",IF($AK253&lt;&gt;"",IF(AND(TODAY()&gt;=INDEX(파견수련계획!$AB$4:$AB$83,$AK253),OR(NOT(ISNUMBER(INDEX(파견수련계획!$AC$4:$AC$83,$AK253))),TODAY()&lt;=INDEX(파견수련계획!$AC$4:$AC$83,$AK253))),"다기관",IF($AF253="","",INDEX(파견수련계획!$T$4:$T$83,$AF253))),IF($AF253="","",INDEX(파견수련계획!$T$4:$T$83,$AF253))))</f>
        <v/>
      </c>
      <c r="Q253" s="10">
        <f>IF($AF253="","",INDEX(파견수련계획!$S$4:$S$83,$AF253))</f>
        <v/>
      </c>
      <c r="R253" s="10">
        <f>IF($AF253="","",INDEX(파견수련계획!$U$4:$U$83,$AF253))</f>
        <v/>
      </c>
      <c r="S253" s="11">
        <f>IF($AF253="","",IF(INDEX(파견수련계획!$H$4:$H$83,$AF253)="","",INDEX(파견수련계획!$H$4:$H$83,$AF253)))</f>
        <v/>
      </c>
      <c r="T253" s="11">
        <f>IF($AF253="","",IF(INDEX(파견수련계획!$I$4:$I$83,$AF253)="","",INDEX(파견수련계획!$I$4:$I$83,$AF253)))</f>
        <v/>
      </c>
      <c r="U253" s="10">
        <f>IF($AF253="","",INDEX(파견수련계획!$X$4:$X$83,$AF253))</f>
        <v/>
      </c>
      <c r="V253" s="17">
        <f>IF($AF253="","",INDEX(파견수련계획!$V$4:$V$83,$AF253))</f>
        <v/>
      </c>
      <c r="W253" s="17">
        <f>IF(AND($U253="파견중",$T253&lt;&gt;""),$T253-TODAY(),"")</f>
        <v/>
      </c>
      <c r="X253" s="17">
        <f>IF(OR($B253="",TRIM($J253&amp;"")=""),"",SUMPRODUCT((파견수련계획!$Q$4:$Q$83=TRIM($J253&amp;""))*파견수련계획!$W$4:$W$83))</f>
        <v/>
      </c>
      <c r="Y253" s="10">
        <f>IF($B253="","",IF($AG253="","",IF(IF(TRIM($J253&amp;"")="",0,SUMPRODUCT((파견수련계획!$Q$4:$Q$83=TRIM($J253&amp;""))*파견수련계획!$AD$4:$AD$83))&gt;0,$AE253,IF(N($X253)&lt;=0,$AG253,IF($AH253+$AI253=DAY(EOMONTH(요약!$B$3,0)),IF(AND($AH253&gt;=요약!$E$3,$AI253&lt;요약!$E$3),"서울병원",IF(AND($AI253&gt;=요약!$E$3,$AH253&lt;요약!$E$3),"구리병원","⚠15일 판정불가(서울 "&amp;$AH253&amp;"일/구리 "&amp;$AI253&amp;"일)")),IF($AJ253="",$AE253,IF(INDEX(파견수련계획!$T$4:$T$83,$AJ253)="통합수련",INDEX(파견수련계획!$S$4:$S$83,$AJ253),$AE253)))))))</f>
        <v/>
      </c>
      <c r="Z253" s="19">
        <f>IF($B253="","",IF($AB253="","기본자료에 없는 사번",IF(COUNTIF($B$2:$B$401,$B253)&gt;1,"중복 사번",IF($AE253="","소속(입사장소) 입력",IF(IF(TRIM($J253&amp;"")="",0,SUMPRODUCT((파견수련계획!$Q$4:$Q$83=TRIM($J253&amp;""))*(파견수련계획!$AA$4:$AA$83&lt;&gt;"")))&gt;0,"파견수련계획 입력오류 확인",IF(LEFT($Y253,1)="⚠","서울·구리 15일 판정 불가(양쪽 모두 이상/미만)",IF(IF($AC253="",0,N(INDEX(인턴근무계획!$T$3:$T$62,$AC253)))&gt;0,"인턴계획 입력오류 확인",IF(AND($AC253&lt;&gt;"",$U253&lt;&gt;"파견중",$N253&lt;&gt;$AE253),"인턴 타지역 근무: 파견 여부 확인","정상"))))))))</f>
        <v/>
      </c>
      <c r="AA253" s="5" t="n"/>
      <c r="AB253" s="10">
        <f>IF($B253="","",IFERROR(MATCH($B253,기본자료!$B$2:$B$1001,0),IFERROR(MATCH($B253&amp;"",기본자료!$B$2:$B$1001,0),IFERROR(MATCH(VALUE($B253),기본자료!$B$2:$B$1001,0),""))))</f>
        <v/>
      </c>
      <c r="AC253" s="10">
        <f>IF($B253="","",IFERROR(MATCH($B253,인턴근무계획!$D$3:$D$62,0),IFERROR(MATCH($B253&amp;"",인턴근무계획!$D$3:$D$62,0),IFERROR(MATCH(VALUE($B253),인턴근무계획!$D$3:$D$62,0),""))))</f>
        <v/>
      </c>
      <c r="AD253" s="10">
        <f>IF(OR($AC253="",인턴현황!$G$3=""),"",INDEX(인턴근무계획!$M$3:$R$62,$AC253,인턴현황!$G$3)&amp;"")</f>
        <v/>
      </c>
      <c r="AE253" s="10">
        <f>IF($B253="","",IF($M253&lt;&gt;"",$M253,IF($AF253&lt;&gt;"",IF(LEFT(INDEX(파견수련계획!$R$4:$R$83,$AF253),1)&lt;&gt;"⚠",INDEX(파견수련계획!$R$4:$R$83,$AF253),IF($H253="","",IF(RIGHT($H253,2)="병원",$H253,$H253&amp;"병원"))),IF($H253="","",IF(RIGHT($H253,2)="병원",$H253,$H253&amp;"병원")))))</f>
        <v/>
      </c>
      <c r="AF253" s="10">
        <f>IF(OR($B253="",TRIM($J253&amp;"")=""),"",IFERROR(MATCH(TRIM($J253&amp;"")&amp;"|파견중",파견수련계획!$Y$4:$Y$83,0),IFERROR(MATCH(TRIM($J253&amp;"")&amp;"|파견예정",파견수련계획!$Y$4:$Y$83,0),IFERROR(MATCH(TRIM($J253&amp;"")&amp;"|파견종료",파견수련계획!$Y$4:$Y$83,0),""))))</f>
        <v/>
      </c>
      <c r="AG253" s="10">
        <f>IF($B253="","",IF(AND(IF(OR($AC253="",인턴현황!$K$2=""),"",INDEX(인턴근무계획!$M$3:$R$62,$AC253,인턴현황!$K$2)&amp;"")&lt;&gt;"",LEFT(IF(OR($AC253="",인턴현황!$K$2=""),"",INDEX(인턴근무계획!$M$3:$R$62,$AC253,인턴현황!$K$2)&amp;""),1)&lt;&gt;"⚠"),LEFT(IF(OR($AC253="",인턴현황!$K$2=""),"",INDEX(인턴근무계획!$M$3:$R$62,$AC253,인턴현황!$K$2)&amp;""),FIND(" ",IF(OR($AC253="",인턴현황!$K$2=""),"",INDEX(인턴근무계획!$M$3:$R$62,$AC253,인턴현황!$K$2)&amp;""))-1),$AE253))</f>
        <v/>
      </c>
      <c r="AH253" s="17">
        <f>IF($B253="","",IF(TRIM($J253&amp;"")="",0,SUMPRODUCT((파견수련계획!$Q$4:$Q$83=TRIM($J253&amp;""))*(파견수련계획!$S$4:$S$83="서울병원")*파견수련계획!$W$4:$W$83))+IF($AG253="서울병원",MAX(0,DAY(EOMONTH(요약!$B$3,0))-N($X253)),0))</f>
        <v/>
      </c>
      <c r="AI253" s="17">
        <f>IF($B253="","",IF(TRIM($J253&amp;"")="",0,SUMPRODUCT((파견수련계획!$Q$4:$Q$83=TRIM($J253&amp;""))*(파견수련계획!$S$4:$S$83="구리병원")*파견수련계획!$W$4:$W$83))+IF($AG253="구리병원",MAX(0,DAY(EOMONTH(요약!$B$3,0))-N($X253)),0))</f>
        <v/>
      </c>
      <c r="AJ253" s="10">
        <f>IF(OR($B253="",TRIM($J253&amp;"")=""),"",IFERROR(MATCH(TRIM($J253&amp;"")&amp;"|월",파견수련계획!$Z$4:$Z$83,0),""))</f>
        <v/>
      </c>
      <c r="AK253" s="10">
        <f>IF(OR($B253="",TRIM($J253&amp;"")=""),"",IFERROR(MATCH(TRIM($J253&amp;"")&amp;"|다기관",파견수련계획!$AE$4:$AE$83,0),""))</f>
        <v/>
      </c>
      <c r="AL253" s="10">
        <f>IF($AK253="","","다기관 "&amp;TEXT(INDEX(파견수련계획!$AB$4:$AB$83,$AK253),"yyyy-mm-dd")&amp;"~"&amp;IF(ISNUMBER(INDEX(파견수련계획!$AC$4:$AC$83,$AK253)),TEXT(INDEX(파견수련계획!$AC$4:$AC$83,$AK253),"yyyy-mm-dd"),""))</f>
        <v/>
      </c>
    </row>
    <row r="254">
      <c r="A254" s="10">
        <f>IF(B254="","",ROW()-1)</f>
        <v/>
      </c>
      <c r="B254" s="18" t="n"/>
      <c r="C254" s="10">
        <f>IF($AB254="","",IF(INDEX(기본자료!$C$2:$C$1001,$AB254)="","",INDEX(기본자료!$C$2:$C$1001,$AB254)))</f>
        <v/>
      </c>
      <c r="D254" s="10">
        <f>IF($AB254="","",IF(INDEX(기본자료!$J$2:$J$1001,$AB254)="","",INDEX(기본자료!$J$2:$J$1001,$AB254)))</f>
        <v/>
      </c>
      <c r="E254" s="11">
        <f>IF($AB254="","",IF(INDEX(기본자료!$K$2:$K$1001,$AB254)="","",IF(NOT(ISNUMBER(INDEX(기본자료!$K$2:$K$1001,$AB254))),INDEX(기본자료!$K$2:$K$1001,$AB254),IF(INDEX(기본자료!$K$2:$K$1001,$AB254)&lt;1000000,INDEX(기본자료!$K$2:$K$1001,$AB254),IF(AND(INDEX(기본자료!$K$2:$K$1001,$AB254)&gt;=10000101,INT(MOD(INDEX(기본자료!$K$2:$K$1001,$AB254),10000)/100)&gt;=1,INT(MOD(INDEX(기본자료!$K$2:$K$1001,$AB254),10000)/100)&lt;=12,MOD(INDEX(기본자료!$K$2:$K$1001,$AB254),100)&gt;=1,MOD(INDEX(기본자료!$K$2:$K$1001,$AB254),100)&lt;=31),DATE(INT(INDEX(기본자료!$K$2:$K$1001,$AB254)/10000),INT(MOD(INDEX(기본자료!$K$2:$K$1001,$AB254),10000)/100),MOD(INDEX(기본자료!$K$2:$K$1001,$AB254),100)),INDEX(기본자료!$K$2:$K$1001,$AB254)&amp;"")))))</f>
        <v/>
      </c>
      <c r="F254" s="10">
        <f>IF($AB254="","",IF(INDEX(기본자료!$D$2:$D$1001,$AB254)="","",INDEX(기본자료!$D$2:$D$1001,$AB254)))</f>
        <v/>
      </c>
      <c r="G254" s="10">
        <f>IF($AB254="","",IF(INDEX(기본자료!$E$2:$E$1001,$AB254)="","",INDEX(기본자료!$E$2:$E$1001,$AB254)))</f>
        <v/>
      </c>
      <c r="H254" s="10">
        <f>IF($AB254="","",IF(INDEX(기본자료!$F$2:$F$1001,$AB254)="","",INDEX(기본자료!$F$2:$F$1001,$AB254)))</f>
        <v/>
      </c>
      <c r="I254" s="11">
        <f>IF($AB254="","",IF(INDEX(기본자료!$G$2:$G$1001,$AB254)="","",IF(NOT(ISNUMBER(INDEX(기본자료!$G$2:$G$1001,$AB254))),INDEX(기본자료!$G$2:$G$1001,$AB254),IF(INDEX(기본자료!$G$2:$G$1001,$AB254)&lt;1000000,INDEX(기본자료!$G$2:$G$1001,$AB254),IF(AND(INDEX(기본자료!$G$2:$G$1001,$AB254)&gt;=10000101,INT(MOD(INDEX(기본자료!$G$2:$G$1001,$AB254),10000)/100)&gt;=1,INT(MOD(INDEX(기본자료!$G$2:$G$1001,$AB254),10000)/100)&lt;=12,MOD(INDEX(기본자료!$G$2:$G$1001,$AB254),100)&gt;=1,MOD(INDEX(기본자료!$G$2:$G$1001,$AB254),100)&lt;=31),DATE(INT(INDEX(기본자료!$G$2:$G$1001,$AB254)/10000),INT(MOD(INDEX(기본자료!$G$2:$G$1001,$AB254),10000)/100),MOD(INDEX(기본자료!$G$2:$G$1001,$AB254),100)),INDEX(기본자료!$G$2:$G$1001,$AB254)&amp;"")))))</f>
        <v/>
      </c>
      <c r="J254" s="10">
        <f>IF($AB254="","",IF(INDEX(기본자료!$H$2:$H$1001,$AB254)="","",INDEX(기본자료!$H$2:$H$1001,$AB254)))</f>
        <v/>
      </c>
      <c r="K254" s="10">
        <f>IF($AB254="","",IF(INDEX(기본자료!$I$2:$I$1001,$AB254)="","",INDEX(기본자료!$I$2:$I$1001,$AB254)))</f>
        <v/>
      </c>
      <c r="L254" s="10">
        <f>IF($AB254="","",IF(INDEX(기본자료!$A$2:$A$1001,$AB254)="","",INDEX(기본자료!$A$2:$A$1001,$AB254)))</f>
        <v/>
      </c>
      <c r="M254" s="15" t="n"/>
      <c r="N254" s="10">
        <f>IF($B254="","",IF(AND($U254="파견중",$Q254&lt;&gt;""),$Q254,IF(AND($AD254&lt;&gt;"",LEFT($AD254,1)&lt;&gt;"⚠"),LEFT($AD254,FIND(" ",$AD254)-1),IF($H254="","",IF(RIGHT($H254,2)="병원",$H254,$H254&amp;"병원")))))</f>
        <v/>
      </c>
      <c r="O254" s="10">
        <f>IF($B254="","",IF(AND($U254="파견중",$Q254&lt;&gt;""),IF($R254&lt;&gt;"",$R254,"파견과 미입력"),IF(AND($AD254&lt;&gt;"",LEFT($AD254,1)&lt;&gt;"⚠"),MID($AD254,FIND(" ",$AD254)+1,60),IF($F254="","",IF($F254="인턴","수련교육부(인턴)",$F254)))))</f>
        <v/>
      </c>
      <c r="P254" s="10">
        <f>IF($B254="","",IF($AK254&lt;&gt;"",IF(AND(TODAY()&gt;=INDEX(파견수련계획!$AB$4:$AB$83,$AK254),OR(NOT(ISNUMBER(INDEX(파견수련계획!$AC$4:$AC$83,$AK254))),TODAY()&lt;=INDEX(파견수련계획!$AC$4:$AC$83,$AK254))),"다기관",IF($AF254="","",INDEX(파견수련계획!$T$4:$T$83,$AF254))),IF($AF254="","",INDEX(파견수련계획!$T$4:$T$83,$AF254))))</f>
        <v/>
      </c>
      <c r="Q254" s="10">
        <f>IF($AF254="","",INDEX(파견수련계획!$S$4:$S$83,$AF254))</f>
        <v/>
      </c>
      <c r="R254" s="10">
        <f>IF($AF254="","",INDEX(파견수련계획!$U$4:$U$83,$AF254))</f>
        <v/>
      </c>
      <c r="S254" s="11">
        <f>IF($AF254="","",IF(INDEX(파견수련계획!$H$4:$H$83,$AF254)="","",INDEX(파견수련계획!$H$4:$H$83,$AF254)))</f>
        <v/>
      </c>
      <c r="T254" s="11">
        <f>IF($AF254="","",IF(INDEX(파견수련계획!$I$4:$I$83,$AF254)="","",INDEX(파견수련계획!$I$4:$I$83,$AF254)))</f>
        <v/>
      </c>
      <c r="U254" s="10">
        <f>IF($AF254="","",INDEX(파견수련계획!$X$4:$X$83,$AF254))</f>
        <v/>
      </c>
      <c r="V254" s="17">
        <f>IF($AF254="","",INDEX(파견수련계획!$V$4:$V$83,$AF254))</f>
        <v/>
      </c>
      <c r="W254" s="17">
        <f>IF(AND($U254="파견중",$T254&lt;&gt;""),$T254-TODAY(),"")</f>
        <v/>
      </c>
      <c r="X254" s="17">
        <f>IF(OR($B254="",TRIM($J254&amp;"")=""),"",SUMPRODUCT((파견수련계획!$Q$4:$Q$83=TRIM($J254&amp;""))*파견수련계획!$W$4:$W$83))</f>
        <v/>
      </c>
      <c r="Y254" s="10">
        <f>IF($B254="","",IF($AG254="","",IF(IF(TRIM($J254&amp;"")="",0,SUMPRODUCT((파견수련계획!$Q$4:$Q$83=TRIM($J254&amp;""))*파견수련계획!$AD$4:$AD$83))&gt;0,$AE254,IF(N($X254)&lt;=0,$AG254,IF($AH254+$AI254=DAY(EOMONTH(요약!$B$3,0)),IF(AND($AH254&gt;=요약!$E$3,$AI254&lt;요약!$E$3),"서울병원",IF(AND($AI254&gt;=요약!$E$3,$AH254&lt;요약!$E$3),"구리병원","⚠15일 판정불가(서울 "&amp;$AH254&amp;"일/구리 "&amp;$AI254&amp;"일)")),IF($AJ254="",$AE254,IF(INDEX(파견수련계획!$T$4:$T$83,$AJ254)="통합수련",INDEX(파견수련계획!$S$4:$S$83,$AJ254),$AE254)))))))</f>
        <v/>
      </c>
      <c r="Z254" s="19">
        <f>IF($B254="","",IF($AB254="","기본자료에 없는 사번",IF(COUNTIF($B$2:$B$401,$B254)&gt;1,"중복 사번",IF($AE254="","소속(입사장소) 입력",IF(IF(TRIM($J254&amp;"")="",0,SUMPRODUCT((파견수련계획!$Q$4:$Q$83=TRIM($J254&amp;""))*(파견수련계획!$AA$4:$AA$83&lt;&gt;"")))&gt;0,"파견수련계획 입력오류 확인",IF(LEFT($Y254,1)="⚠","서울·구리 15일 판정 불가(양쪽 모두 이상/미만)",IF(IF($AC254="",0,N(INDEX(인턴근무계획!$T$3:$T$62,$AC254)))&gt;0,"인턴계획 입력오류 확인",IF(AND($AC254&lt;&gt;"",$U254&lt;&gt;"파견중",$N254&lt;&gt;$AE254),"인턴 타지역 근무: 파견 여부 확인","정상"))))))))</f>
        <v/>
      </c>
      <c r="AA254" s="5" t="n"/>
      <c r="AB254" s="10">
        <f>IF($B254="","",IFERROR(MATCH($B254,기본자료!$B$2:$B$1001,0),IFERROR(MATCH($B254&amp;"",기본자료!$B$2:$B$1001,0),IFERROR(MATCH(VALUE($B254),기본자료!$B$2:$B$1001,0),""))))</f>
        <v/>
      </c>
      <c r="AC254" s="10">
        <f>IF($B254="","",IFERROR(MATCH($B254,인턴근무계획!$D$3:$D$62,0),IFERROR(MATCH($B254&amp;"",인턴근무계획!$D$3:$D$62,0),IFERROR(MATCH(VALUE($B254),인턴근무계획!$D$3:$D$62,0),""))))</f>
        <v/>
      </c>
      <c r="AD254" s="10">
        <f>IF(OR($AC254="",인턴현황!$G$3=""),"",INDEX(인턴근무계획!$M$3:$R$62,$AC254,인턴현황!$G$3)&amp;"")</f>
        <v/>
      </c>
      <c r="AE254" s="10">
        <f>IF($B254="","",IF($M254&lt;&gt;"",$M254,IF($AF254&lt;&gt;"",IF(LEFT(INDEX(파견수련계획!$R$4:$R$83,$AF254),1)&lt;&gt;"⚠",INDEX(파견수련계획!$R$4:$R$83,$AF254),IF($H254="","",IF(RIGHT($H254,2)="병원",$H254,$H254&amp;"병원"))),IF($H254="","",IF(RIGHT($H254,2)="병원",$H254,$H254&amp;"병원")))))</f>
        <v/>
      </c>
      <c r="AF254" s="10">
        <f>IF(OR($B254="",TRIM($J254&amp;"")=""),"",IFERROR(MATCH(TRIM($J254&amp;"")&amp;"|파견중",파견수련계획!$Y$4:$Y$83,0),IFERROR(MATCH(TRIM($J254&amp;"")&amp;"|파견예정",파견수련계획!$Y$4:$Y$83,0),IFERROR(MATCH(TRIM($J254&amp;"")&amp;"|파견종료",파견수련계획!$Y$4:$Y$83,0),""))))</f>
        <v/>
      </c>
      <c r="AG254" s="10">
        <f>IF($B254="","",IF(AND(IF(OR($AC254="",인턴현황!$K$2=""),"",INDEX(인턴근무계획!$M$3:$R$62,$AC254,인턴현황!$K$2)&amp;"")&lt;&gt;"",LEFT(IF(OR($AC254="",인턴현황!$K$2=""),"",INDEX(인턴근무계획!$M$3:$R$62,$AC254,인턴현황!$K$2)&amp;""),1)&lt;&gt;"⚠"),LEFT(IF(OR($AC254="",인턴현황!$K$2=""),"",INDEX(인턴근무계획!$M$3:$R$62,$AC254,인턴현황!$K$2)&amp;""),FIND(" ",IF(OR($AC254="",인턴현황!$K$2=""),"",INDEX(인턴근무계획!$M$3:$R$62,$AC254,인턴현황!$K$2)&amp;""))-1),$AE254))</f>
        <v/>
      </c>
      <c r="AH254" s="17">
        <f>IF($B254="","",IF(TRIM($J254&amp;"")="",0,SUMPRODUCT((파견수련계획!$Q$4:$Q$83=TRIM($J254&amp;""))*(파견수련계획!$S$4:$S$83="서울병원")*파견수련계획!$W$4:$W$83))+IF($AG254="서울병원",MAX(0,DAY(EOMONTH(요약!$B$3,0))-N($X254)),0))</f>
        <v/>
      </c>
      <c r="AI254" s="17">
        <f>IF($B254="","",IF(TRIM($J254&amp;"")="",0,SUMPRODUCT((파견수련계획!$Q$4:$Q$83=TRIM($J254&amp;""))*(파견수련계획!$S$4:$S$83="구리병원")*파견수련계획!$W$4:$W$83))+IF($AG254="구리병원",MAX(0,DAY(EOMONTH(요약!$B$3,0))-N($X254)),0))</f>
        <v/>
      </c>
      <c r="AJ254" s="10">
        <f>IF(OR($B254="",TRIM($J254&amp;"")=""),"",IFERROR(MATCH(TRIM($J254&amp;"")&amp;"|월",파견수련계획!$Z$4:$Z$83,0),""))</f>
        <v/>
      </c>
      <c r="AK254" s="10">
        <f>IF(OR($B254="",TRIM($J254&amp;"")=""),"",IFERROR(MATCH(TRIM($J254&amp;"")&amp;"|다기관",파견수련계획!$AE$4:$AE$83,0),""))</f>
        <v/>
      </c>
      <c r="AL254" s="10">
        <f>IF($AK254="","","다기관 "&amp;TEXT(INDEX(파견수련계획!$AB$4:$AB$83,$AK254),"yyyy-mm-dd")&amp;"~"&amp;IF(ISNUMBER(INDEX(파견수련계획!$AC$4:$AC$83,$AK254)),TEXT(INDEX(파견수련계획!$AC$4:$AC$83,$AK254),"yyyy-mm-dd"),""))</f>
        <v/>
      </c>
    </row>
    <row r="255">
      <c r="A255" s="10">
        <f>IF(B255="","",ROW()-1)</f>
        <v/>
      </c>
      <c r="B255" s="18" t="n"/>
      <c r="C255" s="10">
        <f>IF($AB255="","",IF(INDEX(기본자료!$C$2:$C$1001,$AB255)="","",INDEX(기본자료!$C$2:$C$1001,$AB255)))</f>
        <v/>
      </c>
      <c r="D255" s="10">
        <f>IF($AB255="","",IF(INDEX(기본자료!$J$2:$J$1001,$AB255)="","",INDEX(기본자료!$J$2:$J$1001,$AB255)))</f>
        <v/>
      </c>
      <c r="E255" s="11">
        <f>IF($AB255="","",IF(INDEX(기본자료!$K$2:$K$1001,$AB255)="","",IF(NOT(ISNUMBER(INDEX(기본자료!$K$2:$K$1001,$AB255))),INDEX(기본자료!$K$2:$K$1001,$AB255),IF(INDEX(기본자료!$K$2:$K$1001,$AB255)&lt;1000000,INDEX(기본자료!$K$2:$K$1001,$AB255),IF(AND(INDEX(기본자료!$K$2:$K$1001,$AB255)&gt;=10000101,INT(MOD(INDEX(기본자료!$K$2:$K$1001,$AB255),10000)/100)&gt;=1,INT(MOD(INDEX(기본자료!$K$2:$K$1001,$AB255),10000)/100)&lt;=12,MOD(INDEX(기본자료!$K$2:$K$1001,$AB255),100)&gt;=1,MOD(INDEX(기본자료!$K$2:$K$1001,$AB255),100)&lt;=31),DATE(INT(INDEX(기본자료!$K$2:$K$1001,$AB255)/10000),INT(MOD(INDEX(기본자료!$K$2:$K$1001,$AB255),10000)/100),MOD(INDEX(기본자료!$K$2:$K$1001,$AB255),100)),INDEX(기본자료!$K$2:$K$1001,$AB255)&amp;"")))))</f>
        <v/>
      </c>
      <c r="F255" s="10">
        <f>IF($AB255="","",IF(INDEX(기본자료!$D$2:$D$1001,$AB255)="","",INDEX(기본자료!$D$2:$D$1001,$AB255)))</f>
        <v/>
      </c>
      <c r="G255" s="10">
        <f>IF($AB255="","",IF(INDEX(기본자료!$E$2:$E$1001,$AB255)="","",INDEX(기본자료!$E$2:$E$1001,$AB255)))</f>
        <v/>
      </c>
      <c r="H255" s="10">
        <f>IF($AB255="","",IF(INDEX(기본자료!$F$2:$F$1001,$AB255)="","",INDEX(기본자료!$F$2:$F$1001,$AB255)))</f>
        <v/>
      </c>
      <c r="I255" s="11">
        <f>IF($AB255="","",IF(INDEX(기본자료!$G$2:$G$1001,$AB255)="","",IF(NOT(ISNUMBER(INDEX(기본자료!$G$2:$G$1001,$AB255))),INDEX(기본자료!$G$2:$G$1001,$AB255),IF(INDEX(기본자료!$G$2:$G$1001,$AB255)&lt;1000000,INDEX(기본자료!$G$2:$G$1001,$AB255),IF(AND(INDEX(기본자료!$G$2:$G$1001,$AB255)&gt;=10000101,INT(MOD(INDEX(기본자료!$G$2:$G$1001,$AB255),10000)/100)&gt;=1,INT(MOD(INDEX(기본자료!$G$2:$G$1001,$AB255),10000)/100)&lt;=12,MOD(INDEX(기본자료!$G$2:$G$1001,$AB255),100)&gt;=1,MOD(INDEX(기본자료!$G$2:$G$1001,$AB255),100)&lt;=31),DATE(INT(INDEX(기본자료!$G$2:$G$1001,$AB255)/10000),INT(MOD(INDEX(기본자료!$G$2:$G$1001,$AB255),10000)/100),MOD(INDEX(기본자료!$G$2:$G$1001,$AB255),100)),INDEX(기본자료!$G$2:$G$1001,$AB255)&amp;"")))))</f>
        <v/>
      </c>
      <c r="J255" s="10">
        <f>IF($AB255="","",IF(INDEX(기본자료!$H$2:$H$1001,$AB255)="","",INDEX(기본자료!$H$2:$H$1001,$AB255)))</f>
        <v/>
      </c>
      <c r="K255" s="10">
        <f>IF($AB255="","",IF(INDEX(기본자료!$I$2:$I$1001,$AB255)="","",INDEX(기본자료!$I$2:$I$1001,$AB255)))</f>
        <v/>
      </c>
      <c r="L255" s="10">
        <f>IF($AB255="","",IF(INDEX(기본자료!$A$2:$A$1001,$AB255)="","",INDEX(기본자료!$A$2:$A$1001,$AB255)))</f>
        <v/>
      </c>
      <c r="M255" s="15" t="n"/>
      <c r="N255" s="10">
        <f>IF($B255="","",IF(AND($U255="파견중",$Q255&lt;&gt;""),$Q255,IF(AND($AD255&lt;&gt;"",LEFT($AD255,1)&lt;&gt;"⚠"),LEFT($AD255,FIND(" ",$AD255)-1),IF($H255="","",IF(RIGHT($H255,2)="병원",$H255,$H255&amp;"병원")))))</f>
        <v/>
      </c>
      <c r="O255" s="10">
        <f>IF($B255="","",IF(AND($U255="파견중",$Q255&lt;&gt;""),IF($R255&lt;&gt;"",$R255,"파견과 미입력"),IF(AND($AD255&lt;&gt;"",LEFT($AD255,1)&lt;&gt;"⚠"),MID($AD255,FIND(" ",$AD255)+1,60),IF($F255="","",IF($F255="인턴","수련교육부(인턴)",$F255)))))</f>
        <v/>
      </c>
      <c r="P255" s="10">
        <f>IF($B255="","",IF($AK255&lt;&gt;"",IF(AND(TODAY()&gt;=INDEX(파견수련계획!$AB$4:$AB$83,$AK255),OR(NOT(ISNUMBER(INDEX(파견수련계획!$AC$4:$AC$83,$AK255))),TODAY()&lt;=INDEX(파견수련계획!$AC$4:$AC$83,$AK255))),"다기관",IF($AF255="","",INDEX(파견수련계획!$T$4:$T$83,$AF255))),IF($AF255="","",INDEX(파견수련계획!$T$4:$T$83,$AF255))))</f>
        <v/>
      </c>
      <c r="Q255" s="10">
        <f>IF($AF255="","",INDEX(파견수련계획!$S$4:$S$83,$AF255))</f>
        <v/>
      </c>
      <c r="R255" s="10">
        <f>IF($AF255="","",INDEX(파견수련계획!$U$4:$U$83,$AF255))</f>
        <v/>
      </c>
      <c r="S255" s="11">
        <f>IF($AF255="","",IF(INDEX(파견수련계획!$H$4:$H$83,$AF255)="","",INDEX(파견수련계획!$H$4:$H$83,$AF255)))</f>
        <v/>
      </c>
      <c r="T255" s="11">
        <f>IF($AF255="","",IF(INDEX(파견수련계획!$I$4:$I$83,$AF255)="","",INDEX(파견수련계획!$I$4:$I$83,$AF255)))</f>
        <v/>
      </c>
      <c r="U255" s="10">
        <f>IF($AF255="","",INDEX(파견수련계획!$X$4:$X$83,$AF255))</f>
        <v/>
      </c>
      <c r="V255" s="17">
        <f>IF($AF255="","",INDEX(파견수련계획!$V$4:$V$83,$AF255))</f>
        <v/>
      </c>
      <c r="W255" s="17">
        <f>IF(AND($U255="파견중",$T255&lt;&gt;""),$T255-TODAY(),"")</f>
        <v/>
      </c>
      <c r="X255" s="17">
        <f>IF(OR($B255="",TRIM($J255&amp;"")=""),"",SUMPRODUCT((파견수련계획!$Q$4:$Q$83=TRIM($J255&amp;""))*파견수련계획!$W$4:$W$83))</f>
        <v/>
      </c>
      <c r="Y255" s="10">
        <f>IF($B255="","",IF($AG255="","",IF(IF(TRIM($J255&amp;"")="",0,SUMPRODUCT((파견수련계획!$Q$4:$Q$83=TRIM($J255&amp;""))*파견수련계획!$AD$4:$AD$83))&gt;0,$AE255,IF(N($X255)&lt;=0,$AG255,IF($AH255+$AI255=DAY(EOMONTH(요약!$B$3,0)),IF(AND($AH255&gt;=요약!$E$3,$AI255&lt;요약!$E$3),"서울병원",IF(AND($AI255&gt;=요약!$E$3,$AH255&lt;요약!$E$3),"구리병원","⚠15일 판정불가(서울 "&amp;$AH255&amp;"일/구리 "&amp;$AI255&amp;"일)")),IF($AJ255="",$AE255,IF(INDEX(파견수련계획!$T$4:$T$83,$AJ255)="통합수련",INDEX(파견수련계획!$S$4:$S$83,$AJ255),$AE255)))))))</f>
        <v/>
      </c>
      <c r="Z255" s="19">
        <f>IF($B255="","",IF($AB255="","기본자료에 없는 사번",IF(COUNTIF($B$2:$B$401,$B255)&gt;1,"중복 사번",IF($AE255="","소속(입사장소) 입력",IF(IF(TRIM($J255&amp;"")="",0,SUMPRODUCT((파견수련계획!$Q$4:$Q$83=TRIM($J255&amp;""))*(파견수련계획!$AA$4:$AA$83&lt;&gt;"")))&gt;0,"파견수련계획 입력오류 확인",IF(LEFT($Y255,1)="⚠","서울·구리 15일 판정 불가(양쪽 모두 이상/미만)",IF(IF($AC255="",0,N(INDEX(인턴근무계획!$T$3:$T$62,$AC255)))&gt;0,"인턴계획 입력오류 확인",IF(AND($AC255&lt;&gt;"",$U255&lt;&gt;"파견중",$N255&lt;&gt;$AE255),"인턴 타지역 근무: 파견 여부 확인","정상"))))))))</f>
        <v/>
      </c>
      <c r="AA255" s="5" t="n"/>
      <c r="AB255" s="10">
        <f>IF($B255="","",IFERROR(MATCH($B255,기본자료!$B$2:$B$1001,0),IFERROR(MATCH($B255&amp;"",기본자료!$B$2:$B$1001,0),IFERROR(MATCH(VALUE($B255),기본자료!$B$2:$B$1001,0),""))))</f>
        <v/>
      </c>
      <c r="AC255" s="10">
        <f>IF($B255="","",IFERROR(MATCH($B255,인턴근무계획!$D$3:$D$62,0),IFERROR(MATCH($B255&amp;"",인턴근무계획!$D$3:$D$62,0),IFERROR(MATCH(VALUE($B255),인턴근무계획!$D$3:$D$62,0),""))))</f>
        <v/>
      </c>
      <c r="AD255" s="10">
        <f>IF(OR($AC255="",인턴현황!$G$3=""),"",INDEX(인턴근무계획!$M$3:$R$62,$AC255,인턴현황!$G$3)&amp;"")</f>
        <v/>
      </c>
      <c r="AE255" s="10">
        <f>IF($B255="","",IF($M255&lt;&gt;"",$M255,IF($AF255&lt;&gt;"",IF(LEFT(INDEX(파견수련계획!$R$4:$R$83,$AF255),1)&lt;&gt;"⚠",INDEX(파견수련계획!$R$4:$R$83,$AF255),IF($H255="","",IF(RIGHT($H255,2)="병원",$H255,$H255&amp;"병원"))),IF($H255="","",IF(RIGHT($H255,2)="병원",$H255,$H255&amp;"병원")))))</f>
        <v/>
      </c>
      <c r="AF255" s="10">
        <f>IF(OR($B255="",TRIM($J255&amp;"")=""),"",IFERROR(MATCH(TRIM($J255&amp;"")&amp;"|파견중",파견수련계획!$Y$4:$Y$83,0),IFERROR(MATCH(TRIM($J255&amp;"")&amp;"|파견예정",파견수련계획!$Y$4:$Y$83,0),IFERROR(MATCH(TRIM($J255&amp;"")&amp;"|파견종료",파견수련계획!$Y$4:$Y$83,0),""))))</f>
        <v/>
      </c>
      <c r="AG255" s="10">
        <f>IF($B255="","",IF(AND(IF(OR($AC255="",인턴현황!$K$2=""),"",INDEX(인턴근무계획!$M$3:$R$62,$AC255,인턴현황!$K$2)&amp;"")&lt;&gt;"",LEFT(IF(OR($AC255="",인턴현황!$K$2=""),"",INDEX(인턴근무계획!$M$3:$R$62,$AC255,인턴현황!$K$2)&amp;""),1)&lt;&gt;"⚠"),LEFT(IF(OR($AC255="",인턴현황!$K$2=""),"",INDEX(인턴근무계획!$M$3:$R$62,$AC255,인턴현황!$K$2)&amp;""),FIND(" ",IF(OR($AC255="",인턴현황!$K$2=""),"",INDEX(인턴근무계획!$M$3:$R$62,$AC255,인턴현황!$K$2)&amp;""))-1),$AE255))</f>
        <v/>
      </c>
      <c r="AH255" s="17">
        <f>IF($B255="","",IF(TRIM($J255&amp;"")="",0,SUMPRODUCT((파견수련계획!$Q$4:$Q$83=TRIM($J255&amp;""))*(파견수련계획!$S$4:$S$83="서울병원")*파견수련계획!$W$4:$W$83))+IF($AG255="서울병원",MAX(0,DAY(EOMONTH(요약!$B$3,0))-N($X255)),0))</f>
        <v/>
      </c>
      <c r="AI255" s="17">
        <f>IF($B255="","",IF(TRIM($J255&amp;"")="",0,SUMPRODUCT((파견수련계획!$Q$4:$Q$83=TRIM($J255&amp;""))*(파견수련계획!$S$4:$S$83="구리병원")*파견수련계획!$W$4:$W$83))+IF($AG255="구리병원",MAX(0,DAY(EOMONTH(요약!$B$3,0))-N($X255)),0))</f>
        <v/>
      </c>
      <c r="AJ255" s="10">
        <f>IF(OR($B255="",TRIM($J255&amp;"")=""),"",IFERROR(MATCH(TRIM($J255&amp;"")&amp;"|월",파견수련계획!$Z$4:$Z$83,0),""))</f>
        <v/>
      </c>
      <c r="AK255" s="10">
        <f>IF(OR($B255="",TRIM($J255&amp;"")=""),"",IFERROR(MATCH(TRIM($J255&amp;"")&amp;"|다기관",파견수련계획!$AE$4:$AE$83,0),""))</f>
        <v/>
      </c>
      <c r="AL255" s="10">
        <f>IF($AK255="","","다기관 "&amp;TEXT(INDEX(파견수련계획!$AB$4:$AB$83,$AK255),"yyyy-mm-dd")&amp;"~"&amp;IF(ISNUMBER(INDEX(파견수련계획!$AC$4:$AC$83,$AK255)),TEXT(INDEX(파견수련계획!$AC$4:$AC$83,$AK255),"yyyy-mm-dd"),""))</f>
        <v/>
      </c>
    </row>
    <row r="256">
      <c r="A256" s="10">
        <f>IF(B256="","",ROW()-1)</f>
        <v/>
      </c>
      <c r="B256" s="18" t="n"/>
      <c r="C256" s="10">
        <f>IF($AB256="","",IF(INDEX(기본자료!$C$2:$C$1001,$AB256)="","",INDEX(기본자료!$C$2:$C$1001,$AB256)))</f>
        <v/>
      </c>
      <c r="D256" s="10">
        <f>IF($AB256="","",IF(INDEX(기본자료!$J$2:$J$1001,$AB256)="","",INDEX(기본자료!$J$2:$J$1001,$AB256)))</f>
        <v/>
      </c>
      <c r="E256" s="11">
        <f>IF($AB256="","",IF(INDEX(기본자료!$K$2:$K$1001,$AB256)="","",IF(NOT(ISNUMBER(INDEX(기본자료!$K$2:$K$1001,$AB256))),INDEX(기본자료!$K$2:$K$1001,$AB256),IF(INDEX(기본자료!$K$2:$K$1001,$AB256)&lt;1000000,INDEX(기본자료!$K$2:$K$1001,$AB256),IF(AND(INDEX(기본자료!$K$2:$K$1001,$AB256)&gt;=10000101,INT(MOD(INDEX(기본자료!$K$2:$K$1001,$AB256),10000)/100)&gt;=1,INT(MOD(INDEX(기본자료!$K$2:$K$1001,$AB256),10000)/100)&lt;=12,MOD(INDEX(기본자료!$K$2:$K$1001,$AB256),100)&gt;=1,MOD(INDEX(기본자료!$K$2:$K$1001,$AB256),100)&lt;=31),DATE(INT(INDEX(기본자료!$K$2:$K$1001,$AB256)/10000),INT(MOD(INDEX(기본자료!$K$2:$K$1001,$AB256),10000)/100),MOD(INDEX(기본자료!$K$2:$K$1001,$AB256),100)),INDEX(기본자료!$K$2:$K$1001,$AB256)&amp;"")))))</f>
        <v/>
      </c>
      <c r="F256" s="10">
        <f>IF($AB256="","",IF(INDEX(기본자료!$D$2:$D$1001,$AB256)="","",INDEX(기본자료!$D$2:$D$1001,$AB256)))</f>
        <v/>
      </c>
      <c r="G256" s="10">
        <f>IF($AB256="","",IF(INDEX(기본자료!$E$2:$E$1001,$AB256)="","",INDEX(기본자료!$E$2:$E$1001,$AB256)))</f>
        <v/>
      </c>
      <c r="H256" s="10">
        <f>IF($AB256="","",IF(INDEX(기본자료!$F$2:$F$1001,$AB256)="","",INDEX(기본자료!$F$2:$F$1001,$AB256)))</f>
        <v/>
      </c>
      <c r="I256" s="11">
        <f>IF($AB256="","",IF(INDEX(기본자료!$G$2:$G$1001,$AB256)="","",IF(NOT(ISNUMBER(INDEX(기본자료!$G$2:$G$1001,$AB256))),INDEX(기본자료!$G$2:$G$1001,$AB256),IF(INDEX(기본자료!$G$2:$G$1001,$AB256)&lt;1000000,INDEX(기본자료!$G$2:$G$1001,$AB256),IF(AND(INDEX(기본자료!$G$2:$G$1001,$AB256)&gt;=10000101,INT(MOD(INDEX(기본자료!$G$2:$G$1001,$AB256),10000)/100)&gt;=1,INT(MOD(INDEX(기본자료!$G$2:$G$1001,$AB256),10000)/100)&lt;=12,MOD(INDEX(기본자료!$G$2:$G$1001,$AB256),100)&gt;=1,MOD(INDEX(기본자료!$G$2:$G$1001,$AB256),100)&lt;=31),DATE(INT(INDEX(기본자료!$G$2:$G$1001,$AB256)/10000),INT(MOD(INDEX(기본자료!$G$2:$G$1001,$AB256),10000)/100),MOD(INDEX(기본자료!$G$2:$G$1001,$AB256),100)),INDEX(기본자료!$G$2:$G$1001,$AB256)&amp;"")))))</f>
        <v/>
      </c>
      <c r="J256" s="10">
        <f>IF($AB256="","",IF(INDEX(기본자료!$H$2:$H$1001,$AB256)="","",INDEX(기본자료!$H$2:$H$1001,$AB256)))</f>
        <v/>
      </c>
      <c r="K256" s="10">
        <f>IF($AB256="","",IF(INDEX(기본자료!$I$2:$I$1001,$AB256)="","",INDEX(기본자료!$I$2:$I$1001,$AB256)))</f>
        <v/>
      </c>
      <c r="L256" s="10">
        <f>IF($AB256="","",IF(INDEX(기본자료!$A$2:$A$1001,$AB256)="","",INDEX(기본자료!$A$2:$A$1001,$AB256)))</f>
        <v/>
      </c>
      <c r="M256" s="15" t="n"/>
      <c r="N256" s="10">
        <f>IF($B256="","",IF(AND($U256="파견중",$Q256&lt;&gt;""),$Q256,IF(AND($AD256&lt;&gt;"",LEFT($AD256,1)&lt;&gt;"⚠"),LEFT($AD256,FIND(" ",$AD256)-1),IF($H256="","",IF(RIGHT($H256,2)="병원",$H256,$H256&amp;"병원")))))</f>
        <v/>
      </c>
      <c r="O256" s="10">
        <f>IF($B256="","",IF(AND($U256="파견중",$Q256&lt;&gt;""),IF($R256&lt;&gt;"",$R256,"파견과 미입력"),IF(AND($AD256&lt;&gt;"",LEFT($AD256,1)&lt;&gt;"⚠"),MID($AD256,FIND(" ",$AD256)+1,60),IF($F256="","",IF($F256="인턴","수련교육부(인턴)",$F256)))))</f>
        <v/>
      </c>
      <c r="P256" s="10">
        <f>IF($B256="","",IF($AK256&lt;&gt;"",IF(AND(TODAY()&gt;=INDEX(파견수련계획!$AB$4:$AB$83,$AK256),OR(NOT(ISNUMBER(INDEX(파견수련계획!$AC$4:$AC$83,$AK256))),TODAY()&lt;=INDEX(파견수련계획!$AC$4:$AC$83,$AK256))),"다기관",IF($AF256="","",INDEX(파견수련계획!$T$4:$T$83,$AF256))),IF($AF256="","",INDEX(파견수련계획!$T$4:$T$83,$AF256))))</f>
        <v/>
      </c>
      <c r="Q256" s="10">
        <f>IF($AF256="","",INDEX(파견수련계획!$S$4:$S$83,$AF256))</f>
        <v/>
      </c>
      <c r="R256" s="10">
        <f>IF($AF256="","",INDEX(파견수련계획!$U$4:$U$83,$AF256))</f>
        <v/>
      </c>
      <c r="S256" s="11">
        <f>IF($AF256="","",IF(INDEX(파견수련계획!$H$4:$H$83,$AF256)="","",INDEX(파견수련계획!$H$4:$H$83,$AF256)))</f>
        <v/>
      </c>
      <c r="T256" s="11">
        <f>IF($AF256="","",IF(INDEX(파견수련계획!$I$4:$I$83,$AF256)="","",INDEX(파견수련계획!$I$4:$I$83,$AF256)))</f>
        <v/>
      </c>
      <c r="U256" s="10">
        <f>IF($AF256="","",INDEX(파견수련계획!$X$4:$X$83,$AF256))</f>
        <v/>
      </c>
      <c r="V256" s="17">
        <f>IF($AF256="","",INDEX(파견수련계획!$V$4:$V$83,$AF256))</f>
        <v/>
      </c>
      <c r="W256" s="17">
        <f>IF(AND($U256="파견중",$T256&lt;&gt;""),$T256-TODAY(),"")</f>
        <v/>
      </c>
      <c r="X256" s="17">
        <f>IF(OR($B256="",TRIM($J256&amp;"")=""),"",SUMPRODUCT((파견수련계획!$Q$4:$Q$83=TRIM($J256&amp;""))*파견수련계획!$W$4:$W$83))</f>
        <v/>
      </c>
      <c r="Y256" s="10">
        <f>IF($B256="","",IF($AG256="","",IF(IF(TRIM($J256&amp;"")="",0,SUMPRODUCT((파견수련계획!$Q$4:$Q$83=TRIM($J256&amp;""))*파견수련계획!$AD$4:$AD$83))&gt;0,$AE256,IF(N($X256)&lt;=0,$AG256,IF($AH256+$AI256=DAY(EOMONTH(요약!$B$3,0)),IF(AND($AH256&gt;=요약!$E$3,$AI256&lt;요약!$E$3),"서울병원",IF(AND($AI256&gt;=요약!$E$3,$AH256&lt;요약!$E$3),"구리병원","⚠15일 판정불가(서울 "&amp;$AH256&amp;"일/구리 "&amp;$AI256&amp;"일)")),IF($AJ256="",$AE256,IF(INDEX(파견수련계획!$T$4:$T$83,$AJ256)="통합수련",INDEX(파견수련계획!$S$4:$S$83,$AJ256),$AE256)))))))</f>
        <v/>
      </c>
      <c r="Z256" s="19">
        <f>IF($B256="","",IF($AB256="","기본자료에 없는 사번",IF(COUNTIF($B$2:$B$401,$B256)&gt;1,"중복 사번",IF($AE256="","소속(입사장소) 입력",IF(IF(TRIM($J256&amp;"")="",0,SUMPRODUCT((파견수련계획!$Q$4:$Q$83=TRIM($J256&amp;""))*(파견수련계획!$AA$4:$AA$83&lt;&gt;"")))&gt;0,"파견수련계획 입력오류 확인",IF(LEFT($Y256,1)="⚠","서울·구리 15일 판정 불가(양쪽 모두 이상/미만)",IF(IF($AC256="",0,N(INDEX(인턴근무계획!$T$3:$T$62,$AC256)))&gt;0,"인턴계획 입력오류 확인",IF(AND($AC256&lt;&gt;"",$U256&lt;&gt;"파견중",$N256&lt;&gt;$AE256),"인턴 타지역 근무: 파견 여부 확인","정상"))))))))</f>
        <v/>
      </c>
      <c r="AA256" s="5" t="n"/>
      <c r="AB256" s="10">
        <f>IF($B256="","",IFERROR(MATCH($B256,기본자료!$B$2:$B$1001,0),IFERROR(MATCH($B256&amp;"",기본자료!$B$2:$B$1001,0),IFERROR(MATCH(VALUE($B256),기본자료!$B$2:$B$1001,0),""))))</f>
        <v/>
      </c>
      <c r="AC256" s="10">
        <f>IF($B256="","",IFERROR(MATCH($B256,인턴근무계획!$D$3:$D$62,0),IFERROR(MATCH($B256&amp;"",인턴근무계획!$D$3:$D$62,0),IFERROR(MATCH(VALUE($B256),인턴근무계획!$D$3:$D$62,0),""))))</f>
        <v/>
      </c>
      <c r="AD256" s="10">
        <f>IF(OR($AC256="",인턴현황!$G$3=""),"",INDEX(인턴근무계획!$M$3:$R$62,$AC256,인턴현황!$G$3)&amp;"")</f>
        <v/>
      </c>
      <c r="AE256" s="10">
        <f>IF($B256="","",IF($M256&lt;&gt;"",$M256,IF($AF256&lt;&gt;"",IF(LEFT(INDEX(파견수련계획!$R$4:$R$83,$AF256),1)&lt;&gt;"⚠",INDEX(파견수련계획!$R$4:$R$83,$AF256),IF($H256="","",IF(RIGHT($H256,2)="병원",$H256,$H256&amp;"병원"))),IF($H256="","",IF(RIGHT($H256,2)="병원",$H256,$H256&amp;"병원")))))</f>
        <v/>
      </c>
      <c r="AF256" s="10">
        <f>IF(OR($B256="",TRIM($J256&amp;"")=""),"",IFERROR(MATCH(TRIM($J256&amp;"")&amp;"|파견중",파견수련계획!$Y$4:$Y$83,0),IFERROR(MATCH(TRIM($J256&amp;"")&amp;"|파견예정",파견수련계획!$Y$4:$Y$83,0),IFERROR(MATCH(TRIM($J256&amp;"")&amp;"|파견종료",파견수련계획!$Y$4:$Y$83,0),""))))</f>
        <v/>
      </c>
      <c r="AG256" s="10">
        <f>IF($B256="","",IF(AND(IF(OR($AC256="",인턴현황!$K$2=""),"",INDEX(인턴근무계획!$M$3:$R$62,$AC256,인턴현황!$K$2)&amp;"")&lt;&gt;"",LEFT(IF(OR($AC256="",인턴현황!$K$2=""),"",INDEX(인턴근무계획!$M$3:$R$62,$AC256,인턴현황!$K$2)&amp;""),1)&lt;&gt;"⚠"),LEFT(IF(OR($AC256="",인턴현황!$K$2=""),"",INDEX(인턴근무계획!$M$3:$R$62,$AC256,인턴현황!$K$2)&amp;""),FIND(" ",IF(OR($AC256="",인턴현황!$K$2=""),"",INDEX(인턴근무계획!$M$3:$R$62,$AC256,인턴현황!$K$2)&amp;""))-1),$AE256))</f>
        <v/>
      </c>
      <c r="AH256" s="17">
        <f>IF($B256="","",IF(TRIM($J256&amp;"")="",0,SUMPRODUCT((파견수련계획!$Q$4:$Q$83=TRIM($J256&amp;""))*(파견수련계획!$S$4:$S$83="서울병원")*파견수련계획!$W$4:$W$83))+IF($AG256="서울병원",MAX(0,DAY(EOMONTH(요약!$B$3,0))-N($X256)),0))</f>
        <v/>
      </c>
      <c r="AI256" s="17">
        <f>IF($B256="","",IF(TRIM($J256&amp;"")="",0,SUMPRODUCT((파견수련계획!$Q$4:$Q$83=TRIM($J256&amp;""))*(파견수련계획!$S$4:$S$83="구리병원")*파견수련계획!$W$4:$W$83))+IF($AG256="구리병원",MAX(0,DAY(EOMONTH(요약!$B$3,0))-N($X256)),0))</f>
        <v/>
      </c>
      <c r="AJ256" s="10">
        <f>IF(OR($B256="",TRIM($J256&amp;"")=""),"",IFERROR(MATCH(TRIM($J256&amp;"")&amp;"|월",파견수련계획!$Z$4:$Z$83,0),""))</f>
        <v/>
      </c>
      <c r="AK256" s="10">
        <f>IF(OR($B256="",TRIM($J256&amp;"")=""),"",IFERROR(MATCH(TRIM($J256&amp;"")&amp;"|다기관",파견수련계획!$AE$4:$AE$83,0),""))</f>
        <v/>
      </c>
      <c r="AL256" s="10">
        <f>IF($AK256="","","다기관 "&amp;TEXT(INDEX(파견수련계획!$AB$4:$AB$83,$AK256),"yyyy-mm-dd")&amp;"~"&amp;IF(ISNUMBER(INDEX(파견수련계획!$AC$4:$AC$83,$AK256)),TEXT(INDEX(파견수련계획!$AC$4:$AC$83,$AK256),"yyyy-mm-dd"),""))</f>
        <v/>
      </c>
    </row>
    <row r="257">
      <c r="A257" s="10">
        <f>IF(B257="","",ROW()-1)</f>
        <v/>
      </c>
      <c r="B257" s="18" t="n"/>
      <c r="C257" s="10">
        <f>IF($AB257="","",IF(INDEX(기본자료!$C$2:$C$1001,$AB257)="","",INDEX(기본자료!$C$2:$C$1001,$AB257)))</f>
        <v/>
      </c>
      <c r="D257" s="10">
        <f>IF($AB257="","",IF(INDEX(기본자료!$J$2:$J$1001,$AB257)="","",INDEX(기본자료!$J$2:$J$1001,$AB257)))</f>
        <v/>
      </c>
      <c r="E257" s="11">
        <f>IF($AB257="","",IF(INDEX(기본자료!$K$2:$K$1001,$AB257)="","",IF(NOT(ISNUMBER(INDEX(기본자료!$K$2:$K$1001,$AB257))),INDEX(기본자료!$K$2:$K$1001,$AB257),IF(INDEX(기본자료!$K$2:$K$1001,$AB257)&lt;1000000,INDEX(기본자료!$K$2:$K$1001,$AB257),IF(AND(INDEX(기본자료!$K$2:$K$1001,$AB257)&gt;=10000101,INT(MOD(INDEX(기본자료!$K$2:$K$1001,$AB257),10000)/100)&gt;=1,INT(MOD(INDEX(기본자료!$K$2:$K$1001,$AB257),10000)/100)&lt;=12,MOD(INDEX(기본자료!$K$2:$K$1001,$AB257),100)&gt;=1,MOD(INDEX(기본자료!$K$2:$K$1001,$AB257),100)&lt;=31),DATE(INT(INDEX(기본자료!$K$2:$K$1001,$AB257)/10000),INT(MOD(INDEX(기본자료!$K$2:$K$1001,$AB257),10000)/100),MOD(INDEX(기본자료!$K$2:$K$1001,$AB257),100)),INDEX(기본자료!$K$2:$K$1001,$AB257)&amp;"")))))</f>
        <v/>
      </c>
      <c r="F257" s="10">
        <f>IF($AB257="","",IF(INDEX(기본자료!$D$2:$D$1001,$AB257)="","",INDEX(기본자료!$D$2:$D$1001,$AB257)))</f>
        <v/>
      </c>
      <c r="G257" s="10">
        <f>IF($AB257="","",IF(INDEX(기본자료!$E$2:$E$1001,$AB257)="","",INDEX(기본자료!$E$2:$E$1001,$AB257)))</f>
        <v/>
      </c>
      <c r="H257" s="10">
        <f>IF($AB257="","",IF(INDEX(기본자료!$F$2:$F$1001,$AB257)="","",INDEX(기본자료!$F$2:$F$1001,$AB257)))</f>
        <v/>
      </c>
      <c r="I257" s="11">
        <f>IF($AB257="","",IF(INDEX(기본자료!$G$2:$G$1001,$AB257)="","",IF(NOT(ISNUMBER(INDEX(기본자료!$G$2:$G$1001,$AB257))),INDEX(기본자료!$G$2:$G$1001,$AB257),IF(INDEX(기본자료!$G$2:$G$1001,$AB257)&lt;1000000,INDEX(기본자료!$G$2:$G$1001,$AB257),IF(AND(INDEX(기본자료!$G$2:$G$1001,$AB257)&gt;=10000101,INT(MOD(INDEX(기본자료!$G$2:$G$1001,$AB257),10000)/100)&gt;=1,INT(MOD(INDEX(기본자료!$G$2:$G$1001,$AB257),10000)/100)&lt;=12,MOD(INDEX(기본자료!$G$2:$G$1001,$AB257),100)&gt;=1,MOD(INDEX(기본자료!$G$2:$G$1001,$AB257),100)&lt;=31),DATE(INT(INDEX(기본자료!$G$2:$G$1001,$AB257)/10000),INT(MOD(INDEX(기본자료!$G$2:$G$1001,$AB257),10000)/100),MOD(INDEX(기본자료!$G$2:$G$1001,$AB257),100)),INDEX(기본자료!$G$2:$G$1001,$AB257)&amp;"")))))</f>
        <v/>
      </c>
      <c r="J257" s="10">
        <f>IF($AB257="","",IF(INDEX(기본자료!$H$2:$H$1001,$AB257)="","",INDEX(기본자료!$H$2:$H$1001,$AB257)))</f>
        <v/>
      </c>
      <c r="K257" s="10">
        <f>IF($AB257="","",IF(INDEX(기본자료!$I$2:$I$1001,$AB257)="","",INDEX(기본자료!$I$2:$I$1001,$AB257)))</f>
        <v/>
      </c>
      <c r="L257" s="10">
        <f>IF($AB257="","",IF(INDEX(기본자료!$A$2:$A$1001,$AB257)="","",INDEX(기본자료!$A$2:$A$1001,$AB257)))</f>
        <v/>
      </c>
      <c r="M257" s="15" t="n"/>
      <c r="N257" s="10">
        <f>IF($B257="","",IF(AND($U257="파견중",$Q257&lt;&gt;""),$Q257,IF(AND($AD257&lt;&gt;"",LEFT($AD257,1)&lt;&gt;"⚠"),LEFT($AD257,FIND(" ",$AD257)-1),IF($H257="","",IF(RIGHT($H257,2)="병원",$H257,$H257&amp;"병원")))))</f>
        <v/>
      </c>
      <c r="O257" s="10">
        <f>IF($B257="","",IF(AND($U257="파견중",$Q257&lt;&gt;""),IF($R257&lt;&gt;"",$R257,"파견과 미입력"),IF(AND($AD257&lt;&gt;"",LEFT($AD257,1)&lt;&gt;"⚠"),MID($AD257,FIND(" ",$AD257)+1,60),IF($F257="","",IF($F257="인턴","수련교육부(인턴)",$F257)))))</f>
        <v/>
      </c>
      <c r="P257" s="10">
        <f>IF($B257="","",IF($AK257&lt;&gt;"",IF(AND(TODAY()&gt;=INDEX(파견수련계획!$AB$4:$AB$83,$AK257),OR(NOT(ISNUMBER(INDEX(파견수련계획!$AC$4:$AC$83,$AK257))),TODAY()&lt;=INDEX(파견수련계획!$AC$4:$AC$83,$AK257))),"다기관",IF($AF257="","",INDEX(파견수련계획!$T$4:$T$83,$AF257))),IF($AF257="","",INDEX(파견수련계획!$T$4:$T$83,$AF257))))</f>
        <v/>
      </c>
      <c r="Q257" s="10">
        <f>IF($AF257="","",INDEX(파견수련계획!$S$4:$S$83,$AF257))</f>
        <v/>
      </c>
      <c r="R257" s="10">
        <f>IF($AF257="","",INDEX(파견수련계획!$U$4:$U$83,$AF257))</f>
        <v/>
      </c>
      <c r="S257" s="11">
        <f>IF($AF257="","",IF(INDEX(파견수련계획!$H$4:$H$83,$AF257)="","",INDEX(파견수련계획!$H$4:$H$83,$AF257)))</f>
        <v/>
      </c>
      <c r="T257" s="11">
        <f>IF($AF257="","",IF(INDEX(파견수련계획!$I$4:$I$83,$AF257)="","",INDEX(파견수련계획!$I$4:$I$83,$AF257)))</f>
        <v/>
      </c>
      <c r="U257" s="10">
        <f>IF($AF257="","",INDEX(파견수련계획!$X$4:$X$83,$AF257))</f>
        <v/>
      </c>
      <c r="V257" s="17">
        <f>IF($AF257="","",INDEX(파견수련계획!$V$4:$V$83,$AF257))</f>
        <v/>
      </c>
      <c r="W257" s="17">
        <f>IF(AND($U257="파견중",$T257&lt;&gt;""),$T257-TODAY(),"")</f>
        <v/>
      </c>
      <c r="X257" s="17">
        <f>IF(OR($B257="",TRIM($J257&amp;"")=""),"",SUMPRODUCT((파견수련계획!$Q$4:$Q$83=TRIM($J257&amp;""))*파견수련계획!$W$4:$W$83))</f>
        <v/>
      </c>
      <c r="Y257" s="10">
        <f>IF($B257="","",IF($AG257="","",IF(IF(TRIM($J257&amp;"")="",0,SUMPRODUCT((파견수련계획!$Q$4:$Q$83=TRIM($J257&amp;""))*파견수련계획!$AD$4:$AD$83))&gt;0,$AE257,IF(N($X257)&lt;=0,$AG257,IF($AH257+$AI257=DAY(EOMONTH(요약!$B$3,0)),IF(AND($AH257&gt;=요약!$E$3,$AI257&lt;요약!$E$3),"서울병원",IF(AND($AI257&gt;=요약!$E$3,$AH257&lt;요약!$E$3),"구리병원","⚠15일 판정불가(서울 "&amp;$AH257&amp;"일/구리 "&amp;$AI257&amp;"일)")),IF($AJ257="",$AE257,IF(INDEX(파견수련계획!$T$4:$T$83,$AJ257)="통합수련",INDEX(파견수련계획!$S$4:$S$83,$AJ257),$AE257)))))))</f>
        <v/>
      </c>
      <c r="Z257" s="19">
        <f>IF($B257="","",IF($AB257="","기본자료에 없는 사번",IF(COUNTIF($B$2:$B$401,$B257)&gt;1,"중복 사번",IF($AE257="","소속(입사장소) 입력",IF(IF(TRIM($J257&amp;"")="",0,SUMPRODUCT((파견수련계획!$Q$4:$Q$83=TRIM($J257&amp;""))*(파견수련계획!$AA$4:$AA$83&lt;&gt;"")))&gt;0,"파견수련계획 입력오류 확인",IF(LEFT($Y257,1)="⚠","서울·구리 15일 판정 불가(양쪽 모두 이상/미만)",IF(IF($AC257="",0,N(INDEX(인턴근무계획!$T$3:$T$62,$AC257)))&gt;0,"인턴계획 입력오류 확인",IF(AND($AC257&lt;&gt;"",$U257&lt;&gt;"파견중",$N257&lt;&gt;$AE257),"인턴 타지역 근무: 파견 여부 확인","정상"))))))))</f>
        <v/>
      </c>
      <c r="AA257" s="5" t="n"/>
      <c r="AB257" s="10">
        <f>IF($B257="","",IFERROR(MATCH($B257,기본자료!$B$2:$B$1001,0),IFERROR(MATCH($B257&amp;"",기본자료!$B$2:$B$1001,0),IFERROR(MATCH(VALUE($B257),기본자료!$B$2:$B$1001,0),""))))</f>
        <v/>
      </c>
      <c r="AC257" s="10">
        <f>IF($B257="","",IFERROR(MATCH($B257,인턴근무계획!$D$3:$D$62,0),IFERROR(MATCH($B257&amp;"",인턴근무계획!$D$3:$D$62,0),IFERROR(MATCH(VALUE($B257),인턴근무계획!$D$3:$D$62,0),""))))</f>
        <v/>
      </c>
      <c r="AD257" s="10">
        <f>IF(OR($AC257="",인턴현황!$G$3=""),"",INDEX(인턴근무계획!$M$3:$R$62,$AC257,인턴현황!$G$3)&amp;"")</f>
        <v/>
      </c>
      <c r="AE257" s="10">
        <f>IF($B257="","",IF($M257&lt;&gt;"",$M257,IF($AF257&lt;&gt;"",IF(LEFT(INDEX(파견수련계획!$R$4:$R$83,$AF257),1)&lt;&gt;"⚠",INDEX(파견수련계획!$R$4:$R$83,$AF257),IF($H257="","",IF(RIGHT($H257,2)="병원",$H257,$H257&amp;"병원"))),IF($H257="","",IF(RIGHT($H257,2)="병원",$H257,$H257&amp;"병원")))))</f>
        <v/>
      </c>
      <c r="AF257" s="10">
        <f>IF(OR($B257="",TRIM($J257&amp;"")=""),"",IFERROR(MATCH(TRIM($J257&amp;"")&amp;"|파견중",파견수련계획!$Y$4:$Y$83,0),IFERROR(MATCH(TRIM($J257&amp;"")&amp;"|파견예정",파견수련계획!$Y$4:$Y$83,0),IFERROR(MATCH(TRIM($J257&amp;"")&amp;"|파견종료",파견수련계획!$Y$4:$Y$83,0),""))))</f>
        <v/>
      </c>
      <c r="AG257" s="10">
        <f>IF($B257="","",IF(AND(IF(OR($AC257="",인턴현황!$K$2=""),"",INDEX(인턴근무계획!$M$3:$R$62,$AC257,인턴현황!$K$2)&amp;"")&lt;&gt;"",LEFT(IF(OR($AC257="",인턴현황!$K$2=""),"",INDEX(인턴근무계획!$M$3:$R$62,$AC257,인턴현황!$K$2)&amp;""),1)&lt;&gt;"⚠"),LEFT(IF(OR($AC257="",인턴현황!$K$2=""),"",INDEX(인턴근무계획!$M$3:$R$62,$AC257,인턴현황!$K$2)&amp;""),FIND(" ",IF(OR($AC257="",인턴현황!$K$2=""),"",INDEX(인턴근무계획!$M$3:$R$62,$AC257,인턴현황!$K$2)&amp;""))-1),$AE257))</f>
        <v/>
      </c>
      <c r="AH257" s="17">
        <f>IF($B257="","",IF(TRIM($J257&amp;"")="",0,SUMPRODUCT((파견수련계획!$Q$4:$Q$83=TRIM($J257&amp;""))*(파견수련계획!$S$4:$S$83="서울병원")*파견수련계획!$W$4:$W$83))+IF($AG257="서울병원",MAX(0,DAY(EOMONTH(요약!$B$3,0))-N($X257)),0))</f>
        <v/>
      </c>
      <c r="AI257" s="17">
        <f>IF($B257="","",IF(TRIM($J257&amp;"")="",0,SUMPRODUCT((파견수련계획!$Q$4:$Q$83=TRIM($J257&amp;""))*(파견수련계획!$S$4:$S$83="구리병원")*파견수련계획!$W$4:$W$83))+IF($AG257="구리병원",MAX(0,DAY(EOMONTH(요약!$B$3,0))-N($X257)),0))</f>
        <v/>
      </c>
      <c r="AJ257" s="10">
        <f>IF(OR($B257="",TRIM($J257&amp;"")=""),"",IFERROR(MATCH(TRIM($J257&amp;"")&amp;"|월",파견수련계획!$Z$4:$Z$83,0),""))</f>
        <v/>
      </c>
      <c r="AK257" s="10">
        <f>IF(OR($B257="",TRIM($J257&amp;"")=""),"",IFERROR(MATCH(TRIM($J257&amp;"")&amp;"|다기관",파견수련계획!$AE$4:$AE$83,0),""))</f>
        <v/>
      </c>
      <c r="AL257" s="10">
        <f>IF($AK257="","","다기관 "&amp;TEXT(INDEX(파견수련계획!$AB$4:$AB$83,$AK257),"yyyy-mm-dd")&amp;"~"&amp;IF(ISNUMBER(INDEX(파견수련계획!$AC$4:$AC$83,$AK257)),TEXT(INDEX(파견수련계획!$AC$4:$AC$83,$AK257),"yyyy-mm-dd"),""))</f>
        <v/>
      </c>
    </row>
    <row r="258">
      <c r="A258" s="10">
        <f>IF(B258="","",ROW()-1)</f>
        <v/>
      </c>
      <c r="B258" s="18" t="n"/>
      <c r="C258" s="10">
        <f>IF($AB258="","",IF(INDEX(기본자료!$C$2:$C$1001,$AB258)="","",INDEX(기본자료!$C$2:$C$1001,$AB258)))</f>
        <v/>
      </c>
      <c r="D258" s="10">
        <f>IF($AB258="","",IF(INDEX(기본자료!$J$2:$J$1001,$AB258)="","",INDEX(기본자료!$J$2:$J$1001,$AB258)))</f>
        <v/>
      </c>
      <c r="E258" s="11">
        <f>IF($AB258="","",IF(INDEX(기본자료!$K$2:$K$1001,$AB258)="","",IF(NOT(ISNUMBER(INDEX(기본자료!$K$2:$K$1001,$AB258))),INDEX(기본자료!$K$2:$K$1001,$AB258),IF(INDEX(기본자료!$K$2:$K$1001,$AB258)&lt;1000000,INDEX(기본자료!$K$2:$K$1001,$AB258),IF(AND(INDEX(기본자료!$K$2:$K$1001,$AB258)&gt;=10000101,INT(MOD(INDEX(기본자료!$K$2:$K$1001,$AB258),10000)/100)&gt;=1,INT(MOD(INDEX(기본자료!$K$2:$K$1001,$AB258),10000)/100)&lt;=12,MOD(INDEX(기본자료!$K$2:$K$1001,$AB258),100)&gt;=1,MOD(INDEX(기본자료!$K$2:$K$1001,$AB258),100)&lt;=31),DATE(INT(INDEX(기본자료!$K$2:$K$1001,$AB258)/10000),INT(MOD(INDEX(기본자료!$K$2:$K$1001,$AB258),10000)/100),MOD(INDEX(기본자료!$K$2:$K$1001,$AB258),100)),INDEX(기본자료!$K$2:$K$1001,$AB258)&amp;"")))))</f>
        <v/>
      </c>
      <c r="F258" s="10">
        <f>IF($AB258="","",IF(INDEX(기본자료!$D$2:$D$1001,$AB258)="","",INDEX(기본자료!$D$2:$D$1001,$AB258)))</f>
        <v/>
      </c>
      <c r="G258" s="10">
        <f>IF($AB258="","",IF(INDEX(기본자료!$E$2:$E$1001,$AB258)="","",INDEX(기본자료!$E$2:$E$1001,$AB258)))</f>
        <v/>
      </c>
      <c r="H258" s="10">
        <f>IF($AB258="","",IF(INDEX(기본자료!$F$2:$F$1001,$AB258)="","",INDEX(기본자료!$F$2:$F$1001,$AB258)))</f>
        <v/>
      </c>
      <c r="I258" s="11">
        <f>IF($AB258="","",IF(INDEX(기본자료!$G$2:$G$1001,$AB258)="","",IF(NOT(ISNUMBER(INDEX(기본자료!$G$2:$G$1001,$AB258))),INDEX(기본자료!$G$2:$G$1001,$AB258),IF(INDEX(기본자료!$G$2:$G$1001,$AB258)&lt;1000000,INDEX(기본자료!$G$2:$G$1001,$AB258),IF(AND(INDEX(기본자료!$G$2:$G$1001,$AB258)&gt;=10000101,INT(MOD(INDEX(기본자료!$G$2:$G$1001,$AB258),10000)/100)&gt;=1,INT(MOD(INDEX(기본자료!$G$2:$G$1001,$AB258),10000)/100)&lt;=12,MOD(INDEX(기본자료!$G$2:$G$1001,$AB258),100)&gt;=1,MOD(INDEX(기본자료!$G$2:$G$1001,$AB258),100)&lt;=31),DATE(INT(INDEX(기본자료!$G$2:$G$1001,$AB258)/10000),INT(MOD(INDEX(기본자료!$G$2:$G$1001,$AB258),10000)/100),MOD(INDEX(기본자료!$G$2:$G$1001,$AB258),100)),INDEX(기본자료!$G$2:$G$1001,$AB258)&amp;"")))))</f>
        <v/>
      </c>
      <c r="J258" s="10">
        <f>IF($AB258="","",IF(INDEX(기본자료!$H$2:$H$1001,$AB258)="","",INDEX(기본자료!$H$2:$H$1001,$AB258)))</f>
        <v/>
      </c>
      <c r="K258" s="10">
        <f>IF($AB258="","",IF(INDEX(기본자료!$I$2:$I$1001,$AB258)="","",INDEX(기본자료!$I$2:$I$1001,$AB258)))</f>
        <v/>
      </c>
      <c r="L258" s="10">
        <f>IF($AB258="","",IF(INDEX(기본자료!$A$2:$A$1001,$AB258)="","",INDEX(기본자료!$A$2:$A$1001,$AB258)))</f>
        <v/>
      </c>
      <c r="M258" s="15" t="n"/>
      <c r="N258" s="10">
        <f>IF($B258="","",IF(AND($U258="파견중",$Q258&lt;&gt;""),$Q258,IF(AND($AD258&lt;&gt;"",LEFT($AD258,1)&lt;&gt;"⚠"),LEFT($AD258,FIND(" ",$AD258)-1),IF($H258="","",IF(RIGHT($H258,2)="병원",$H258,$H258&amp;"병원")))))</f>
        <v/>
      </c>
      <c r="O258" s="10">
        <f>IF($B258="","",IF(AND($U258="파견중",$Q258&lt;&gt;""),IF($R258&lt;&gt;"",$R258,"파견과 미입력"),IF(AND($AD258&lt;&gt;"",LEFT($AD258,1)&lt;&gt;"⚠"),MID($AD258,FIND(" ",$AD258)+1,60),IF($F258="","",IF($F258="인턴","수련교육부(인턴)",$F258)))))</f>
        <v/>
      </c>
      <c r="P258" s="10">
        <f>IF($B258="","",IF($AK258&lt;&gt;"",IF(AND(TODAY()&gt;=INDEX(파견수련계획!$AB$4:$AB$83,$AK258),OR(NOT(ISNUMBER(INDEX(파견수련계획!$AC$4:$AC$83,$AK258))),TODAY()&lt;=INDEX(파견수련계획!$AC$4:$AC$83,$AK258))),"다기관",IF($AF258="","",INDEX(파견수련계획!$T$4:$T$83,$AF258))),IF($AF258="","",INDEX(파견수련계획!$T$4:$T$83,$AF258))))</f>
        <v/>
      </c>
      <c r="Q258" s="10">
        <f>IF($AF258="","",INDEX(파견수련계획!$S$4:$S$83,$AF258))</f>
        <v/>
      </c>
      <c r="R258" s="10">
        <f>IF($AF258="","",INDEX(파견수련계획!$U$4:$U$83,$AF258))</f>
        <v/>
      </c>
      <c r="S258" s="11">
        <f>IF($AF258="","",IF(INDEX(파견수련계획!$H$4:$H$83,$AF258)="","",INDEX(파견수련계획!$H$4:$H$83,$AF258)))</f>
        <v/>
      </c>
      <c r="T258" s="11">
        <f>IF($AF258="","",IF(INDEX(파견수련계획!$I$4:$I$83,$AF258)="","",INDEX(파견수련계획!$I$4:$I$83,$AF258)))</f>
        <v/>
      </c>
      <c r="U258" s="10">
        <f>IF($AF258="","",INDEX(파견수련계획!$X$4:$X$83,$AF258))</f>
        <v/>
      </c>
      <c r="V258" s="17">
        <f>IF($AF258="","",INDEX(파견수련계획!$V$4:$V$83,$AF258))</f>
        <v/>
      </c>
      <c r="W258" s="17">
        <f>IF(AND($U258="파견중",$T258&lt;&gt;""),$T258-TODAY(),"")</f>
        <v/>
      </c>
      <c r="X258" s="17">
        <f>IF(OR($B258="",TRIM($J258&amp;"")=""),"",SUMPRODUCT((파견수련계획!$Q$4:$Q$83=TRIM($J258&amp;""))*파견수련계획!$W$4:$W$83))</f>
        <v/>
      </c>
      <c r="Y258" s="10">
        <f>IF($B258="","",IF($AG258="","",IF(IF(TRIM($J258&amp;"")="",0,SUMPRODUCT((파견수련계획!$Q$4:$Q$83=TRIM($J258&amp;""))*파견수련계획!$AD$4:$AD$83))&gt;0,$AE258,IF(N($X258)&lt;=0,$AG258,IF($AH258+$AI258=DAY(EOMONTH(요약!$B$3,0)),IF(AND($AH258&gt;=요약!$E$3,$AI258&lt;요약!$E$3),"서울병원",IF(AND($AI258&gt;=요약!$E$3,$AH258&lt;요약!$E$3),"구리병원","⚠15일 판정불가(서울 "&amp;$AH258&amp;"일/구리 "&amp;$AI258&amp;"일)")),IF($AJ258="",$AE258,IF(INDEX(파견수련계획!$T$4:$T$83,$AJ258)="통합수련",INDEX(파견수련계획!$S$4:$S$83,$AJ258),$AE258)))))))</f>
        <v/>
      </c>
      <c r="Z258" s="19">
        <f>IF($B258="","",IF($AB258="","기본자료에 없는 사번",IF(COUNTIF($B$2:$B$401,$B258)&gt;1,"중복 사번",IF($AE258="","소속(입사장소) 입력",IF(IF(TRIM($J258&amp;"")="",0,SUMPRODUCT((파견수련계획!$Q$4:$Q$83=TRIM($J258&amp;""))*(파견수련계획!$AA$4:$AA$83&lt;&gt;"")))&gt;0,"파견수련계획 입력오류 확인",IF(LEFT($Y258,1)="⚠","서울·구리 15일 판정 불가(양쪽 모두 이상/미만)",IF(IF($AC258="",0,N(INDEX(인턴근무계획!$T$3:$T$62,$AC258)))&gt;0,"인턴계획 입력오류 확인",IF(AND($AC258&lt;&gt;"",$U258&lt;&gt;"파견중",$N258&lt;&gt;$AE258),"인턴 타지역 근무: 파견 여부 확인","정상"))))))))</f>
        <v/>
      </c>
      <c r="AA258" s="5" t="n"/>
      <c r="AB258" s="10">
        <f>IF($B258="","",IFERROR(MATCH($B258,기본자료!$B$2:$B$1001,0),IFERROR(MATCH($B258&amp;"",기본자료!$B$2:$B$1001,0),IFERROR(MATCH(VALUE($B258),기본자료!$B$2:$B$1001,0),""))))</f>
        <v/>
      </c>
      <c r="AC258" s="10">
        <f>IF($B258="","",IFERROR(MATCH($B258,인턴근무계획!$D$3:$D$62,0),IFERROR(MATCH($B258&amp;"",인턴근무계획!$D$3:$D$62,0),IFERROR(MATCH(VALUE($B258),인턴근무계획!$D$3:$D$62,0),""))))</f>
        <v/>
      </c>
      <c r="AD258" s="10">
        <f>IF(OR($AC258="",인턴현황!$G$3=""),"",INDEX(인턴근무계획!$M$3:$R$62,$AC258,인턴현황!$G$3)&amp;"")</f>
        <v/>
      </c>
      <c r="AE258" s="10">
        <f>IF($B258="","",IF($M258&lt;&gt;"",$M258,IF($AF258&lt;&gt;"",IF(LEFT(INDEX(파견수련계획!$R$4:$R$83,$AF258),1)&lt;&gt;"⚠",INDEX(파견수련계획!$R$4:$R$83,$AF258),IF($H258="","",IF(RIGHT($H258,2)="병원",$H258,$H258&amp;"병원"))),IF($H258="","",IF(RIGHT($H258,2)="병원",$H258,$H258&amp;"병원")))))</f>
        <v/>
      </c>
      <c r="AF258" s="10">
        <f>IF(OR($B258="",TRIM($J258&amp;"")=""),"",IFERROR(MATCH(TRIM($J258&amp;"")&amp;"|파견중",파견수련계획!$Y$4:$Y$83,0),IFERROR(MATCH(TRIM($J258&amp;"")&amp;"|파견예정",파견수련계획!$Y$4:$Y$83,0),IFERROR(MATCH(TRIM($J258&amp;"")&amp;"|파견종료",파견수련계획!$Y$4:$Y$83,0),""))))</f>
        <v/>
      </c>
      <c r="AG258" s="10">
        <f>IF($B258="","",IF(AND(IF(OR($AC258="",인턴현황!$K$2=""),"",INDEX(인턴근무계획!$M$3:$R$62,$AC258,인턴현황!$K$2)&amp;"")&lt;&gt;"",LEFT(IF(OR($AC258="",인턴현황!$K$2=""),"",INDEX(인턴근무계획!$M$3:$R$62,$AC258,인턴현황!$K$2)&amp;""),1)&lt;&gt;"⚠"),LEFT(IF(OR($AC258="",인턴현황!$K$2=""),"",INDEX(인턴근무계획!$M$3:$R$62,$AC258,인턴현황!$K$2)&amp;""),FIND(" ",IF(OR($AC258="",인턴현황!$K$2=""),"",INDEX(인턴근무계획!$M$3:$R$62,$AC258,인턴현황!$K$2)&amp;""))-1),$AE258))</f>
        <v/>
      </c>
      <c r="AH258" s="17">
        <f>IF($B258="","",IF(TRIM($J258&amp;"")="",0,SUMPRODUCT((파견수련계획!$Q$4:$Q$83=TRIM($J258&amp;""))*(파견수련계획!$S$4:$S$83="서울병원")*파견수련계획!$W$4:$W$83))+IF($AG258="서울병원",MAX(0,DAY(EOMONTH(요약!$B$3,0))-N($X258)),0))</f>
        <v/>
      </c>
      <c r="AI258" s="17">
        <f>IF($B258="","",IF(TRIM($J258&amp;"")="",0,SUMPRODUCT((파견수련계획!$Q$4:$Q$83=TRIM($J258&amp;""))*(파견수련계획!$S$4:$S$83="구리병원")*파견수련계획!$W$4:$W$83))+IF($AG258="구리병원",MAX(0,DAY(EOMONTH(요약!$B$3,0))-N($X258)),0))</f>
        <v/>
      </c>
      <c r="AJ258" s="10">
        <f>IF(OR($B258="",TRIM($J258&amp;"")=""),"",IFERROR(MATCH(TRIM($J258&amp;"")&amp;"|월",파견수련계획!$Z$4:$Z$83,0),""))</f>
        <v/>
      </c>
      <c r="AK258" s="10">
        <f>IF(OR($B258="",TRIM($J258&amp;"")=""),"",IFERROR(MATCH(TRIM($J258&amp;"")&amp;"|다기관",파견수련계획!$AE$4:$AE$83,0),""))</f>
        <v/>
      </c>
      <c r="AL258" s="10">
        <f>IF($AK258="","","다기관 "&amp;TEXT(INDEX(파견수련계획!$AB$4:$AB$83,$AK258),"yyyy-mm-dd")&amp;"~"&amp;IF(ISNUMBER(INDEX(파견수련계획!$AC$4:$AC$83,$AK258)),TEXT(INDEX(파견수련계획!$AC$4:$AC$83,$AK258),"yyyy-mm-dd"),""))</f>
        <v/>
      </c>
    </row>
    <row r="259">
      <c r="A259" s="10">
        <f>IF(B259="","",ROW()-1)</f>
        <v/>
      </c>
      <c r="B259" s="18" t="n"/>
      <c r="C259" s="10">
        <f>IF($AB259="","",IF(INDEX(기본자료!$C$2:$C$1001,$AB259)="","",INDEX(기본자료!$C$2:$C$1001,$AB259)))</f>
        <v/>
      </c>
      <c r="D259" s="10">
        <f>IF($AB259="","",IF(INDEX(기본자료!$J$2:$J$1001,$AB259)="","",INDEX(기본자료!$J$2:$J$1001,$AB259)))</f>
        <v/>
      </c>
      <c r="E259" s="11">
        <f>IF($AB259="","",IF(INDEX(기본자료!$K$2:$K$1001,$AB259)="","",IF(NOT(ISNUMBER(INDEX(기본자료!$K$2:$K$1001,$AB259))),INDEX(기본자료!$K$2:$K$1001,$AB259),IF(INDEX(기본자료!$K$2:$K$1001,$AB259)&lt;1000000,INDEX(기본자료!$K$2:$K$1001,$AB259),IF(AND(INDEX(기본자료!$K$2:$K$1001,$AB259)&gt;=10000101,INT(MOD(INDEX(기본자료!$K$2:$K$1001,$AB259),10000)/100)&gt;=1,INT(MOD(INDEX(기본자료!$K$2:$K$1001,$AB259),10000)/100)&lt;=12,MOD(INDEX(기본자료!$K$2:$K$1001,$AB259),100)&gt;=1,MOD(INDEX(기본자료!$K$2:$K$1001,$AB259),100)&lt;=31),DATE(INT(INDEX(기본자료!$K$2:$K$1001,$AB259)/10000),INT(MOD(INDEX(기본자료!$K$2:$K$1001,$AB259),10000)/100),MOD(INDEX(기본자료!$K$2:$K$1001,$AB259),100)),INDEX(기본자료!$K$2:$K$1001,$AB259)&amp;"")))))</f>
        <v/>
      </c>
      <c r="F259" s="10">
        <f>IF($AB259="","",IF(INDEX(기본자료!$D$2:$D$1001,$AB259)="","",INDEX(기본자료!$D$2:$D$1001,$AB259)))</f>
        <v/>
      </c>
      <c r="G259" s="10">
        <f>IF($AB259="","",IF(INDEX(기본자료!$E$2:$E$1001,$AB259)="","",INDEX(기본자료!$E$2:$E$1001,$AB259)))</f>
        <v/>
      </c>
      <c r="H259" s="10">
        <f>IF($AB259="","",IF(INDEX(기본자료!$F$2:$F$1001,$AB259)="","",INDEX(기본자료!$F$2:$F$1001,$AB259)))</f>
        <v/>
      </c>
      <c r="I259" s="11">
        <f>IF($AB259="","",IF(INDEX(기본자료!$G$2:$G$1001,$AB259)="","",IF(NOT(ISNUMBER(INDEX(기본자료!$G$2:$G$1001,$AB259))),INDEX(기본자료!$G$2:$G$1001,$AB259),IF(INDEX(기본자료!$G$2:$G$1001,$AB259)&lt;1000000,INDEX(기본자료!$G$2:$G$1001,$AB259),IF(AND(INDEX(기본자료!$G$2:$G$1001,$AB259)&gt;=10000101,INT(MOD(INDEX(기본자료!$G$2:$G$1001,$AB259),10000)/100)&gt;=1,INT(MOD(INDEX(기본자료!$G$2:$G$1001,$AB259),10000)/100)&lt;=12,MOD(INDEX(기본자료!$G$2:$G$1001,$AB259),100)&gt;=1,MOD(INDEX(기본자료!$G$2:$G$1001,$AB259),100)&lt;=31),DATE(INT(INDEX(기본자료!$G$2:$G$1001,$AB259)/10000),INT(MOD(INDEX(기본자료!$G$2:$G$1001,$AB259),10000)/100),MOD(INDEX(기본자료!$G$2:$G$1001,$AB259),100)),INDEX(기본자료!$G$2:$G$1001,$AB259)&amp;"")))))</f>
        <v/>
      </c>
      <c r="J259" s="10">
        <f>IF($AB259="","",IF(INDEX(기본자료!$H$2:$H$1001,$AB259)="","",INDEX(기본자료!$H$2:$H$1001,$AB259)))</f>
        <v/>
      </c>
      <c r="K259" s="10">
        <f>IF($AB259="","",IF(INDEX(기본자료!$I$2:$I$1001,$AB259)="","",INDEX(기본자료!$I$2:$I$1001,$AB259)))</f>
        <v/>
      </c>
      <c r="L259" s="10">
        <f>IF($AB259="","",IF(INDEX(기본자료!$A$2:$A$1001,$AB259)="","",INDEX(기본자료!$A$2:$A$1001,$AB259)))</f>
        <v/>
      </c>
      <c r="M259" s="15" t="n"/>
      <c r="N259" s="10">
        <f>IF($B259="","",IF(AND($U259="파견중",$Q259&lt;&gt;""),$Q259,IF(AND($AD259&lt;&gt;"",LEFT($AD259,1)&lt;&gt;"⚠"),LEFT($AD259,FIND(" ",$AD259)-1),IF($H259="","",IF(RIGHT($H259,2)="병원",$H259,$H259&amp;"병원")))))</f>
        <v/>
      </c>
      <c r="O259" s="10">
        <f>IF($B259="","",IF(AND($U259="파견중",$Q259&lt;&gt;""),IF($R259&lt;&gt;"",$R259,"파견과 미입력"),IF(AND($AD259&lt;&gt;"",LEFT($AD259,1)&lt;&gt;"⚠"),MID($AD259,FIND(" ",$AD259)+1,60),IF($F259="","",IF($F259="인턴","수련교육부(인턴)",$F259)))))</f>
        <v/>
      </c>
      <c r="P259" s="10">
        <f>IF($B259="","",IF($AK259&lt;&gt;"",IF(AND(TODAY()&gt;=INDEX(파견수련계획!$AB$4:$AB$83,$AK259),OR(NOT(ISNUMBER(INDEX(파견수련계획!$AC$4:$AC$83,$AK259))),TODAY()&lt;=INDEX(파견수련계획!$AC$4:$AC$83,$AK259))),"다기관",IF($AF259="","",INDEX(파견수련계획!$T$4:$T$83,$AF259))),IF($AF259="","",INDEX(파견수련계획!$T$4:$T$83,$AF259))))</f>
        <v/>
      </c>
      <c r="Q259" s="10">
        <f>IF($AF259="","",INDEX(파견수련계획!$S$4:$S$83,$AF259))</f>
        <v/>
      </c>
      <c r="R259" s="10">
        <f>IF($AF259="","",INDEX(파견수련계획!$U$4:$U$83,$AF259))</f>
        <v/>
      </c>
      <c r="S259" s="11">
        <f>IF($AF259="","",IF(INDEX(파견수련계획!$H$4:$H$83,$AF259)="","",INDEX(파견수련계획!$H$4:$H$83,$AF259)))</f>
        <v/>
      </c>
      <c r="T259" s="11">
        <f>IF($AF259="","",IF(INDEX(파견수련계획!$I$4:$I$83,$AF259)="","",INDEX(파견수련계획!$I$4:$I$83,$AF259)))</f>
        <v/>
      </c>
      <c r="U259" s="10">
        <f>IF($AF259="","",INDEX(파견수련계획!$X$4:$X$83,$AF259))</f>
        <v/>
      </c>
      <c r="V259" s="17">
        <f>IF($AF259="","",INDEX(파견수련계획!$V$4:$V$83,$AF259))</f>
        <v/>
      </c>
      <c r="W259" s="17">
        <f>IF(AND($U259="파견중",$T259&lt;&gt;""),$T259-TODAY(),"")</f>
        <v/>
      </c>
      <c r="X259" s="17">
        <f>IF(OR($B259="",TRIM($J259&amp;"")=""),"",SUMPRODUCT((파견수련계획!$Q$4:$Q$83=TRIM($J259&amp;""))*파견수련계획!$W$4:$W$83))</f>
        <v/>
      </c>
      <c r="Y259" s="10">
        <f>IF($B259="","",IF($AG259="","",IF(IF(TRIM($J259&amp;"")="",0,SUMPRODUCT((파견수련계획!$Q$4:$Q$83=TRIM($J259&amp;""))*파견수련계획!$AD$4:$AD$83))&gt;0,$AE259,IF(N($X259)&lt;=0,$AG259,IF($AH259+$AI259=DAY(EOMONTH(요약!$B$3,0)),IF(AND($AH259&gt;=요약!$E$3,$AI259&lt;요약!$E$3),"서울병원",IF(AND($AI259&gt;=요약!$E$3,$AH259&lt;요약!$E$3),"구리병원","⚠15일 판정불가(서울 "&amp;$AH259&amp;"일/구리 "&amp;$AI259&amp;"일)")),IF($AJ259="",$AE259,IF(INDEX(파견수련계획!$T$4:$T$83,$AJ259)="통합수련",INDEX(파견수련계획!$S$4:$S$83,$AJ259),$AE259)))))))</f>
        <v/>
      </c>
      <c r="Z259" s="19">
        <f>IF($B259="","",IF($AB259="","기본자료에 없는 사번",IF(COUNTIF($B$2:$B$401,$B259)&gt;1,"중복 사번",IF($AE259="","소속(입사장소) 입력",IF(IF(TRIM($J259&amp;"")="",0,SUMPRODUCT((파견수련계획!$Q$4:$Q$83=TRIM($J259&amp;""))*(파견수련계획!$AA$4:$AA$83&lt;&gt;"")))&gt;0,"파견수련계획 입력오류 확인",IF(LEFT($Y259,1)="⚠","서울·구리 15일 판정 불가(양쪽 모두 이상/미만)",IF(IF($AC259="",0,N(INDEX(인턴근무계획!$T$3:$T$62,$AC259)))&gt;0,"인턴계획 입력오류 확인",IF(AND($AC259&lt;&gt;"",$U259&lt;&gt;"파견중",$N259&lt;&gt;$AE259),"인턴 타지역 근무: 파견 여부 확인","정상"))))))))</f>
        <v/>
      </c>
      <c r="AA259" s="5" t="n"/>
      <c r="AB259" s="10">
        <f>IF($B259="","",IFERROR(MATCH($B259,기본자료!$B$2:$B$1001,0),IFERROR(MATCH($B259&amp;"",기본자료!$B$2:$B$1001,0),IFERROR(MATCH(VALUE($B259),기본자료!$B$2:$B$1001,0),""))))</f>
        <v/>
      </c>
      <c r="AC259" s="10">
        <f>IF($B259="","",IFERROR(MATCH($B259,인턴근무계획!$D$3:$D$62,0),IFERROR(MATCH($B259&amp;"",인턴근무계획!$D$3:$D$62,0),IFERROR(MATCH(VALUE($B259),인턴근무계획!$D$3:$D$62,0),""))))</f>
        <v/>
      </c>
      <c r="AD259" s="10">
        <f>IF(OR($AC259="",인턴현황!$G$3=""),"",INDEX(인턴근무계획!$M$3:$R$62,$AC259,인턴현황!$G$3)&amp;"")</f>
        <v/>
      </c>
      <c r="AE259" s="10">
        <f>IF($B259="","",IF($M259&lt;&gt;"",$M259,IF($AF259&lt;&gt;"",IF(LEFT(INDEX(파견수련계획!$R$4:$R$83,$AF259),1)&lt;&gt;"⚠",INDEX(파견수련계획!$R$4:$R$83,$AF259),IF($H259="","",IF(RIGHT($H259,2)="병원",$H259,$H259&amp;"병원"))),IF($H259="","",IF(RIGHT($H259,2)="병원",$H259,$H259&amp;"병원")))))</f>
        <v/>
      </c>
      <c r="AF259" s="10">
        <f>IF(OR($B259="",TRIM($J259&amp;"")=""),"",IFERROR(MATCH(TRIM($J259&amp;"")&amp;"|파견중",파견수련계획!$Y$4:$Y$83,0),IFERROR(MATCH(TRIM($J259&amp;"")&amp;"|파견예정",파견수련계획!$Y$4:$Y$83,0),IFERROR(MATCH(TRIM($J259&amp;"")&amp;"|파견종료",파견수련계획!$Y$4:$Y$83,0),""))))</f>
        <v/>
      </c>
      <c r="AG259" s="10">
        <f>IF($B259="","",IF(AND(IF(OR($AC259="",인턴현황!$K$2=""),"",INDEX(인턴근무계획!$M$3:$R$62,$AC259,인턴현황!$K$2)&amp;"")&lt;&gt;"",LEFT(IF(OR($AC259="",인턴현황!$K$2=""),"",INDEX(인턴근무계획!$M$3:$R$62,$AC259,인턴현황!$K$2)&amp;""),1)&lt;&gt;"⚠"),LEFT(IF(OR($AC259="",인턴현황!$K$2=""),"",INDEX(인턴근무계획!$M$3:$R$62,$AC259,인턴현황!$K$2)&amp;""),FIND(" ",IF(OR($AC259="",인턴현황!$K$2=""),"",INDEX(인턴근무계획!$M$3:$R$62,$AC259,인턴현황!$K$2)&amp;""))-1),$AE259))</f>
        <v/>
      </c>
      <c r="AH259" s="17">
        <f>IF($B259="","",IF(TRIM($J259&amp;"")="",0,SUMPRODUCT((파견수련계획!$Q$4:$Q$83=TRIM($J259&amp;""))*(파견수련계획!$S$4:$S$83="서울병원")*파견수련계획!$W$4:$W$83))+IF($AG259="서울병원",MAX(0,DAY(EOMONTH(요약!$B$3,0))-N($X259)),0))</f>
        <v/>
      </c>
      <c r="AI259" s="17">
        <f>IF($B259="","",IF(TRIM($J259&amp;"")="",0,SUMPRODUCT((파견수련계획!$Q$4:$Q$83=TRIM($J259&amp;""))*(파견수련계획!$S$4:$S$83="구리병원")*파견수련계획!$W$4:$W$83))+IF($AG259="구리병원",MAX(0,DAY(EOMONTH(요약!$B$3,0))-N($X259)),0))</f>
        <v/>
      </c>
      <c r="AJ259" s="10">
        <f>IF(OR($B259="",TRIM($J259&amp;"")=""),"",IFERROR(MATCH(TRIM($J259&amp;"")&amp;"|월",파견수련계획!$Z$4:$Z$83,0),""))</f>
        <v/>
      </c>
      <c r="AK259" s="10">
        <f>IF(OR($B259="",TRIM($J259&amp;"")=""),"",IFERROR(MATCH(TRIM($J259&amp;"")&amp;"|다기관",파견수련계획!$AE$4:$AE$83,0),""))</f>
        <v/>
      </c>
      <c r="AL259" s="10">
        <f>IF($AK259="","","다기관 "&amp;TEXT(INDEX(파견수련계획!$AB$4:$AB$83,$AK259),"yyyy-mm-dd")&amp;"~"&amp;IF(ISNUMBER(INDEX(파견수련계획!$AC$4:$AC$83,$AK259)),TEXT(INDEX(파견수련계획!$AC$4:$AC$83,$AK259),"yyyy-mm-dd"),""))</f>
        <v/>
      </c>
    </row>
    <row r="260">
      <c r="A260" s="10">
        <f>IF(B260="","",ROW()-1)</f>
        <v/>
      </c>
      <c r="B260" s="18" t="n"/>
      <c r="C260" s="10">
        <f>IF($AB260="","",IF(INDEX(기본자료!$C$2:$C$1001,$AB260)="","",INDEX(기본자료!$C$2:$C$1001,$AB260)))</f>
        <v/>
      </c>
      <c r="D260" s="10">
        <f>IF($AB260="","",IF(INDEX(기본자료!$J$2:$J$1001,$AB260)="","",INDEX(기본자료!$J$2:$J$1001,$AB260)))</f>
        <v/>
      </c>
      <c r="E260" s="11">
        <f>IF($AB260="","",IF(INDEX(기본자료!$K$2:$K$1001,$AB260)="","",IF(NOT(ISNUMBER(INDEX(기본자료!$K$2:$K$1001,$AB260))),INDEX(기본자료!$K$2:$K$1001,$AB260),IF(INDEX(기본자료!$K$2:$K$1001,$AB260)&lt;1000000,INDEX(기본자료!$K$2:$K$1001,$AB260),IF(AND(INDEX(기본자료!$K$2:$K$1001,$AB260)&gt;=10000101,INT(MOD(INDEX(기본자료!$K$2:$K$1001,$AB260),10000)/100)&gt;=1,INT(MOD(INDEX(기본자료!$K$2:$K$1001,$AB260),10000)/100)&lt;=12,MOD(INDEX(기본자료!$K$2:$K$1001,$AB260),100)&gt;=1,MOD(INDEX(기본자료!$K$2:$K$1001,$AB260),100)&lt;=31),DATE(INT(INDEX(기본자료!$K$2:$K$1001,$AB260)/10000),INT(MOD(INDEX(기본자료!$K$2:$K$1001,$AB260),10000)/100),MOD(INDEX(기본자료!$K$2:$K$1001,$AB260),100)),INDEX(기본자료!$K$2:$K$1001,$AB260)&amp;"")))))</f>
        <v/>
      </c>
      <c r="F260" s="10">
        <f>IF($AB260="","",IF(INDEX(기본자료!$D$2:$D$1001,$AB260)="","",INDEX(기본자료!$D$2:$D$1001,$AB260)))</f>
        <v/>
      </c>
      <c r="G260" s="10">
        <f>IF($AB260="","",IF(INDEX(기본자료!$E$2:$E$1001,$AB260)="","",INDEX(기본자료!$E$2:$E$1001,$AB260)))</f>
        <v/>
      </c>
      <c r="H260" s="10">
        <f>IF($AB260="","",IF(INDEX(기본자료!$F$2:$F$1001,$AB260)="","",INDEX(기본자료!$F$2:$F$1001,$AB260)))</f>
        <v/>
      </c>
      <c r="I260" s="11">
        <f>IF($AB260="","",IF(INDEX(기본자료!$G$2:$G$1001,$AB260)="","",IF(NOT(ISNUMBER(INDEX(기본자료!$G$2:$G$1001,$AB260))),INDEX(기본자료!$G$2:$G$1001,$AB260),IF(INDEX(기본자료!$G$2:$G$1001,$AB260)&lt;1000000,INDEX(기본자료!$G$2:$G$1001,$AB260),IF(AND(INDEX(기본자료!$G$2:$G$1001,$AB260)&gt;=10000101,INT(MOD(INDEX(기본자료!$G$2:$G$1001,$AB260),10000)/100)&gt;=1,INT(MOD(INDEX(기본자료!$G$2:$G$1001,$AB260),10000)/100)&lt;=12,MOD(INDEX(기본자료!$G$2:$G$1001,$AB260),100)&gt;=1,MOD(INDEX(기본자료!$G$2:$G$1001,$AB260),100)&lt;=31),DATE(INT(INDEX(기본자료!$G$2:$G$1001,$AB260)/10000),INT(MOD(INDEX(기본자료!$G$2:$G$1001,$AB260),10000)/100),MOD(INDEX(기본자료!$G$2:$G$1001,$AB260),100)),INDEX(기본자료!$G$2:$G$1001,$AB260)&amp;"")))))</f>
        <v/>
      </c>
      <c r="J260" s="10">
        <f>IF($AB260="","",IF(INDEX(기본자료!$H$2:$H$1001,$AB260)="","",INDEX(기본자료!$H$2:$H$1001,$AB260)))</f>
        <v/>
      </c>
      <c r="K260" s="10">
        <f>IF($AB260="","",IF(INDEX(기본자료!$I$2:$I$1001,$AB260)="","",INDEX(기본자료!$I$2:$I$1001,$AB260)))</f>
        <v/>
      </c>
      <c r="L260" s="10">
        <f>IF($AB260="","",IF(INDEX(기본자료!$A$2:$A$1001,$AB260)="","",INDEX(기본자료!$A$2:$A$1001,$AB260)))</f>
        <v/>
      </c>
      <c r="M260" s="15" t="n"/>
      <c r="N260" s="10">
        <f>IF($B260="","",IF(AND($U260="파견중",$Q260&lt;&gt;""),$Q260,IF(AND($AD260&lt;&gt;"",LEFT($AD260,1)&lt;&gt;"⚠"),LEFT($AD260,FIND(" ",$AD260)-1),IF($H260="","",IF(RIGHT($H260,2)="병원",$H260,$H260&amp;"병원")))))</f>
        <v/>
      </c>
      <c r="O260" s="10">
        <f>IF($B260="","",IF(AND($U260="파견중",$Q260&lt;&gt;""),IF($R260&lt;&gt;"",$R260,"파견과 미입력"),IF(AND($AD260&lt;&gt;"",LEFT($AD260,1)&lt;&gt;"⚠"),MID($AD260,FIND(" ",$AD260)+1,60),IF($F260="","",IF($F260="인턴","수련교육부(인턴)",$F260)))))</f>
        <v/>
      </c>
      <c r="P260" s="10">
        <f>IF($B260="","",IF($AK260&lt;&gt;"",IF(AND(TODAY()&gt;=INDEX(파견수련계획!$AB$4:$AB$83,$AK260),OR(NOT(ISNUMBER(INDEX(파견수련계획!$AC$4:$AC$83,$AK260))),TODAY()&lt;=INDEX(파견수련계획!$AC$4:$AC$83,$AK260))),"다기관",IF($AF260="","",INDEX(파견수련계획!$T$4:$T$83,$AF260))),IF($AF260="","",INDEX(파견수련계획!$T$4:$T$83,$AF260))))</f>
        <v/>
      </c>
      <c r="Q260" s="10">
        <f>IF($AF260="","",INDEX(파견수련계획!$S$4:$S$83,$AF260))</f>
        <v/>
      </c>
      <c r="R260" s="10">
        <f>IF($AF260="","",INDEX(파견수련계획!$U$4:$U$83,$AF260))</f>
        <v/>
      </c>
      <c r="S260" s="11">
        <f>IF($AF260="","",IF(INDEX(파견수련계획!$H$4:$H$83,$AF260)="","",INDEX(파견수련계획!$H$4:$H$83,$AF260)))</f>
        <v/>
      </c>
      <c r="T260" s="11">
        <f>IF($AF260="","",IF(INDEX(파견수련계획!$I$4:$I$83,$AF260)="","",INDEX(파견수련계획!$I$4:$I$83,$AF260)))</f>
        <v/>
      </c>
      <c r="U260" s="10">
        <f>IF($AF260="","",INDEX(파견수련계획!$X$4:$X$83,$AF260))</f>
        <v/>
      </c>
      <c r="V260" s="17">
        <f>IF($AF260="","",INDEX(파견수련계획!$V$4:$V$83,$AF260))</f>
        <v/>
      </c>
      <c r="W260" s="17">
        <f>IF(AND($U260="파견중",$T260&lt;&gt;""),$T260-TODAY(),"")</f>
        <v/>
      </c>
      <c r="X260" s="17">
        <f>IF(OR($B260="",TRIM($J260&amp;"")=""),"",SUMPRODUCT((파견수련계획!$Q$4:$Q$83=TRIM($J260&amp;""))*파견수련계획!$W$4:$W$83))</f>
        <v/>
      </c>
      <c r="Y260" s="10">
        <f>IF($B260="","",IF($AG260="","",IF(IF(TRIM($J260&amp;"")="",0,SUMPRODUCT((파견수련계획!$Q$4:$Q$83=TRIM($J260&amp;""))*파견수련계획!$AD$4:$AD$83))&gt;0,$AE260,IF(N($X260)&lt;=0,$AG260,IF($AH260+$AI260=DAY(EOMONTH(요약!$B$3,0)),IF(AND($AH260&gt;=요약!$E$3,$AI260&lt;요약!$E$3),"서울병원",IF(AND($AI260&gt;=요약!$E$3,$AH260&lt;요약!$E$3),"구리병원","⚠15일 판정불가(서울 "&amp;$AH260&amp;"일/구리 "&amp;$AI260&amp;"일)")),IF($AJ260="",$AE260,IF(INDEX(파견수련계획!$T$4:$T$83,$AJ260)="통합수련",INDEX(파견수련계획!$S$4:$S$83,$AJ260),$AE260)))))))</f>
        <v/>
      </c>
      <c r="Z260" s="19">
        <f>IF($B260="","",IF($AB260="","기본자료에 없는 사번",IF(COUNTIF($B$2:$B$401,$B260)&gt;1,"중복 사번",IF($AE260="","소속(입사장소) 입력",IF(IF(TRIM($J260&amp;"")="",0,SUMPRODUCT((파견수련계획!$Q$4:$Q$83=TRIM($J260&amp;""))*(파견수련계획!$AA$4:$AA$83&lt;&gt;"")))&gt;0,"파견수련계획 입력오류 확인",IF(LEFT($Y260,1)="⚠","서울·구리 15일 판정 불가(양쪽 모두 이상/미만)",IF(IF($AC260="",0,N(INDEX(인턴근무계획!$T$3:$T$62,$AC260)))&gt;0,"인턴계획 입력오류 확인",IF(AND($AC260&lt;&gt;"",$U260&lt;&gt;"파견중",$N260&lt;&gt;$AE260),"인턴 타지역 근무: 파견 여부 확인","정상"))))))))</f>
        <v/>
      </c>
      <c r="AA260" s="5" t="n"/>
      <c r="AB260" s="10">
        <f>IF($B260="","",IFERROR(MATCH($B260,기본자료!$B$2:$B$1001,0),IFERROR(MATCH($B260&amp;"",기본자료!$B$2:$B$1001,0),IFERROR(MATCH(VALUE($B260),기본자료!$B$2:$B$1001,0),""))))</f>
        <v/>
      </c>
      <c r="AC260" s="10">
        <f>IF($B260="","",IFERROR(MATCH($B260,인턴근무계획!$D$3:$D$62,0),IFERROR(MATCH($B260&amp;"",인턴근무계획!$D$3:$D$62,0),IFERROR(MATCH(VALUE($B260),인턴근무계획!$D$3:$D$62,0),""))))</f>
        <v/>
      </c>
      <c r="AD260" s="10">
        <f>IF(OR($AC260="",인턴현황!$G$3=""),"",INDEX(인턴근무계획!$M$3:$R$62,$AC260,인턴현황!$G$3)&amp;"")</f>
        <v/>
      </c>
      <c r="AE260" s="10">
        <f>IF($B260="","",IF($M260&lt;&gt;"",$M260,IF($AF260&lt;&gt;"",IF(LEFT(INDEX(파견수련계획!$R$4:$R$83,$AF260),1)&lt;&gt;"⚠",INDEX(파견수련계획!$R$4:$R$83,$AF260),IF($H260="","",IF(RIGHT($H260,2)="병원",$H260,$H260&amp;"병원"))),IF($H260="","",IF(RIGHT($H260,2)="병원",$H260,$H260&amp;"병원")))))</f>
        <v/>
      </c>
      <c r="AF260" s="10">
        <f>IF(OR($B260="",TRIM($J260&amp;"")=""),"",IFERROR(MATCH(TRIM($J260&amp;"")&amp;"|파견중",파견수련계획!$Y$4:$Y$83,0),IFERROR(MATCH(TRIM($J260&amp;"")&amp;"|파견예정",파견수련계획!$Y$4:$Y$83,0),IFERROR(MATCH(TRIM($J260&amp;"")&amp;"|파견종료",파견수련계획!$Y$4:$Y$83,0),""))))</f>
        <v/>
      </c>
      <c r="AG260" s="10">
        <f>IF($B260="","",IF(AND(IF(OR($AC260="",인턴현황!$K$2=""),"",INDEX(인턴근무계획!$M$3:$R$62,$AC260,인턴현황!$K$2)&amp;"")&lt;&gt;"",LEFT(IF(OR($AC260="",인턴현황!$K$2=""),"",INDEX(인턴근무계획!$M$3:$R$62,$AC260,인턴현황!$K$2)&amp;""),1)&lt;&gt;"⚠"),LEFT(IF(OR($AC260="",인턴현황!$K$2=""),"",INDEX(인턴근무계획!$M$3:$R$62,$AC260,인턴현황!$K$2)&amp;""),FIND(" ",IF(OR($AC260="",인턴현황!$K$2=""),"",INDEX(인턴근무계획!$M$3:$R$62,$AC260,인턴현황!$K$2)&amp;""))-1),$AE260))</f>
        <v/>
      </c>
      <c r="AH260" s="17">
        <f>IF($B260="","",IF(TRIM($J260&amp;"")="",0,SUMPRODUCT((파견수련계획!$Q$4:$Q$83=TRIM($J260&amp;""))*(파견수련계획!$S$4:$S$83="서울병원")*파견수련계획!$W$4:$W$83))+IF($AG260="서울병원",MAX(0,DAY(EOMONTH(요약!$B$3,0))-N($X260)),0))</f>
        <v/>
      </c>
      <c r="AI260" s="17">
        <f>IF($B260="","",IF(TRIM($J260&amp;"")="",0,SUMPRODUCT((파견수련계획!$Q$4:$Q$83=TRIM($J260&amp;""))*(파견수련계획!$S$4:$S$83="구리병원")*파견수련계획!$W$4:$W$83))+IF($AG260="구리병원",MAX(0,DAY(EOMONTH(요약!$B$3,0))-N($X260)),0))</f>
        <v/>
      </c>
      <c r="AJ260" s="10">
        <f>IF(OR($B260="",TRIM($J260&amp;"")=""),"",IFERROR(MATCH(TRIM($J260&amp;"")&amp;"|월",파견수련계획!$Z$4:$Z$83,0),""))</f>
        <v/>
      </c>
      <c r="AK260" s="10">
        <f>IF(OR($B260="",TRIM($J260&amp;"")=""),"",IFERROR(MATCH(TRIM($J260&amp;"")&amp;"|다기관",파견수련계획!$AE$4:$AE$83,0),""))</f>
        <v/>
      </c>
      <c r="AL260" s="10">
        <f>IF($AK260="","","다기관 "&amp;TEXT(INDEX(파견수련계획!$AB$4:$AB$83,$AK260),"yyyy-mm-dd")&amp;"~"&amp;IF(ISNUMBER(INDEX(파견수련계획!$AC$4:$AC$83,$AK260)),TEXT(INDEX(파견수련계획!$AC$4:$AC$83,$AK260),"yyyy-mm-dd"),""))</f>
        <v/>
      </c>
    </row>
    <row r="261">
      <c r="A261" s="10">
        <f>IF(B261="","",ROW()-1)</f>
        <v/>
      </c>
      <c r="B261" s="18" t="n"/>
      <c r="C261" s="10">
        <f>IF($AB261="","",IF(INDEX(기본자료!$C$2:$C$1001,$AB261)="","",INDEX(기본자료!$C$2:$C$1001,$AB261)))</f>
        <v/>
      </c>
      <c r="D261" s="10">
        <f>IF($AB261="","",IF(INDEX(기본자료!$J$2:$J$1001,$AB261)="","",INDEX(기본자료!$J$2:$J$1001,$AB261)))</f>
        <v/>
      </c>
      <c r="E261" s="11">
        <f>IF($AB261="","",IF(INDEX(기본자료!$K$2:$K$1001,$AB261)="","",IF(NOT(ISNUMBER(INDEX(기본자료!$K$2:$K$1001,$AB261))),INDEX(기본자료!$K$2:$K$1001,$AB261),IF(INDEX(기본자료!$K$2:$K$1001,$AB261)&lt;1000000,INDEX(기본자료!$K$2:$K$1001,$AB261),IF(AND(INDEX(기본자료!$K$2:$K$1001,$AB261)&gt;=10000101,INT(MOD(INDEX(기본자료!$K$2:$K$1001,$AB261),10000)/100)&gt;=1,INT(MOD(INDEX(기본자료!$K$2:$K$1001,$AB261),10000)/100)&lt;=12,MOD(INDEX(기본자료!$K$2:$K$1001,$AB261),100)&gt;=1,MOD(INDEX(기본자료!$K$2:$K$1001,$AB261),100)&lt;=31),DATE(INT(INDEX(기본자료!$K$2:$K$1001,$AB261)/10000),INT(MOD(INDEX(기본자료!$K$2:$K$1001,$AB261),10000)/100),MOD(INDEX(기본자료!$K$2:$K$1001,$AB261),100)),INDEX(기본자료!$K$2:$K$1001,$AB261)&amp;"")))))</f>
        <v/>
      </c>
      <c r="F261" s="10">
        <f>IF($AB261="","",IF(INDEX(기본자료!$D$2:$D$1001,$AB261)="","",INDEX(기본자료!$D$2:$D$1001,$AB261)))</f>
        <v/>
      </c>
      <c r="G261" s="10">
        <f>IF($AB261="","",IF(INDEX(기본자료!$E$2:$E$1001,$AB261)="","",INDEX(기본자료!$E$2:$E$1001,$AB261)))</f>
        <v/>
      </c>
      <c r="H261" s="10">
        <f>IF($AB261="","",IF(INDEX(기본자료!$F$2:$F$1001,$AB261)="","",INDEX(기본자료!$F$2:$F$1001,$AB261)))</f>
        <v/>
      </c>
      <c r="I261" s="11">
        <f>IF($AB261="","",IF(INDEX(기본자료!$G$2:$G$1001,$AB261)="","",IF(NOT(ISNUMBER(INDEX(기본자료!$G$2:$G$1001,$AB261))),INDEX(기본자료!$G$2:$G$1001,$AB261),IF(INDEX(기본자료!$G$2:$G$1001,$AB261)&lt;1000000,INDEX(기본자료!$G$2:$G$1001,$AB261),IF(AND(INDEX(기본자료!$G$2:$G$1001,$AB261)&gt;=10000101,INT(MOD(INDEX(기본자료!$G$2:$G$1001,$AB261),10000)/100)&gt;=1,INT(MOD(INDEX(기본자료!$G$2:$G$1001,$AB261),10000)/100)&lt;=12,MOD(INDEX(기본자료!$G$2:$G$1001,$AB261),100)&gt;=1,MOD(INDEX(기본자료!$G$2:$G$1001,$AB261),100)&lt;=31),DATE(INT(INDEX(기본자료!$G$2:$G$1001,$AB261)/10000),INT(MOD(INDEX(기본자료!$G$2:$G$1001,$AB261),10000)/100),MOD(INDEX(기본자료!$G$2:$G$1001,$AB261),100)),INDEX(기본자료!$G$2:$G$1001,$AB261)&amp;"")))))</f>
        <v/>
      </c>
      <c r="J261" s="10">
        <f>IF($AB261="","",IF(INDEX(기본자료!$H$2:$H$1001,$AB261)="","",INDEX(기본자료!$H$2:$H$1001,$AB261)))</f>
        <v/>
      </c>
      <c r="K261" s="10">
        <f>IF($AB261="","",IF(INDEX(기본자료!$I$2:$I$1001,$AB261)="","",INDEX(기본자료!$I$2:$I$1001,$AB261)))</f>
        <v/>
      </c>
      <c r="L261" s="10">
        <f>IF($AB261="","",IF(INDEX(기본자료!$A$2:$A$1001,$AB261)="","",INDEX(기본자료!$A$2:$A$1001,$AB261)))</f>
        <v/>
      </c>
      <c r="M261" s="15" t="n"/>
      <c r="N261" s="10">
        <f>IF($B261="","",IF(AND($U261="파견중",$Q261&lt;&gt;""),$Q261,IF(AND($AD261&lt;&gt;"",LEFT($AD261,1)&lt;&gt;"⚠"),LEFT($AD261,FIND(" ",$AD261)-1),IF($H261="","",IF(RIGHT($H261,2)="병원",$H261,$H261&amp;"병원")))))</f>
        <v/>
      </c>
      <c r="O261" s="10">
        <f>IF($B261="","",IF(AND($U261="파견중",$Q261&lt;&gt;""),IF($R261&lt;&gt;"",$R261,"파견과 미입력"),IF(AND($AD261&lt;&gt;"",LEFT($AD261,1)&lt;&gt;"⚠"),MID($AD261,FIND(" ",$AD261)+1,60),IF($F261="","",IF($F261="인턴","수련교육부(인턴)",$F261)))))</f>
        <v/>
      </c>
      <c r="P261" s="10">
        <f>IF($B261="","",IF($AK261&lt;&gt;"",IF(AND(TODAY()&gt;=INDEX(파견수련계획!$AB$4:$AB$83,$AK261),OR(NOT(ISNUMBER(INDEX(파견수련계획!$AC$4:$AC$83,$AK261))),TODAY()&lt;=INDEX(파견수련계획!$AC$4:$AC$83,$AK261))),"다기관",IF($AF261="","",INDEX(파견수련계획!$T$4:$T$83,$AF261))),IF($AF261="","",INDEX(파견수련계획!$T$4:$T$83,$AF261))))</f>
        <v/>
      </c>
      <c r="Q261" s="10">
        <f>IF($AF261="","",INDEX(파견수련계획!$S$4:$S$83,$AF261))</f>
        <v/>
      </c>
      <c r="R261" s="10">
        <f>IF($AF261="","",INDEX(파견수련계획!$U$4:$U$83,$AF261))</f>
        <v/>
      </c>
      <c r="S261" s="11">
        <f>IF($AF261="","",IF(INDEX(파견수련계획!$H$4:$H$83,$AF261)="","",INDEX(파견수련계획!$H$4:$H$83,$AF261)))</f>
        <v/>
      </c>
      <c r="T261" s="11">
        <f>IF($AF261="","",IF(INDEX(파견수련계획!$I$4:$I$83,$AF261)="","",INDEX(파견수련계획!$I$4:$I$83,$AF261)))</f>
        <v/>
      </c>
      <c r="U261" s="10">
        <f>IF($AF261="","",INDEX(파견수련계획!$X$4:$X$83,$AF261))</f>
        <v/>
      </c>
      <c r="V261" s="17">
        <f>IF($AF261="","",INDEX(파견수련계획!$V$4:$V$83,$AF261))</f>
        <v/>
      </c>
      <c r="W261" s="17">
        <f>IF(AND($U261="파견중",$T261&lt;&gt;""),$T261-TODAY(),"")</f>
        <v/>
      </c>
      <c r="X261" s="17">
        <f>IF(OR($B261="",TRIM($J261&amp;"")=""),"",SUMPRODUCT((파견수련계획!$Q$4:$Q$83=TRIM($J261&amp;""))*파견수련계획!$W$4:$W$83))</f>
        <v/>
      </c>
      <c r="Y261" s="10">
        <f>IF($B261="","",IF($AG261="","",IF(IF(TRIM($J261&amp;"")="",0,SUMPRODUCT((파견수련계획!$Q$4:$Q$83=TRIM($J261&amp;""))*파견수련계획!$AD$4:$AD$83))&gt;0,$AE261,IF(N($X261)&lt;=0,$AG261,IF($AH261+$AI261=DAY(EOMONTH(요약!$B$3,0)),IF(AND($AH261&gt;=요약!$E$3,$AI261&lt;요약!$E$3),"서울병원",IF(AND($AI261&gt;=요약!$E$3,$AH261&lt;요약!$E$3),"구리병원","⚠15일 판정불가(서울 "&amp;$AH261&amp;"일/구리 "&amp;$AI261&amp;"일)")),IF($AJ261="",$AE261,IF(INDEX(파견수련계획!$T$4:$T$83,$AJ261)="통합수련",INDEX(파견수련계획!$S$4:$S$83,$AJ261),$AE261)))))))</f>
        <v/>
      </c>
      <c r="Z261" s="19">
        <f>IF($B261="","",IF($AB261="","기본자료에 없는 사번",IF(COUNTIF($B$2:$B$401,$B261)&gt;1,"중복 사번",IF($AE261="","소속(입사장소) 입력",IF(IF(TRIM($J261&amp;"")="",0,SUMPRODUCT((파견수련계획!$Q$4:$Q$83=TRIM($J261&amp;""))*(파견수련계획!$AA$4:$AA$83&lt;&gt;"")))&gt;0,"파견수련계획 입력오류 확인",IF(LEFT($Y261,1)="⚠","서울·구리 15일 판정 불가(양쪽 모두 이상/미만)",IF(IF($AC261="",0,N(INDEX(인턴근무계획!$T$3:$T$62,$AC261)))&gt;0,"인턴계획 입력오류 확인",IF(AND($AC261&lt;&gt;"",$U261&lt;&gt;"파견중",$N261&lt;&gt;$AE261),"인턴 타지역 근무: 파견 여부 확인","정상"))))))))</f>
        <v/>
      </c>
      <c r="AA261" s="5" t="n"/>
      <c r="AB261" s="10">
        <f>IF($B261="","",IFERROR(MATCH($B261,기본자료!$B$2:$B$1001,0),IFERROR(MATCH($B261&amp;"",기본자료!$B$2:$B$1001,0),IFERROR(MATCH(VALUE($B261),기본자료!$B$2:$B$1001,0),""))))</f>
        <v/>
      </c>
      <c r="AC261" s="10">
        <f>IF($B261="","",IFERROR(MATCH($B261,인턴근무계획!$D$3:$D$62,0),IFERROR(MATCH($B261&amp;"",인턴근무계획!$D$3:$D$62,0),IFERROR(MATCH(VALUE($B261),인턴근무계획!$D$3:$D$62,0),""))))</f>
        <v/>
      </c>
      <c r="AD261" s="10">
        <f>IF(OR($AC261="",인턴현황!$G$3=""),"",INDEX(인턴근무계획!$M$3:$R$62,$AC261,인턴현황!$G$3)&amp;"")</f>
        <v/>
      </c>
      <c r="AE261" s="10">
        <f>IF($B261="","",IF($M261&lt;&gt;"",$M261,IF($AF261&lt;&gt;"",IF(LEFT(INDEX(파견수련계획!$R$4:$R$83,$AF261),1)&lt;&gt;"⚠",INDEX(파견수련계획!$R$4:$R$83,$AF261),IF($H261="","",IF(RIGHT($H261,2)="병원",$H261,$H261&amp;"병원"))),IF($H261="","",IF(RIGHT($H261,2)="병원",$H261,$H261&amp;"병원")))))</f>
        <v/>
      </c>
      <c r="AF261" s="10">
        <f>IF(OR($B261="",TRIM($J261&amp;"")=""),"",IFERROR(MATCH(TRIM($J261&amp;"")&amp;"|파견중",파견수련계획!$Y$4:$Y$83,0),IFERROR(MATCH(TRIM($J261&amp;"")&amp;"|파견예정",파견수련계획!$Y$4:$Y$83,0),IFERROR(MATCH(TRIM($J261&amp;"")&amp;"|파견종료",파견수련계획!$Y$4:$Y$83,0),""))))</f>
        <v/>
      </c>
      <c r="AG261" s="10">
        <f>IF($B261="","",IF(AND(IF(OR($AC261="",인턴현황!$K$2=""),"",INDEX(인턴근무계획!$M$3:$R$62,$AC261,인턴현황!$K$2)&amp;"")&lt;&gt;"",LEFT(IF(OR($AC261="",인턴현황!$K$2=""),"",INDEX(인턴근무계획!$M$3:$R$62,$AC261,인턴현황!$K$2)&amp;""),1)&lt;&gt;"⚠"),LEFT(IF(OR($AC261="",인턴현황!$K$2=""),"",INDEX(인턴근무계획!$M$3:$R$62,$AC261,인턴현황!$K$2)&amp;""),FIND(" ",IF(OR($AC261="",인턴현황!$K$2=""),"",INDEX(인턴근무계획!$M$3:$R$62,$AC261,인턴현황!$K$2)&amp;""))-1),$AE261))</f>
        <v/>
      </c>
      <c r="AH261" s="17">
        <f>IF($B261="","",IF(TRIM($J261&amp;"")="",0,SUMPRODUCT((파견수련계획!$Q$4:$Q$83=TRIM($J261&amp;""))*(파견수련계획!$S$4:$S$83="서울병원")*파견수련계획!$W$4:$W$83))+IF($AG261="서울병원",MAX(0,DAY(EOMONTH(요약!$B$3,0))-N($X261)),0))</f>
        <v/>
      </c>
      <c r="AI261" s="17">
        <f>IF($B261="","",IF(TRIM($J261&amp;"")="",0,SUMPRODUCT((파견수련계획!$Q$4:$Q$83=TRIM($J261&amp;""))*(파견수련계획!$S$4:$S$83="구리병원")*파견수련계획!$W$4:$W$83))+IF($AG261="구리병원",MAX(0,DAY(EOMONTH(요약!$B$3,0))-N($X261)),0))</f>
        <v/>
      </c>
      <c r="AJ261" s="10">
        <f>IF(OR($B261="",TRIM($J261&amp;"")=""),"",IFERROR(MATCH(TRIM($J261&amp;"")&amp;"|월",파견수련계획!$Z$4:$Z$83,0),""))</f>
        <v/>
      </c>
      <c r="AK261" s="10">
        <f>IF(OR($B261="",TRIM($J261&amp;"")=""),"",IFERROR(MATCH(TRIM($J261&amp;"")&amp;"|다기관",파견수련계획!$AE$4:$AE$83,0),""))</f>
        <v/>
      </c>
      <c r="AL261" s="10">
        <f>IF($AK261="","","다기관 "&amp;TEXT(INDEX(파견수련계획!$AB$4:$AB$83,$AK261),"yyyy-mm-dd")&amp;"~"&amp;IF(ISNUMBER(INDEX(파견수련계획!$AC$4:$AC$83,$AK261)),TEXT(INDEX(파견수련계획!$AC$4:$AC$83,$AK261),"yyyy-mm-dd"),""))</f>
        <v/>
      </c>
    </row>
    <row r="262">
      <c r="A262" s="10">
        <f>IF(B262="","",ROW()-1)</f>
        <v/>
      </c>
      <c r="B262" s="18" t="n"/>
      <c r="C262" s="10">
        <f>IF($AB262="","",IF(INDEX(기본자료!$C$2:$C$1001,$AB262)="","",INDEX(기본자료!$C$2:$C$1001,$AB262)))</f>
        <v/>
      </c>
      <c r="D262" s="10">
        <f>IF($AB262="","",IF(INDEX(기본자료!$J$2:$J$1001,$AB262)="","",INDEX(기본자료!$J$2:$J$1001,$AB262)))</f>
        <v/>
      </c>
      <c r="E262" s="11">
        <f>IF($AB262="","",IF(INDEX(기본자료!$K$2:$K$1001,$AB262)="","",IF(NOT(ISNUMBER(INDEX(기본자료!$K$2:$K$1001,$AB262))),INDEX(기본자료!$K$2:$K$1001,$AB262),IF(INDEX(기본자료!$K$2:$K$1001,$AB262)&lt;1000000,INDEX(기본자료!$K$2:$K$1001,$AB262),IF(AND(INDEX(기본자료!$K$2:$K$1001,$AB262)&gt;=10000101,INT(MOD(INDEX(기본자료!$K$2:$K$1001,$AB262),10000)/100)&gt;=1,INT(MOD(INDEX(기본자료!$K$2:$K$1001,$AB262),10000)/100)&lt;=12,MOD(INDEX(기본자료!$K$2:$K$1001,$AB262),100)&gt;=1,MOD(INDEX(기본자료!$K$2:$K$1001,$AB262),100)&lt;=31),DATE(INT(INDEX(기본자료!$K$2:$K$1001,$AB262)/10000),INT(MOD(INDEX(기본자료!$K$2:$K$1001,$AB262),10000)/100),MOD(INDEX(기본자료!$K$2:$K$1001,$AB262),100)),INDEX(기본자료!$K$2:$K$1001,$AB262)&amp;"")))))</f>
        <v/>
      </c>
      <c r="F262" s="10">
        <f>IF($AB262="","",IF(INDEX(기본자료!$D$2:$D$1001,$AB262)="","",INDEX(기본자료!$D$2:$D$1001,$AB262)))</f>
        <v/>
      </c>
      <c r="G262" s="10">
        <f>IF($AB262="","",IF(INDEX(기본자료!$E$2:$E$1001,$AB262)="","",INDEX(기본자료!$E$2:$E$1001,$AB262)))</f>
        <v/>
      </c>
      <c r="H262" s="10">
        <f>IF($AB262="","",IF(INDEX(기본자료!$F$2:$F$1001,$AB262)="","",INDEX(기본자료!$F$2:$F$1001,$AB262)))</f>
        <v/>
      </c>
      <c r="I262" s="11">
        <f>IF($AB262="","",IF(INDEX(기본자료!$G$2:$G$1001,$AB262)="","",IF(NOT(ISNUMBER(INDEX(기본자료!$G$2:$G$1001,$AB262))),INDEX(기본자료!$G$2:$G$1001,$AB262),IF(INDEX(기본자료!$G$2:$G$1001,$AB262)&lt;1000000,INDEX(기본자료!$G$2:$G$1001,$AB262),IF(AND(INDEX(기본자료!$G$2:$G$1001,$AB262)&gt;=10000101,INT(MOD(INDEX(기본자료!$G$2:$G$1001,$AB262),10000)/100)&gt;=1,INT(MOD(INDEX(기본자료!$G$2:$G$1001,$AB262),10000)/100)&lt;=12,MOD(INDEX(기본자료!$G$2:$G$1001,$AB262),100)&gt;=1,MOD(INDEX(기본자료!$G$2:$G$1001,$AB262),100)&lt;=31),DATE(INT(INDEX(기본자료!$G$2:$G$1001,$AB262)/10000),INT(MOD(INDEX(기본자료!$G$2:$G$1001,$AB262),10000)/100),MOD(INDEX(기본자료!$G$2:$G$1001,$AB262),100)),INDEX(기본자료!$G$2:$G$1001,$AB262)&amp;"")))))</f>
        <v/>
      </c>
      <c r="J262" s="10">
        <f>IF($AB262="","",IF(INDEX(기본자료!$H$2:$H$1001,$AB262)="","",INDEX(기본자료!$H$2:$H$1001,$AB262)))</f>
        <v/>
      </c>
      <c r="K262" s="10">
        <f>IF($AB262="","",IF(INDEX(기본자료!$I$2:$I$1001,$AB262)="","",INDEX(기본자료!$I$2:$I$1001,$AB262)))</f>
        <v/>
      </c>
      <c r="L262" s="10">
        <f>IF($AB262="","",IF(INDEX(기본자료!$A$2:$A$1001,$AB262)="","",INDEX(기본자료!$A$2:$A$1001,$AB262)))</f>
        <v/>
      </c>
      <c r="M262" s="15" t="n"/>
      <c r="N262" s="10">
        <f>IF($B262="","",IF(AND($U262="파견중",$Q262&lt;&gt;""),$Q262,IF(AND($AD262&lt;&gt;"",LEFT($AD262,1)&lt;&gt;"⚠"),LEFT($AD262,FIND(" ",$AD262)-1),IF($H262="","",IF(RIGHT($H262,2)="병원",$H262,$H262&amp;"병원")))))</f>
        <v/>
      </c>
      <c r="O262" s="10">
        <f>IF($B262="","",IF(AND($U262="파견중",$Q262&lt;&gt;""),IF($R262&lt;&gt;"",$R262,"파견과 미입력"),IF(AND($AD262&lt;&gt;"",LEFT($AD262,1)&lt;&gt;"⚠"),MID($AD262,FIND(" ",$AD262)+1,60),IF($F262="","",IF($F262="인턴","수련교육부(인턴)",$F262)))))</f>
        <v/>
      </c>
      <c r="P262" s="10">
        <f>IF($B262="","",IF($AK262&lt;&gt;"",IF(AND(TODAY()&gt;=INDEX(파견수련계획!$AB$4:$AB$83,$AK262),OR(NOT(ISNUMBER(INDEX(파견수련계획!$AC$4:$AC$83,$AK262))),TODAY()&lt;=INDEX(파견수련계획!$AC$4:$AC$83,$AK262))),"다기관",IF($AF262="","",INDEX(파견수련계획!$T$4:$T$83,$AF262))),IF($AF262="","",INDEX(파견수련계획!$T$4:$T$83,$AF262))))</f>
        <v/>
      </c>
      <c r="Q262" s="10">
        <f>IF($AF262="","",INDEX(파견수련계획!$S$4:$S$83,$AF262))</f>
        <v/>
      </c>
      <c r="R262" s="10">
        <f>IF($AF262="","",INDEX(파견수련계획!$U$4:$U$83,$AF262))</f>
        <v/>
      </c>
      <c r="S262" s="11">
        <f>IF($AF262="","",IF(INDEX(파견수련계획!$H$4:$H$83,$AF262)="","",INDEX(파견수련계획!$H$4:$H$83,$AF262)))</f>
        <v/>
      </c>
      <c r="T262" s="11">
        <f>IF($AF262="","",IF(INDEX(파견수련계획!$I$4:$I$83,$AF262)="","",INDEX(파견수련계획!$I$4:$I$83,$AF262)))</f>
        <v/>
      </c>
      <c r="U262" s="10">
        <f>IF($AF262="","",INDEX(파견수련계획!$X$4:$X$83,$AF262))</f>
        <v/>
      </c>
      <c r="V262" s="17">
        <f>IF($AF262="","",INDEX(파견수련계획!$V$4:$V$83,$AF262))</f>
        <v/>
      </c>
      <c r="W262" s="17">
        <f>IF(AND($U262="파견중",$T262&lt;&gt;""),$T262-TODAY(),"")</f>
        <v/>
      </c>
      <c r="X262" s="17">
        <f>IF(OR($B262="",TRIM($J262&amp;"")=""),"",SUMPRODUCT((파견수련계획!$Q$4:$Q$83=TRIM($J262&amp;""))*파견수련계획!$W$4:$W$83))</f>
        <v/>
      </c>
      <c r="Y262" s="10">
        <f>IF($B262="","",IF($AG262="","",IF(IF(TRIM($J262&amp;"")="",0,SUMPRODUCT((파견수련계획!$Q$4:$Q$83=TRIM($J262&amp;""))*파견수련계획!$AD$4:$AD$83))&gt;0,$AE262,IF(N($X262)&lt;=0,$AG262,IF($AH262+$AI262=DAY(EOMONTH(요약!$B$3,0)),IF(AND($AH262&gt;=요약!$E$3,$AI262&lt;요약!$E$3),"서울병원",IF(AND($AI262&gt;=요약!$E$3,$AH262&lt;요약!$E$3),"구리병원","⚠15일 판정불가(서울 "&amp;$AH262&amp;"일/구리 "&amp;$AI262&amp;"일)")),IF($AJ262="",$AE262,IF(INDEX(파견수련계획!$T$4:$T$83,$AJ262)="통합수련",INDEX(파견수련계획!$S$4:$S$83,$AJ262),$AE262)))))))</f>
        <v/>
      </c>
      <c r="Z262" s="19">
        <f>IF($B262="","",IF($AB262="","기본자료에 없는 사번",IF(COUNTIF($B$2:$B$401,$B262)&gt;1,"중복 사번",IF($AE262="","소속(입사장소) 입력",IF(IF(TRIM($J262&amp;"")="",0,SUMPRODUCT((파견수련계획!$Q$4:$Q$83=TRIM($J262&amp;""))*(파견수련계획!$AA$4:$AA$83&lt;&gt;"")))&gt;0,"파견수련계획 입력오류 확인",IF(LEFT($Y262,1)="⚠","서울·구리 15일 판정 불가(양쪽 모두 이상/미만)",IF(IF($AC262="",0,N(INDEX(인턴근무계획!$T$3:$T$62,$AC262)))&gt;0,"인턴계획 입력오류 확인",IF(AND($AC262&lt;&gt;"",$U262&lt;&gt;"파견중",$N262&lt;&gt;$AE262),"인턴 타지역 근무: 파견 여부 확인","정상"))))))))</f>
        <v/>
      </c>
      <c r="AA262" s="5" t="n"/>
      <c r="AB262" s="10">
        <f>IF($B262="","",IFERROR(MATCH($B262,기본자료!$B$2:$B$1001,0),IFERROR(MATCH($B262&amp;"",기본자료!$B$2:$B$1001,0),IFERROR(MATCH(VALUE($B262),기본자료!$B$2:$B$1001,0),""))))</f>
        <v/>
      </c>
      <c r="AC262" s="10">
        <f>IF($B262="","",IFERROR(MATCH($B262,인턴근무계획!$D$3:$D$62,0),IFERROR(MATCH($B262&amp;"",인턴근무계획!$D$3:$D$62,0),IFERROR(MATCH(VALUE($B262),인턴근무계획!$D$3:$D$62,0),""))))</f>
        <v/>
      </c>
      <c r="AD262" s="10">
        <f>IF(OR($AC262="",인턴현황!$G$3=""),"",INDEX(인턴근무계획!$M$3:$R$62,$AC262,인턴현황!$G$3)&amp;"")</f>
        <v/>
      </c>
      <c r="AE262" s="10">
        <f>IF($B262="","",IF($M262&lt;&gt;"",$M262,IF($AF262&lt;&gt;"",IF(LEFT(INDEX(파견수련계획!$R$4:$R$83,$AF262),1)&lt;&gt;"⚠",INDEX(파견수련계획!$R$4:$R$83,$AF262),IF($H262="","",IF(RIGHT($H262,2)="병원",$H262,$H262&amp;"병원"))),IF($H262="","",IF(RIGHT($H262,2)="병원",$H262,$H262&amp;"병원")))))</f>
        <v/>
      </c>
      <c r="AF262" s="10">
        <f>IF(OR($B262="",TRIM($J262&amp;"")=""),"",IFERROR(MATCH(TRIM($J262&amp;"")&amp;"|파견중",파견수련계획!$Y$4:$Y$83,0),IFERROR(MATCH(TRIM($J262&amp;"")&amp;"|파견예정",파견수련계획!$Y$4:$Y$83,0),IFERROR(MATCH(TRIM($J262&amp;"")&amp;"|파견종료",파견수련계획!$Y$4:$Y$83,0),""))))</f>
        <v/>
      </c>
      <c r="AG262" s="10">
        <f>IF($B262="","",IF(AND(IF(OR($AC262="",인턴현황!$K$2=""),"",INDEX(인턴근무계획!$M$3:$R$62,$AC262,인턴현황!$K$2)&amp;"")&lt;&gt;"",LEFT(IF(OR($AC262="",인턴현황!$K$2=""),"",INDEX(인턴근무계획!$M$3:$R$62,$AC262,인턴현황!$K$2)&amp;""),1)&lt;&gt;"⚠"),LEFT(IF(OR($AC262="",인턴현황!$K$2=""),"",INDEX(인턴근무계획!$M$3:$R$62,$AC262,인턴현황!$K$2)&amp;""),FIND(" ",IF(OR($AC262="",인턴현황!$K$2=""),"",INDEX(인턴근무계획!$M$3:$R$62,$AC262,인턴현황!$K$2)&amp;""))-1),$AE262))</f>
        <v/>
      </c>
      <c r="AH262" s="17">
        <f>IF($B262="","",IF(TRIM($J262&amp;"")="",0,SUMPRODUCT((파견수련계획!$Q$4:$Q$83=TRIM($J262&amp;""))*(파견수련계획!$S$4:$S$83="서울병원")*파견수련계획!$W$4:$W$83))+IF($AG262="서울병원",MAX(0,DAY(EOMONTH(요약!$B$3,0))-N($X262)),0))</f>
        <v/>
      </c>
      <c r="AI262" s="17">
        <f>IF($B262="","",IF(TRIM($J262&amp;"")="",0,SUMPRODUCT((파견수련계획!$Q$4:$Q$83=TRIM($J262&amp;""))*(파견수련계획!$S$4:$S$83="구리병원")*파견수련계획!$W$4:$W$83))+IF($AG262="구리병원",MAX(0,DAY(EOMONTH(요약!$B$3,0))-N($X262)),0))</f>
        <v/>
      </c>
      <c r="AJ262" s="10">
        <f>IF(OR($B262="",TRIM($J262&amp;"")=""),"",IFERROR(MATCH(TRIM($J262&amp;"")&amp;"|월",파견수련계획!$Z$4:$Z$83,0),""))</f>
        <v/>
      </c>
      <c r="AK262" s="10">
        <f>IF(OR($B262="",TRIM($J262&amp;"")=""),"",IFERROR(MATCH(TRIM($J262&amp;"")&amp;"|다기관",파견수련계획!$AE$4:$AE$83,0),""))</f>
        <v/>
      </c>
      <c r="AL262" s="10">
        <f>IF($AK262="","","다기관 "&amp;TEXT(INDEX(파견수련계획!$AB$4:$AB$83,$AK262),"yyyy-mm-dd")&amp;"~"&amp;IF(ISNUMBER(INDEX(파견수련계획!$AC$4:$AC$83,$AK262)),TEXT(INDEX(파견수련계획!$AC$4:$AC$83,$AK262),"yyyy-mm-dd"),""))</f>
        <v/>
      </c>
    </row>
    <row r="263">
      <c r="A263" s="10">
        <f>IF(B263="","",ROW()-1)</f>
        <v/>
      </c>
      <c r="B263" s="18" t="n"/>
      <c r="C263" s="10">
        <f>IF($AB263="","",IF(INDEX(기본자료!$C$2:$C$1001,$AB263)="","",INDEX(기본자료!$C$2:$C$1001,$AB263)))</f>
        <v/>
      </c>
      <c r="D263" s="10">
        <f>IF($AB263="","",IF(INDEX(기본자료!$J$2:$J$1001,$AB263)="","",INDEX(기본자료!$J$2:$J$1001,$AB263)))</f>
        <v/>
      </c>
      <c r="E263" s="11">
        <f>IF($AB263="","",IF(INDEX(기본자료!$K$2:$K$1001,$AB263)="","",IF(NOT(ISNUMBER(INDEX(기본자료!$K$2:$K$1001,$AB263))),INDEX(기본자료!$K$2:$K$1001,$AB263),IF(INDEX(기본자료!$K$2:$K$1001,$AB263)&lt;1000000,INDEX(기본자료!$K$2:$K$1001,$AB263),IF(AND(INDEX(기본자료!$K$2:$K$1001,$AB263)&gt;=10000101,INT(MOD(INDEX(기본자료!$K$2:$K$1001,$AB263),10000)/100)&gt;=1,INT(MOD(INDEX(기본자료!$K$2:$K$1001,$AB263),10000)/100)&lt;=12,MOD(INDEX(기본자료!$K$2:$K$1001,$AB263),100)&gt;=1,MOD(INDEX(기본자료!$K$2:$K$1001,$AB263),100)&lt;=31),DATE(INT(INDEX(기본자료!$K$2:$K$1001,$AB263)/10000),INT(MOD(INDEX(기본자료!$K$2:$K$1001,$AB263),10000)/100),MOD(INDEX(기본자료!$K$2:$K$1001,$AB263),100)),INDEX(기본자료!$K$2:$K$1001,$AB263)&amp;"")))))</f>
        <v/>
      </c>
      <c r="F263" s="10">
        <f>IF($AB263="","",IF(INDEX(기본자료!$D$2:$D$1001,$AB263)="","",INDEX(기본자료!$D$2:$D$1001,$AB263)))</f>
        <v/>
      </c>
      <c r="G263" s="10">
        <f>IF($AB263="","",IF(INDEX(기본자료!$E$2:$E$1001,$AB263)="","",INDEX(기본자료!$E$2:$E$1001,$AB263)))</f>
        <v/>
      </c>
      <c r="H263" s="10">
        <f>IF($AB263="","",IF(INDEX(기본자료!$F$2:$F$1001,$AB263)="","",INDEX(기본자료!$F$2:$F$1001,$AB263)))</f>
        <v/>
      </c>
      <c r="I263" s="11">
        <f>IF($AB263="","",IF(INDEX(기본자료!$G$2:$G$1001,$AB263)="","",IF(NOT(ISNUMBER(INDEX(기본자료!$G$2:$G$1001,$AB263))),INDEX(기본자료!$G$2:$G$1001,$AB263),IF(INDEX(기본자료!$G$2:$G$1001,$AB263)&lt;1000000,INDEX(기본자료!$G$2:$G$1001,$AB263),IF(AND(INDEX(기본자료!$G$2:$G$1001,$AB263)&gt;=10000101,INT(MOD(INDEX(기본자료!$G$2:$G$1001,$AB263),10000)/100)&gt;=1,INT(MOD(INDEX(기본자료!$G$2:$G$1001,$AB263),10000)/100)&lt;=12,MOD(INDEX(기본자료!$G$2:$G$1001,$AB263),100)&gt;=1,MOD(INDEX(기본자료!$G$2:$G$1001,$AB263),100)&lt;=31),DATE(INT(INDEX(기본자료!$G$2:$G$1001,$AB263)/10000),INT(MOD(INDEX(기본자료!$G$2:$G$1001,$AB263),10000)/100),MOD(INDEX(기본자료!$G$2:$G$1001,$AB263),100)),INDEX(기본자료!$G$2:$G$1001,$AB263)&amp;"")))))</f>
        <v/>
      </c>
      <c r="J263" s="10">
        <f>IF($AB263="","",IF(INDEX(기본자료!$H$2:$H$1001,$AB263)="","",INDEX(기본자료!$H$2:$H$1001,$AB263)))</f>
        <v/>
      </c>
      <c r="K263" s="10">
        <f>IF($AB263="","",IF(INDEX(기본자료!$I$2:$I$1001,$AB263)="","",INDEX(기본자료!$I$2:$I$1001,$AB263)))</f>
        <v/>
      </c>
      <c r="L263" s="10">
        <f>IF($AB263="","",IF(INDEX(기본자료!$A$2:$A$1001,$AB263)="","",INDEX(기본자료!$A$2:$A$1001,$AB263)))</f>
        <v/>
      </c>
      <c r="M263" s="15" t="n"/>
      <c r="N263" s="10">
        <f>IF($B263="","",IF(AND($U263="파견중",$Q263&lt;&gt;""),$Q263,IF(AND($AD263&lt;&gt;"",LEFT($AD263,1)&lt;&gt;"⚠"),LEFT($AD263,FIND(" ",$AD263)-1),IF($H263="","",IF(RIGHT($H263,2)="병원",$H263,$H263&amp;"병원")))))</f>
        <v/>
      </c>
      <c r="O263" s="10">
        <f>IF($B263="","",IF(AND($U263="파견중",$Q263&lt;&gt;""),IF($R263&lt;&gt;"",$R263,"파견과 미입력"),IF(AND($AD263&lt;&gt;"",LEFT($AD263,1)&lt;&gt;"⚠"),MID($AD263,FIND(" ",$AD263)+1,60),IF($F263="","",IF($F263="인턴","수련교육부(인턴)",$F263)))))</f>
        <v/>
      </c>
      <c r="P263" s="10">
        <f>IF($B263="","",IF($AK263&lt;&gt;"",IF(AND(TODAY()&gt;=INDEX(파견수련계획!$AB$4:$AB$83,$AK263),OR(NOT(ISNUMBER(INDEX(파견수련계획!$AC$4:$AC$83,$AK263))),TODAY()&lt;=INDEX(파견수련계획!$AC$4:$AC$83,$AK263))),"다기관",IF($AF263="","",INDEX(파견수련계획!$T$4:$T$83,$AF263))),IF($AF263="","",INDEX(파견수련계획!$T$4:$T$83,$AF263))))</f>
        <v/>
      </c>
      <c r="Q263" s="10">
        <f>IF($AF263="","",INDEX(파견수련계획!$S$4:$S$83,$AF263))</f>
        <v/>
      </c>
      <c r="R263" s="10">
        <f>IF($AF263="","",INDEX(파견수련계획!$U$4:$U$83,$AF263))</f>
        <v/>
      </c>
      <c r="S263" s="11">
        <f>IF($AF263="","",IF(INDEX(파견수련계획!$H$4:$H$83,$AF263)="","",INDEX(파견수련계획!$H$4:$H$83,$AF263)))</f>
        <v/>
      </c>
      <c r="T263" s="11">
        <f>IF($AF263="","",IF(INDEX(파견수련계획!$I$4:$I$83,$AF263)="","",INDEX(파견수련계획!$I$4:$I$83,$AF263)))</f>
        <v/>
      </c>
      <c r="U263" s="10">
        <f>IF($AF263="","",INDEX(파견수련계획!$X$4:$X$83,$AF263))</f>
        <v/>
      </c>
      <c r="V263" s="17">
        <f>IF($AF263="","",INDEX(파견수련계획!$V$4:$V$83,$AF263))</f>
        <v/>
      </c>
      <c r="W263" s="17">
        <f>IF(AND($U263="파견중",$T263&lt;&gt;""),$T263-TODAY(),"")</f>
        <v/>
      </c>
      <c r="X263" s="17">
        <f>IF(OR($B263="",TRIM($J263&amp;"")=""),"",SUMPRODUCT((파견수련계획!$Q$4:$Q$83=TRIM($J263&amp;""))*파견수련계획!$W$4:$W$83))</f>
        <v/>
      </c>
      <c r="Y263" s="10">
        <f>IF($B263="","",IF($AG263="","",IF(IF(TRIM($J263&amp;"")="",0,SUMPRODUCT((파견수련계획!$Q$4:$Q$83=TRIM($J263&amp;""))*파견수련계획!$AD$4:$AD$83))&gt;0,$AE263,IF(N($X263)&lt;=0,$AG263,IF($AH263+$AI263=DAY(EOMONTH(요약!$B$3,0)),IF(AND($AH263&gt;=요약!$E$3,$AI263&lt;요약!$E$3),"서울병원",IF(AND($AI263&gt;=요약!$E$3,$AH263&lt;요약!$E$3),"구리병원","⚠15일 판정불가(서울 "&amp;$AH263&amp;"일/구리 "&amp;$AI263&amp;"일)")),IF($AJ263="",$AE263,IF(INDEX(파견수련계획!$T$4:$T$83,$AJ263)="통합수련",INDEX(파견수련계획!$S$4:$S$83,$AJ263),$AE263)))))))</f>
        <v/>
      </c>
      <c r="Z263" s="19">
        <f>IF($B263="","",IF($AB263="","기본자료에 없는 사번",IF(COUNTIF($B$2:$B$401,$B263)&gt;1,"중복 사번",IF($AE263="","소속(입사장소) 입력",IF(IF(TRIM($J263&amp;"")="",0,SUMPRODUCT((파견수련계획!$Q$4:$Q$83=TRIM($J263&amp;""))*(파견수련계획!$AA$4:$AA$83&lt;&gt;"")))&gt;0,"파견수련계획 입력오류 확인",IF(LEFT($Y263,1)="⚠","서울·구리 15일 판정 불가(양쪽 모두 이상/미만)",IF(IF($AC263="",0,N(INDEX(인턴근무계획!$T$3:$T$62,$AC263)))&gt;0,"인턴계획 입력오류 확인",IF(AND($AC263&lt;&gt;"",$U263&lt;&gt;"파견중",$N263&lt;&gt;$AE263),"인턴 타지역 근무: 파견 여부 확인","정상"))))))))</f>
        <v/>
      </c>
      <c r="AA263" s="5" t="n"/>
      <c r="AB263" s="10">
        <f>IF($B263="","",IFERROR(MATCH($B263,기본자료!$B$2:$B$1001,0),IFERROR(MATCH($B263&amp;"",기본자료!$B$2:$B$1001,0),IFERROR(MATCH(VALUE($B263),기본자료!$B$2:$B$1001,0),""))))</f>
        <v/>
      </c>
      <c r="AC263" s="10">
        <f>IF($B263="","",IFERROR(MATCH($B263,인턴근무계획!$D$3:$D$62,0),IFERROR(MATCH($B263&amp;"",인턴근무계획!$D$3:$D$62,0),IFERROR(MATCH(VALUE($B263),인턴근무계획!$D$3:$D$62,0),""))))</f>
        <v/>
      </c>
      <c r="AD263" s="10">
        <f>IF(OR($AC263="",인턴현황!$G$3=""),"",INDEX(인턴근무계획!$M$3:$R$62,$AC263,인턴현황!$G$3)&amp;"")</f>
        <v/>
      </c>
      <c r="AE263" s="10">
        <f>IF($B263="","",IF($M263&lt;&gt;"",$M263,IF($AF263&lt;&gt;"",IF(LEFT(INDEX(파견수련계획!$R$4:$R$83,$AF263),1)&lt;&gt;"⚠",INDEX(파견수련계획!$R$4:$R$83,$AF263),IF($H263="","",IF(RIGHT($H263,2)="병원",$H263,$H263&amp;"병원"))),IF($H263="","",IF(RIGHT($H263,2)="병원",$H263,$H263&amp;"병원")))))</f>
        <v/>
      </c>
      <c r="AF263" s="10">
        <f>IF(OR($B263="",TRIM($J263&amp;"")=""),"",IFERROR(MATCH(TRIM($J263&amp;"")&amp;"|파견중",파견수련계획!$Y$4:$Y$83,0),IFERROR(MATCH(TRIM($J263&amp;"")&amp;"|파견예정",파견수련계획!$Y$4:$Y$83,0),IFERROR(MATCH(TRIM($J263&amp;"")&amp;"|파견종료",파견수련계획!$Y$4:$Y$83,0),""))))</f>
        <v/>
      </c>
      <c r="AG263" s="10">
        <f>IF($B263="","",IF(AND(IF(OR($AC263="",인턴현황!$K$2=""),"",INDEX(인턴근무계획!$M$3:$R$62,$AC263,인턴현황!$K$2)&amp;"")&lt;&gt;"",LEFT(IF(OR($AC263="",인턴현황!$K$2=""),"",INDEX(인턴근무계획!$M$3:$R$62,$AC263,인턴현황!$K$2)&amp;""),1)&lt;&gt;"⚠"),LEFT(IF(OR($AC263="",인턴현황!$K$2=""),"",INDEX(인턴근무계획!$M$3:$R$62,$AC263,인턴현황!$K$2)&amp;""),FIND(" ",IF(OR($AC263="",인턴현황!$K$2=""),"",INDEX(인턴근무계획!$M$3:$R$62,$AC263,인턴현황!$K$2)&amp;""))-1),$AE263))</f>
        <v/>
      </c>
      <c r="AH263" s="17">
        <f>IF($B263="","",IF(TRIM($J263&amp;"")="",0,SUMPRODUCT((파견수련계획!$Q$4:$Q$83=TRIM($J263&amp;""))*(파견수련계획!$S$4:$S$83="서울병원")*파견수련계획!$W$4:$W$83))+IF($AG263="서울병원",MAX(0,DAY(EOMONTH(요약!$B$3,0))-N($X263)),0))</f>
        <v/>
      </c>
      <c r="AI263" s="17">
        <f>IF($B263="","",IF(TRIM($J263&amp;"")="",0,SUMPRODUCT((파견수련계획!$Q$4:$Q$83=TRIM($J263&amp;""))*(파견수련계획!$S$4:$S$83="구리병원")*파견수련계획!$W$4:$W$83))+IF($AG263="구리병원",MAX(0,DAY(EOMONTH(요약!$B$3,0))-N($X263)),0))</f>
        <v/>
      </c>
      <c r="AJ263" s="10">
        <f>IF(OR($B263="",TRIM($J263&amp;"")=""),"",IFERROR(MATCH(TRIM($J263&amp;"")&amp;"|월",파견수련계획!$Z$4:$Z$83,0),""))</f>
        <v/>
      </c>
      <c r="AK263" s="10">
        <f>IF(OR($B263="",TRIM($J263&amp;"")=""),"",IFERROR(MATCH(TRIM($J263&amp;"")&amp;"|다기관",파견수련계획!$AE$4:$AE$83,0),""))</f>
        <v/>
      </c>
      <c r="AL263" s="10">
        <f>IF($AK263="","","다기관 "&amp;TEXT(INDEX(파견수련계획!$AB$4:$AB$83,$AK263),"yyyy-mm-dd")&amp;"~"&amp;IF(ISNUMBER(INDEX(파견수련계획!$AC$4:$AC$83,$AK263)),TEXT(INDEX(파견수련계획!$AC$4:$AC$83,$AK263),"yyyy-mm-dd"),""))</f>
        <v/>
      </c>
    </row>
    <row r="264">
      <c r="A264" s="10">
        <f>IF(B264="","",ROW()-1)</f>
        <v/>
      </c>
      <c r="B264" s="18" t="n"/>
      <c r="C264" s="10">
        <f>IF($AB264="","",IF(INDEX(기본자료!$C$2:$C$1001,$AB264)="","",INDEX(기본자료!$C$2:$C$1001,$AB264)))</f>
        <v/>
      </c>
      <c r="D264" s="10">
        <f>IF($AB264="","",IF(INDEX(기본자료!$J$2:$J$1001,$AB264)="","",INDEX(기본자료!$J$2:$J$1001,$AB264)))</f>
        <v/>
      </c>
      <c r="E264" s="11">
        <f>IF($AB264="","",IF(INDEX(기본자료!$K$2:$K$1001,$AB264)="","",IF(NOT(ISNUMBER(INDEX(기본자료!$K$2:$K$1001,$AB264))),INDEX(기본자료!$K$2:$K$1001,$AB264),IF(INDEX(기본자료!$K$2:$K$1001,$AB264)&lt;1000000,INDEX(기본자료!$K$2:$K$1001,$AB264),IF(AND(INDEX(기본자료!$K$2:$K$1001,$AB264)&gt;=10000101,INT(MOD(INDEX(기본자료!$K$2:$K$1001,$AB264),10000)/100)&gt;=1,INT(MOD(INDEX(기본자료!$K$2:$K$1001,$AB264),10000)/100)&lt;=12,MOD(INDEX(기본자료!$K$2:$K$1001,$AB264),100)&gt;=1,MOD(INDEX(기본자료!$K$2:$K$1001,$AB264),100)&lt;=31),DATE(INT(INDEX(기본자료!$K$2:$K$1001,$AB264)/10000),INT(MOD(INDEX(기본자료!$K$2:$K$1001,$AB264),10000)/100),MOD(INDEX(기본자료!$K$2:$K$1001,$AB264),100)),INDEX(기본자료!$K$2:$K$1001,$AB264)&amp;"")))))</f>
        <v/>
      </c>
      <c r="F264" s="10">
        <f>IF($AB264="","",IF(INDEX(기본자료!$D$2:$D$1001,$AB264)="","",INDEX(기본자료!$D$2:$D$1001,$AB264)))</f>
        <v/>
      </c>
      <c r="G264" s="10">
        <f>IF($AB264="","",IF(INDEX(기본자료!$E$2:$E$1001,$AB264)="","",INDEX(기본자료!$E$2:$E$1001,$AB264)))</f>
        <v/>
      </c>
      <c r="H264" s="10">
        <f>IF($AB264="","",IF(INDEX(기본자료!$F$2:$F$1001,$AB264)="","",INDEX(기본자료!$F$2:$F$1001,$AB264)))</f>
        <v/>
      </c>
      <c r="I264" s="11">
        <f>IF($AB264="","",IF(INDEX(기본자료!$G$2:$G$1001,$AB264)="","",IF(NOT(ISNUMBER(INDEX(기본자료!$G$2:$G$1001,$AB264))),INDEX(기본자료!$G$2:$G$1001,$AB264),IF(INDEX(기본자료!$G$2:$G$1001,$AB264)&lt;1000000,INDEX(기본자료!$G$2:$G$1001,$AB264),IF(AND(INDEX(기본자료!$G$2:$G$1001,$AB264)&gt;=10000101,INT(MOD(INDEX(기본자료!$G$2:$G$1001,$AB264),10000)/100)&gt;=1,INT(MOD(INDEX(기본자료!$G$2:$G$1001,$AB264),10000)/100)&lt;=12,MOD(INDEX(기본자료!$G$2:$G$1001,$AB264),100)&gt;=1,MOD(INDEX(기본자료!$G$2:$G$1001,$AB264),100)&lt;=31),DATE(INT(INDEX(기본자료!$G$2:$G$1001,$AB264)/10000),INT(MOD(INDEX(기본자료!$G$2:$G$1001,$AB264),10000)/100),MOD(INDEX(기본자료!$G$2:$G$1001,$AB264),100)),INDEX(기본자료!$G$2:$G$1001,$AB264)&amp;"")))))</f>
        <v/>
      </c>
      <c r="J264" s="10">
        <f>IF($AB264="","",IF(INDEX(기본자료!$H$2:$H$1001,$AB264)="","",INDEX(기본자료!$H$2:$H$1001,$AB264)))</f>
        <v/>
      </c>
      <c r="K264" s="10">
        <f>IF($AB264="","",IF(INDEX(기본자료!$I$2:$I$1001,$AB264)="","",INDEX(기본자료!$I$2:$I$1001,$AB264)))</f>
        <v/>
      </c>
      <c r="L264" s="10">
        <f>IF($AB264="","",IF(INDEX(기본자료!$A$2:$A$1001,$AB264)="","",INDEX(기본자료!$A$2:$A$1001,$AB264)))</f>
        <v/>
      </c>
      <c r="M264" s="15" t="n"/>
      <c r="N264" s="10">
        <f>IF($B264="","",IF(AND($U264="파견중",$Q264&lt;&gt;""),$Q264,IF(AND($AD264&lt;&gt;"",LEFT($AD264,1)&lt;&gt;"⚠"),LEFT($AD264,FIND(" ",$AD264)-1),IF($H264="","",IF(RIGHT($H264,2)="병원",$H264,$H264&amp;"병원")))))</f>
        <v/>
      </c>
      <c r="O264" s="10">
        <f>IF($B264="","",IF(AND($U264="파견중",$Q264&lt;&gt;""),IF($R264&lt;&gt;"",$R264,"파견과 미입력"),IF(AND($AD264&lt;&gt;"",LEFT($AD264,1)&lt;&gt;"⚠"),MID($AD264,FIND(" ",$AD264)+1,60),IF($F264="","",IF($F264="인턴","수련교육부(인턴)",$F264)))))</f>
        <v/>
      </c>
      <c r="P264" s="10">
        <f>IF($B264="","",IF($AK264&lt;&gt;"",IF(AND(TODAY()&gt;=INDEX(파견수련계획!$AB$4:$AB$83,$AK264),OR(NOT(ISNUMBER(INDEX(파견수련계획!$AC$4:$AC$83,$AK264))),TODAY()&lt;=INDEX(파견수련계획!$AC$4:$AC$83,$AK264))),"다기관",IF($AF264="","",INDEX(파견수련계획!$T$4:$T$83,$AF264))),IF($AF264="","",INDEX(파견수련계획!$T$4:$T$83,$AF264))))</f>
        <v/>
      </c>
      <c r="Q264" s="10">
        <f>IF($AF264="","",INDEX(파견수련계획!$S$4:$S$83,$AF264))</f>
        <v/>
      </c>
      <c r="R264" s="10">
        <f>IF($AF264="","",INDEX(파견수련계획!$U$4:$U$83,$AF264))</f>
        <v/>
      </c>
      <c r="S264" s="11">
        <f>IF($AF264="","",IF(INDEX(파견수련계획!$H$4:$H$83,$AF264)="","",INDEX(파견수련계획!$H$4:$H$83,$AF264)))</f>
        <v/>
      </c>
      <c r="T264" s="11">
        <f>IF($AF264="","",IF(INDEX(파견수련계획!$I$4:$I$83,$AF264)="","",INDEX(파견수련계획!$I$4:$I$83,$AF264)))</f>
        <v/>
      </c>
      <c r="U264" s="10">
        <f>IF($AF264="","",INDEX(파견수련계획!$X$4:$X$83,$AF264))</f>
        <v/>
      </c>
      <c r="V264" s="17">
        <f>IF($AF264="","",INDEX(파견수련계획!$V$4:$V$83,$AF264))</f>
        <v/>
      </c>
      <c r="W264" s="17">
        <f>IF(AND($U264="파견중",$T264&lt;&gt;""),$T264-TODAY(),"")</f>
        <v/>
      </c>
      <c r="X264" s="17">
        <f>IF(OR($B264="",TRIM($J264&amp;"")=""),"",SUMPRODUCT((파견수련계획!$Q$4:$Q$83=TRIM($J264&amp;""))*파견수련계획!$W$4:$W$83))</f>
        <v/>
      </c>
      <c r="Y264" s="10">
        <f>IF($B264="","",IF($AG264="","",IF(IF(TRIM($J264&amp;"")="",0,SUMPRODUCT((파견수련계획!$Q$4:$Q$83=TRIM($J264&amp;""))*파견수련계획!$AD$4:$AD$83))&gt;0,$AE264,IF(N($X264)&lt;=0,$AG264,IF($AH264+$AI264=DAY(EOMONTH(요약!$B$3,0)),IF(AND($AH264&gt;=요약!$E$3,$AI264&lt;요약!$E$3),"서울병원",IF(AND($AI264&gt;=요약!$E$3,$AH264&lt;요약!$E$3),"구리병원","⚠15일 판정불가(서울 "&amp;$AH264&amp;"일/구리 "&amp;$AI264&amp;"일)")),IF($AJ264="",$AE264,IF(INDEX(파견수련계획!$T$4:$T$83,$AJ264)="통합수련",INDEX(파견수련계획!$S$4:$S$83,$AJ264),$AE264)))))))</f>
        <v/>
      </c>
      <c r="Z264" s="19">
        <f>IF($B264="","",IF($AB264="","기본자료에 없는 사번",IF(COUNTIF($B$2:$B$401,$B264)&gt;1,"중복 사번",IF($AE264="","소속(입사장소) 입력",IF(IF(TRIM($J264&amp;"")="",0,SUMPRODUCT((파견수련계획!$Q$4:$Q$83=TRIM($J264&amp;""))*(파견수련계획!$AA$4:$AA$83&lt;&gt;"")))&gt;0,"파견수련계획 입력오류 확인",IF(LEFT($Y264,1)="⚠","서울·구리 15일 판정 불가(양쪽 모두 이상/미만)",IF(IF($AC264="",0,N(INDEX(인턴근무계획!$T$3:$T$62,$AC264)))&gt;0,"인턴계획 입력오류 확인",IF(AND($AC264&lt;&gt;"",$U264&lt;&gt;"파견중",$N264&lt;&gt;$AE264),"인턴 타지역 근무: 파견 여부 확인","정상"))))))))</f>
        <v/>
      </c>
      <c r="AA264" s="5" t="n"/>
      <c r="AB264" s="10">
        <f>IF($B264="","",IFERROR(MATCH($B264,기본자료!$B$2:$B$1001,0),IFERROR(MATCH($B264&amp;"",기본자료!$B$2:$B$1001,0),IFERROR(MATCH(VALUE($B264),기본자료!$B$2:$B$1001,0),""))))</f>
        <v/>
      </c>
      <c r="AC264" s="10">
        <f>IF($B264="","",IFERROR(MATCH($B264,인턴근무계획!$D$3:$D$62,0),IFERROR(MATCH($B264&amp;"",인턴근무계획!$D$3:$D$62,0),IFERROR(MATCH(VALUE($B264),인턴근무계획!$D$3:$D$62,0),""))))</f>
        <v/>
      </c>
      <c r="AD264" s="10">
        <f>IF(OR($AC264="",인턴현황!$G$3=""),"",INDEX(인턴근무계획!$M$3:$R$62,$AC264,인턴현황!$G$3)&amp;"")</f>
        <v/>
      </c>
      <c r="AE264" s="10">
        <f>IF($B264="","",IF($M264&lt;&gt;"",$M264,IF($AF264&lt;&gt;"",IF(LEFT(INDEX(파견수련계획!$R$4:$R$83,$AF264),1)&lt;&gt;"⚠",INDEX(파견수련계획!$R$4:$R$83,$AF264),IF($H264="","",IF(RIGHT($H264,2)="병원",$H264,$H264&amp;"병원"))),IF($H264="","",IF(RIGHT($H264,2)="병원",$H264,$H264&amp;"병원")))))</f>
        <v/>
      </c>
      <c r="AF264" s="10">
        <f>IF(OR($B264="",TRIM($J264&amp;"")=""),"",IFERROR(MATCH(TRIM($J264&amp;"")&amp;"|파견중",파견수련계획!$Y$4:$Y$83,0),IFERROR(MATCH(TRIM($J264&amp;"")&amp;"|파견예정",파견수련계획!$Y$4:$Y$83,0),IFERROR(MATCH(TRIM($J264&amp;"")&amp;"|파견종료",파견수련계획!$Y$4:$Y$83,0),""))))</f>
        <v/>
      </c>
      <c r="AG264" s="10">
        <f>IF($B264="","",IF(AND(IF(OR($AC264="",인턴현황!$K$2=""),"",INDEX(인턴근무계획!$M$3:$R$62,$AC264,인턴현황!$K$2)&amp;"")&lt;&gt;"",LEFT(IF(OR($AC264="",인턴현황!$K$2=""),"",INDEX(인턴근무계획!$M$3:$R$62,$AC264,인턴현황!$K$2)&amp;""),1)&lt;&gt;"⚠"),LEFT(IF(OR($AC264="",인턴현황!$K$2=""),"",INDEX(인턴근무계획!$M$3:$R$62,$AC264,인턴현황!$K$2)&amp;""),FIND(" ",IF(OR($AC264="",인턴현황!$K$2=""),"",INDEX(인턴근무계획!$M$3:$R$62,$AC264,인턴현황!$K$2)&amp;""))-1),$AE264))</f>
        <v/>
      </c>
      <c r="AH264" s="17">
        <f>IF($B264="","",IF(TRIM($J264&amp;"")="",0,SUMPRODUCT((파견수련계획!$Q$4:$Q$83=TRIM($J264&amp;""))*(파견수련계획!$S$4:$S$83="서울병원")*파견수련계획!$W$4:$W$83))+IF($AG264="서울병원",MAX(0,DAY(EOMONTH(요약!$B$3,0))-N($X264)),0))</f>
        <v/>
      </c>
      <c r="AI264" s="17">
        <f>IF($B264="","",IF(TRIM($J264&amp;"")="",0,SUMPRODUCT((파견수련계획!$Q$4:$Q$83=TRIM($J264&amp;""))*(파견수련계획!$S$4:$S$83="구리병원")*파견수련계획!$W$4:$W$83))+IF($AG264="구리병원",MAX(0,DAY(EOMONTH(요약!$B$3,0))-N($X264)),0))</f>
        <v/>
      </c>
      <c r="AJ264" s="10">
        <f>IF(OR($B264="",TRIM($J264&amp;"")=""),"",IFERROR(MATCH(TRIM($J264&amp;"")&amp;"|월",파견수련계획!$Z$4:$Z$83,0),""))</f>
        <v/>
      </c>
      <c r="AK264" s="10">
        <f>IF(OR($B264="",TRIM($J264&amp;"")=""),"",IFERROR(MATCH(TRIM($J264&amp;"")&amp;"|다기관",파견수련계획!$AE$4:$AE$83,0),""))</f>
        <v/>
      </c>
      <c r="AL264" s="10">
        <f>IF($AK264="","","다기관 "&amp;TEXT(INDEX(파견수련계획!$AB$4:$AB$83,$AK264),"yyyy-mm-dd")&amp;"~"&amp;IF(ISNUMBER(INDEX(파견수련계획!$AC$4:$AC$83,$AK264)),TEXT(INDEX(파견수련계획!$AC$4:$AC$83,$AK264),"yyyy-mm-dd"),""))</f>
        <v/>
      </c>
    </row>
    <row r="265">
      <c r="A265" s="10">
        <f>IF(B265="","",ROW()-1)</f>
        <v/>
      </c>
      <c r="B265" s="18" t="n"/>
      <c r="C265" s="10">
        <f>IF($AB265="","",IF(INDEX(기본자료!$C$2:$C$1001,$AB265)="","",INDEX(기본자료!$C$2:$C$1001,$AB265)))</f>
        <v/>
      </c>
      <c r="D265" s="10">
        <f>IF($AB265="","",IF(INDEX(기본자료!$J$2:$J$1001,$AB265)="","",INDEX(기본자료!$J$2:$J$1001,$AB265)))</f>
        <v/>
      </c>
      <c r="E265" s="11">
        <f>IF($AB265="","",IF(INDEX(기본자료!$K$2:$K$1001,$AB265)="","",IF(NOT(ISNUMBER(INDEX(기본자료!$K$2:$K$1001,$AB265))),INDEX(기본자료!$K$2:$K$1001,$AB265),IF(INDEX(기본자료!$K$2:$K$1001,$AB265)&lt;1000000,INDEX(기본자료!$K$2:$K$1001,$AB265),IF(AND(INDEX(기본자료!$K$2:$K$1001,$AB265)&gt;=10000101,INT(MOD(INDEX(기본자료!$K$2:$K$1001,$AB265),10000)/100)&gt;=1,INT(MOD(INDEX(기본자료!$K$2:$K$1001,$AB265),10000)/100)&lt;=12,MOD(INDEX(기본자료!$K$2:$K$1001,$AB265),100)&gt;=1,MOD(INDEX(기본자료!$K$2:$K$1001,$AB265),100)&lt;=31),DATE(INT(INDEX(기본자료!$K$2:$K$1001,$AB265)/10000),INT(MOD(INDEX(기본자료!$K$2:$K$1001,$AB265),10000)/100),MOD(INDEX(기본자료!$K$2:$K$1001,$AB265),100)),INDEX(기본자료!$K$2:$K$1001,$AB265)&amp;"")))))</f>
        <v/>
      </c>
      <c r="F265" s="10">
        <f>IF($AB265="","",IF(INDEX(기본자료!$D$2:$D$1001,$AB265)="","",INDEX(기본자료!$D$2:$D$1001,$AB265)))</f>
        <v/>
      </c>
      <c r="G265" s="10">
        <f>IF($AB265="","",IF(INDEX(기본자료!$E$2:$E$1001,$AB265)="","",INDEX(기본자료!$E$2:$E$1001,$AB265)))</f>
        <v/>
      </c>
      <c r="H265" s="10">
        <f>IF($AB265="","",IF(INDEX(기본자료!$F$2:$F$1001,$AB265)="","",INDEX(기본자료!$F$2:$F$1001,$AB265)))</f>
        <v/>
      </c>
      <c r="I265" s="11">
        <f>IF($AB265="","",IF(INDEX(기본자료!$G$2:$G$1001,$AB265)="","",IF(NOT(ISNUMBER(INDEX(기본자료!$G$2:$G$1001,$AB265))),INDEX(기본자료!$G$2:$G$1001,$AB265),IF(INDEX(기본자료!$G$2:$G$1001,$AB265)&lt;1000000,INDEX(기본자료!$G$2:$G$1001,$AB265),IF(AND(INDEX(기본자료!$G$2:$G$1001,$AB265)&gt;=10000101,INT(MOD(INDEX(기본자료!$G$2:$G$1001,$AB265),10000)/100)&gt;=1,INT(MOD(INDEX(기본자료!$G$2:$G$1001,$AB265),10000)/100)&lt;=12,MOD(INDEX(기본자료!$G$2:$G$1001,$AB265),100)&gt;=1,MOD(INDEX(기본자료!$G$2:$G$1001,$AB265),100)&lt;=31),DATE(INT(INDEX(기본자료!$G$2:$G$1001,$AB265)/10000),INT(MOD(INDEX(기본자료!$G$2:$G$1001,$AB265),10000)/100),MOD(INDEX(기본자료!$G$2:$G$1001,$AB265),100)),INDEX(기본자료!$G$2:$G$1001,$AB265)&amp;"")))))</f>
        <v/>
      </c>
      <c r="J265" s="10">
        <f>IF($AB265="","",IF(INDEX(기본자료!$H$2:$H$1001,$AB265)="","",INDEX(기본자료!$H$2:$H$1001,$AB265)))</f>
        <v/>
      </c>
      <c r="K265" s="10">
        <f>IF($AB265="","",IF(INDEX(기본자료!$I$2:$I$1001,$AB265)="","",INDEX(기본자료!$I$2:$I$1001,$AB265)))</f>
        <v/>
      </c>
      <c r="L265" s="10">
        <f>IF($AB265="","",IF(INDEX(기본자료!$A$2:$A$1001,$AB265)="","",INDEX(기본자료!$A$2:$A$1001,$AB265)))</f>
        <v/>
      </c>
      <c r="M265" s="15" t="n"/>
      <c r="N265" s="10">
        <f>IF($B265="","",IF(AND($U265="파견중",$Q265&lt;&gt;""),$Q265,IF(AND($AD265&lt;&gt;"",LEFT($AD265,1)&lt;&gt;"⚠"),LEFT($AD265,FIND(" ",$AD265)-1),IF($H265="","",IF(RIGHT($H265,2)="병원",$H265,$H265&amp;"병원")))))</f>
        <v/>
      </c>
      <c r="O265" s="10">
        <f>IF($B265="","",IF(AND($U265="파견중",$Q265&lt;&gt;""),IF($R265&lt;&gt;"",$R265,"파견과 미입력"),IF(AND($AD265&lt;&gt;"",LEFT($AD265,1)&lt;&gt;"⚠"),MID($AD265,FIND(" ",$AD265)+1,60),IF($F265="","",IF($F265="인턴","수련교육부(인턴)",$F265)))))</f>
        <v/>
      </c>
      <c r="P265" s="10">
        <f>IF($B265="","",IF($AK265&lt;&gt;"",IF(AND(TODAY()&gt;=INDEX(파견수련계획!$AB$4:$AB$83,$AK265),OR(NOT(ISNUMBER(INDEX(파견수련계획!$AC$4:$AC$83,$AK265))),TODAY()&lt;=INDEX(파견수련계획!$AC$4:$AC$83,$AK265))),"다기관",IF($AF265="","",INDEX(파견수련계획!$T$4:$T$83,$AF265))),IF($AF265="","",INDEX(파견수련계획!$T$4:$T$83,$AF265))))</f>
        <v/>
      </c>
      <c r="Q265" s="10">
        <f>IF($AF265="","",INDEX(파견수련계획!$S$4:$S$83,$AF265))</f>
        <v/>
      </c>
      <c r="R265" s="10">
        <f>IF($AF265="","",INDEX(파견수련계획!$U$4:$U$83,$AF265))</f>
        <v/>
      </c>
      <c r="S265" s="11">
        <f>IF($AF265="","",IF(INDEX(파견수련계획!$H$4:$H$83,$AF265)="","",INDEX(파견수련계획!$H$4:$H$83,$AF265)))</f>
        <v/>
      </c>
      <c r="T265" s="11">
        <f>IF($AF265="","",IF(INDEX(파견수련계획!$I$4:$I$83,$AF265)="","",INDEX(파견수련계획!$I$4:$I$83,$AF265)))</f>
        <v/>
      </c>
      <c r="U265" s="10">
        <f>IF($AF265="","",INDEX(파견수련계획!$X$4:$X$83,$AF265))</f>
        <v/>
      </c>
      <c r="V265" s="17">
        <f>IF($AF265="","",INDEX(파견수련계획!$V$4:$V$83,$AF265))</f>
        <v/>
      </c>
      <c r="W265" s="17">
        <f>IF(AND($U265="파견중",$T265&lt;&gt;""),$T265-TODAY(),"")</f>
        <v/>
      </c>
      <c r="X265" s="17">
        <f>IF(OR($B265="",TRIM($J265&amp;"")=""),"",SUMPRODUCT((파견수련계획!$Q$4:$Q$83=TRIM($J265&amp;""))*파견수련계획!$W$4:$W$83))</f>
        <v/>
      </c>
      <c r="Y265" s="10">
        <f>IF($B265="","",IF($AG265="","",IF(IF(TRIM($J265&amp;"")="",0,SUMPRODUCT((파견수련계획!$Q$4:$Q$83=TRIM($J265&amp;""))*파견수련계획!$AD$4:$AD$83))&gt;0,$AE265,IF(N($X265)&lt;=0,$AG265,IF($AH265+$AI265=DAY(EOMONTH(요약!$B$3,0)),IF(AND($AH265&gt;=요약!$E$3,$AI265&lt;요약!$E$3),"서울병원",IF(AND($AI265&gt;=요약!$E$3,$AH265&lt;요약!$E$3),"구리병원","⚠15일 판정불가(서울 "&amp;$AH265&amp;"일/구리 "&amp;$AI265&amp;"일)")),IF($AJ265="",$AE265,IF(INDEX(파견수련계획!$T$4:$T$83,$AJ265)="통합수련",INDEX(파견수련계획!$S$4:$S$83,$AJ265),$AE265)))))))</f>
        <v/>
      </c>
      <c r="Z265" s="19">
        <f>IF($B265="","",IF($AB265="","기본자료에 없는 사번",IF(COUNTIF($B$2:$B$401,$B265)&gt;1,"중복 사번",IF($AE265="","소속(입사장소) 입력",IF(IF(TRIM($J265&amp;"")="",0,SUMPRODUCT((파견수련계획!$Q$4:$Q$83=TRIM($J265&amp;""))*(파견수련계획!$AA$4:$AA$83&lt;&gt;"")))&gt;0,"파견수련계획 입력오류 확인",IF(LEFT($Y265,1)="⚠","서울·구리 15일 판정 불가(양쪽 모두 이상/미만)",IF(IF($AC265="",0,N(INDEX(인턴근무계획!$T$3:$T$62,$AC265)))&gt;0,"인턴계획 입력오류 확인",IF(AND($AC265&lt;&gt;"",$U265&lt;&gt;"파견중",$N265&lt;&gt;$AE265),"인턴 타지역 근무: 파견 여부 확인","정상"))))))))</f>
        <v/>
      </c>
      <c r="AA265" s="5" t="n"/>
      <c r="AB265" s="10">
        <f>IF($B265="","",IFERROR(MATCH($B265,기본자료!$B$2:$B$1001,0),IFERROR(MATCH($B265&amp;"",기본자료!$B$2:$B$1001,0),IFERROR(MATCH(VALUE($B265),기본자료!$B$2:$B$1001,0),""))))</f>
        <v/>
      </c>
      <c r="AC265" s="10">
        <f>IF($B265="","",IFERROR(MATCH($B265,인턴근무계획!$D$3:$D$62,0),IFERROR(MATCH($B265&amp;"",인턴근무계획!$D$3:$D$62,0),IFERROR(MATCH(VALUE($B265),인턴근무계획!$D$3:$D$62,0),""))))</f>
        <v/>
      </c>
      <c r="AD265" s="10">
        <f>IF(OR($AC265="",인턴현황!$G$3=""),"",INDEX(인턴근무계획!$M$3:$R$62,$AC265,인턴현황!$G$3)&amp;"")</f>
        <v/>
      </c>
      <c r="AE265" s="10">
        <f>IF($B265="","",IF($M265&lt;&gt;"",$M265,IF($AF265&lt;&gt;"",IF(LEFT(INDEX(파견수련계획!$R$4:$R$83,$AF265),1)&lt;&gt;"⚠",INDEX(파견수련계획!$R$4:$R$83,$AF265),IF($H265="","",IF(RIGHT($H265,2)="병원",$H265,$H265&amp;"병원"))),IF($H265="","",IF(RIGHT($H265,2)="병원",$H265,$H265&amp;"병원")))))</f>
        <v/>
      </c>
      <c r="AF265" s="10">
        <f>IF(OR($B265="",TRIM($J265&amp;"")=""),"",IFERROR(MATCH(TRIM($J265&amp;"")&amp;"|파견중",파견수련계획!$Y$4:$Y$83,0),IFERROR(MATCH(TRIM($J265&amp;"")&amp;"|파견예정",파견수련계획!$Y$4:$Y$83,0),IFERROR(MATCH(TRIM($J265&amp;"")&amp;"|파견종료",파견수련계획!$Y$4:$Y$83,0),""))))</f>
        <v/>
      </c>
      <c r="AG265" s="10">
        <f>IF($B265="","",IF(AND(IF(OR($AC265="",인턴현황!$K$2=""),"",INDEX(인턴근무계획!$M$3:$R$62,$AC265,인턴현황!$K$2)&amp;"")&lt;&gt;"",LEFT(IF(OR($AC265="",인턴현황!$K$2=""),"",INDEX(인턴근무계획!$M$3:$R$62,$AC265,인턴현황!$K$2)&amp;""),1)&lt;&gt;"⚠"),LEFT(IF(OR($AC265="",인턴현황!$K$2=""),"",INDEX(인턴근무계획!$M$3:$R$62,$AC265,인턴현황!$K$2)&amp;""),FIND(" ",IF(OR($AC265="",인턴현황!$K$2=""),"",INDEX(인턴근무계획!$M$3:$R$62,$AC265,인턴현황!$K$2)&amp;""))-1),$AE265))</f>
        <v/>
      </c>
      <c r="AH265" s="17">
        <f>IF($B265="","",IF(TRIM($J265&amp;"")="",0,SUMPRODUCT((파견수련계획!$Q$4:$Q$83=TRIM($J265&amp;""))*(파견수련계획!$S$4:$S$83="서울병원")*파견수련계획!$W$4:$W$83))+IF($AG265="서울병원",MAX(0,DAY(EOMONTH(요약!$B$3,0))-N($X265)),0))</f>
        <v/>
      </c>
      <c r="AI265" s="17">
        <f>IF($B265="","",IF(TRIM($J265&amp;"")="",0,SUMPRODUCT((파견수련계획!$Q$4:$Q$83=TRIM($J265&amp;""))*(파견수련계획!$S$4:$S$83="구리병원")*파견수련계획!$W$4:$W$83))+IF($AG265="구리병원",MAX(0,DAY(EOMONTH(요약!$B$3,0))-N($X265)),0))</f>
        <v/>
      </c>
      <c r="AJ265" s="10">
        <f>IF(OR($B265="",TRIM($J265&amp;"")=""),"",IFERROR(MATCH(TRIM($J265&amp;"")&amp;"|월",파견수련계획!$Z$4:$Z$83,0),""))</f>
        <v/>
      </c>
      <c r="AK265" s="10">
        <f>IF(OR($B265="",TRIM($J265&amp;"")=""),"",IFERROR(MATCH(TRIM($J265&amp;"")&amp;"|다기관",파견수련계획!$AE$4:$AE$83,0),""))</f>
        <v/>
      </c>
      <c r="AL265" s="10">
        <f>IF($AK265="","","다기관 "&amp;TEXT(INDEX(파견수련계획!$AB$4:$AB$83,$AK265),"yyyy-mm-dd")&amp;"~"&amp;IF(ISNUMBER(INDEX(파견수련계획!$AC$4:$AC$83,$AK265)),TEXT(INDEX(파견수련계획!$AC$4:$AC$83,$AK265),"yyyy-mm-dd"),""))</f>
        <v/>
      </c>
    </row>
    <row r="266">
      <c r="A266" s="10">
        <f>IF(B266="","",ROW()-1)</f>
        <v/>
      </c>
      <c r="B266" s="18" t="n"/>
      <c r="C266" s="10">
        <f>IF($AB266="","",IF(INDEX(기본자료!$C$2:$C$1001,$AB266)="","",INDEX(기본자료!$C$2:$C$1001,$AB266)))</f>
        <v/>
      </c>
      <c r="D266" s="10">
        <f>IF($AB266="","",IF(INDEX(기본자료!$J$2:$J$1001,$AB266)="","",INDEX(기본자료!$J$2:$J$1001,$AB266)))</f>
        <v/>
      </c>
      <c r="E266" s="11">
        <f>IF($AB266="","",IF(INDEX(기본자료!$K$2:$K$1001,$AB266)="","",IF(NOT(ISNUMBER(INDEX(기본자료!$K$2:$K$1001,$AB266))),INDEX(기본자료!$K$2:$K$1001,$AB266),IF(INDEX(기본자료!$K$2:$K$1001,$AB266)&lt;1000000,INDEX(기본자료!$K$2:$K$1001,$AB266),IF(AND(INDEX(기본자료!$K$2:$K$1001,$AB266)&gt;=10000101,INT(MOD(INDEX(기본자료!$K$2:$K$1001,$AB266),10000)/100)&gt;=1,INT(MOD(INDEX(기본자료!$K$2:$K$1001,$AB266),10000)/100)&lt;=12,MOD(INDEX(기본자료!$K$2:$K$1001,$AB266),100)&gt;=1,MOD(INDEX(기본자료!$K$2:$K$1001,$AB266),100)&lt;=31),DATE(INT(INDEX(기본자료!$K$2:$K$1001,$AB266)/10000),INT(MOD(INDEX(기본자료!$K$2:$K$1001,$AB266),10000)/100),MOD(INDEX(기본자료!$K$2:$K$1001,$AB266),100)),INDEX(기본자료!$K$2:$K$1001,$AB266)&amp;"")))))</f>
        <v/>
      </c>
      <c r="F266" s="10">
        <f>IF($AB266="","",IF(INDEX(기본자료!$D$2:$D$1001,$AB266)="","",INDEX(기본자료!$D$2:$D$1001,$AB266)))</f>
        <v/>
      </c>
      <c r="G266" s="10">
        <f>IF($AB266="","",IF(INDEX(기본자료!$E$2:$E$1001,$AB266)="","",INDEX(기본자료!$E$2:$E$1001,$AB266)))</f>
        <v/>
      </c>
      <c r="H266" s="10">
        <f>IF($AB266="","",IF(INDEX(기본자료!$F$2:$F$1001,$AB266)="","",INDEX(기본자료!$F$2:$F$1001,$AB266)))</f>
        <v/>
      </c>
      <c r="I266" s="11">
        <f>IF($AB266="","",IF(INDEX(기본자료!$G$2:$G$1001,$AB266)="","",IF(NOT(ISNUMBER(INDEX(기본자료!$G$2:$G$1001,$AB266))),INDEX(기본자료!$G$2:$G$1001,$AB266),IF(INDEX(기본자료!$G$2:$G$1001,$AB266)&lt;1000000,INDEX(기본자료!$G$2:$G$1001,$AB266),IF(AND(INDEX(기본자료!$G$2:$G$1001,$AB266)&gt;=10000101,INT(MOD(INDEX(기본자료!$G$2:$G$1001,$AB266),10000)/100)&gt;=1,INT(MOD(INDEX(기본자료!$G$2:$G$1001,$AB266),10000)/100)&lt;=12,MOD(INDEX(기본자료!$G$2:$G$1001,$AB266),100)&gt;=1,MOD(INDEX(기본자료!$G$2:$G$1001,$AB266),100)&lt;=31),DATE(INT(INDEX(기본자료!$G$2:$G$1001,$AB266)/10000),INT(MOD(INDEX(기본자료!$G$2:$G$1001,$AB266),10000)/100),MOD(INDEX(기본자료!$G$2:$G$1001,$AB266),100)),INDEX(기본자료!$G$2:$G$1001,$AB266)&amp;"")))))</f>
        <v/>
      </c>
      <c r="J266" s="10">
        <f>IF($AB266="","",IF(INDEX(기본자료!$H$2:$H$1001,$AB266)="","",INDEX(기본자료!$H$2:$H$1001,$AB266)))</f>
        <v/>
      </c>
      <c r="K266" s="10">
        <f>IF($AB266="","",IF(INDEX(기본자료!$I$2:$I$1001,$AB266)="","",INDEX(기본자료!$I$2:$I$1001,$AB266)))</f>
        <v/>
      </c>
      <c r="L266" s="10">
        <f>IF($AB266="","",IF(INDEX(기본자료!$A$2:$A$1001,$AB266)="","",INDEX(기본자료!$A$2:$A$1001,$AB266)))</f>
        <v/>
      </c>
      <c r="M266" s="15" t="n"/>
      <c r="N266" s="10">
        <f>IF($B266="","",IF(AND($U266="파견중",$Q266&lt;&gt;""),$Q266,IF(AND($AD266&lt;&gt;"",LEFT($AD266,1)&lt;&gt;"⚠"),LEFT($AD266,FIND(" ",$AD266)-1),IF($H266="","",IF(RIGHT($H266,2)="병원",$H266,$H266&amp;"병원")))))</f>
        <v/>
      </c>
      <c r="O266" s="10">
        <f>IF($B266="","",IF(AND($U266="파견중",$Q266&lt;&gt;""),IF($R266&lt;&gt;"",$R266,"파견과 미입력"),IF(AND($AD266&lt;&gt;"",LEFT($AD266,1)&lt;&gt;"⚠"),MID($AD266,FIND(" ",$AD266)+1,60),IF($F266="","",IF($F266="인턴","수련교육부(인턴)",$F266)))))</f>
        <v/>
      </c>
      <c r="P266" s="10">
        <f>IF($B266="","",IF($AK266&lt;&gt;"",IF(AND(TODAY()&gt;=INDEX(파견수련계획!$AB$4:$AB$83,$AK266),OR(NOT(ISNUMBER(INDEX(파견수련계획!$AC$4:$AC$83,$AK266))),TODAY()&lt;=INDEX(파견수련계획!$AC$4:$AC$83,$AK266))),"다기관",IF($AF266="","",INDEX(파견수련계획!$T$4:$T$83,$AF266))),IF($AF266="","",INDEX(파견수련계획!$T$4:$T$83,$AF266))))</f>
        <v/>
      </c>
      <c r="Q266" s="10">
        <f>IF($AF266="","",INDEX(파견수련계획!$S$4:$S$83,$AF266))</f>
        <v/>
      </c>
      <c r="R266" s="10">
        <f>IF($AF266="","",INDEX(파견수련계획!$U$4:$U$83,$AF266))</f>
        <v/>
      </c>
      <c r="S266" s="11">
        <f>IF($AF266="","",IF(INDEX(파견수련계획!$H$4:$H$83,$AF266)="","",INDEX(파견수련계획!$H$4:$H$83,$AF266)))</f>
        <v/>
      </c>
      <c r="T266" s="11">
        <f>IF($AF266="","",IF(INDEX(파견수련계획!$I$4:$I$83,$AF266)="","",INDEX(파견수련계획!$I$4:$I$83,$AF266)))</f>
        <v/>
      </c>
      <c r="U266" s="10">
        <f>IF($AF266="","",INDEX(파견수련계획!$X$4:$X$83,$AF266))</f>
        <v/>
      </c>
      <c r="V266" s="17">
        <f>IF($AF266="","",INDEX(파견수련계획!$V$4:$V$83,$AF266))</f>
        <v/>
      </c>
      <c r="W266" s="17">
        <f>IF(AND($U266="파견중",$T266&lt;&gt;""),$T266-TODAY(),"")</f>
        <v/>
      </c>
      <c r="X266" s="17">
        <f>IF(OR($B266="",TRIM($J266&amp;"")=""),"",SUMPRODUCT((파견수련계획!$Q$4:$Q$83=TRIM($J266&amp;""))*파견수련계획!$W$4:$W$83))</f>
        <v/>
      </c>
      <c r="Y266" s="10">
        <f>IF($B266="","",IF($AG266="","",IF(IF(TRIM($J266&amp;"")="",0,SUMPRODUCT((파견수련계획!$Q$4:$Q$83=TRIM($J266&amp;""))*파견수련계획!$AD$4:$AD$83))&gt;0,$AE266,IF(N($X266)&lt;=0,$AG266,IF($AH266+$AI266=DAY(EOMONTH(요약!$B$3,0)),IF(AND($AH266&gt;=요약!$E$3,$AI266&lt;요약!$E$3),"서울병원",IF(AND($AI266&gt;=요약!$E$3,$AH266&lt;요약!$E$3),"구리병원","⚠15일 판정불가(서울 "&amp;$AH266&amp;"일/구리 "&amp;$AI266&amp;"일)")),IF($AJ266="",$AE266,IF(INDEX(파견수련계획!$T$4:$T$83,$AJ266)="통합수련",INDEX(파견수련계획!$S$4:$S$83,$AJ266),$AE266)))))))</f>
        <v/>
      </c>
      <c r="Z266" s="19">
        <f>IF($B266="","",IF($AB266="","기본자료에 없는 사번",IF(COUNTIF($B$2:$B$401,$B266)&gt;1,"중복 사번",IF($AE266="","소속(입사장소) 입력",IF(IF(TRIM($J266&amp;"")="",0,SUMPRODUCT((파견수련계획!$Q$4:$Q$83=TRIM($J266&amp;""))*(파견수련계획!$AA$4:$AA$83&lt;&gt;"")))&gt;0,"파견수련계획 입력오류 확인",IF(LEFT($Y266,1)="⚠","서울·구리 15일 판정 불가(양쪽 모두 이상/미만)",IF(IF($AC266="",0,N(INDEX(인턴근무계획!$T$3:$T$62,$AC266)))&gt;0,"인턴계획 입력오류 확인",IF(AND($AC266&lt;&gt;"",$U266&lt;&gt;"파견중",$N266&lt;&gt;$AE266),"인턴 타지역 근무: 파견 여부 확인","정상"))))))))</f>
        <v/>
      </c>
      <c r="AA266" s="5" t="n"/>
      <c r="AB266" s="10">
        <f>IF($B266="","",IFERROR(MATCH($B266,기본자료!$B$2:$B$1001,0),IFERROR(MATCH($B266&amp;"",기본자료!$B$2:$B$1001,0),IFERROR(MATCH(VALUE($B266),기본자료!$B$2:$B$1001,0),""))))</f>
        <v/>
      </c>
      <c r="AC266" s="10">
        <f>IF($B266="","",IFERROR(MATCH($B266,인턴근무계획!$D$3:$D$62,0),IFERROR(MATCH($B266&amp;"",인턴근무계획!$D$3:$D$62,0),IFERROR(MATCH(VALUE($B266),인턴근무계획!$D$3:$D$62,0),""))))</f>
        <v/>
      </c>
      <c r="AD266" s="10">
        <f>IF(OR($AC266="",인턴현황!$G$3=""),"",INDEX(인턴근무계획!$M$3:$R$62,$AC266,인턴현황!$G$3)&amp;"")</f>
        <v/>
      </c>
      <c r="AE266" s="10">
        <f>IF($B266="","",IF($M266&lt;&gt;"",$M266,IF($AF266&lt;&gt;"",IF(LEFT(INDEX(파견수련계획!$R$4:$R$83,$AF266),1)&lt;&gt;"⚠",INDEX(파견수련계획!$R$4:$R$83,$AF266),IF($H266="","",IF(RIGHT($H266,2)="병원",$H266,$H266&amp;"병원"))),IF($H266="","",IF(RIGHT($H266,2)="병원",$H266,$H266&amp;"병원")))))</f>
        <v/>
      </c>
      <c r="AF266" s="10">
        <f>IF(OR($B266="",TRIM($J266&amp;"")=""),"",IFERROR(MATCH(TRIM($J266&amp;"")&amp;"|파견중",파견수련계획!$Y$4:$Y$83,0),IFERROR(MATCH(TRIM($J266&amp;"")&amp;"|파견예정",파견수련계획!$Y$4:$Y$83,0),IFERROR(MATCH(TRIM($J266&amp;"")&amp;"|파견종료",파견수련계획!$Y$4:$Y$83,0),""))))</f>
        <v/>
      </c>
      <c r="AG266" s="10">
        <f>IF($B266="","",IF(AND(IF(OR($AC266="",인턴현황!$K$2=""),"",INDEX(인턴근무계획!$M$3:$R$62,$AC266,인턴현황!$K$2)&amp;"")&lt;&gt;"",LEFT(IF(OR($AC266="",인턴현황!$K$2=""),"",INDEX(인턴근무계획!$M$3:$R$62,$AC266,인턴현황!$K$2)&amp;""),1)&lt;&gt;"⚠"),LEFT(IF(OR($AC266="",인턴현황!$K$2=""),"",INDEX(인턴근무계획!$M$3:$R$62,$AC266,인턴현황!$K$2)&amp;""),FIND(" ",IF(OR($AC266="",인턴현황!$K$2=""),"",INDEX(인턴근무계획!$M$3:$R$62,$AC266,인턴현황!$K$2)&amp;""))-1),$AE266))</f>
        <v/>
      </c>
      <c r="AH266" s="17">
        <f>IF($B266="","",IF(TRIM($J266&amp;"")="",0,SUMPRODUCT((파견수련계획!$Q$4:$Q$83=TRIM($J266&amp;""))*(파견수련계획!$S$4:$S$83="서울병원")*파견수련계획!$W$4:$W$83))+IF($AG266="서울병원",MAX(0,DAY(EOMONTH(요약!$B$3,0))-N($X266)),0))</f>
        <v/>
      </c>
      <c r="AI266" s="17">
        <f>IF($B266="","",IF(TRIM($J266&amp;"")="",0,SUMPRODUCT((파견수련계획!$Q$4:$Q$83=TRIM($J266&amp;""))*(파견수련계획!$S$4:$S$83="구리병원")*파견수련계획!$W$4:$W$83))+IF($AG266="구리병원",MAX(0,DAY(EOMONTH(요약!$B$3,0))-N($X266)),0))</f>
        <v/>
      </c>
      <c r="AJ266" s="10">
        <f>IF(OR($B266="",TRIM($J266&amp;"")=""),"",IFERROR(MATCH(TRIM($J266&amp;"")&amp;"|월",파견수련계획!$Z$4:$Z$83,0),""))</f>
        <v/>
      </c>
      <c r="AK266" s="10">
        <f>IF(OR($B266="",TRIM($J266&amp;"")=""),"",IFERROR(MATCH(TRIM($J266&amp;"")&amp;"|다기관",파견수련계획!$AE$4:$AE$83,0),""))</f>
        <v/>
      </c>
      <c r="AL266" s="10">
        <f>IF($AK266="","","다기관 "&amp;TEXT(INDEX(파견수련계획!$AB$4:$AB$83,$AK266),"yyyy-mm-dd")&amp;"~"&amp;IF(ISNUMBER(INDEX(파견수련계획!$AC$4:$AC$83,$AK266)),TEXT(INDEX(파견수련계획!$AC$4:$AC$83,$AK266),"yyyy-mm-dd"),""))</f>
        <v/>
      </c>
    </row>
    <row r="267">
      <c r="A267" s="10">
        <f>IF(B267="","",ROW()-1)</f>
        <v/>
      </c>
      <c r="B267" s="18" t="n"/>
      <c r="C267" s="10">
        <f>IF($AB267="","",IF(INDEX(기본자료!$C$2:$C$1001,$AB267)="","",INDEX(기본자료!$C$2:$C$1001,$AB267)))</f>
        <v/>
      </c>
      <c r="D267" s="10">
        <f>IF($AB267="","",IF(INDEX(기본자료!$J$2:$J$1001,$AB267)="","",INDEX(기본자료!$J$2:$J$1001,$AB267)))</f>
        <v/>
      </c>
      <c r="E267" s="11">
        <f>IF($AB267="","",IF(INDEX(기본자료!$K$2:$K$1001,$AB267)="","",IF(NOT(ISNUMBER(INDEX(기본자료!$K$2:$K$1001,$AB267))),INDEX(기본자료!$K$2:$K$1001,$AB267),IF(INDEX(기본자료!$K$2:$K$1001,$AB267)&lt;1000000,INDEX(기본자료!$K$2:$K$1001,$AB267),IF(AND(INDEX(기본자료!$K$2:$K$1001,$AB267)&gt;=10000101,INT(MOD(INDEX(기본자료!$K$2:$K$1001,$AB267),10000)/100)&gt;=1,INT(MOD(INDEX(기본자료!$K$2:$K$1001,$AB267),10000)/100)&lt;=12,MOD(INDEX(기본자료!$K$2:$K$1001,$AB267),100)&gt;=1,MOD(INDEX(기본자료!$K$2:$K$1001,$AB267),100)&lt;=31),DATE(INT(INDEX(기본자료!$K$2:$K$1001,$AB267)/10000),INT(MOD(INDEX(기본자료!$K$2:$K$1001,$AB267),10000)/100),MOD(INDEX(기본자료!$K$2:$K$1001,$AB267),100)),INDEX(기본자료!$K$2:$K$1001,$AB267)&amp;"")))))</f>
        <v/>
      </c>
      <c r="F267" s="10">
        <f>IF($AB267="","",IF(INDEX(기본자료!$D$2:$D$1001,$AB267)="","",INDEX(기본자료!$D$2:$D$1001,$AB267)))</f>
        <v/>
      </c>
      <c r="G267" s="10">
        <f>IF($AB267="","",IF(INDEX(기본자료!$E$2:$E$1001,$AB267)="","",INDEX(기본자료!$E$2:$E$1001,$AB267)))</f>
        <v/>
      </c>
      <c r="H267" s="10">
        <f>IF($AB267="","",IF(INDEX(기본자료!$F$2:$F$1001,$AB267)="","",INDEX(기본자료!$F$2:$F$1001,$AB267)))</f>
        <v/>
      </c>
      <c r="I267" s="11">
        <f>IF($AB267="","",IF(INDEX(기본자료!$G$2:$G$1001,$AB267)="","",IF(NOT(ISNUMBER(INDEX(기본자료!$G$2:$G$1001,$AB267))),INDEX(기본자료!$G$2:$G$1001,$AB267),IF(INDEX(기본자료!$G$2:$G$1001,$AB267)&lt;1000000,INDEX(기본자료!$G$2:$G$1001,$AB267),IF(AND(INDEX(기본자료!$G$2:$G$1001,$AB267)&gt;=10000101,INT(MOD(INDEX(기본자료!$G$2:$G$1001,$AB267),10000)/100)&gt;=1,INT(MOD(INDEX(기본자료!$G$2:$G$1001,$AB267),10000)/100)&lt;=12,MOD(INDEX(기본자료!$G$2:$G$1001,$AB267),100)&gt;=1,MOD(INDEX(기본자료!$G$2:$G$1001,$AB267),100)&lt;=31),DATE(INT(INDEX(기본자료!$G$2:$G$1001,$AB267)/10000),INT(MOD(INDEX(기본자료!$G$2:$G$1001,$AB267),10000)/100),MOD(INDEX(기본자료!$G$2:$G$1001,$AB267),100)),INDEX(기본자료!$G$2:$G$1001,$AB267)&amp;"")))))</f>
        <v/>
      </c>
      <c r="J267" s="10">
        <f>IF($AB267="","",IF(INDEX(기본자료!$H$2:$H$1001,$AB267)="","",INDEX(기본자료!$H$2:$H$1001,$AB267)))</f>
        <v/>
      </c>
      <c r="K267" s="10">
        <f>IF($AB267="","",IF(INDEX(기본자료!$I$2:$I$1001,$AB267)="","",INDEX(기본자료!$I$2:$I$1001,$AB267)))</f>
        <v/>
      </c>
      <c r="L267" s="10">
        <f>IF($AB267="","",IF(INDEX(기본자료!$A$2:$A$1001,$AB267)="","",INDEX(기본자료!$A$2:$A$1001,$AB267)))</f>
        <v/>
      </c>
      <c r="M267" s="15" t="n"/>
      <c r="N267" s="10">
        <f>IF($B267="","",IF(AND($U267="파견중",$Q267&lt;&gt;""),$Q267,IF(AND($AD267&lt;&gt;"",LEFT($AD267,1)&lt;&gt;"⚠"),LEFT($AD267,FIND(" ",$AD267)-1),IF($H267="","",IF(RIGHT($H267,2)="병원",$H267,$H267&amp;"병원")))))</f>
        <v/>
      </c>
      <c r="O267" s="10">
        <f>IF($B267="","",IF(AND($U267="파견중",$Q267&lt;&gt;""),IF($R267&lt;&gt;"",$R267,"파견과 미입력"),IF(AND($AD267&lt;&gt;"",LEFT($AD267,1)&lt;&gt;"⚠"),MID($AD267,FIND(" ",$AD267)+1,60),IF($F267="","",IF($F267="인턴","수련교육부(인턴)",$F267)))))</f>
        <v/>
      </c>
      <c r="P267" s="10">
        <f>IF($B267="","",IF($AK267&lt;&gt;"",IF(AND(TODAY()&gt;=INDEX(파견수련계획!$AB$4:$AB$83,$AK267),OR(NOT(ISNUMBER(INDEX(파견수련계획!$AC$4:$AC$83,$AK267))),TODAY()&lt;=INDEX(파견수련계획!$AC$4:$AC$83,$AK267))),"다기관",IF($AF267="","",INDEX(파견수련계획!$T$4:$T$83,$AF267))),IF($AF267="","",INDEX(파견수련계획!$T$4:$T$83,$AF267))))</f>
        <v/>
      </c>
      <c r="Q267" s="10">
        <f>IF($AF267="","",INDEX(파견수련계획!$S$4:$S$83,$AF267))</f>
        <v/>
      </c>
      <c r="R267" s="10">
        <f>IF($AF267="","",INDEX(파견수련계획!$U$4:$U$83,$AF267))</f>
        <v/>
      </c>
      <c r="S267" s="11">
        <f>IF($AF267="","",IF(INDEX(파견수련계획!$H$4:$H$83,$AF267)="","",INDEX(파견수련계획!$H$4:$H$83,$AF267)))</f>
        <v/>
      </c>
      <c r="T267" s="11">
        <f>IF($AF267="","",IF(INDEX(파견수련계획!$I$4:$I$83,$AF267)="","",INDEX(파견수련계획!$I$4:$I$83,$AF267)))</f>
        <v/>
      </c>
      <c r="U267" s="10">
        <f>IF($AF267="","",INDEX(파견수련계획!$X$4:$X$83,$AF267))</f>
        <v/>
      </c>
      <c r="V267" s="17">
        <f>IF($AF267="","",INDEX(파견수련계획!$V$4:$V$83,$AF267))</f>
        <v/>
      </c>
      <c r="W267" s="17">
        <f>IF(AND($U267="파견중",$T267&lt;&gt;""),$T267-TODAY(),"")</f>
        <v/>
      </c>
      <c r="X267" s="17">
        <f>IF(OR($B267="",TRIM($J267&amp;"")=""),"",SUMPRODUCT((파견수련계획!$Q$4:$Q$83=TRIM($J267&amp;""))*파견수련계획!$W$4:$W$83))</f>
        <v/>
      </c>
      <c r="Y267" s="10">
        <f>IF($B267="","",IF($AG267="","",IF(IF(TRIM($J267&amp;"")="",0,SUMPRODUCT((파견수련계획!$Q$4:$Q$83=TRIM($J267&amp;""))*파견수련계획!$AD$4:$AD$83))&gt;0,$AE267,IF(N($X267)&lt;=0,$AG267,IF($AH267+$AI267=DAY(EOMONTH(요약!$B$3,0)),IF(AND($AH267&gt;=요약!$E$3,$AI267&lt;요약!$E$3),"서울병원",IF(AND($AI267&gt;=요약!$E$3,$AH267&lt;요약!$E$3),"구리병원","⚠15일 판정불가(서울 "&amp;$AH267&amp;"일/구리 "&amp;$AI267&amp;"일)")),IF($AJ267="",$AE267,IF(INDEX(파견수련계획!$T$4:$T$83,$AJ267)="통합수련",INDEX(파견수련계획!$S$4:$S$83,$AJ267),$AE267)))))))</f>
        <v/>
      </c>
      <c r="Z267" s="19">
        <f>IF($B267="","",IF($AB267="","기본자료에 없는 사번",IF(COUNTIF($B$2:$B$401,$B267)&gt;1,"중복 사번",IF($AE267="","소속(입사장소) 입력",IF(IF(TRIM($J267&amp;"")="",0,SUMPRODUCT((파견수련계획!$Q$4:$Q$83=TRIM($J267&amp;""))*(파견수련계획!$AA$4:$AA$83&lt;&gt;"")))&gt;0,"파견수련계획 입력오류 확인",IF(LEFT($Y267,1)="⚠","서울·구리 15일 판정 불가(양쪽 모두 이상/미만)",IF(IF($AC267="",0,N(INDEX(인턴근무계획!$T$3:$T$62,$AC267)))&gt;0,"인턴계획 입력오류 확인",IF(AND($AC267&lt;&gt;"",$U267&lt;&gt;"파견중",$N267&lt;&gt;$AE267),"인턴 타지역 근무: 파견 여부 확인","정상"))))))))</f>
        <v/>
      </c>
      <c r="AA267" s="5" t="n"/>
      <c r="AB267" s="10">
        <f>IF($B267="","",IFERROR(MATCH($B267,기본자료!$B$2:$B$1001,0),IFERROR(MATCH($B267&amp;"",기본자료!$B$2:$B$1001,0),IFERROR(MATCH(VALUE($B267),기본자료!$B$2:$B$1001,0),""))))</f>
        <v/>
      </c>
      <c r="AC267" s="10">
        <f>IF($B267="","",IFERROR(MATCH($B267,인턴근무계획!$D$3:$D$62,0),IFERROR(MATCH($B267&amp;"",인턴근무계획!$D$3:$D$62,0),IFERROR(MATCH(VALUE($B267),인턴근무계획!$D$3:$D$62,0),""))))</f>
        <v/>
      </c>
      <c r="AD267" s="10">
        <f>IF(OR($AC267="",인턴현황!$G$3=""),"",INDEX(인턴근무계획!$M$3:$R$62,$AC267,인턴현황!$G$3)&amp;"")</f>
        <v/>
      </c>
      <c r="AE267" s="10">
        <f>IF($B267="","",IF($M267&lt;&gt;"",$M267,IF($AF267&lt;&gt;"",IF(LEFT(INDEX(파견수련계획!$R$4:$R$83,$AF267),1)&lt;&gt;"⚠",INDEX(파견수련계획!$R$4:$R$83,$AF267),IF($H267="","",IF(RIGHT($H267,2)="병원",$H267,$H267&amp;"병원"))),IF($H267="","",IF(RIGHT($H267,2)="병원",$H267,$H267&amp;"병원")))))</f>
        <v/>
      </c>
      <c r="AF267" s="10">
        <f>IF(OR($B267="",TRIM($J267&amp;"")=""),"",IFERROR(MATCH(TRIM($J267&amp;"")&amp;"|파견중",파견수련계획!$Y$4:$Y$83,0),IFERROR(MATCH(TRIM($J267&amp;"")&amp;"|파견예정",파견수련계획!$Y$4:$Y$83,0),IFERROR(MATCH(TRIM($J267&amp;"")&amp;"|파견종료",파견수련계획!$Y$4:$Y$83,0),""))))</f>
        <v/>
      </c>
      <c r="AG267" s="10">
        <f>IF($B267="","",IF(AND(IF(OR($AC267="",인턴현황!$K$2=""),"",INDEX(인턴근무계획!$M$3:$R$62,$AC267,인턴현황!$K$2)&amp;"")&lt;&gt;"",LEFT(IF(OR($AC267="",인턴현황!$K$2=""),"",INDEX(인턴근무계획!$M$3:$R$62,$AC267,인턴현황!$K$2)&amp;""),1)&lt;&gt;"⚠"),LEFT(IF(OR($AC267="",인턴현황!$K$2=""),"",INDEX(인턴근무계획!$M$3:$R$62,$AC267,인턴현황!$K$2)&amp;""),FIND(" ",IF(OR($AC267="",인턴현황!$K$2=""),"",INDEX(인턴근무계획!$M$3:$R$62,$AC267,인턴현황!$K$2)&amp;""))-1),$AE267))</f>
        <v/>
      </c>
      <c r="AH267" s="17">
        <f>IF($B267="","",IF(TRIM($J267&amp;"")="",0,SUMPRODUCT((파견수련계획!$Q$4:$Q$83=TRIM($J267&amp;""))*(파견수련계획!$S$4:$S$83="서울병원")*파견수련계획!$W$4:$W$83))+IF($AG267="서울병원",MAX(0,DAY(EOMONTH(요약!$B$3,0))-N($X267)),0))</f>
        <v/>
      </c>
      <c r="AI267" s="17">
        <f>IF($B267="","",IF(TRIM($J267&amp;"")="",0,SUMPRODUCT((파견수련계획!$Q$4:$Q$83=TRIM($J267&amp;""))*(파견수련계획!$S$4:$S$83="구리병원")*파견수련계획!$W$4:$W$83))+IF($AG267="구리병원",MAX(0,DAY(EOMONTH(요약!$B$3,0))-N($X267)),0))</f>
        <v/>
      </c>
      <c r="AJ267" s="10">
        <f>IF(OR($B267="",TRIM($J267&amp;"")=""),"",IFERROR(MATCH(TRIM($J267&amp;"")&amp;"|월",파견수련계획!$Z$4:$Z$83,0),""))</f>
        <v/>
      </c>
      <c r="AK267" s="10">
        <f>IF(OR($B267="",TRIM($J267&amp;"")=""),"",IFERROR(MATCH(TRIM($J267&amp;"")&amp;"|다기관",파견수련계획!$AE$4:$AE$83,0),""))</f>
        <v/>
      </c>
      <c r="AL267" s="10">
        <f>IF($AK267="","","다기관 "&amp;TEXT(INDEX(파견수련계획!$AB$4:$AB$83,$AK267),"yyyy-mm-dd")&amp;"~"&amp;IF(ISNUMBER(INDEX(파견수련계획!$AC$4:$AC$83,$AK267)),TEXT(INDEX(파견수련계획!$AC$4:$AC$83,$AK267),"yyyy-mm-dd"),""))</f>
        <v/>
      </c>
    </row>
    <row r="268">
      <c r="A268" s="10">
        <f>IF(B268="","",ROW()-1)</f>
        <v/>
      </c>
      <c r="B268" s="18" t="n"/>
      <c r="C268" s="10">
        <f>IF($AB268="","",IF(INDEX(기본자료!$C$2:$C$1001,$AB268)="","",INDEX(기본자료!$C$2:$C$1001,$AB268)))</f>
        <v/>
      </c>
      <c r="D268" s="10">
        <f>IF($AB268="","",IF(INDEX(기본자료!$J$2:$J$1001,$AB268)="","",INDEX(기본자료!$J$2:$J$1001,$AB268)))</f>
        <v/>
      </c>
      <c r="E268" s="11">
        <f>IF($AB268="","",IF(INDEX(기본자료!$K$2:$K$1001,$AB268)="","",IF(NOT(ISNUMBER(INDEX(기본자료!$K$2:$K$1001,$AB268))),INDEX(기본자료!$K$2:$K$1001,$AB268),IF(INDEX(기본자료!$K$2:$K$1001,$AB268)&lt;1000000,INDEX(기본자료!$K$2:$K$1001,$AB268),IF(AND(INDEX(기본자료!$K$2:$K$1001,$AB268)&gt;=10000101,INT(MOD(INDEX(기본자료!$K$2:$K$1001,$AB268),10000)/100)&gt;=1,INT(MOD(INDEX(기본자료!$K$2:$K$1001,$AB268),10000)/100)&lt;=12,MOD(INDEX(기본자료!$K$2:$K$1001,$AB268),100)&gt;=1,MOD(INDEX(기본자료!$K$2:$K$1001,$AB268),100)&lt;=31),DATE(INT(INDEX(기본자료!$K$2:$K$1001,$AB268)/10000),INT(MOD(INDEX(기본자료!$K$2:$K$1001,$AB268),10000)/100),MOD(INDEX(기본자료!$K$2:$K$1001,$AB268),100)),INDEX(기본자료!$K$2:$K$1001,$AB268)&amp;"")))))</f>
        <v/>
      </c>
      <c r="F268" s="10">
        <f>IF($AB268="","",IF(INDEX(기본자료!$D$2:$D$1001,$AB268)="","",INDEX(기본자료!$D$2:$D$1001,$AB268)))</f>
        <v/>
      </c>
      <c r="G268" s="10">
        <f>IF($AB268="","",IF(INDEX(기본자료!$E$2:$E$1001,$AB268)="","",INDEX(기본자료!$E$2:$E$1001,$AB268)))</f>
        <v/>
      </c>
      <c r="H268" s="10">
        <f>IF($AB268="","",IF(INDEX(기본자료!$F$2:$F$1001,$AB268)="","",INDEX(기본자료!$F$2:$F$1001,$AB268)))</f>
        <v/>
      </c>
      <c r="I268" s="11">
        <f>IF($AB268="","",IF(INDEX(기본자료!$G$2:$G$1001,$AB268)="","",IF(NOT(ISNUMBER(INDEX(기본자료!$G$2:$G$1001,$AB268))),INDEX(기본자료!$G$2:$G$1001,$AB268),IF(INDEX(기본자료!$G$2:$G$1001,$AB268)&lt;1000000,INDEX(기본자료!$G$2:$G$1001,$AB268),IF(AND(INDEX(기본자료!$G$2:$G$1001,$AB268)&gt;=10000101,INT(MOD(INDEX(기본자료!$G$2:$G$1001,$AB268),10000)/100)&gt;=1,INT(MOD(INDEX(기본자료!$G$2:$G$1001,$AB268),10000)/100)&lt;=12,MOD(INDEX(기본자료!$G$2:$G$1001,$AB268),100)&gt;=1,MOD(INDEX(기본자료!$G$2:$G$1001,$AB268),100)&lt;=31),DATE(INT(INDEX(기본자료!$G$2:$G$1001,$AB268)/10000),INT(MOD(INDEX(기본자료!$G$2:$G$1001,$AB268),10000)/100),MOD(INDEX(기본자료!$G$2:$G$1001,$AB268),100)),INDEX(기본자료!$G$2:$G$1001,$AB268)&amp;"")))))</f>
        <v/>
      </c>
      <c r="J268" s="10">
        <f>IF($AB268="","",IF(INDEX(기본자료!$H$2:$H$1001,$AB268)="","",INDEX(기본자료!$H$2:$H$1001,$AB268)))</f>
        <v/>
      </c>
      <c r="K268" s="10">
        <f>IF($AB268="","",IF(INDEX(기본자료!$I$2:$I$1001,$AB268)="","",INDEX(기본자료!$I$2:$I$1001,$AB268)))</f>
        <v/>
      </c>
      <c r="L268" s="10">
        <f>IF($AB268="","",IF(INDEX(기본자료!$A$2:$A$1001,$AB268)="","",INDEX(기본자료!$A$2:$A$1001,$AB268)))</f>
        <v/>
      </c>
      <c r="M268" s="15" t="n"/>
      <c r="N268" s="10">
        <f>IF($B268="","",IF(AND($U268="파견중",$Q268&lt;&gt;""),$Q268,IF(AND($AD268&lt;&gt;"",LEFT($AD268,1)&lt;&gt;"⚠"),LEFT($AD268,FIND(" ",$AD268)-1),IF($H268="","",IF(RIGHT($H268,2)="병원",$H268,$H268&amp;"병원")))))</f>
        <v/>
      </c>
      <c r="O268" s="10">
        <f>IF($B268="","",IF(AND($U268="파견중",$Q268&lt;&gt;""),IF($R268&lt;&gt;"",$R268,"파견과 미입력"),IF(AND($AD268&lt;&gt;"",LEFT($AD268,1)&lt;&gt;"⚠"),MID($AD268,FIND(" ",$AD268)+1,60),IF($F268="","",IF($F268="인턴","수련교육부(인턴)",$F268)))))</f>
        <v/>
      </c>
      <c r="P268" s="10">
        <f>IF($B268="","",IF($AK268&lt;&gt;"",IF(AND(TODAY()&gt;=INDEX(파견수련계획!$AB$4:$AB$83,$AK268),OR(NOT(ISNUMBER(INDEX(파견수련계획!$AC$4:$AC$83,$AK268))),TODAY()&lt;=INDEX(파견수련계획!$AC$4:$AC$83,$AK268))),"다기관",IF($AF268="","",INDEX(파견수련계획!$T$4:$T$83,$AF268))),IF($AF268="","",INDEX(파견수련계획!$T$4:$T$83,$AF268))))</f>
        <v/>
      </c>
      <c r="Q268" s="10">
        <f>IF($AF268="","",INDEX(파견수련계획!$S$4:$S$83,$AF268))</f>
        <v/>
      </c>
      <c r="R268" s="10">
        <f>IF($AF268="","",INDEX(파견수련계획!$U$4:$U$83,$AF268))</f>
        <v/>
      </c>
      <c r="S268" s="11">
        <f>IF($AF268="","",IF(INDEX(파견수련계획!$H$4:$H$83,$AF268)="","",INDEX(파견수련계획!$H$4:$H$83,$AF268)))</f>
        <v/>
      </c>
      <c r="T268" s="11">
        <f>IF($AF268="","",IF(INDEX(파견수련계획!$I$4:$I$83,$AF268)="","",INDEX(파견수련계획!$I$4:$I$83,$AF268)))</f>
        <v/>
      </c>
      <c r="U268" s="10">
        <f>IF($AF268="","",INDEX(파견수련계획!$X$4:$X$83,$AF268))</f>
        <v/>
      </c>
      <c r="V268" s="17">
        <f>IF($AF268="","",INDEX(파견수련계획!$V$4:$V$83,$AF268))</f>
        <v/>
      </c>
      <c r="W268" s="17">
        <f>IF(AND($U268="파견중",$T268&lt;&gt;""),$T268-TODAY(),"")</f>
        <v/>
      </c>
      <c r="X268" s="17">
        <f>IF(OR($B268="",TRIM($J268&amp;"")=""),"",SUMPRODUCT((파견수련계획!$Q$4:$Q$83=TRIM($J268&amp;""))*파견수련계획!$W$4:$W$83))</f>
        <v/>
      </c>
      <c r="Y268" s="10">
        <f>IF($B268="","",IF($AG268="","",IF(IF(TRIM($J268&amp;"")="",0,SUMPRODUCT((파견수련계획!$Q$4:$Q$83=TRIM($J268&amp;""))*파견수련계획!$AD$4:$AD$83))&gt;0,$AE268,IF(N($X268)&lt;=0,$AG268,IF($AH268+$AI268=DAY(EOMONTH(요약!$B$3,0)),IF(AND($AH268&gt;=요약!$E$3,$AI268&lt;요약!$E$3),"서울병원",IF(AND($AI268&gt;=요약!$E$3,$AH268&lt;요약!$E$3),"구리병원","⚠15일 판정불가(서울 "&amp;$AH268&amp;"일/구리 "&amp;$AI268&amp;"일)")),IF($AJ268="",$AE268,IF(INDEX(파견수련계획!$T$4:$T$83,$AJ268)="통합수련",INDEX(파견수련계획!$S$4:$S$83,$AJ268),$AE268)))))))</f>
        <v/>
      </c>
      <c r="Z268" s="19">
        <f>IF($B268="","",IF($AB268="","기본자료에 없는 사번",IF(COUNTIF($B$2:$B$401,$B268)&gt;1,"중복 사번",IF($AE268="","소속(입사장소) 입력",IF(IF(TRIM($J268&amp;"")="",0,SUMPRODUCT((파견수련계획!$Q$4:$Q$83=TRIM($J268&amp;""))*(파견수련계획!$AA$4:$AA$83&lt;&gt;"")))&gt;0,"파견수련계획 입력오류 확인",IF(LEFT($Y268,1)="⚠","서울·구리 15일 판정 불가(양쪽 모두 이상/미만)",IF(IF($AC268="",0,N(INDEX(인턴근무계획!$T$3:$T$62,$AC268)))&gt;0,"인턴계획 입력오류 확인",IF(AND($AC268&lt;&gt;"",$U268&lt;&gt;"파견중",$N268&lt;&gt;$AE268),"인턴 타지역 근무: 파견 여부 확인","정상"))))))))</f>
        <v/>
      </c>
      <c r="AA268" s="5" t="n"/>
      <c r="AB268" s="10">
        <f>IF($B268="","",IFERROR(MATCH($B268,기본자료!$B$2:$B$1001,0),IFERROR(MATCH($B268&amp;"",기본자료!$B$2:$B$1001,0),IFERROR(MATCH(VALUE($B268),기본자료!$B$2:$B$1001,0),""))))</f>
        <v/>
      </c>
      <c r="AC268" s="10">
        <f>IF($B268="","",IFERROR(MATCH($B268,인턴근무계획!$D$3:$D$62,0),IFERROR(MATCH($B268&amp;"",인턴근무계획!$D$3:$D$62,0),IFERROR(MATCH(VALUE($B268),인턴근무계획!$D$3:$D$62,0),""))))</f>
        <v/>
      </c>
      <c r="AD268" s="10">
        <f>IF(OR($AC268="",인턴현황!$G$3=""),"",INDEX(인턴근무계획!$M$3:$R$62,$AC268,인턴현황!$G$3)&amp;"")</f>
        <v/>
      </c>
      <c r="AE268" s="10">
        <f>IF($B268="","",IF($M268&lt;&gt;"",$M268,IF($AF268&lt;&gt;"",IF(LEFT(INDEX(파견수련계획!$R$4:$R$83,$AF268),1)&lt;&gt;"⚠",INDEX(파견수련계획!$R$4:$R$83,$AF268),IF($H268="","",IF(RIGHT($H268,2)="병원",$H268,$H268&amp;"병원"))),IF($H268="","",IF(RIGHT($H268,2)="병원",$H268,$H268&amp;"병원")))))</f>
        <v/>
      </c>
      <c r="AF268" s="10">
        <f>IF(OR($B268="",TRIM($J268&amp;"")=""),"",IFERROR(MATCH(TRIM($J268&amp;"")&amp;"|파견중",파견수련계획!$Y$4:$Y$83,0),IFERROR(MATCH(TRIM($J268&amp;"")&amp;"|파견예정",파견수련계획!$Y$4:$Y$83,0),IFERROR(MATCH(TRIM($J268&amp;"")&amp;"|파견종료",파견수련계획!$Y$4:$Y$83,0),""))))</f>
        <v/>
      </c>
      <c r="AG268" s="10">
        <f>IF($B268="","",IF(AND(IF(OR($AC268="",인턴현황!$K$2=""),"",INDEX(인턴근무계획!$M$3:$R$62,$AC268,인턴현황!$K$2)&amp;"")&lt;&gt;"",LEFT(IF(OR($AC268="",인턴현황!$K$2=""),"",INDEX(인턴근무계획!$M$3:$R$62,$AC268,인턴현황!$K$2)&amp;""),1)&lt;&gt;"⚠"),LEFT(IF(OR($AC268="",인턴현황!$K$2=""),"",INDEX(인턴근무계획!$M$3:$R$62,$AC268,인턴현황!$K$2)&amp;""),FIND(" ",IF(OR($AC268="",인턴현황!$K$2=""),"",INDEX(인턴근무계획!$M$3:$R$62,$AC268,인턴현황!$K$2)&amp;""))-1),$AE268))</f>
        <v/>
      </c>
      <c r="AH268" s="17">
        <f>IF($B268="","",IF(TRIM($J268&amp;"")="",0,SUMPRODUCT((파견수련계획!$Q$4:$Q$83=TRIM($J268&amp;""))*(파견수련계획!$S$4:$S$83="서울병원")*파견수련계획!$W$4:$W$83))+IF($AG268="서울병원",MAX(0,DAY(EOMONTH(요약!$B$3,0))-N($X268)),0))</f>
        <v/>
      </c>
      <c r="AI268" s="17">
        <f>IF($B268="","",IF(TRIM($J268&amp;"")="",0,SUMPRODUCT((파견수련계획!$Q$4:$Q$83=TRIM($J268&amp;""))*(파견수련계획!$S$4:$S$83="구리병원")*파견수련계획!$W$4:$W$83))+IF($AG268="구리병원",MAX(0,DAY(EOMONTH(요약!$B$3,0))-N($X268)),0))</f>
        <v/>
      </c>
      <c r="AJ268" s="10">
        <f>IF(OR($B268="",TRIM($J268&amp;"")=""),"",IFERROR(MATCH(TRIM($J268&amp;"")&amp;"|월",파견수련계획!$Z$4:$Z$83,0),""))</f>
        <v/>
      </c>
      <c r="AK268" s="10">
        <f>IF(OR($B268="",TRIM($J268&amp;"")=""),"",IFERROR(MATCH(TRIM($J268&amp;"")&amp;"|다기관",파견수련계획!$AE$4:$AE$83,0),""))</f>
        <v/>
      </c>
      <c r="AL268" s="10">
        <f>IF($AK268="","","다기관 "&amp;TEXT(INDEX(파견수련계획!$AB$4:$AB$83,$AK268),"yyyy-mm-dd")&amp;"~"&amp;IF(ISNUMBER(INDEX(파견수련계획!$AC$4:$AC$83,$AK268)),TEXT(INDEX(파견수련계획!$AC$4:$AC$83,$AK268),"yyyy-mm-dd"),""))</f>
        <v/>
      </c>
    </row>
    <row r="269">
      <c r="A269" s="10">
        <f>IF(B269="","",ROW()-1)</f>
        <v/>
      </c>
      <c r="B269" s="18" t="n"/>
      <c r="C269" s="10">
        <f>IF($AB269="","",IF(INDEX(기본자료!$C$2:$C$1001,$AB269)="","",INDEX(기본자료!$C$2:$C$1001,$AB269)))</f>
        <v/>
      </c>
      <c r="D269" s="10">
        <f>IF($AB269="","",IF(INDEX(기본자료!$J$2:$J$1001,$AB269)="","",INDEX(기본자료!$J$2:$J$1001,$AB269)))</f>
        <v/>
      </c>
      <c r="E269" s="11">
        <f>IF($AB269="","",IF(INDEX(기본자료!$K$2:$K$1001,$AB269)="","",IF(NOT(ISNUMBER(INDEX(기본자료!$K$2:$K$1001,$AB269))),INDEX(기본자료!$K$2:$K$1001,$AB269),IF(INDEX(기본자료!$K$2:$K$1001,$AB269)&lt;1000000,INDEX(기본자료!$K$2:$K$1001,$AB269),IF(AND(INDEX(기본자료!$K$2:$K$1001,$AB269)&gt;=10000101,INT(MOD(INDEX(기본자료!$K$2:$K$1001,$AB269),10000)/100)&gt;=1,INT(MOD(INDEX(기본자료!$K$2:$K$1001,$AB269),10000)/100)&lt;=12,MOD(INDEX(기본자료!$K$2:$K$1001,$AB269),100)&gt;=1,MOD(INDEX(기본자료!$K$2:$K$1001,$AB269),100)&lt;=31),DATE(INT(INDEX(기본자료!$K$2:$K$1001,$AB269)/10000),INT(MOD(INDEX(기본자료!$K$2:$K$1001,$AB269),10000)/100),MOD(INDEX(기본자료!$K$2:$K$1001,$AB269),100)),INDEX(기본자료!$K$2:$K$1001,$AB269)&amp;"")))))</f>
        <v/>
      </c>
      <c r="F269" s="10">
        <f>IF($AB269="","",IF(INDEX(기본자료!$D$2:$D$1001,$AB269)="","",INDEX(기본자료!$D$2:$D$1001,$AB269)))</f>
        <v/>
      </c>
      <c r="G269" s="10">
        <f>IF($AB269="","",IF(INDEX(기본자료!$E$2:$E$1001,$AB269)="","",INDEX(기본자료!$E$2:$E$1001,$AB269)))</f>
        <v/>
      </c>
      <c r="H269" s="10">
        <f>IF($AB269="","",IF(INDEX(기본자료!$F$2:$F$1001,$AB269)="","",INDEX(기본자료!$F$2:$F$1001,$AB269)))</f>
        <v/>
      </c>
      <c r="I269" s="11">
        <f>IF($AB269="","",IF(INDEX(기본자료!$G$2:$G$1001,$AB269)="","",IF(NOT(ISNUMBER(INDEX(기본자료!$G$2:$G$1001,$AB269))),INDEX(기본자료!$G$2:$G$1001,$AB269),IF(INDEX(기본자료!$G$2:$G$1001,$AB269)&lt;1000000,INDEX(기본자료!$G$2:$G$1001,$AB269),IF(AND(INDEX(기본자료!$G$2:$G$1001,$AB269)&gt;=10000101,INT(MOD(INDEX(기본자료!$G$2:$G$1001,$AB269),10000)/100)&gt;=1,INT(MOD(INDEX(기본자료!$G$2:$G$1001,$AB269),10000)/100)&lt;=12,MOD(INDEX(기본자료!$G$2:$G$1001,$AB269),100)&gt;=1,MOD(INDEX(기본자료!$G$2:$G$1001,$AB269),100)&lt;=31),DATE(INT(INDEX(기본자료!$G$2:$G$1001,$AB269)/10000),INT(MOD(INDEX(기본자료!$G$2:$G$1001,$AB269),10000)/100),MOD(INDEX(기본자료!$G$2:$G$1001,$AB269),100)),INDEX(기본자료!$G$2:$G$1001,$AB269)&amp;"")))))</f>
        <v/>
      </c>
      <c r="J269" s="10">
        <f>IF($AB269="","",IF(INDEX(기본자료!$H$2:$H$1001,$AB269)="","",INDEX(기본자료!$H$2:$H$1001,$AB269)))</f>
        <v/>
      </c>
      <c r="K269" s="10">
        <f>IF($AB269="","",IF(INDEX(기본자료!$I$2:$I$1001,$AB269)="","",INDEX(기본자료!$I$2:$I$1001,$AB269)))</f>
        <v/>
      </c>
      <c r="L269" s="10">
        <f>IF($AB269="","",IF(INDEX(기본자료!$A$2:$A$1001,$AB269)="","",INDEX(기본자료!$A$2:$A$1001,$AB269)))</f>
        <v/>
      </c>
      <c r="M269" s="15" t="n"/>
      <c r="N269" s="10">
        <f>IF($B269="","",IF(AND($U269="파견중",$Q269&lt;&gt;""),$Q269,IF(AND($AD269&lt;&gt;"",LEFT($AD269,1)&lt;&gt;"⚠"),LEFT($AD269,FIND(" ",$AD269)-1),IF($H269="","",IF(RIGHT($H269,2)="병원",$H269,$H269&amp;"병원")))))</f>
        <v/>
      </c>
      <c r="O269" s="10">
        <f>IF($B269="","",IF(AND($U269="파견중",$Q269&lt;&gt;""),IF($R269&lt;&gt;"",$R269,"파견과 미입력"),IF(AND($AD269&lt;&gt;"",LEFT($AD269,1)&lt;&gt;"⚠"),MID($AD269,FIND(" ",$AD269)+1,60),IF($F269="","",IF($F269="인턴","수련교육부(인턴)",$F269)))))</f>
        <v/>
      </c>
      <c r="P269" s="10">
        <f>IF($B269="","",IF($AK269&lt;&gt;"",IF(AND(TODAY()&gt;=INDEX(파견수련계획!$AB$4:$AB$83,$AK269),OR(NOT(ISNUMBER(INDEX(파견수련계획!$AC$4:$AC$83,$AK269))),TODAY()&lt;=INDEX(파견수련계획!$AC$4:$AC$83,$AK269))),"다기관",IF($AF269="","",INDEX(파견수련계획!$T$4:$T$83,$AF269))),IF($AF269="","",INDEX(파견수련계획!$T$4:$T$83,$AF269))))</f>
        <v/>
      </c>
      <c r="Q269" s="10">
        <f>IF($AF269="","",INDEX(파견수련계획!$S$4:$S$83,$AF269))</f>
        <v/>
      </c>
      <c r="R269" s="10">
        <f>IF($AF269="","",INDEX(파견수련계획!$U$4:$U$83,$AF269))</f>
        <v/>
      </c>
      <c r="S269" s="11">
        <f>IF($AF269="","",IF(INDEX(파견수련계획!$H$4:$H$83,$AF269)="","",INDEX(파견수련계획!$H$4:$H$83,$AF269)))</f>
        <v/>
      </c>
      <c r="T269" s="11">
        <f>IF($AF269="","",IF(INDEX(파견수련계획!$I$4:$I$83,$AF269)="","",INDEX(파견수련계획!$I$4:$I$83,$AF269)))</f>
        <v/>
      </c>
      <c r="U269" s="10">
        <f>IF($AF269="","",INDEX(파견수련계획!$X$4:$X$83,$AF269))</f>
        <v/>
      </c>
      <c r="V269" s="17">
        <f>IF($AF269="","",INDEX(파견수련계획!$V$4:$V$83,$AF269))</f>
        <v/>
      </c>
      <c r="W269" s="17">
        <f>IF(AND($U269="파견중",$T269&lt;&gt;""),$T269-TODAY(),"")</f>
        <v/>
      </c>
      <c r="X269" s="17">
        <f>IF(OR($B269="",TRIM($J269&amp;"")=""),"",SUMPRODUCT((파견수련계획!$Q$4:$Q$83=TRIM($J269&amp;""))*파견수련계획!$W$4:$W$83))</f>
        <v/>
      </c>
      <c r="Y269" s="10">
        <f>IF($B269="","",IF($AG269="","",IF(IF(TRIM($J269&amp;"")="",0,SUMPRODUCT((파견수련계획!$Q$4:$Q$83=TRIM($J269&amp;""))*파견수련계획!$AD$4:$AD$83))&gt;0,$AE269,IF(N($X269)&lt;=0,$AG269,IF($AH269+$AI269=DAY(EOMONTH(요약!$B$3,0)),IF(AND($AH269&gt;=요약!$E$3,$AI269&lt;요약!$E$3),"서울병원",IF(AND($AI269&gt;=요약!$E$3,$AH269&lt;요약!$E$3),"구리병원","⚠15일 판정불가(서울 "&amp;$AH269&amp;"일/구리 "&amp;$AI269&amp;"일)")),IF($AJ269="",$AE269,IF(INDEX(파견수련계획!$T$4:$T$83,$AJ269)="통합수련",INDEX(파견수련계획!$S$4:$S$83,$AJ269),$AE269)))))))</f>
        <v/>
      </c>
      <c r="Z269" s="19">
        <f>IF($B269="","",IF($AB269="","기본자료에 없는 사번",IF(COUNTIF($B$2:$B$401,$B269)&gt;1,"중복 사번",IF($AE269="","소속(입사장소) 입력",IF(IF(TRIM($J269&amp;"")="",0,SUMPRODUCT((파견수련계획!$Q$4:$Q$83=TRIM($J269&amp;""))*(파견수련계획!$AA$4:$AA$83&lt;&gt;"")))&gt;0,"파견수련계획 입력오류 확인",IF(LEFT($Y269,1)="⚠","서울·구리 15일 판정 불가(양쪽 모두 이상/미만)",IF(IF($AC269="",0,N(INDEX(인턴근무계획!$T$3:$T$62,$AC269)))&gt;0,"인턴계획 입력오류 확인",IF(AND($AC269&lt;&gt;"",$U269&lt;&gt;"파견중",$N269&lt;&gt;$AE269),"인턴 타지역 근무: 파견 여부 확인","정상"))))))))</f>
        <v/>
      </c>
      <c r="AA269" s="5" t="n"/>
      <c r="AB269" s="10">
        <f>IF($B269="","",IFERROR(MATCH($B269,기본자료!$B$2:$B$1001,0),IFERROR(MATCH($B269&amp;"",기본자료!$B$2:$B$1001,0),IFERROR(MATCH(VALUE($B269),기본자료!$B$2:$B$1001,0),""))))</f>
        <v/>
      </c>
      <c r="AC269" s="10">
        <f>IF($B269="","",IFERROR(MATCH($B269,인턴근무계획!$D$3:$D$62,0),IFERROR(MATCH($B269&amp;"",인턴근무계획!$D$3:$D$62,0),IFERROR(MATCH(VALUE($B269),인턴근무계획!$D$3:$D$62,0),""))))</f>
        <v/>
      </c>
      <c r="AD269" s="10">
        <f>IF(OR($AC269="",인턴현황!$G$3=""),"",INDEX(인턴근무계획!$M$3:$R$62,$AC269,인턴현황!$G$3)&amp;"")</f>
        <v/>
      </c>
      <c r="AE269" s="10">
        <f>IF($B269="","",IF($M269&lt;&gt;"",$M269,IF($AF269&lt;&gt;"",IF(LEFT(INDEX(파견수련계획!$R$4:$R$83,$AF269),1)&lt;&gt;"⚠",INDEX(파견수련계획!$R$4:$R$83,$AF269),IF($H269="","",IF(RIGHT($H269,2)="병원",$H269,$H269&amp;"병원"))),IF($H269="","",IF(RIGHT($H269,2)="병원",$H269,$H269&amp;"병원")))))</f>
        <v/>
      </c>
      <c r="AF269" s="10">
        <f>IF(OR($B269="",TRIM($J269&amp;"")=""),"",IFERROR(MATCH(TRIM($J269&amp;"")&amp;"|파견중",파견수련계획!$Y$4:$Y$83,0),IFERROR(MATCH(TRIM($J269&amp;"")&amp;"|파견예정",파견수련계획!$Y$4:$Y$83,0),IFERROR(MATCH(TRIM($J269&amp;"")&amp;"|파견종료",파견수련계획!$Y$4:$Y$83,0),""))))</f>
        <v/>
      </c>
      <c r="AG269" s="10">
        <f>IF($B269="","",IF(AND(IF(OR($AC269="",인턴현황!$K$2=""),"",INDEX(인턴근무계획!$M$3:$R$62,$AC269,인턴현황!$K$2)&amp;"")&lt;&gt;"",LEFT(IF(OR($AC269="",인턴현황!$K$2=""),"",INDEX(인턴근무계획!$M$3:$R$62,$AC269,인턴현황!$K$2)&amp;""),1)&lt;&gt;"⚠"),LEFT(IF(OR($AC269="",인턴현황!$K$2=""),"",INDEX(인턴근무계획!$M$3:$R$62,$AC269,인턴현황!$K$2)&amp;""),FIND(" ",IF(OR($AC269="",인턴현황!$K$2=""),"",INDEX(인턴근무계획!$M$3:$R$62,$AC269,인턴현황!$K$2)&amp;""))-1),$AE269))</f>
        <v/>
      </c>
      <c r="AH269" s="17">
        <f>IF($B269="","",IF(TRIM($J269&amp;"")="",0,SUMPRODUCT((파견수련계획!$Q$4:$Q$83=TRIM($J269&amp;""))*(파견수련계획!$S$4:$S$83="서울병원")*파견수련계획!$W$4:$W$83))+IF($AG269="서울병원",MAX(0,DAY(EOMONTH(요약!$B$3,0))-N($X269)),0))</f>
        <v/>
      </c>
      <c r="AI269" s="17">
        <f>IF($B269="","",IF(TRIM($J269&amp;"")="",0,SUMPRODUCT((파견수련계획!$Q$4:$Q$83=TRIM($J269&amp;""))*(파견수련계획!$S$4:$S$83="구리병원")*파견수련계획!$W$4:$W$83))+IF($AG269="구리병원",MAX(0,DAY(EOMONTH(요약!$B$3,0))-N($X269)),0))</f>
        <v/>
      </c>
      <c r="AJ269" s="10">
        <f>IF(OR($B269="",TRIM($J269&amp;"")=""),"",IFERROR(MATCH(TRIM($J269&amp;"")&amp;"|월",파견수련계획!$Z$4:$Z$83,0),""))</f>
        <v/>
      </c>
      <c r="AK269" s="10">
        <f>IF(OR($B269="",TRIM($J269&amp;"")=""),"",IFERROR(MATCH(TRIM($J269&amp;"")&amp;"|다기관",파견수련계획!$AE$4:$AE$83,0),""))</f>
        <v/>
      </c>
      <c r="AL269" s="10">
        <f>IF($AK269="","","다기관 "&amp;TEXT(INDEX(파견수련계획!$AB$4:$AB$83,$AK269),"yyyy-mm-dd")&amp;"~"&amp;IF(ISNUMBER(INDEX(파견수련계획!$AC$4:$AC$83,$AK269)),TEXT(INDEX(파견수련계획!$AC$4:$AC$83,$AK269),"yyyy-mm-dd"),""))</f>
        <v/>
      </c>
    </row>
    <row r="270">
      <c r="A270" s="10">
        <f>IF(B270="","",ROW()-1)</f>
        <v/>
      </c>
      <c r="B270" s="18" t="n"/>
      <c r="C270" s="10">
        <f>IF($AB270="","",IF(INDEX(기본자료!$C$2:$C$1001,$AB270)="","",INDEX(기본자료!$C$2:$C$1001,$AB270)))</f>
        <v/>
      </c>
      <c r="D270" s="10">
        <f>IF($AB270="","",IF(INDEX(기본자료!$J$2:$J$1001,$AB270)="","",INDEX(기본자료!$J$2:$J$1001,$AB270)))</f>
        <v/>
      </c>
      <c r="E270" s="11">
        <f>IF($AB270="","",IF(INDEX(기본자료!$K$2:$K$1001,$AB270)="","",IF(NOT(ISNUMBER(INDEX(기본자료!$K$2:$K$1001,$AB270))),INDEX(기본자료!$K$2:$K$1001,$AB270),IF(INDEX(기본자료!$K$2:$K$1001,$AB270)&lt;1000000,INDEX(기본자료!$K$2:$K$1001,$AB270),IF(AND(INDEX(기본자료!$K$2:$K$1001,$AB270)&gt;=10000101,INT(MOD(INDEX(기본자료!$K$2:$K$1001,$AB270),10000)/100)&gt;=1,INT(MOD(INDEX(기본자료!$K$2:$K$1001,$AB270),10000)/100)&lt;=12,MOD(INDEX(기본자료!$K$2:$K$1001,$AB270),100)&gt;=1,MOD(INDEX(기본자료!$K$2:$K$1001,$AB270),100)&lt;=31),DATE(INT(INDEX(기본자료!$K$2:$K$1001,$AB270)/10000),INT(MOD(INDEX(기본자료!$K$2:$K$1001,$AB270),10000)/100),MOD(INDEX(기본자료!$K$2:$K$1001,$AB270),100)),INDEX(기본자료!$K$2:$K$1001,$AB270)&amp;"")))))</f>
        <v/>
      </c>
      <c r="F270" s="10">
        <f>IF($AB270="","",IF(INDEX(기본자료!$D$2:$D$1001,$AB270)="","",INDEX(기본자료!$D$2:$D$1001,$AB270)))</f>
        <v/>
      </c>
      <c r="G270" s="10">
        <f>IF($AB270="","",IF(INDEX(기본자료!$E$2:$E$1001,$AB270)="","",INDEX(기본자료!$E$2:$E$1001,$AB270)))</f>
        <v/>
      </c>
      <c r="H270" s="10">
        <f>IF($AB270="","",IF(INDEX(기본자료!$F$2:$F$1001,$AB270)="","",INDEX(기본자료!$F$2:$F$1001,$AB270)))</f>
        <v/>
      </c>
      <c r="I270" s="11">
        <f>IF($AB270="","",IF(INDEX(기본자료!$G$2:$G$1001,$AB270)="","",IF(NOT(ISNUMBER(INDEX(기본자료!$G$2:$G$1001,$AB270))),INDEX(기본자료!$G$2:$G$1001,$AB270),IF(INDEX(기본자료!$G$2:$G$1001,$AB270)&lt;1000000,INDEX(기본자료!$G$2:$G$1001,$AB270),IF(AND(INDEX(기본자료!$G$2:$G$1001,$AB270)&gt;=10000101,INT(MOD(INDEX(기본자료!$G$2:$G$1001,$AB270),10000)/100)&gt;=1,INT(MOD(INDEX(기본자료!$G$2:$G$1001,$AB270),10000)/100)&lt;=12,MOD(INDEX(기본자료!$G$2:$G$1001,$AB270),100)&gt;=1,MOD(INDEX(기본자료!$G$2:$G$1001,$AB270),100)&lt;=31),DATE(INT(INDEX(기본자료!$G$2:$G$1001,$AB270)/10000),INT(MOD(INDEX(기본자료!$G$2:$G$1001,$AB270),10000)/100),MOD(INDEX(기본자료!$G$2:$G$1001,$AB270),100)),INDEX(기본자료!$G$2:$G$1001,$AB270)&amp;"")))))</f>
        <v/>
      </c>
      <c r="J270" s="10">
        <f>IF($AB270="","",IF(INDEX(기본자료!$H$2:$H$1001,$AB270)="","",INDEX(기본자료!$H$2:$H$1001,$AB270)))</f>
        <v/>
      </c>
      <c r="K270" s="10">
        <f>IF($AB270="","",IF(INDEX(기본자료!$I$2:$I$1001,$AB270)="","",INDEX(기본자료!$I$2:$I$1001,$AB270)))</f>
        <v/>
      </c>
      <c r="L270" s="10">
        <f>IF($AB270="","",IF(INDEX(기본자료!$A$2:$A$1001,$AB270)="","",INDEX(기본자료!$A$2:$A$1001,$AB270)))</f>
        <v/>
      </c>
      <c r="M270" s="15" t="n"/>
      <c r="N270" s="10">
        <f>IF($B270="","",IF(AND($U270="파견중",$Q270&lt;&gt;""),$Q270,IF(AND($AD270&lt;&gt;"",LEFT($AD270,1)&lt;&gt;"⚠"),LEFT($AD270,FIND(" ",$AD270)-1),IF($H270="","",IF(RIGHT($H270,2)="병원",$H270,$H270&amp;"병원")))))</f>
        <v/>
      </c>
      <c r="O270" s="10">
        <f>IF($B270="","",IF(AND($U270="파견중",$Q270&lt;&gt;""),IF($R270&lt;&gt;"",$R270,"파견과 미입력"),IF(AND($AD270&lt;&gt;"",LEFT($AD270,1)&lt;&gt;"⚠"),MID($AD270,FIND(" ",$AD270)+1,60),IF($F270="","",IF($F270="인턴","수련교육부(인턴)",$F270)))))</f>
        <v/>
      </c>
      <c r="P270" s="10">
        <f>IF($B270="","",IF($AK270&lt;&gt;"",IF(AND(TODAY()&gt;=INDEX(파견수련계획!$AB$4:$AB$83,$AK270),OR(NOT(ISNUMBER(INDEX(파견수련계획!$AC$4:$AC$83,$AK270))),TODAY()&lt;=INDEX(파견수련계획!$AC$4:$AC$83,$AK270))),"다기관",IF($AF270="","",INDEX(파견수련계획!$T$4:$T$83,$AF270))),IF($AF270="","",INDEX(파견수련계획!$T$4:$T$83,$AF270))))</f>
        <v/>
      </c>
      <c r="Q270" s="10">
        <f>IF($AF270="","",INDEX(파견수련계획!$S$4:$S$83,$AF270))</f>
        <v/>
      </c>
      <c r="R270" s="10">
        <f>IF($AF270="","",INDEX(파견수련계획!$U$4:$U$83,$AF270))</f>
        <v/>
      </c>
      <c r="S270" s="11">
        <f>IF($AF270="","",IF(INDEX(파견수련계획!$H$4:$H$83,$AF270)="","",INDEX(파견수련계획!$H$4:$H$83,$AF270)))</f>
        <v/>
      </c>
      <c r="T270" s="11">
        <f>IF($AF270="","",IF(INDEX(파견수련계획!$I$4:$I$83,$AF270)="","",INDEX(파견수련계획!$I$4:$I$83,$AF270)))</f>
        <v/>
      </c>
      <c r="U270" s="10">
        <f>IF($AF270="","",INDEX(파견수련계획!$X$4:$X$83,$AF270))</f>
        <v/>
      </c>
      <c r="V270" s="17">
        <f>IF($AF270="","",INDEX(파견수련계획!$V$4:$V$83,$AF270))</f>
        <v/>
      </c>
      <c r="W270" s="17">
        <f>IF(AND($U270="파견중",$T270&lt;&gt;""),$T270-TODAY(),"")</f>
        <v/>
      </c>
      <c r="X270" s="17">
        <f>IF(OR($B270="",TRIM($J270&amp;"")=""),"",SUMPRODUCT((파견수련계획!$Q$4:$Q$83=TRIM($J270&amp;""))*파견수련계획!$W$4:$W$83))</f>
        <v/>
      </c>
      <c r="Y270" s="10">
        <f>IF($B270="","",IF($AG270="","",IF(IF(TRIM($J270&amp;"")="",0,SUMPRODUCT((파견수련계획!$Q$4:$Q$83=TRIM($J270&amp;""))*파견수련계획!$AD$4:$AD$83))&gt;0,$AE270,IF(N($X270)&lt;=0,$AG270,IF($AH270+$AI270=DAY(EOMONTH(요약!$B$3,0)),IF(AND($AH270&gt;=요약!$E$3,$AI270&lt;요약!$E$3),"서울병원",IF(AND($AI270&gt;=요약!$E$3,$AH270&lt;요약!$E$3),"구리병원","⚠15일 판정불가(서울 "&amp;$AH270&amp;"일/구리 "&amp;$AI270&amp;"일)")),IF($AJ270="",$AE270,IF(INDEX(파견수련계획!$T$4:$T$83,$AJ270)="통합수련",INDEX(파견수련계획!$S$4:$S$83,$AJ270),$AE270)))))))</f>
        <v/>
      </c>
      <c r="Z270" s="19">
        <f>IF($B270="","",IF($AB270="","기본자료에 없는 사번",IF(COUNTIF($B$2:$B$401,$B270)&gt;1,"중복 사번",IF($AE270="","소속(입사장소) 입력",IF(IF(TRIM($J270&amp;"")="",0,SUMPRODUCT((파견수련계획!$Q$4:$Q$83=TRIM($J270&amp;""))*(파견수련계획!$AA$4:$AA$83&lt;&gt;"")))&gt;0,"파견수련계획 입력오류 확인",IF(LEFT($Y270,1)="⚠","서울·구리 15일 판정 불가(양쪽 모두 이상/미만)",IF(IF($AC270="",0,N(INDEX(인턴근무계획!$T$3:$T$62,$AC270)))&gt;0,"인턴계획 입력오류 확인",IF(AND($AC270&lt;&gt;"",$U270&lt;&gt;"파견중",$N270&lt;&gt;$AE270),"인턴 타지역 근무: 파견 여부 확인","정상"))))))))</f>
        <v/>
      </c>
      <c r="AA270" s="5" t="n"/>
      <c r="AB270" s="10">
        <f>IF($B270="","",IFERROR(MATCH($B270,기본자료!$B$2:$B$1001,0),IFERROR(MATCH($B270&amp;"",기본자료!$B$2:$B$1001,0),IFERROR(MATCH(VALUE($B270),기본자료!$B$2:$B$1001,0),""))))</f>
        <v/>
      </c>
      <c r="AC270" s="10">
        <f>IF($B270="","",IFERROR(MATCH($B270,인턴근무계획!$D$3:$D$62,0),IFERROR(MATCH($B270&amp;"",인턴근무계획!$D$3:$D$62,0),IFERROR(MATCH(VALUE($B270),인턴근무계획!$D$3:$D$62,0),""))))</f>
        <v/>
      </c>
      <c r="AD270" s="10">
        <f>IF(OR($AC270="",인턴현황!$G$3=""),"",INDEX(인턴근무계획!$M$3:$R$62,$AC270,인턴현황!$G$3)&amp;"")</f>
        <v/>
      </c>
      <c r="AE270" s="10">
        <f>IF($B270="","",IF($M270&lt;&gt;"",$M270,IF($AF270&lt;&gt;"",IF(LEFT(INDEX(파견수련계획!$R$4:$R$83,$AF270),1)&lt;&gt;"⚠",INDEX(파견수련계획!$R$4:$R$83,$AF270),IF($H270="","",IF(RIGHT($H270,2)="병원",$H270,$H270&amp;"병원"))),IF($H270="","",IF(RIGHT($H270,2)="병원",$H270,$H270&amp;"병원")))))</f>
        <v/>
      </c>
      <c r="AF270" s="10">
        <f>IF(OR($B270="",TRIM($J270&amp;"")=""),"",IFERROR(MATCH(TRIM($J270&amp;"")&amp;"|파견중",파견수련계획!$Y$4:$Y$83,0),IFERROR(MATCH(TRIM($J270&amp;"")&amp;"|파견예정",파견수련계획!$Y$4:$Y$83,0),IFERROR(MATCH(TRIM($J270&amp;"")&amp;"|파견종료",파견수련계획!$Y$4:$Y$83,0),""))))</f>
        <v/>
      </c>
      <c r="AG270" s="10">
        <f>IF($B270="","",IF(AND(IF(OR($AC270="",인턴현황!$K$2=""),"",INDEX(인턴근무계획!$M$3:$R$62,$AC270,인턴현황!$K$2)&amp;"")&lt;&gt;"",LEFT(IF(OR($AC270="",인턴현황!$K$2=""),"",INDEX(인턴근무계획!$M$3:$R$62,$AC270,인턴현황!$K$2)&amp;""),1)&lt;&gt;"⚠"),LEFT(IF(OR($AC270="",인턴현황!$K$2=""),"",INDEX(인턴근무계획!$M$3:$R$62,$AC270,인턴현황!$K$2)&amp;""),FIND(" ",IF(OR($AC270="",인턴현황!$K$2=""),"",INDEX(인턴근무계획!$M$3:$R$62,$AC270,인턴현황!$K$2)&amp;""))-1),$AE270))</f>
        <v/>
      </c>
      <c r="AH270" s="17">
        <f>IF($B270="","",IF(TRIM($J270&amp;"")="",0,SUMPRODUCT((파견수련계획!$Q$4:$Q$83=TRIM($J270&amp;""))*(파견수련계획!$S$4:$S$83="서울병원")*파견수련계획!$W$4:$W$83))+IF($AG270="서울병원",MAX(0,DAY(EOMONTH(요약!$B$3,0))-N($X270)),0))</f>
        <v/>
      </c>
      <c r="AI270" s="17">
        <f>IF($B270="","",IF(TRIM($J270&amp;"")="",0,SUMPRODUCT((파견수련계획!$Q$4:$Q$83=TRIM($J270&amp;""))*(파견수련계획!$S$4:$S$83="구리병원")*파견수련계획!$W$4:$W$83))+IF($AG270="구리병원",MAX(0,DAY(EOMONTH(요약!$B$3,0))-N($X270)),0))</f>
        <v/>
      </c>
      <c r="AJ270" s="10">
        <f>IF(OR($B270="",TRIM($J270&amp;"")=""),"",IFERROR(MATCH(TRIM($J270&amp;"")&amp;"|월",파견수련계획!$Z$4:$Z$83,0),""))</f>
        <v/>
      </c>
      <c r="AK270" s="10">
        <f>IF(OR($B270="",TRIM($J270&amp;"")=""),"",IFERROR(MATCH(TRIM($J270&amp;"")&amp;"|다기관",파견수련계획!$AE$4:$AE$83,0),""))</f>
        <v/>
      </c>
      <c r="AL270" s="10">
        <f>IF($AK270="","","다기관 "&amp;TEXT(INDEX(파견수련계획!$AB$4:$AB$83,$AK270),"yyyy-mm-dd")&amp;"~"&amp;IF(ISNUMBER(INDEX(파견수련계획!$AC$4:$AC$83,$AK270)),TEXT(INDEX(파견수련계획!$AC$4:$AC$83,$AK270),"yyyy-mm-dd"),""))</f>
        <v/>
      </c>
    </row>
    <row r="271">
      <c r="A271" s="10">
        <f>IF(B271="","",ROW()-1)</f>
        <v/>
      </c>
      <c r="B271" s="18" t="n"/>
      <c r="C271" s="10">
        <f>IF($AB271="","",IF(INDEX(기본자료!$C$2:$C$1001,$AB271)="","",INDEX(기본자료!$C$2:$C$1001,$AB271)))</f>
        <v/>
      </c>
      <c r="D271" s="10">
        <f>IF($AB271="","",IF(INDEX(기본자료!$J$2:$J$1001,$AB271)="","",INDEX(기본자료!$J$2:$J$1001,$AB271)))</f>
        <v/>
      </c>
      <c r="E271" s="11">
        <f>IF($AB271="","",IF(INDEX(기본자료!$K$2:$K$1001,$AB271)="","",IF(NOT(ISNUMBER(INDEX(기본자료!$K$2:$K$1001,$AB271))),INDEX(기본자료!$K$2:$K$1001,$AB271),IF(INDEX(기본자료!$K$2:$K$1001,$AB271)&lt;1000000,INDEX(기본자료!$K$2:$K$1001,$AB271),IF(AND(INDEX(기본자료!$K$2:$K$1001,$AB271)&gt;=10000101,INT(MOD(INDEX(기본자료!$K$2:$K$1001,$AB271),10000)/100)&gt;=1,INT(MOD(INDEX(기본자료!$K$2:$K$1001,$AB271),10000)/100)&lt;=12,MOD(INDEX(기본자료!$K$2:$K$1001,$AB271),100)&gt;=1,MOD(INDEX(기본자료!$K$2:$K$1001,$AB271),100)&lt;=31),DATE(INT(INDEX(기본자료!$K$2:$K$1001,$AB271)/10000),INT(MOD(INDEX(기본자료!$K$2:$K$1001,$AB271),10000)/100),MOD(INDEX(기본자료!$K$2:$K$1001,$AB271),100)),INDEX(기본자료!$K$2:$K$1001,$AB271)&amp;"")))))</f>
        <v/>
      </c>
      <c r="F271" s="10">
        <f>IF($AB271="","",IF(INDEX(기본자료!$D$2:$D$1001,$AB271)="","",INDEX(기본자료!$D$2:$D$1001,$AB271)))</f>
        <v/>
      </c>
      <c r="G271" s="10">
        <f>IF($AB271="","",IF(INDEX(기본자료!$E$2:$E$1001,$AB271)="","",INDEX(기본자료!$E$2:$E$1001,$AB271)))</f>
        <v/>
      </c>
      <c r="H271" s="10">
        <f>IF($AB271="","",IF(INDEX(기본자료!$F$2:$F$1001,$AB271)="","",INDEX(기본자료!$F$2:$F$1001,$AB271)))</f>
        <v/>
      </c>
      <c r="I271" s="11">
        <f>IF($AB271="","",IF(INDEX(기본자료!$G$2:$G$1001,$AB271)="","",IF(NOT(ISNUMBER(INDEX(기본자료!$G$2:$G$1001,$AB271))),INDEX(기본자료!$G$2:$G$1001,$AB271),IF(INDEX(기본자료!$G$2:$G$1001,$AB271)&lt;1000000,INDEX(기본자료!$G$2:$G$1001,$AB271),IF(AND(INDEX(기본자료!$G$2:$G$1001,$AB271)&gt;=10000101,INT(MOD(INDEX(기본자료!$G$2:$G$1001,$AB271),10000)/100)&gt;=1,INT(MOD(INDEX(기본자료!$G$2:$G$1001,$AB271),10000)/100)&lt;=12,MOD(INDEX(기본자료!$G$2:$G$1001,$AB271),100)&gt;=1,MOD(INDEX(기본자료!$G$2:$G$1001,$AB271),100)&lt;=31),DATE(INT(INDEX(기본자료!$G$2:$G$1001,$AB271)/10000),INT(MOD(INDEX(기본자료!$G$2:$G$1001,$AB271),10000)/100),MOD(INDEX(기본자료!$G$2:$G$1001,$AB271),100)),INDEX(기본자료!$G$2:$G$1001,$AB271)&amp;"")))))</f>
        <v/>
      </c>
      <c r="J271" s="10">
        <f>IF($AB271="","",IF(INDEX(기본자료!$H$2:$H$1001,$AB271)="","",INDEX(기본자료!$H$2:$H$1001,$AB271)))</f>
        <v/>
      </c>
      <c r="K271" s="10">
        <f>IF($AB271="","",IF(INDEX(기본자료!$I$2:$I$1001,$AB271)="","",INDEX(기본자료!$I$2:$I$1001,$AB271)))</f>
        <v/>
      </c>
      <c r="L271" s="10">
        <f>IF($AB271="","",IF(INDEX(기본자료!$A$2:$A$1001,$AB271)="","",INDEX(기본자료!$A$2:$A$1001,$AB271)))</f>
        <v/>
      </c>
      <c r="M271" s="15" t="n"/>
      <c r="N271" s="10">
        <f>IF($B271="","",IF(AND($U271="파견중",$Q271&lt;&gt;""),$Q271,IF(AND($AD271&lt;&gt;"",LEFT($AD271,1)&lt;&gt;"⚠"),LEFT($AD271,FIND(" ",$AD271)-1),IF($H271="","",IF(RIGHT($H271,2)="병원",$H271,$H271&amp;"병원")))))</f>
        <v/>
      </c>
      <c r="O271" s="10">
        <f>IF($B271="","",IF(AND($U271="파견중",$Q271&lt;&gt;""),IF($R271&lt;&gt;"",$R271,"파견과 미입력"),IF(AND($AD271&lt;&gt;"",LEFT($AD271,1)&lt;&gt;"⚠"),MID($AD271,FIND(" ",$AD271)+1,60),IF($F271="","",IF($F271="인턴","수련교육부(인턴)",$F271)))))</f>
        <v/>
      </c>
      <c r="P271" s="10">
        <f>IF($B271="","",IF($AK271&lt;&gt;"",IF(AND(TODAY()&gt;=INDEX(파견수련계획!$AB$4:$AB$83,$AK271),OR(NOT(ISNUMBER(INDEX(파견수련계획!$AC$4:$AC$83,$AK271))),TODAY()&lt;=INDEX(파견수련계획!$AC$4:$AC$83,$AK271))),"다기관",IF($AF271="","",INDEX(파견수련계획!$T$4:$T$83,$AF271))),IF($AF271="","",INDEX(파견수련계획!$T$4:$T$83,$AF271))))</f>
        <v/>
      </c>
      <c r="Q271" s="10">
        <f>IF($AF271="","",INDEX(파견수련계획!$S$4:$S$83,$AF271))</f>
        <v/>
      </c>
      <c r="R271" s="10">
        <f>IF($AF271="","",INDEX(파견수련계획!$U$4:$U$83,$AF271))</f>
        <v/>
      </c>
      <c r="S271" s="11">
        <f>IF($AF271="","",IF(INDEX(파견수련계획!$H$4:$H$83,$AF271)="","",INDEX(파견수련계획!$H$4:$H$83,$AF271)))</f>
        <v/>
      </c>
      <c r="T271" s="11">
        <f>IF($AF271="","",IF(INDEX(파견수련계획!$I$4:$I$83,$AF271)="","",INDEX(파견수련계획!$I$4:$I$83,$AF271)))</f>
        <v/>
      </c>
      <c r="U271" s="10">
        <f>IF($AF271="","",INDEX(파견수련계획!$X$4:$X$83,$AF271))</f>
        <v/>
      </c>
      <c r="V271" s="17">
        <f>IF($AF271="","",INDEX(파견수련계획!$V$4:$V$83,$AF271))</f>
        <v/>
      </c>
      <c r="W271" s="17">
        <f>IF(AND($U271="파견중",$T271&lt;&gt;""),$T271-TODAY(),"")</f>
        <v/>
      </c>
      <c r="X271" s="17">
        <f>IF(OR($B271="",TRIM($J271&amp;"")=""),"",SUMPRODUCT((파견수련계획!$Q$4:$Q$83=TRIM($J271&amp;""))*파견수련계획!$W$4:$W$83))</f>
        <v/>
      </c>
      <c r="Y271" s="10">
        <f>IF($B271="","",IF($AG271="","",IF(IF(TRIM($J271&amp;"")="",0,SUMPRODUCT((파견수련계획!$Q$4:$Q$83=TRIM($J271&amp;""))*파견수련계획!$AD$4:$AD$83))&gt;0,$AE271,IF(N($X271)&lt;=0,$AG271,IF($AH271+$AI271=DAY(EOMONTH(요약!$B$3,0)),IF(AND($AH271&gt;=요약!$E$3,$AI271&lt;요약!$E$3),"서울병원",IF(AND($AI271&gt;=요약!$E$3,$AH271&lt;요약!$E$3),"구리병원","⚠15일 판정불가(서울 "&amp;$AH271&amp;"일/구리 "&amp;$AI271&amp;"일)")),IF($AJ271="",$AE271,IF(INDEX(파견수련계획!$T$4:$T$83,$AJ271)="통합수련",INDEX(파견수련계획!$S$4:$S$83,$AJ271),$AE271)))))))</f>
        <v/>
      </c>
      <c r="Z271" s="19">
        <f>IF($B271="","",IF($AB271="","기본자료에 없는 사번",IF(COUNTIF($B$2:$B$401,$B271)&gt;1,"중복 사번",IF($AE271="","소속(입사장소) 입력",IF(IF(TRIM($J271&amp;"")="",0,SUMPRODUCT((파견수련계획!$Q$4:$Q$83=TRIM($J271&amp;""))*(파견수련계획!$AA$4:$AA$83&lt;&gt;"")))&gt;0,"파견수련계획 입력오류 확인",IF(LEFT($Y271,1)="⚠","서울·구리 15일 판정 불가(양쪽 모두 이상/미만)",IF(IF($AC271="",0,N(INDEX(인턴근무계획!$T$3:$T$62,$AC271)))&gt;0,"인턴계획 입력오류 확인",IF(AND($AC271&lt;&gt;"",$U271&lt;&gt;"파견중",$N271&lt;&gt;$AE271),"인턴 타지역 근무: 파견 여부 확인","정상"))))))))</f>
        <v/>
      </c>
      <c r="AA271" s="5" t="n"/>
      <c r="AB271" s="10">
        <f>IF($B271="","",IFERROR(MATCH($B271,기본자료!$B$2:$B$1001,0),IFERROR(MATCH($B271&amp;"",기본자료!$B$2:$B$1001,0),IFERROR(MATCH(VALUE($B271),기본자료!$B$2:$B$1001,0),""))))</f>
        <v/>
      </c>
      <c r="AC271" s="10">
        <f>IF($B271="","",IFERROR(MATCH($B271,인턴근무계획!$D$3:$D$62,0),IFERROR(MATCH($B271&amp;"",인턴근무계획!$D$3:$D$62,0),IFERROR(MATCH(VALUE($B271),인턴근무계획!$D$3:$D$62,0),""))))</f>
        <v/>
      </c>
      <c r="AD271" s="10">
        <f>IF(OR($AC271="",인턴현황!$G$3=""),"",INDEX(인턴근무계획!$M$3:$R$62,$AC271,인턴현황!$G$3)&amp;"")</f>
        <v/>
      </c>
      <c r="AE271" s="10">
        <f>IF($B271="","",IF($M271&lt;&gt;"",$M271,IF($AF271&lt;&gt;"",IF(LEFT(INDEX(파견수련계획!$R$4:$R$83,$AF271),1)&lt;&gt;"⚠",INDEX(파견수련계획!$R$4:$R$83,$AF271),IF($H271="","",IF(RIGHT($H271,2)="병원",$H271,$H271&amp;"병원"))),IF($H271="","",IF(RIGHT($H271,2)="병원",$H271,$H271&amp;"병원")))))</f>
        <v/>
      </c>
      <c r="AF271" s="10">
        <f>IF(OR($B271="",TRIM($J271&amp;"")=""),"",IFERROR(MATCH(TRIM($J271&amp;"")&amp;"|파견중",파견수련계획!$Y$4:$Y$83,0),IFERROR(MATCH(TRIM($J271&amp;"")&amp;"|파견예정",파견수련계획!$Y$4:$Y$83,0),IFERROR(MATCH(TRIM($J271&amp;"")&amp;"|파견종료",파견수련계획!$Y$4:$Y$83,0),""))))</f>
        <v/>
      </c>
      <c r="AG271" s="10">
        <f>IF($B271="","",IF(AND(IF(OR($AC271="",인턴현황!$K$2=""),"",INDEX(인턴근무계획!$M$3:$R$62,$AC271,인턴현황!$K$2)&amp;"")&lt;&gt;"",LEFT(IF(OR($AC271="",인턴현황!$K$2=""),"",INDEX(인턴근무계획!$M$3:$R$62,$AC271,인턴현황!$K$2)&amp;""),1)&lt;&gt;"⚠"),LEFT(IF(OR($AC271="",인턴현황!$K$2=""),"",INDEX(인턴근무계획!$M$3:$R$62,$AC271,인턴현황!$K$2)&amp;""),FIND(" ",IF(OR($AC271="",인턴현황!$K$2=""),"",INDEX(인턴근무계획!$M$3:$R$62,$AC271,인턴현황!$K$2)&amp;""))-1),$AE271))</f>
        <v/>
      </c>
      <c r="AH271" s="17">
        <f>IF($B271="","",IF(TRIM($J271&amp;"")="",0,SUMPRODUCT((파견수련계획!$Q$4:$Q$83=TRIM($J271&amp;""))*(파견수련계획!$S$4:$S$83="서울병원")*파견수련계획!$W$4:$W$83))+IF($AG271="서울병원",MAX(0,DAY(EOMONTH(요약!$B$3,0))-N($X271)),0))</f>
        <v/>
      </c>
      <c r="AI271" s="17">
        <f>IF($B271="","",IF(TRIM($J271&amp;"")="",0,SUMPRODUCT((파견수련계획!$Q$4:$Q$83=TRIM($J271&amp;""))*(파견수련계획!$S$4:$S$83="구리병원")*파견수련계획!$W$4:$W$83))+IF($AG271="구리병원",MAX(0,DAY(EOMONTH(요약!$B$3,0))-N($X271)),0))</f>
        <v/>
      </c>
      <c r="AJ271" s="10">
        <f>IF(OR($B271="",TRIM($J271&amp;"")=""),"",IFERROR(MATCH(TRIM($J271&amp;"")&amp;"|월",파견수련계획!$Z$4:$Z$83,0),""))</f>
        <v/>
      </c>
      <c r="AK271" s="10">
        <f>IF(OR($B271="",TRIM($J271&amp;"")=""),"",IFERROR(MATCH(TRIM($J271&amp;"")&amp;"|다기관",파견수련계획!$AE$4:$AE$83,0),""))</f>
        <v/>
      </c>
      <c r="AL271" s="10">
        <f>IF($AK271="","","다기관 "&amp;TEXT(INDEX(파견수련계획!$AB$4:$AB$83,$AK271),"yyyy-mm-dd")&amp;"~"&amp;IF(ISNUMBER(INDEX(파견수련계획!$AC$4:$AC$83,$AK271)),TEXT(INDEX(파견수련계획!$AC$4:$AC$83,$AK271),"yyyy-mm-dd"),""))</f>
        <v/>
      </c>
    </row>
    <row r="272">
      <c r="A272" s="10">
        <f>IF(B272="","",ROW()-1)</f>
        <v/>
      </c>
      <c r="B272" s="18" t="n"/>
      <c r="C272" s="10">
        <f>IF($AB272="","",IF(INDEX(기본자료!$C$2:$C$1001,$AB272)="","",INDEX(기본자료!$C$2:$C$1001,$AB272)))</f>
        <v/>
      </c>
      <c r="D272" s="10">
        <f>IF($AB272="","",IF(INDEX(기본자료!$J$2:$J$1001,$AB272)="","",INDEX(기본자료!$J$2:$J$1001,$AB272)))</f>
        <v/>
      </c>
      <c r="E272" s="11">
        <f>IF($AB272="","",IF(INDEX(기본자료!$K$2:$K$1001,$AB272)="","",IF(NOT(ISNUMBER(INDEX(기본자료!$K$2:$K$1001,$AB272))),INDEX(기본자료!$K$2:$K$1001,$AB272),IF(INDEX(기본자료!$K$2:$K$1001,$AB272)&lt;1000000,INDEX(기본자료!$K$2:$K$1001,$AB272),IF(AND(INDEX(기본자료!$K$2:$K$1001,$AB272)&gt;=10000101,INT(MOD(INDEX(기본자료!$K$2:$K$1001,$AB272),10000)/100)&gt;=1,INT(MOD(INDEX(기본자료!$K$2:$K$1001,$AB272),10000)/100)&lt;=12,MOD(INDEX(기본자료!$K$2:$K$1001,$AB272),100)&gt;=1,MOD(INDEX(기본자료!$K$2:$K$1001,$AB272),100)&lt;=31),DATE(INT(INDEX(기본자료!$K$2:$K$1001,$AB272)/10000),INT(MOD(INDEX(기본자료!$K$2:$K$1001,$AB272),10000)/100),MOD(INDEX(기본자료!$K$2:$K$1001,$AB272),100)),INDEX(기본자료!$K$2:$K$1001,$AB272)&amp;"")))))</f>
        <v/>
      </c>
      <c r="F272" s="10">
        <f>IF($AB272="","",IF(INDEX(기본자료!$D$2:$D$1001,$AB272)="","",INDEX(기본자료!$D$2:$D$1001,$AB272)))</f>
        <v/>
      </c>
      <c r="G272" s="10">
        <f>IF($AB272="","",IF(INDEX(기본자료!$E$2:$E$1001,$AB272)="","",INDEX(기본자료!$E$2:$E$1001,$AB272)))</f>
        <v/>
      </c>
      <c r="H272" s="10">
        <f>IF($AB272="","",IF(INDEX(기본자료!$F$2:$F$1001,$AB272)="","",INDEX(기본자료!$F$2:$F$1001,$AB272)))</f>
        <v/>
      </c>
      <c r="I272" s="11">
        <f>IF($AB272="","",IF(INDEX(기본자료!$G$2:$G$1001,$AB272)="","",IF(NOT(ISNUMBER(INDEX(기본자료!$G$2:$G$1001,$AB272))),INDEX(기본자료!$G$2:$G$1001,$AB272),IF(INDEX(기본자료!$G$2:$G$1001,$AB272)&lt;1000000,INDEX(기본자료!$G$2:$G$1001,$AB272),IF(AND(INDEX(기본자료!$G$2:$G$1001,$AB272)&gt;=10000101,INT(MOD(INDEX(기본자료!$G$2:$G$1001,$AB272),10000)/100)&gt;=1,INT(MOD(INDEX(기본자료!$G$2:$G$1001,$AB272),10000)/100)&lt;=12,MOD(INDEX(기본자료!$G$2:$G$1001,$AB272),100)&gt;=1,MOD(INDEX(기본자료!$G$2:$G$1001,$AB272),100)&lt;=31),DATE(INT(INDEX(기본자료!$G$2:$G$1001,$AB272)/10000),INT(MOD(INDEX(기본자료!$G$2:$G$1001,$AB272),10000)/100),MOD(INDEX(기본자료!$G$2:$G$1001,$AB272),100)),INDEX(기본자료!$G$2:$G$1001,$AB272)&amp;"")))))</f>
        <v/>
      </c>
      <c r="J272" s="10">
        <f>IF($AB272="","",IF(INDEX(기본자료!$H$2:$H$1001,$AB272)="","",INDEX(기본자료!$H$2:$H$1001,$AB272)))</f>
        <v/>
      </c>
      <c r="K272" s="10">
        <f>IF($AB272="","",IF(INDEX(기본자료!$I$2:$I$1001,$AB272)="","",INDEX(기본자료!$I$2:$I$1001,$AB272)))</f>
        <v/>
      </c>
      <c r="L272" s="10">
        <f>IF($AB272="","",IF(INDEX(기본자료!$A$2:$A$1001,$AB272)="","",INDEX(기본자료!$A$2:$A$1001,$AB272)))</f>
        <v/>
      </c>
      <c r="M272" s="15" t="n"/>
      <c r="N272" s="10">
        <f>IF($B272="","",IF(AND($U272="파견중",$Q272&lt;&gt;""),$Q272,IF(AND($AD272&lt;&gt;"",LEFT($AD272,1)&lt;&gt;"⚠"),LEFT($AD272,FIND(" ",$AD272)-1),IF($H272="","",IF(RIGHT($H272,2)="병원",$H272,$H272&amp;"병원")))))</f>
        <v/>
      </c>
      <c r="O272" s="10">
        <f>IF($B272="","",IF(AND($U272="파견중",$Q272&lt;&gt;""),IF($R272&lt;&gt;"",$R272,"파견과 미입력"),IF(AND($AD272&lt;&gt;"",LEFT($AD272,1)&lt;&gt;"⚠"),MID($AD272,FIND(" ",$AD272)+1,60),IF($F272="","",IF($F272="인턴","수련교육부(인턴)",$F272)))))</f>
        <v/>
      </c>
      <c r="P272" s="10">
        <f>IF($B272="","",IF($AK272&lt;&gt;"",IF(AND(TODAY()&gt;=INDEX(파견수련계획!$AB$4:$AB$83,$AK272),OR(NOT(ISNUMBER(INDEX(파견수련계획!$AC$4:$AC$83,$AK272))),TODAY()&lt;=INDEX(파견수련계획!$AC$4:$AC$83,$AK272))),"다기관",IF($AF272="","",INDEX(파견수련계획!$T$4:$T$83,$AF272))),IF($AF272="","",INDEX(파견수련계획!$T$4:$T$83,$AF272))))</f>
        <v/>
      </c>
      <c r="Q272" s="10">
        <f>IF($AF272="","",INDEX(파견수련계획!$S$4:$S$83,$AF272))</f>
        <v/>
      </c>
      <c r="R272" s="10">
        <f>IF($AF272="","",INDEX(파견수련계획!$U$4:$U$83,$AF272))</f>
        <v/>
      </c>
      <c r="S272" s="11">
        <f>IF($AF272="","",IF(INDEX(파견수련계획!$H$4:$H$83,$AF272)="","",INDEX(파견수련계획!$H$4:$H$83,$AF272)))</f>
        <v/>
      </c>
      <c r="T272" s="11">
        <f>IF($AF272="","",IF(INDEX(파견수련계획!$I$4:$I$83,$AF272)="","",INDEX(파견수련계획!$I$4:$I$83,$AF272)))</f>
        <v/>
      </c>
      <c r="U272" s="10">
        <f>IF($AF272="","",INDEX(파견수련계획!$X$4:$X$83,$AF272))</f>
        <v/>
      </c>
      <c r="V272" s="17">
        <f>IF($AF272="","",INDEX(파견수련계획!$V$4:$V$83,$AF272))</f>
        <v/>
      </c>
      <c r="W272" s="17">
        <f>IF(AND($U272="파견중",$T272&lt;&gt;""),$T272-TODAY(),"")</f>
        <v/>
      </c>
      <c r="X272" s="17">
        <f>IF(OR($B272="",TRIM($J272&amp;"")=""),"",SUMPRODUCT((파견수련계획!$Q$4:$Q$83=TRIM($J272&amp;""))*파견수련계획!$W$4:$W$83))</f>
        <v/>
      </c>
      <c r="Y272" s="10">
        <f>IF($B272="","",IF($AG272="","",IF(IF(TRIM($J272&amp;"")="",0,SUMPRODUCT((파견수련계획!$Q$4:$Q$83=TRIM($J272&amp;""))*파견수련계획!$AD$4:$AD$83))&gt;0,$AE272,IF(N($X272)&lt;=0,$AG272,IF($AH272+$AI272=DAY(EOMONTH(요약!$B$3,0)),IF(AND($AH272&gt;=요약!$E$3,$AI272&lt;요약!$E$3),"서울병원",IF(AND($AI272&gt;=요약!$E$3,$AH272&lt;요약!$E$3),"구리병원","⚠15일 판정불가(서울 "&amp;$AH272&amp;"일/구리 "&amp;$AI272&amp;"일)")),IF($AJ272="",$AE272,IF(INDEX(파견수련계획!$T$4:$T$83,$AJ272)="통합수련",INDEX(파견수련계획!$S$4:$S$83,$AJ272),$AE272)))))))</f>
        <v/>
      </c>
      <c r="Z272" s="19">
        <f>IF($B272="","",IF($AB272="","기본자료에 없는 사번",IF(COUNTIF($B$2:$B$401,$B272)&gt;1,"중복 사번",IF($AE272="","소속(입사장소) 입력",IF(IF(TRIM($J272&amp;"")="",0,SUMPRODUCT((파견수련계획!$Q$4:$Q$83=TRIM($J272&amp;""))*(파견수련계획!$AA$4:$AA$83&lt;&gt;"")))&gt;0,"파견수련계획 입력오류 확인",IF(LEFT($Y272,1)="⚠","서울·구리 15일 판정 불가(양쪽 모두 이상/미만)",IF(IF($AC272="",0,N(INDEX(인턴근무계획!$T$3:$T$62,$AC272)))&gt;0,"인턴계획 입력오류 확인",IF(AND($AC272&lt;&gt;"",$U272&lt;&gt;"파견중",$N272&lt;&gt;$AE272),"인턴 타지역 근무: 파견 여부 확인","정상"))))))))</f>
        <v/>
      </c>
      <c r="AA272" s="5" t="n"/>
      <c r="AB272" s="10">
        <f>IF($B272="","",IFERROR(MATCH($B272,기본자료!$B$2:$B$1001,0),IFERROR(MATCH($B272&amp;"",기본자료!$B$2:$B$1001,0),IFERROR(MATCH(VALUE($B272),기본자료!$B$2:$B$1001,0),""))))</f>
        <v/>
      </c>
      <c r="AC272" s="10">
        <f>IF($B272="","",IFERROR(MATCH($B272,인턴근무계획!$D$3:$D$62,0),IFERROR(MATCH($B272&amp;"",인턴근무계획!$D$3:$D$62,0),IFERROR(MATCH(VALUE($B272),인턴근무계획!$D$3:$D$62,0),""))))</f>
        <v/>
      </c>
      <c r="AD272" s="10">
        <f>IF(OR($AC272="",인턴현황!$G$3=""),"",INDEX(인턴근무계획!$M$3:$R$62,$AC272,인턴현황!$G$3)&amp;"")</f>
        <v/>
      </c>
      <c r="AE272" s="10">
        <f>IF($B272="","",IF($M272&lt;&gt;"",$M272,IF($AF272&lt;&gt;"",IF(LEFT(INDEX(파견수련계획!$R$4:$R$83,$AF272),1)&lt;&gt;"⚠",INDEX(파견수련계획!$R$4:$R$83,$AF272),IF($H272="","",IF(RIGHT($H272,2)="병원",$H272,$H272&amp;"병원"))),IF($H272="","",IF(RIGHT($H272,2)="병원",$H272,$H272&amp;"병원")))))</f>
        <v/>
      </c>
      <c r="AF272" s="10">
        <f>IF(OR($B272="",TRIM($J272&amp;"")=""),"",IFERROR(MATCH(TRIM($J272&amp;"")&amp;"|파견중",파견수련계획!$Y$4:$Y$83,0),IFERROR(MATCH(TRIM($J272&amp;"")&amp;"|파견예정",파견수련계획!$Y$4:$Y$83,0),IFERROR(MATCH(TRIM($J272&amp;"")&amp;"|파견종료",파견수련계획!$Y$4:$Y$83,0),""))))</f>
        <v/>
      </c>
      <c r="AG272" s="10">
        <f>IF($B272="","",IF(AND(IF(OR($AC272="",인턴현황!$K$2=""),"",INDEX(인턴근무계획!$M$3:$R$62,$AC272,인턴현황!$K$2)&amp;"")&lt;&gt;"",LEFT(IF(OR($AC272="",인턴현황!$K$2=""),"",INDEX(인턴근무계획!$M$3:$R$62,$AC272,인턴현황!$K$2)&amp;""),1)&lt;&gt;"⚠"),LEFT(IF(OR($AC272="",인턴현황!$K$2=""),"",INDEX(인턴근무계획!$M$3:$R$62,$AC272,인턴현황!$K$2)&amp;""),FIND(" ",IF(OR($AC272="",인턴현황!$K$2=""),"",INDEX(인턴근무계획!$M$3:$R$62,$AC272,인턴현황!$K$2)&amp;""))-1),$AE272))</f>
        <v/>
      </c>
      <c r="AH272" s="17">
        <f>IF($B272="","",IF(TRIM($J272&amp;"")="",0,SUMPRODUCT((파견수련계획!$Q$4:$Q$83=TRIM($J272&amp;""))*(파견수련계획!$S$4:$S$83="서울병원")*파견수련계획!$W$4:$W$83))+IF($AG272="서울병원",MAX(0,DAY(EOMONTH(요약!$B$3,0))-N($X272)),0))</f>
        <v/>
      </c>
      <c r="AI272" s="17">
        <f>IF($B272="","",IF(TRIM($J272&amp;"")="",0,SUMPRODUCT((파견수련계획!$Q$4:$Q$83=TRIM($J272&amp;""))*(파견수련계획!$S$4:$S$83="구리병원")*파견수련계획!$W$4:$W$83))+IF($AG272="구리병원",MAX(0,DAY(EOMONTH(요약!$B$3,0))-N($X272)),0))</f>
        <v/>
      </c>
      <c r="AJ272" s="10">
        <f>IF(OR($B272="",TRIM($J272&amp;"")=""),"",IFERROR(MATCH(TRIM($J272&amp;"")&amp;"|월",파견수련계획!$Z$4:$Z$83,0),""))</f>
        <v/>
      </c>
      <c r="AK272" s="10">
        <f>IF(OR($B272="",TRIM($J272&amp;"")=""),"",IFERROR(MATCH(TRIM($J272&amp;"")&amp;"|다기관",파견수련계획!$AE$4:$AE$83,0),""))</f>
        <v/>
      </c>
      <c r="AL272" s="10">
        <f>IF($AK272="","","다기관 "&amp;TEXT(INDEX(파견수련계획!$AB$4:$AB$83,$AK272),"yyyy-mm-dd")&amp;"~"&amp;IF(ISNUMBER(INDEX(파견수련계획!$AC$4:$AC$83,$AK272)),TEXT(INDEX(파견수련계획!$AC$4:$AC$83,$AK272),"yyyy-mm-dd"),""))</f>
        <v/>
      </c>
    </row>
    <row r="273">
      <c r="A273" s="10">
        <f>IF(B273="","",ROW()-1)</f>
        <v/>
      </c>
      <c r="B273" s="18" t="n"/>
      <c r="C273" s="10">
        <f>IF($AB273="","",IF(INDEX(기본자료!$C$2:$C$1001,$AB273)="","",INDEX(기본자료!$C$2:$C$1001,$AB273)))</f>
        <v/>
      </c>
      <c r="D273" s="10">
        <f>IF($AB273="","",IF(INDEX(기본자료!$J$2:$J$1001,$AB273)="","",INDEX(기본자료!$J$2:$J$1001,$AB273)))</f>
        <v/>
      </c>
      <c r="E273" s="11">
        <f>IF($AB273="","",IF(INDEX(기본자료!$K$2:$K$1001,$AB273)="","",IF(NOT(ISNUMBER(INDEX(기본자료!$K$2:$K$1001,$AB273))),INDEX(기본자료!$K$2:$K$1001,$AB273),IF(INDEX(기본자료!$K$2:$K$1001,$AB273)&lt;1000000,INDEX(기본자료!$K$2:$K$1001,$AB273),IF(AND(INDEX(기본자료!$K$2:$K$1001,$AB273)&gt;=10000101,INT(MOD(INDEX(기본자료!$K$2:$K$1001,$AB273),10000)/100)&gt;=1,INT(MOD(INDEX(기본자료!$K$2:$K$1001,$AB273),10000)/100)&lt;=12,MOD(INDEX(기본자료!$K$2:$K$1001,$AB273),100)&gt;=1,MOD(INDEX(기본자료!$K$2:$K$1001,$AB273),100)&lt;=31),DATE(INT(INDEX(기본자료!$K$2:$K$1001,$AB273)/10000),INT(MOD(INDEX(기본자료!$K$2:$K$1001,$AB273),10000)/100),MOD(INDEX(기본자료!$K$2:$K$1001,$AB273),100)),INDEX(기본자료!$K$2:$K$1001,$AB273)&amp;"")))))</f>
        <v/>
      </c>
      <c r="F273" s="10">
        <f>IF($AB273="","",IF(INDEX(기본자료!$D$2:$D$1001,$AB273)="","",INDEX(기본자료!$D$2:$D$1001,$AB273)))</f>
        <v/>
      </c>
      <c r="G273" s="10">
        <f>IF($AB273="","",IF(INDEX(기본자료!$E$2:$E$1001,$AB273)="","",INDEX(기본자료!$E$2:$E$1001,$AB273)))</f>
        <v/>
      </c>
      <c r="H273" s="10">
        <f>IF($AB273="","",IF(INDEX(기본자료!$F$2:$F$1001,$AB273)="","",INDEX(기본자료!$F$2:$F$1001,$AB273)))</f>
        <v/>
      </c>
      <c r="I273" s="11">
        <f>IF($AB273="","",IF(INDEX(기본자료!$G$2:$G$1001,$AB273)="","",IF(NOT(ISNUMBER(INDEX(기본자료!$G$2:$G$1001,$AB273))),INDEX(기본자료!$G$2:$G$1001,$AB273),IF(INDEX(기본자료!$G$2:$G$1001,$AB273)&lt;1000000,INDEX(기본자료!$G$2:$G$1001,$AB273),IF(AND(INDEX(기본자료!$G$2:$G$1001,$AB273)&gt;=10000101,INT(MOD(INDEX(기본자료!$G$2:$G$1001,$AB273),10000)/100)&gt;=1,INT(MOD(INDEX(기본자료!$G$2:$G$1001,$AB273),10000)/100)&lt;=12,MOD(INDEX(기본자료!$G$2:$G$1001,$AB273),100)&gt;=1,MOD(INDEX(기본자료!$G$2:$G$1001,$AB273),100)&lt;=31),DATE(INT(INDEX(기본자료!$G$2:$G$1001,$AB273)/10000),INT(MOD(INDEX(기본자료!$G$2:$G$1001,$AB273),10000)/100),MOD(INDEX(기본자료!$G$2:$G$1001,$AB273),100)),INDEX(기본자료!$G$2:$G$1001,$AB273)&amp;"")))))</f>
        <v/>
      </c>
      <c r="J273" s="10">
        <f>IF($AB273="","",IF(INDEX(기본자료!$H$2:$H$1001,$AB273)="","",INDEX(기본자료!$H$2:$H$1001,$AB273)))</f>
        <v/>
      </c>
      <c r="K273" s="10">
        <f>IF($AB273="","",IF(INDEX(기본자료!$I$2:$I$1001,$AB273)="","",INDEX(기본자료!$I$2:$I$1001,$AB273)))</f>
        <v/>
      </c>
      <c r="L273" s="10">
        <f>IF($AB273="","",IF(INDEX(기본자료!$A$2:$A$1001,$AB273)="","",INDEX(기본자료!$A$2:$A$1001,$AB273)))</f>
        <v/>
      </c>
      <c r="M273" s="15" t="n"/>
      <c r="N273" s="10">
        <f>IF($B273="","",IF(AND($U273="파견중",$Q273&lt;&gt;""),$Q273,IF(AND($AD273&lt;&gt;"",LEFT($AD273,1)&lt;&gt;"⚠"),LEFT($AD273,FIND(" ",$AD273)-1),IF($H273="","",IF(RIGHT($H273,2)="병원",$H273,$H273&amp;"병원")))))</f>
        <v/>
      </c>
      <c r="O273" s="10">
        <f>IF($B273="","",IF(AND($U273="파견중",$Q273&lt;&gt;""),IF($R273&lt;&gt;"",$R273,"파견과 미입력"),IF(AND($AD273&lt;&gt;"",LEFT($AD273,1)&lt;&gt;"⚠"),MID($AD273,FIND(" ",$AD273)+1,60),IF($F273="","",IF($F273="인턴","수련교육부(인턴)",$F273)))))</f>
        <v/>
      </c>
      <c r="P273" s="10">
        <f>IF($B273="","",IF($AK273&lt;&gt;"",IF(AND(TODAY()&gt;=INDEX(파견수련계획!$AB$4:$AB$83,$AK273),OR(NOT(ISNUMBER(INDEX(파견수련계획!$AC$4:$AC$83,$AK273))),TODAY()&lt;=INDEX(파견수련계획!$AC$4:$AC$83,$AK273))),"다기관",IF($AF273="","",INDEX(파견수련계획!$T$4:$T$83,$AF273))),IF($AF273="","",INDEX(파견수련계획!$T$4:$T$83,$AF273))))</f>
        <v/>
      </c>
      <c r="Q273" s="10">
        <f>IF($AF273="","",INDEX(파견수련계획!$S$4:$S$83,$AF273))</f>
        <v/>
      </c>
      <c r="R273" s="10">
        <f>IF($AF273="","",INDEX(파견수련계획!$U$4:$U$83,$AF273))</f>
        <v/>
      </c>
      <c r="S273" s="11">
        <f>IF($AF273="","",IF(INDEX(파견수련계획!$H$4:$H$83,$AF273)="","",INDEX(파견수련계획!$H$4:$H$83,$AF273)))</f>
        <v/>
      </c>
      <c r="T273" s="11">
        <f>IF($AF273="","",IF(INDEX(파견수련계획!$I$4:$I$83,$AF273)="","",INDEX(파견수련계획!$I$4:$I$83,$AF273)))</f>
        <v/>
      </c>
      <c r="U273" s="10">
        <f>IF($AF273="","",INDEX(파견수련계획!$X$4:$X$83,$AF273))</f>
        <v/>
      </c>
      <c r="V273" s="17">
        <f>IF($AF273="","",INDEX(파견수련계획!$V$4:$V$83,$AF273))</f>
        <v/>
      </c>
      <c r="W273" s="17">
        <f>IF(AND($U273="파견중",$T273&lt;&gt;""),$T273-TODAY(),"")</f>
        <v/>
      </c>
      <c r="X273" s="17">
        <f>IF(OR($B273="",TRIM($J273&amp;"")=""),"",SUMPRODUCT((파견수련계획!$Q$4:$Q$83=TRIM($J273&amp;""))*파견수련계획!$W$4:$W$83))</f>
        <v/>
      </c>
      <c r="Y273" s="10">
        <f>IF($B273="","",IF($AG273="","",IF(IF(TRIM($J273&amp;"")="",0,SUMPRODUCT((파견수련계획!$Q$4:$Q$83=TRIM($J273&amp;""))*파견수련계획!$AD$4:$AD$83))&gt;0,$AE273,IF(N($X273)&lt;=0,$AG273,IF($AH273+$AI273=DAY(EOMONTH(요약!$B$3,0)),IF(AND($AH273&gt;=요약!$E$3,$AI273&lt;요약!$E$3),"서울병원",IF(AND($AI273&gt;=요약!$E$3,$AH273&lt;요약!$E$3),"구리병원","⚠15일 판정불가(서울 "&amp;$AH273&amp;"일/구리 "&amp;$AI273&amp;"일)")),IF($AJ273="",$AE273,IF(INDEX(파견수련계획!$T$4:$T$83,$AJ273)="통합수련",INDEX(파견수련계획!$S$4:$S$83,$AJ273),$AE273)))))))</f>
        <v/>
      </c>
      <c r="Z273" s="19">
        <f>IF($B273="","",IF($AB273="","기본자료에 없는 사번",IF(COUNTIF($B$2:$B$401,$B273)&gt;1,"중복 사번",IF($AE273="","소속(입사장소) 입력",IF(IF(TRIM($J273&amp;"")="",0,SUMPRODUCT((파견수련계획!$Q$4:$Q$83=TRIM($J273&amp;""))*(파견수련계획!$AA$4:$AA$83&lt;&gt;"")))&gt;0,"파견수련계획 입력오류 확인",IF(LEFT($Y273,1)="⚠","서울·구리 15일 판정 불가(양쪽 모두 이상/미만)",IF(IF($AC273="",0,N(INDEX(인턴근무계획!$T$3:$T$62,$AC273)))&gt;0,"인턴계획 입력오류 확인",IF(AND($AC273&lt;&gt;"",$U273&lt;&gt;"파견중",$N273&lt;&gt;$AE273),"인턴 타지역 근무: 파견 여부 확인","정상"))))))))</f>
        <v/>
      </c>
      <c r="AA273" s="5" t="n"/>
      <c r="AB273" s="10">
        <f>IF($B273="","",IFERROR(MATCH($B273,기본자료!$B$2:$B$1001,0),IFERROR(MATCH($B273&amp;"",기본자료!$B$2:$B$1001,0),IFERROR(MATCH(VALUE($B273),기본자료!$B$2:$B$1001,0),""))))</f>
        <v/>
      </c>
      <c r="AC273" s="10">
        <f>IF($B273="","",IFERROR(MATCH($B273,인턴근무계획!$D$3:$D$62,0),IFERROR(MATCH($B273&amp;"",인턴근무계획!$D$3:$D$62,0),IFERROR(MATCH(VALUE($B273),인턴근무계획!$D$3:$D$62,0),""))))</f>
        <v/>
      </c>
      <c r="AD273" s="10">
        <f>IF(OR($AC273="",인턴현황!$G$3=""),"",INDEX(인턴근무계획!$M$3:$R$62,$AC273,인턴현황!$G$3)&amp;"")</f>
        <v/>
      </c>
      <c r="AE273" s="10">
        <f>IF($B273="","",IF($M273&lt;&gt;"",$M273,IF($AF273&lt;&gt;"",IF(LEFT(INDEX(파견수련계획!$R$4:$R$83,$AF273),1)&lt;&gt;"⚠",INDEX(파견수련계획!$R$4:$R$83,$AF273),IF($H273="","",IF(RIGHT($H273,2)="병원",$H273,$H273&amp;"병원"))),IF($H273="","",IF(RIGHT($H273,2)="병원",$H273,$H273&amp;"병원")))))</f>
        <v/>
      </c>
      <c r="AF273" s="10">
        <f>IF(OR($B273="",TRIM($J273&amp;"")=""),"",IFERROR(MATCH(TRIM($J273&amp;"")&amp;"|파견중",파견수련계획!$Y$4:$Y$83,0),IFERROR(MATCH(TRIM($J273&amp;"")&amp;"|파견예정",파견수련계획!$Y$4:$Y$83,0),IFERROR(MATCH(TRIM($J273&amp;"")&amp;"|파견종료",파견수련계획!$Y$4:$Y$83,0),""))))</f>
        <v/>
      </c>
      <c r="AG273" s="10">
        <f>IF($B273="","",IF(AND(IF(OR($AC273="",인턴현황!$K$2=""),"",INDEX(인턴근무계획!$M$3:$R$62,$AC273,인턴현황!$K$2)&amp;"")&lt;&gt;"",LEFT(IF(OR($AC273="",인턴현황!$K$2=""),"",INDEX(인턴근무계획!$M$3:$R$62,$AC273,인턴현황!$K$2)&amp;""),1)&lt;&gt;"⚠"),LEFT(IF(OR($AC273="",인턴현황!$K$2=""),"",INDEX(인턴근무계획!$M$3:$R$62,$AC273,인턴현황!$K$2)&amp;""),FIND(" ",IF(OR($AC273="",인턴현황!$K$2=""),"",INDEX(인턴근무계획!$M$3:$R$62,$AC273,인턴현황!$K$2)&amp;""))-1),$AE273))</f>
        <v/>
      </c>
      <c r="AH273" s="17">
        <f>IF($B273="","",IF(TRIM($J273&amp;"")="",0,SUMPRODUCT((파견수련계획!$Q$4:$Q$83=TRIM($J273&amp;""))*(파견수련계획!$S$4:$S$83="서울병원")*파견수련계획!$W$4:$W$83))+IF($AG273="서울병원",MAX(0,DAY(EOMONTH(요약!$B$3,0))-N($X273)),0))</f>
        <v/>
      </c>
      <c r="AI273" s="17">
        <f>IF($B273="","",IF(TRIM($J273&amp;"")="",0,SUMPRODUCT((파견수련계획!$Q$4:$Q$83=TRIM($J273&amp;""))*(파견수련계획!$S$4:$S$83="구리병원")*파견수련계획!$W$4:$W$83))+IF($AG273="구리병원",MAX(0,DAY(EOMONTH(요약!$B$3,0))-N($X273)),0))</f>
        <v/>
      </c>
      <c r="AJ273" s="10">
        <f>IF(OR($B273="",TRIM($J273&amp;"")=""),"",IFERROR(MATCH(TRIM($J273&amp;"")&amp;"|월",파견수련계획!$Z$4:$Z$83,0),""))</f>
        <v/>
      </c>
      <c r="AK273" s="10">
        <f>IF(OR($B273="",TRIM($J273&amp;"")=""),"",IFERROR(MATCH(TRIM($J273&amp;"")&amp;"|다기관",파견수련계획!$AE$4:$AE$83,0),""))</f>
        <v/>
      </c>
      <c r="AL273" s="10">
        <f>IF($AK273="","","다기관 "&amp;TEXT(INDEX(파견수련계획!$AB$4:$AB$83,$AK273),"yyyy-mm-dd")&amp;"~"&amp;IF(ISNUMBER(INDEX(파견수련계획!$AC$4:$AC$83,$AK273)),TEXT(INDEX(파견수련계획!$AC$4:$AC$83,$AK273),"yyyy-mm-dd"),""))</f>
        <v/>
      </c>
    </row>
    <row r="274">
      <c r="A274" s="10">
        <f>IF(B274="","",ROW()-1)</f>
        <v/>
      </c>
      <c r="B274" s="18" t="n"/>
      <c r="C274" s="10">
        <f>IF($AB274="","",IF(INDEX(기본자료!$C$2:$C$1001,$AB274)="","",INDEX(기본자료!$C$2:$C$1001,$AB274)))</f>
        <v/>
      </c>
      <c r="D274" s="10">
        <f>IF($AB274="","",IF(INDEX(기본자료!$J$2:$J$1001,$AB274)="","",INDEX(기본자료!$J$2:$J$1001,$AB274)))</f>
        <v/>
      </c>
      <c r="E274" s="11">
        <f>IF($AB274="","",IF(INDEX(기본자료!$K$2:$K$1001,$AB274)="","",IF(NOT(ISNUMBER(INDEX(기본자료!$K$2:$K$1001,$AB274))),INDEX(기본자료!$K$2:$K$1001,$AB274),IF(INDEX(기본자료!$K$2:$K$1001,$AB274)&lt;1000000,INDEX(기본자료!$K$2:$K$1001,$AB274),IF(AND(INDEX(기본자료!$K$2:$K$1001,$AB274)&gt;=10000101,INT(MOD(INDEX(기본자료!$K$2:$K$1001,$AB274),10000)/100)&gt;=1,INT(MOD(INDEX(기본자료!$K$2:$K$1001,$AB274),10000)/100)&lt;=12,MOD(INDEX(기본자료!$K$2:$K$1001,$AB274),100)&gt;=1,MOD(INDEX(기본자료!$K$2:$K$1001,$AB274),100)&lt;=31),DATE(INT(INDEX(기본자료!$K$2:$K$1001,$AB274)/10000),INT(MOD(INDEX(기본자료!$K$2:$K$1001,$AB274),10000)/100),MOD(INDEX(기본자료!$K$2:$K$1001,$AB274),100)),INDEX(기본자료!$K$2:$K$1001,$AB274)&amp;"")))))</f>
        <v/>
      </c>
      <c r="F274" s="10">
        <f>IF($AB274="","",IF(INDEX(기본자료!$D$2:$D$1001,$AB274)="","",INDEX(기본자료!$D$2:$D$1001,$AB274)))</f>
        <v/>
      </c>
      <c r="G274" s="10">
        <f>IF($AB274="","",IF(INDEX(기본자료!$E$2:$E$1001,$AB274)="","",INDEX(기본자료!$E$2:$E$1001,$AB274)))</f>
        <v/>
      </c>
      <c r="H274" s="10">
        <f>IF($AB274="","",IF(INDEX(기본자료!$F$2:$F$1001,$AB274)="","",INDEX(기본자료!$F$2:$F$1001,$AB274)))</f>
        <v/>
      </c>
      <c r="I274" s="11">
        <f>IF($AB274="","",IF(INDEX(기본자료!$G$2:$G$1001,$AB274)="","",IF(NOT(ISNUMBER(INDEX(기본자료!$G$2:$G$1001,$AB274))),INDEX(기본자료!$G$2:$G$1001,$AB274),IF(INDEX(기본자료!$G$2:$G$1001,$AB274)&lt;1000000,INDEX(기본자료!$G$2:$G$1001,$AB274),IF(AND(INDEX(기본자료!$G$2:$G$1001,$AB274)&gt;=10000101,INT(MOD(INDEX(기본자료!$G$2:$G$1001,$AB274),10000)/100)&gt;=1,INT(MOD(INDEX(기본자료!$G$2:$G$1001,$AB274),10000)/100)&lt;=12,MOD(INDEX(기본자료!$G$2:$G$1001,$AB274),100)&gt;=1,MOD(INDEX(기본자료!$G$2:$G$1001,$AB274),100)&lt;=31),DATE(INT(INDEX(기본자료!$G$2:$G$1001,$AB274)/10000),INT(MOD(INDEX(기본자료!$G$2:$G$1001,$AB274),10000)/100),MOD(INDEX(기본자료!$G$2:$G$1001,$AB274),100)),INDEX(기본자료!$G$2:$G$1001,$AB274)&amp;"")))))</f>
        <v/>
      </c>
      <c r="J274" s="10">
        <f>IF($AB274="","",IF(INDEX(기본자료!$H$2:$H$1001,$AB274)="","",INDEX(기본자료!$H$2:$H$1001,$AB274)))</f>
        <v/>
      </c>
      <c r="K274" s="10">
        <f>IF($AB274="","",IF(INDEX(기본자료!$I$2:$I$1001,$AB274)="","",INDEX(기본자료!$I$2:$I$1001,$AB274)))</f>
        <v/>
      </c>
      <c r="L274" s="10">
        <f>IF($AB274="","",IF(INDEX(기본자료!$A$2:$A$1001,$AB274)="","",INDEX(기본자료!$A$2:$A$1001,$AB274)))</f>
        <v/>
      </c>
      <c r="M274" s="15" t="n"/>
      <c r="N274" s="10">
        <f>IF($B274="","",IF(AND($U274="파견중",$Q274&lt;&gt;""),$Q274,IF(AND($AD274&lt;&gt;"",LEFT($AD274,1)&lt;&gt;"⚠"),LEFT($AD274,FIND(" ",$AD274)-1),IF($H274="","",IF(RIGHT($H274,2)="병원",$H274,$H274&amp;"병원")))))</f>
        <v/>
      </c>
      <c r="O274" s="10">
        <f>IF($B274="","",IF(AND($U274="파견중",$Q274&lt;&gt;""),IF($R274&lt;&gt;"",$R274,"파견과 미입력"),IF(AND($AD274&lt;&gt;"",LEFT($AD274,1)&lt;&gt;"⚠"),MID($AD274,FIND(" ",$AD274)+1,60),IF($F274="","",IF($F274="인턴","수련교육부(인턴)",$F274)))))</f>
        <v/>
      </c>
      <c r="P274" s="10">
        <f>IF($B274="","",IF($AK274&lt;&gt;"",IF(AND(TODAY()&gt;=INDEX(파견수련계획!$AB$4:$AB$83,$AK274),OR(NOT(ISNUMBER(INDEX(파견수련계획!$AC$4:$AC$83,$AK274))),TODAY()&lt;=INDEX(파견수련계획!$AC$4:$AC$83,$AK274))),"다기관",IF($AF274="","",INDEX(파견수련계획!$T$4:$T$83,$AF274))),IF($AF274="","",INDEX(파견수련계획!$T$4:$T$83,$AF274))))</f>
        <v/>
      </c>
      <c r="Q274" s="10">
        <f>IF($AF274="","",INDEX(파견수련계획!$S$4:$S$83,$AF274))</f>
        <v/>
      </c>
      <c r="R274" s="10">
        <f>IF($AF274="","",INDEX(파견수련계획!$U$4:$U$83,$AF274))</f>
        <v/>
      </c>
      <c r="S274" s="11">
        <f>IF($AF274="","",IF(INDEX(파견수련계획!$H$4:$H$83,$AF274)="","",INDEX(파견수련계획!$H$4:$H$83,$AF274)))</f>
        <v/>
      </c>
      <c r="T274" s="11">
        <f>IF($AF274="","",IF(INDEX(파견수련계획!$I$4:$I$83,$AF274)="","",INDEX(파견수련계획!$I$4:$I$83,$AF274)))</f>
        <v/>
      </c>
      <c r="U274" s="10">
        <f>IF($AF274="","",INDEX(파견수련계획!$X$4:$X$83,$AF274))</f>
        <v/>
      </c>
      <c r="V274" s="17">
        <f>IF($AF274="","",INDEX(파견수련계획!$V$4:$V$83,$AF274))</f>
        <v/>
      </c>
      <c r="W274" s="17">
        <f>IF(AND($U274="파견중",$T274&lt;&gt;""),$T274-TODAY(),"")</f>
        <v/>
      </c>
      <c r="X274" s="17">
        <f>IF(OR($B274="",TRIM($J274&amp;"")=""),"",SUMPRODUCT((파견수련계획!$Q$4:$Q$83=TRIM($J274&amp;""))*파견수련계획!$W$4:$W$83))</f>
        <v/>
      </c>
      <c r="Y274" s="10">
        <f>IF($B274="","",IF($AG274="","",IF(IF(TRIM($J274&amp;"")="",0,SUMPRODUCT((파견수련계획!$Q$4:$Q$83=TRIM($J274&amp;""))*파견수련계획!$AD$4:$AD$83))&gt;0,$AE274,IF(N($X274)&lt;=0,$AG274,IF($AH274+$AI274=DAY(EOMONTH(요약!$B$3,0)),IF(AND($AH274&gt;=요약!$E$3,$AI274&lt;요약!$E$3),"서울병원",IF(AND($AI274&gt;=요약!$E$3,$AH274&lt;요약!$E$3),"구리병원","⚠15일 판정불가(서울 "&amp;$AH274&amp;"일/구리 "&amp;$AI274&amp;"일)")),IF($AJ274="",$AE274,IF(INDEX(파견수련계획!$T$4:$T$83,$AJ274)="통합수련",INDEX(파견수련계획!$S$4:$S$83,$AJ274),$AE274)))))))</f>
        <v/>
      </c>
      <c r="Z274" s="19">
        <f>IF($B274="","",IF($AB274="","기본자료에 없는 사번",IF(COUNTIF($B$2:$B$401,$B274)&gt;1,"중복 사번",IF($AE274="","소속(입사장소) 입력",IF(IF(TRIM($J274&amp;"")="",0,SUMPRODUCT((파견수련계획!$Q$4:$Q$83=TRIM($J274&amp;""))*(파견수련계획!$AA$4:$AA$83&lt;&gt;"")))&gt;0,"파견수련계획 입력오류 확인",IF(LEFT($Y274,1)="⚠","서울·구리 15일 판정 불가(양쪽 모두 이상/미만)",IF(IF($AC274="",0,N(INDEX(인턴근무계획!$T$3:$T$62,$AC274)))&gt;0,"인턴계획 입력오류 확인",IF(AND($AC274&lt;&gt;"",$U274&lt;&gt;"파견중",$N274&lt;&gt;$AE274),"인턴 타지역 근무: 파견 여부 확인","정상"))))))))</f>
        <v/>
      </c>
      <c r="AA274" s="5" t="n"/>
      <c r="AB274" s="10">
        <f>IF($B274="","",IFERROR(MATCH($B274,기본자료!$B$2:$B$1001,0),IFERROR(MATCH($B274&amp;"",기본자료!$B$2:$B$1001,0),IFERROR(MATCH(VALUE($B274),기본자료!$B$2:$B$1001,0),""))))</f>
        <v/>
      </c>
      <c r="AC274" s="10">
        <f>IF($B274="","",IFERROR(MATCH($B274,인턴근무계획!$D$3:$D$62,0),IFERROR(MATCH($B274&amp;"",인턴근무계획!$D$3:$D$62,0),IFERROR(MATCH(VALUE($B274),인턴근무계획!$D$3:$D$62,0),""))))</f>
        <v/>
      </c>
      <c r="AD274" s="10">
        <f>IF(OR($AC274="",인턴현황!$G$3=""),"",INDEX(인턴근무계획!$M$3:$R$62,$AC274,인턴현황!$G$3)&amp;"")</f>
        <v/>
      </c>
      <c r="AE274" s="10">
        <f>IF($B274="","",IF($M274&lt;&gt;"",$M274,IF($AF274&lt;&gt;"",IF(LEFT(INDEX(파견수련계획!$R$4:$R$83,$AF274),1)&lt;&gt;"⚠",INDEX(파견수련계획!$R$4:$R$83,$AF274),IF($H274="","",IF(RIGHT($H274,2)="병원",$H274,$H274&amp;"병원"))),IF($H274="","",IF(RIGHT($H274,2)="병원",$H274,$H274&amp;"병원")))))</f>
        <v/>
      </c>
      <c r="AF274" s="10">
        <f>IF(OR($B274="",TRIM($J274&amp;"")=""),"",IFERROR(MATCH(TRIM($J274&amp;"")&amp;"|파견중",파견수련계획!$Y$4:$Y$83,0),IFERROR(MATCH(TRIM($J274&amp;"")&amp;"|파견예정",파견수련계획!$Y$4:$Y$83,0),IFERROR(MATCH(TRIM($J274&amp;"")&amp;"|파견종료",파견수련계획!$Y$4:$Y$83,0),""))))</f>
        <v/>
      </c>
      <c r="AG274" s="10">
        <f>IF($B274="","",IF(AND(IF(OR($AC274="",인턴현황!$K$2=""),"",INDEX(인턴근무계획!$M$3:$R$62,$AC274,인턴현황!$K$2)&amp;"")&lt;&gt;"",LEFT(IF(OR($AC274="",인턴현황!$K$2=""),"",INDEX(인턴근무계획!$M$3:$R$62,$AC274,인턴현황!$K$2)&amp;""),1)&lt;&gt;"⚠"),LEFT(IF(OR($AC274="",인턴현황!$K$2=""),"",INDEX(인턴근무계획!$M$3:$R$62,$AC274,인턴현황!$K$2)&amp;""),FIND(" ",IF(OR($AC274="",인턴현황!$K$2=""),"",INDEX(인턴근무계획!$M$3:$R$62,$AC274,인턴현황!$K$2)&amp;""))-1),$AE274))</f>
        <v/>
      </c>
      <c r="AH274" s="17">
        <f>IF($B274="","",IF(TRIM($J274&amp;"")="",0,SUMPRODUCT((파견수련계획!$Q$4:$Q$83=TRIM($J274&amp;""))*(파견수련계획!$S$4:$S$83="서울병원")*파견수련계획!$W$4:$W$83))+IF($AG274="서울병원",MAX(0,DAY(EOMONTH(요약!$B$3,0))-N($X274)),0))</f>
        <v/>
      </c>
      <c r="AI274" s="17">
        <f>IF($B274="","",IF(TRIM($J274&amp;"")="",0,SUMPRODUCT((파견수련계획!$Q$4:$Q$83=TRIM($J274&amp;""))*(파견수련계획!$S$4:$S$83="구리병원")*파견수련계획!$W$4:$W$83))+IF($AG274="구리병원",MAX(0,DAY(EOMONTH(요약!$B$3,0))-N($X274)),0))</f>
        <v/>
      </c>
      <c r="AJ274" s="10">
        <f>IF(OR($B274="",TRIM($J274&amp;"")=""),"",IFERROR(MATCH(TRIM($J274&amp;"")&amp;"|월",파견수련계획!$Z$4:$Z$83,0),""))</f>
        <v/>
      </c>
      <c r="AK274" s="10">
        <f>IF(OR($B274="",TRIM($J274&amp;"")=""),"",IFERROR(MATCH(TRIM($J274&amp;"")&amp;"|다기관",파견수련계획!$AE$4:$AE$83,0),""))</f>
        <v/>
      </c>
      <c r="AL274" s="10">
        <f>IF($AK274="","","다기관 "&amp;TEXT(INDEX(파견수련계획!$AB$4:$AB$83,$AK274),"yyyy-mm-dd")&amp;"~"&amp;IF(ISNUMBER(INDEX(파견수련계획!$AC$4:$AC$83,$AK274)),TEXT(INDEX(파견수련계획!$AC$4:$AC$83,$AK274),"yyyy-mm-dd"),""))</f>
        <v/>
      </c>
    </row>
    <row r="275">
      <c r="A275" s="10">
        <f>IF(B275="","",ROW()-1)</f>
        <v/>
      </c>
      <c r="B275" s="18" t="n"/>
      <c r="C275" s="10">
        <f>IF($AB275="","",IF(INDEX(기본자료!$C$2:$C$1001,$AB275)="","",INDEX(기본자료!$C$2:$C$1001,$AB275)))</f>
        <v/>
      </c>
      <c r="D275" s="10">
        <f>IF($AB275="","",IF(INDEX(기본자료!$J$2:$J$1001,$AB275)="","",INDEX(기본자료!$J$2:$J$1001,$AB275)))</f>
        <v/>
      </c>
      <c r="E275" s="11">
        <f>IF($AB275="","",IF(INDEX(기본자료!$K$2:$K$1001,$AB275)="","",IF(NOT(ISNUMBER(INDEX(기본자료!$K$2:$K$1001,$AB275))),INDEX(기본자료!$K$2:$K$1001,$AB275),IF(INDEX(기본자료!$K$2:$K$1001,$AB275)&lt;1000000,INDEX(기본자료!$K$2:$K$1001,$AB275),IF(AND(INDEX(기본자료!$K$2:$K$1001,$AB275)&gt;=10000101,INT(MOD(INDEX(기본자료!$K$2:$K$1001,$AB275),10000)/100)&gt;=1,INT(MOD(INDEX(기본자료!$K$2:$K$1001,$AB275),10000)/100)&lt;=12,MOD(INDEX(기본자료!$K$2:$K$1001,$AB275),100)&gt;=1,MOD(INDEX(기본자료!$K$2:$K$1001,$AB275),100)&lt;=31),DATE(INT(INDEX(기본자료!$K$2:$K$1001,$AB275)/10000),INT(MOD(INDEX(기본자료!$K$2:$K$1001,$AB275),10000)/100),MOD(INDEX(기본자료!$K$2:$K$1001,$AB275),100)),INDEX(기본자료!$K$2:$K$1001,$AB275)&amp;"")))))</f>
        <v/>
      </c>
      <c r="F275" s="10">
        <f>IF($AB275="","",IF(INDEX(기본자료!$D$2:$D$1001,$AB275)="","",INDEX(기본자료!$D$2:$D$1001,$AB275)))</f>
        <v/>
      </c>
      <c r="G275" s="10">
        <f>IF($AB275="","",IF(INDEX(기본자료!$E$2:$E$1001,$AB275)="","",INDEX(기본자료!$E$2:$E$1001,$AB275)))</f>
        <v/>
      </c>
      <c r="H275" s="10">
        <f>IF($AB275="","",IF(INDEX(기본자료!$F$2:$F$1001,$AB275)="","",INDEX(기본자료!$F$2:$F$1001,$AB275)))</f>
        <v/>
      </c>
      <c r="I275" s="11">
        <f>IF($AB275="","",IF(INDEX(기본자료!$G$2:$G$1001,$AB275)="","",IF(NOT(ISNUMBER(INDEX(기본자료!$G$2:$G$1001,$AB275))),INDEX(기본자료!$G$2:$G$1001,$AB275),IF(INDEX(기본자료!$G$2:$G$1001,$AB275)&lt;1000000,INDEX(기본자료!$G$2:$G$1001,$AB275),IF(AND(INDEX(기본자료!$G$2:$G$1001,$AB275)&gt;=10000101,INT(MOD(INDEX(기본자료!$G$2:$G$1001,$AB275),10000)/100)&gt;=1,INT(MOD(INDEX(기본자료!$G$2:$G$1001,$AB275),10000)/100)&lt;=12,MOD(INDEX(기본자료!$G$2:$G$1001,$AB275),100)&gt;=1,MOD(INDEX(기본자료!$G$2:$G$1001,$AB275),100)&lt;=31),DATE(INT(INDEX(기본자료!$G$2:$G$1001,$AB275)/10000),INT(MOD(INDEX(기본자료!$G$2:$G$1001,$AB275),10000)/100),MOD(INDEX(기본자료!$G$2:$G$1001,$AB275),100)),INDEX(기본자료!$G$2:$G$1001,$AB275)&amp;"")))))</f>
        <v/>
      </c>
      <c r="J275" s="10">
        <f>IF($AB275="","",IF(INDEX(기본자료!$H$2:$H$1001,$AB275)="","",INDEX(기본자료!$H$2:$H$1001,$AB275)))</f>
        <v/>
      </c>
      <c r="K275" s="10">
        <f>IF($AB275="","",IF(INDEX(기본자료!$I$2:$I$1001,$AB275)="","",INDEX(기본자료!$I$2:$I$1001,$AB275)))</f>
        <v/>
      </c>
      <c r="L275" s="10">
        <f>IF($AB275="","",IF(INDEX(기본자료!$A$2:$A$1001,$AB275)="","",INDEX(기본자료!$A$2:$A$1001,$AB275)))</f>
        <v/>
      </c>
      <c r="M275" s="15" t="n"/>
      <c r="N275" s="10">
        <f>IF($B275="","",IF(AND($U275="파견중",$Q275&lt;&gt;""),$Q275,IF(AND($AD275&lt;&gt;"",LEFT($AD275,1)&lt;&gt;"⚠"),LEFT($AD275,FIND(" ",$AD275)-1),IF($H275="","",IF(RIGHT($H275,2)="병원",$H275,$H275&amp;"병원")))))</f>
        <v/>
      </c>
      <c r="O275" s="10">
        <f>IF($B275="","",IF(AND($U275="파견중",$Q275&lt;&gt;""),IF($R275&lt;&gt;"",$R275,"파견과 미입력"),IF(AND($AD275&lt;&gt;"",LEFT($AD275,1)&lt;&gt;"⚠"),MID($AD275,FIND(" ",$AD275)+1,60),IF($F275="","",IF($F275="인턴","수련교육부(인턴)",$F275)))))</f>
        <v/>
      </c>
      <c r="P275" s="10">
        <f>IF($B275="","",IF($AK275&lt;&gt;"",IF(AND(TODAY()&gt;=INDEX(파견수련계획!$AB$4:$AB$83,$AK275),OR(NOT(ISNUMBER(INDEX(파견수련계획!$AC$4:$AC$83,$AK275))),TODAY()&lt;=INDEX(파견수련계획!$AC$4:$AC$83,$AK275))),"다기관",IF($AF275="","",INDEX(파견수련계획!$T$4:$T$83,$AF275))),IF($AF275="","",INDEX(파견수련계획!$T$4:$T$83,$AF275))))</f>
        <v/>
      </c>
      <c r="Q275" s="10">
        <f>IF($AF275="","",INDEX(파견수련계획!$S$4:$S$83,$AF275))</f>
        <v/>
      </c>
      <c r="R275" s="10">
        <f>IF($AF275="","",INDEX(파견수련계획!$U$4:$U$83,$AF275))</f>
        <v/>
      </c>
      <c r="S275" s="11">
        <f>IF($AF275="","",IF(INDEX(파견수련계획!$H$4:$H$83,$AF275)="","",INDEX(파견수련계획!$H$4:$H$83,$AF275)))</f>
        <v/>
      </c>
      <c r="T275" s="11">
        <f>IF($AF275="","",IF(INDEX(파견수련계획!$I$4:$I$83,$AF275)="","",INDEX(파견수련계획!$I$4:$I$83,$AF275)))</f>
        <v/>
      </c>
      <c r="U275" s="10">
        <f>IF($AF275="","",INDEX(파견수련계획!$X$4:$X$83,$AF275))</f>
        <v/>
      </c>
      <c r="V275" s="17">
        <f>IF($AF275="","",INDEX(파견수련계획!$V$4:$V$83,$AF275))</f>
        <v/>
      </c>
      <c r="W275" s="17">
        <f>IF(AND($U275="파견중",$T275&lt;&gt;""),$T275-TODAY(),"")</f>
        <v/>
      </c>
      <c r="X275" s="17">
        <f>IF(OR($B275="",TRIM($J275&amp;"")=""),"",SUMPRODUCT((파견수련계획!$Q$4:$Q$83=TRIM($J275&amp;""))*파견수련계획!$W$4:$W$83))</f>
        <v/>
      </c>
      <c r="Y275" s="10">
        <f>IF($B275="","",IF($AG275="","",IF(IF(TRIM($J275&amp;"")="",0,SUMPRODUCT((파견수련계획!$Q$4:$Q$83=TRIM($J275&amp;""))*파견수련계획!$AD$4:$AD$83))&gt;0,$AE275,IF(N($X275)&lt;=0,$AG275,IF($AH275+$AI275=DAY(EOMONTH(요약!$B$3,0)),IF(AND($AH275&gt;=요약!$E$3,$AI275&lt;요약!$E$3),"서울병원",IF(AND($AI275&gt;=요약!$E$3,$AH275&lt;요약!$E$3),"구리병원","⚠15일 판정불가(서울 "&amp;$AH275&amp;"일/구리 "&amp;$AI275&amp;"일)")),IF($AJ275="",$AE275,IF(INDEX(파견수련계획!$T$4:$T$83,$AJ275)="통합수련",INDEX(파견수련계획!$S$4:$S$83,$AJ275),$AE275)))))))</f>
        <v/>
      </c>
      <c r="Z275" s="19">
        <f>IF($B275="","",IF($AB275="","기본자료에 없는 사번",IF(COUNTIF($B$2:$B$401,$B275)&gt;1,"중복 사번",IF($AE275="","소속(입사장소) 입력",IF(IF(TRIM($J275&amp;"")="",0,SUMPRODUCT((파견수련계획!$Q$4:$Q$83=TRIM($J275&amp;""))*(파견수련계획!$AA$4:$AA$83&lt;&gt;"")))&gt;0,"파견수련계획 입력오류 확인",IF(LEFT($Y275,1)="⚠","서울·구리 15일 판정 불가(양쪽 모두 이상/미만)",IF(IF($AC275="",0,N(INDEX(인턴근무계획!$T$3:$T$62,$AC275)))&gt;0,"인턴계획 입력오류 확인",IF(AND($AC275&lt;&gt;"",$U275&lt;&gt;"파견중",$N275&lt;&gt;$AE275),"인턴 타지역 근무: 파견 여부 확인","정상"))))))))</f>
        <v/>
      </c>
      <c r="AA275" s="5" t="n"/>
      <c r="AB275" s="10">
        <f>IF($B275="","",IFERROR(MATCH($B275,기본자료!$B$2:$B$1001,0),IFERROR(MATCH($B275&amp;"",기본자료!$B$2:$B$1001,0),IFERROR(MATCH(VALUE($B275),기본자료!$B$2:$B$1001,0),""))))</f>
        <v/>
      </c>
      <c r="AC275" s="10">
        <f>IF($B275="","",IFERROR(MATCH($B275,인턴근무계획!$D$3:$D$62,0),IFERROR(MATCH($B275&amp;"",인턴근무계획!$D$3:$D$62,0),IFERROR(MATCH(VALUE($B275),인턴근무계획!$D$3:$D$62,0),""))))</f>
        <v/>
      </c>
      <c r="AD275" s="10">
        <f>IF(OR($AC275="",인턴현황!$G$3=""),"",INDEX(인턴근무계획!$M$3:$R$62,$AC275,인턴현황!$G$3)&amp;"")</f>
        <v/>
      </c>
      <c r="AE275" s="10">
        <f>IF($B275="","",IF($M275&lt;&gt;"",$M275,IF($AF275&lt;&gt;"",IF(LEFT(INDEX(파견수련계획!$R$4:$R$83,$AF275),1)&lt;&gt;"⚠",INDEX(파견수련계획!$R$4:$R$83,$AF275),IF($H275="","",IF(RIGHT($H275,2)="병원",$H275,$H275&amp;"병원"))),IF($H275="","",IF(RIGHT($H275,2)="병원",$H275,$H275&amp;"병원")))))</f>
        <v/>
      </c>
      <c r="AF275" s="10">
        <f>IF(OR($B275="",TRIM($J275&amp;"")=""),"",IFERROR(MATCH(TRIM($J275&amp;"")&amp;"|파견중",파견수련계획!$Y$4:$Y$83,0),IFERROR(MATCH(TRIM($J275&amp;"")&amp;"|파견예정",파견수련계획!$Y$4:$Y$83,0),IFERROR(MATCH(TRIM($J275&amp;"")&amp;"|파견종료",파견수련계획!$Y$4:$Y$83,0),""))))</f>
        <v/>
      </c>
      <c r="AG275" s="10">
        <f>IF($B275="","",IF(AND(IF(OR($AC275="",인턴현황!$K$2=""),"",INDEX(인턴근무계획!$M$3:$R$62,$AC275,인턴현황!$K$2)&amp;"")&lt;&gt;"",LEFT(IF(OR($AC275="",인턴현황!$K$2=""),"",INDEX(인턴근무계획!$M$3:$R$62,$AC275,인턴현황!$K$2)&amp;""),1)&lt;&gt;"⚠"),LEFT(IF(OR($AC275="",인턴현황!$K$2=""),"",INDEX(인턴근무계획!$M$3:$R$62,$AC275,인턴현황!$K$2)&amp;""),FIND(" ",IF(OR($AC275="",인턴현황!$K$2=""),"",INDEX(인턴근무계획!$M$3:$R$62,$AC275,인턴현황!$K$2)&amp;""))-1),$AE275))</f>
        <v/>
      </c>
      <c r="AH275" s="17">
        <f>IF($B275="","",IF(TRIM($J275&amp;"")="",0,SUMPRODUCT((파견수련계획!$Q$4:$Q$83=TRIM($J275&amp;""))*(파견수련계획!$S$4:$S$83="서울병원")*파견수련계획!$W$4:$W$83))+IF($AG275="서울병원",MAX(0,DAY(EOMONTH(요약!$B$3,0))-N($X275)),0))</f>
        <v/>
      </c>
      <c r="AI275" s="17">
        <f>IF($B275="","",IF(TRIM($J275&amp;"")="",0,SUMPRODUCT((파견수련계획!$Q$4:$Q$83=TRIM($J275&amp;""))*(파견수련계획!$S$4:$S$83="구리병원")*파견수련계획!$W$4:$W$83))+IF($AG275="구리병원",MAX(0,DAY(EOMONTH(요약!$B$3,0))-N($X275)),0))</f>
        <v/>
      </c>
      <c r="AJ275" s="10">
        <f>IF(OR($B275="",TRIM($J275&amp;"")=""),"",IFERROR(MATCH(TRIM($J275&amp;"")&amp;"|월",파견수련계획!$Z$4:$Z$83,0),""))</f>
        <v/>
      </c>
      <c r="AK275" s="10">
        <f>IF(OR($B275="",TRIM($J275&amp;"")=""),"",IFERROR(MATCH(TRIM($J275&amp;"")&amp;"|다기관",파견수련계획!$AE$4:$AE$83,0),""))</f>
        <v/>
      </c>
      <c r="AL275" s="10">
        <f>IF($AK275="","","다기관 "&amp;TEXT(INDEX(파견수련계획!$AB$4:$AB$83,$AK275),"yyyy-mm-dd")&amp;"~"&amp;IF(ISNUMBER(INDEX(파견수련계획!$AC$4:$AC$83,$AK275)),TEXT(INDEX(파견수련계획!$AC$4:$AC$83,$AK275),"yyyy-mm-dd"),""))</f>
        <v/>
      </c>
    </row>
    <row r="276">
      <c r="A276" s="10">
        <f>IF(B276="","",ROW()-1)</f>
        <v/>
      </c>
      <c r="B276" s="18" t="n"/>
      <c r="C276" s="10">
        <f>IF($AB276="","",IF(INDEX(기본자료!$C$2:$C$1001,$AB276)="","",INDEX(기본자료!$C$2:$C$1001,$AB276)))</f>
        <v/>
      </c>
      <c r="D276" s="10">
        <f>IF($AB276="","",IF(INDEX(기본자료!$J$2:$J$1001,$AB276)="","",INDEX(기본자료!$J$2:$J$1001,$AB276)))</f>
        <v/>
      </c>
      <c r="E276" s="11">
        <f>IF($AB276="","",IF(INDEX(기본자료!$K$2:$K$1001,$AB276)="","",IF(NOT(ISNUMBER(INDEX(기본자료!$K$2:$K$1001,$AB276))),INDEX(기본자료!$K$2:$K$1001,$AB276),IF(INDEX(기본자료!$K$2:$K$1001,$AB276)&lt;1000000,INDEX(기본자료!$K$2:$K$1001,$AB276),IF(AND(INDEX(기본자료!$K$2:$K$1001,$AB276)&gt;=10000101,INT(MOD(INDEX(기본자료!$K$2:$K$1001,$AB276),10000)/100)&gt;=1,INT(MOD(INDEX(기본자료!$K$2:$K$1001,$AB276),10000)/100)&lt;=12,MOD(INDEX(기본자료!$K$2:$K$1001,$AB276),100)&gt;=1,MOD(INDEX(기본자료!$K$2:$K$1001,$AB276),100)&lt;=31),DATE(INT(INDEX(기본자료!$K$2:$K$1001,$AB276)/10000),INT(MOD(INDEX(기본자료!$K$2:$K$1001,$AB276),10000)/100),MOD(INDEX(기본자료!$K$2:$K$1001,$AB276),100)),INDEX(기본자료!$K$2:$K$1001,$AB276)&amp;"")))))</f>
        <v/>
      </c>
      <c r="F276" s="10">
        <f>IF($AB276="","",IF(INDEX(기본자료!$D$2:$D$1001,$AB276)="","",INDEX(기본자료!$D$2:$D$1001,$AB276)))</f>
        <v/>
      </c>
      <c r="G276" s="10">
        <f>IF($AB276="","",IF(INDEX(기본자료!$E$2:$E$1001,$AB276)="","",INDEX(기본자료!$E$2:$E$1001,$AB276)))</f>
        <v/>
      </c>
      <c r="H276" s="10">
        <f>IF($AB276="","",IF(INDEX(기본자료!$F$2:$F$1001,$AB276)="","",INDEX(기본자료!$F$2:$F$1001,$AB276)))</f>
        <v/>
      </c>
      <c r="I276" s="11">
        <f>IF($AB276="","",IF(INDEX(기본자료!$G$2:$G$1001,$AB276)="","",IF(NOT(ISNUMBER(INDEX(기본자료!$G$2:$G$1001,$AB276))),INDEX(기본자료!$G$2:$G$1001,$AB276),IF(INDEX(기본자료!$G$2:$G$1001,$AB276)&lt;1000000,INDEX(기본자료!$G$2:$G$1001,$AB276),IF(AND(INDEX(기본자료!$G$2:$G$1001,$AB276)&gt;=10000101,INT(MOD(INDEX(기본자료!$G$2:$G$1001,$AB276),10000)/100)&gt;=1,INT(MOD(INDEX(기본자료!$G$2:$G$1001,$AB276),10000)/100)&lt;=12,MOD(INDEX(기본자료!$G$2:$G$1001,$AB276),100)&gt;=1,MOD(INDEX(기본자료!$G$2:$G$1001,$AB276),100)&lt;=31),DATE(INT(INDEX(기본자료!$G$2:$G$1001,$AB276)/10000),INT(MOD(INDEX(기본자료!$G$2:$G$1001,$AB276),10000)/100),MOD(INDEX(기본자료!$G$2:$G$1001,$AB276),100)),INDEX(기본자료!$G$2:$G$1001,$AB276)&amp;"")))))</f>
        <v/>
      </c>
      <c r="J276" s="10">
        <f>IF($AB276="","",IF(INDEX(기본자료!$H$2:$H$1001,$AB276)="","",INDEX(기본자료!$H$2:$H$1001,$AB276)))</f>
        <v/>
      </c>
      <c r="K276" s="10">
        <f>IF($AB276="","",IF(INDEX(기본자료!$I$2:$I$1001,$AB276)="","",INDEX(기본자료!$I$2:$I$1001,$AB276)))</f>
        <v/>
      </c>
      <c r="L276" s="10">
        <f>IF($AB276="","",IF(INDEX(기본자료!$A$2:$A$1001,$AB276)="","",INDEX(기본자료!$A$2:$A$1001,$AB276)))</f>
        <v/>
      </c>
      <c r="M276" s="15" t="n"/>
      <c r="N276" s="10">
        <f>IF($B276="","",IF(AND($U276="파견중",$Q276&lt;&gt;""),$Q276,IF(AND($AD276&lt;&gt;"",LEFT($AD276,1)&lt;&gt;"⚠"),LEFT($AD276,FIND(" ",$AD276)-1),IF($H276="","",IF(RIGHT($H276,2)="병원",$H276,$H276&amp;"병원")))))</f>
        <v/>
      </c>
      <c r="O276" s="10">
        <f>IF($B276="","",IF(AND($U276="파견중",$Q276&lt;&gt;""),IF($R276&lt;&gt;"",$R276,"파견과 미입력"),IF(AND($AD276&lt;&gt;"",LEFT($AD276,1)&lt;&gt;"⚠"),MID($AD276,FIND(" ",$AD276)+1,60),IF($F276="","",IF($F276="인턴","수련교육부(인턴)",$F276)))))</f>
        <v/>
      </c>
      <c r="P276" s="10">
        <f>IF($B276="","",IF($AK276&lt;&gt;"",IF(AND(TODAY()&gt;=INDEX(파견수련계획!$AB$4:$AB$83,$AK276),OR(NOT(ISNUMBER(INDEX(파견수련계획!$AC$4:$AC$83,$AK276))),TODAY()&lt;=INDEX(파견수련계획!$AC$4:$AC$83,$AK276))),"다기관",IF($AF276="","",INDEX(파견수련계획!$T$4:$T$83,$AF276))),IF($AF276="","",INDEX(파견수련계획!$T$4:$T$83,$AF276))))</f>
        <v/>
      </c>
      <c r="Q276" s="10">
        <f>IF($AF276="","",INDEX(파견수련계획!$S$4:$S$83,$AF276))</f>
        <v/>
      </c>
      <c r="R276" s="10">
        <f>IF($AF276="","",INDEX(파견수련계획!$U$4:$U$83,$AF276))</f>
        <v/>
      </c>
      <c r="S276" s="11">
        <f>IF($AF276="","",IF(INDEX(파견수련계획!$H$4:$H$83,$AF276)="","",INDEX(파견수련계획!$H$4:$H$83,$AF276)))</f>
        <v/>
      </c>
      <c r="T276" s="11">
        <f>IF($AF276="","",IF(INDEX(파견수련계획!$I$4:$I$83,$AF276)="","",INDEX(파견수련계획!$I$4:$I$83,$AF276)))</f>
        <v/>
      </c>
      <c r="U276" s="10">
        <f>IF($AF276="","",INDEX(파견수련계획!$X$4:$X$83,$AF276))</f>
        <v/>
      </c>
      <c r="V276" s="17">
        <f>IF($AF276="","",INDEX(파견수련계획!$V$4:$V$83,$AF276))</f>
        <v/>
      </c>
      <c r="W276" s="17">
        <f>IF(AND($U276="파견중",$T276&lt;&gt;""),$T276-TODAY(),"")</f>
        <v/>
      </c>
      <c r="X276" s="17">
        <f>IF(OR($B276="",TRIM($J276&amp;"")=""),"",SUMPRODUCT((파견수련계획!$Q$4:$Q$83=TRIM($J276&amp;""))*파견수련계획!$W$4:$W$83))</f>
        <v/>
      </c>
      <c r="Y276" s="10">
        <f>IF($B276="","",IF($AG276="","",IF(IF(TRIM($J276&amp;"")="",0,SUMPRODUCT((파견수련계획!$Q$4:$Q$83=TRIM($J276&amp;""))*파견수련계획!$AD$4:$AD$83))&gt;0,$AE276,IF(N($X276)&lt;=0,$AG276,IF($AH276+$AI276=DAY(EOMONTH(요약!$B$3,0)),IF(AND($AH276&gt;=요약!$E$3,$AI276&lt;요약!$E$3),"서울병원",IF(AND($AI276&gt;=요약!$E$3,$AH276&lt;요약!$E$3),"구리병원","⚠15일 판정불가(서울 "&amp;$AH276&amp;"일/구리 "&amp;$AI276&amp;"일)")),IF($AJ276="",$AE276,IF(INDEX(파견수련계획!$T$4:$T$83,$AJ276)="통합수련",INDEX(파견수련계획!$S$4:$S$83,$AJ276),$AE276)))))))</f>
        <v/>
      </c>
      <c r="Z276" s="19">
        <f>IF($B276="","",IF($AB276="","기본자료에 없는 사번",IF(COUNTIF($B$2:$B$401,$B276)&gt;1,"중복 사번",IF($AE276="","소속(입사장소) 입력",IF(IF(TRIM($J276&amp;"")="",0,SUMPRODUCT((파견수련계획!$Q$4:$Q$83=TRIM($J276&amp;""))*(파견수련계획!$AA$4:$AA$83&lt;&gt;"")))&gt;0,"파견수련계획 입력오류 확인",IF(LEFT($Y276,1)="⚠","서울·구리 15일 판정 불가(양쪽 모두 이상/미만)",IF(IF($AC276="",0,N(INDEX(인턴근무계획!$T$3:$T$62,$AC276)))&gt;0,"인턴계획 입력오류 확인",IF(AND($AC276&lt;&gt;"",$U276&lt;&gt;"파견중",$N276&lt;&gt;$AE276),"인턴 타지역 근무: 파견 여부 확인","정상"))))))))</f>
        <v/>
      </c>
      <c r="AA276" s="5" t="n"/>
      <c r="AB276" s="10">
        <f>IF($B276="","",IFERROR(MATCH($B276,기본자료!$B$2:$B$1001,0),IFERROR(MATCH($B276&amp;"",기본자료!$B$2:$B$1001,0),IFERROR(MATCH(VALUE($B276),기본자료!$B$2:$B$1001,0),""))))</f>
        <v/>
      </c>
      <c r="AC276" s="10">
        <f>IF($B276="","",IFERROR(MATCH($B276,인턴근무계획!$D$3:$D$62,0),IFERROR(MATCH($B276&amp;"",인턴근무계획!$D$3:$D$62,0),IFERROR(MATCH(VALUE($B276),인턴근무계획!$D$3:$D$62,0),""))))</f>
        <v/>
      </c>
      <c r="AD276" s="10">
        <f>IF(OR($AC276="",인턴현황!$G$3=""),"",INDEX(인턴근무계획!$M$3:$R$62,$AC276,인턴현황!$G$3)&amp;"")</f>
        <v/>
      </c>
      <c r="AE276" s="10">
        <f>IF($B276="","",IF($M276&lt;&gt;"",$M276,IF($AF276&lt;&gt;"",IF(LEFT(INDEX(파견수련계획!$R$4:$R$83,$AF276),1)&lt;&gt;"⚠",INDEX(파견수련계획!$R$4:$R$83,$AF276),IF($H276="","",IF(RIGHT($H276,2)="병원",$H276,$H276&amp;"병원"))),IF($H276="","",IF(RIGHT($H276,2)="병원",$H276,$H276&amp;"병원")))))</f>
        <v/>
      </c>
      <c r="AF276" s="10">
        <f>IF(OR($B276="",TRIM($J276&amp;"")=""),"",IFERROR(MATCH(TRIM($J276&amp;"")&amp;"|파견중",파견수련계획!$Y$4:$Y$83,0),IFERROR(MATCH(TRIM($J276&amp;"")&amp;"|파견예정",파견수련계획!$Y$4:$Y$83,0),IFERROR(MATCH(TRIM($J276&amp;"")&amp;"|파견종료",파견수련계획!$Y$4:$Y$83,0),""))))</f>
        <v/>
      </c>
      <c r="AG276" s="10">
        <f>IF($B276="","",IF(AND(IF(OR($AC276="",인턴현황!$K$2=""),"",INDEX(인턴근무계획!$M$3:$R$62,$AC276,인턴현황!$K$2)&amp;"")&lt;&gt;"",LEFT(IF(OR($AC276="",인턴현황!$K$2=""),"",INDEX(인턴근무계획!$M$3:$R$62,$AC276,인턴현황!$K$2)&amp;""),1)&lt;&gt;"⚠"),LEFT(IF(OR($AC276="",인턴현황!$K$2=""),"",INDEX(인턴근무계획!$M$3:$R$62,$AC276,인턴현황!$K$2)&amp;""),FIND(" ",IF(OR($AC276="",인턴현황!$K$2=""),"",INDEX(인턴근무계획!$M$3:$R$62,$AC276,인턴현황!$K$2)&amp;""))-1),$AE276))</f>
        <v/>
      </c>
      <c r="AH276" s="17">
        <f>IF($B276="","",IF(TRIM($J276&amp;"")="",0,SUMPRODUCT((파견수련계획!$Q$4:$Q$83=TRIM($J276&amp;""))*(파견수련계획!$S$4:$S$83="서울병원")*파견수련계획!$W$4:$W$83))+IF($AG276="서울병원",MAX(0,DAY(EOMONTH(요약!$B$3,0))-N($X276)),0))</f>
        <v/>
      </c>
      <c r="AI276" s="17">
        <f>IF($B276="","",IF(TRIM($J276&amp;"")="",0,SUMPRODUCT((파견수련계획!$Q$4:$Q$83=TRIM($J276&amp;""))*(파견수련계획!$S$4:$S$83="구리병원")*파견수련계획!$W$4:$W$83))+IF($AG276="구리병원",MAX(0,DAY(EOMONTH(요약!$B$3,0))-N($X276)),0))</f>
        <v/>
      </c>
      <c r="AJ276" s="10">
        <f>IF(OR($B276="",TRIM($J276&amp;"")=""),"",IFERROR(MATCH(TRIM($J276&amp;"")&amp;"|월",파견수련계획!$Z$4:$Z$83,0),""))</f>
        <v/>
      </c>
      <c r="AK276" s="10">
        <f>IF(OR($B276="",TRIM($J276&amp;"")=""),"",IFERROR(MATCH(TRIM($J276&amp;"")&amp;"|다기관",파견수련계획!$AE$4:$AE$83,0),""))</f>
        <v/>
      </c>
      <c r="AL276" s="10">
        <f>IF($AK276="","","다기관 "&amp;TEXT(INDEX(파견수련계획!$AB$4:$AB$83,$AK276),"yyyy-mm-dd")&amp;"~"&amp;IF(ISNUMBER(INDEX(파견수련계획!$AC$4:$AC$83,$AK276)),TEXT(INDEX(파견수련계획!$AC$4:$AC$83,$AK276),"yyyy-mm-dd"),""))</f>
        <v/>
      </c>
    </row>
    <row r="277">
      <c r="A277" s="10">
        <f>IF(B277="","",ROW()-1)</f>
        <v/>
      </c>
      <c r="B277" s="18" t="n"/>
      <c r="C277" s="10">
        <f>IF($AB277="","",IF(INDEX(기본자료!$C$2:$C$1001,$AB277)="","",INDEX(기본자료!$C$2:$C$1001,$AB277)))</f>
        <v/>
      </c>
      <c r="D277" s="10">
        <f>IF($AB277="","",IF(INDEX(기본자료!$J$2:$J$1001,$AB277)="","",INDEX(기본자료!$J$2:$J$1001,$AB277)))</f>
        <v/>
      </c>
      <c r="E277" s="11">
        <f>IF($AB277="","",IF(INDEX(기본자료!$K$2:$K$1001,$AB277)="","",IF(NOT(ISNUMBER(INDEX(기본자료!$K$2:$K$1001,$AB277))),INDEX(기본자료!$K$2:$K$1001,$AB277),IF(INDEX(기본자료!$K$2:$K$1001,$AB277)&lt;1000000,INDEX(기본자료!$K$2:$K$1001,$AB277),IF(AND(INDEX(기본자료!$K$2:$K$1001,$AB277)&gt;=10000101,INT(MOD(INDEX(기본자료!$K$2:$K$1001,$AB277),10000)/100)&gt;=1,INT(MOD(INDEX(기본자료!$K$2:$K$1001,$AB277),10000)/100)&lt;=12,MOD(INDEX(기본자료!$K$2:$K$1001,$AB277),100)&gt;=1,MOD(INDEX(기본자료!$K$2:$K$1001,$AB277),100)&lt;=31),DATE(INT(INDEX(기본자료!$K$2:$K$1001,$AB277)/10000),INT(MOD(INDEX(기본자료!$K$2:$K$1001,$AB277),10000)/100),MOD(INDEX(기본자료!$K$2:$K$1001,$AB277),100)),INDEX(기본자료!$K$2:$K$1001,$AB277)&amp;"")))))</f>
        <v/>
      </c>
      <c r="F277" s="10">
        <f>IF($AB277="","",IF(INDEX(기본자료!$D$2:$D$1001,$AB277)="","",INDEX(기본자료!$D$2:$D$1001,$AB277)))</f>
        <v/>
      </c>
      <c r="G277" s="10">
        <f>IF($AB277="","",IF(INDEX(기본자료!$E$2:$E$1001,$AB277)="","",INDEX(기본자료!$E$2:$E$1001,$AB277)))</f>
        <v/>
      </c>
      <c r="H277" s="10">
        <f>IF($AB277="","",IF(INDEX(기본자료!$F$2:$F$1001,$AB277)="","",INDEX(기본자료!$F$2:$F$1001,$AB277)))</f>
        <v/>
      </c>
      <c r="I277" s="11">
        <f>IF($AB277="","",IF(INDEX(기본자료!$G$2:$G$1001,$AB277)="","",IF(NOT(ISNUMBER(INDEX(기본자료!$G$2:$G$1001,$AB277))),INDEX(기본자료!$G$2:$G$1001,$AB277),IF(INDEX(기본자료!$G$2:$G$1001,$AB277)&lt;1000000,INDEX(기본자료!$G$2:$G$1001,$AB277),IF(AND(INDEX(기본자료!$G$2:$G$1001,$AB277)&gt;=10000101,INT(MOD(INDEX(기본자료!$G$2:$G$1001,$AB277),10000)/100)&gt;=1,INT(MOD(INDEX(기본자료!$G$2:$G$1001,$AB277),10000)/100)&lt;=12,MOD(INDEX(기본자료!$G$2:$G$1001,$AB277),100)&gt;=1,MOD(INDEX(기본자료!$G$2:$G$1001,$AB277),100)&lt;=31),DATE(INT(INDEX(기본자료!$G$2:$G$1001,$AB277)/10000),INT(MOD(INDEX(기본자료!$G$2:$G$1001,$AB277),10000)/100),MOD(INDEX(기본자료!$G$2:$G$1001,$AB277),100)),INDEX(기본자료!$G$2:$G$1001,$AB277)&amp;"")))))</f>
        <v/>
      </c>
      <c r="J277" s="10">
        <f>IF($AB277="","",IF(INDEX(기본자료!$H$2:$H$1001,$AB277)="","",INDEX(기본자료!$H$2:$H$1001,$AB277)))</f>
        <v/>
      </c>
      <c r="K277" s="10">
        <f>IF($AB277="","",IF(INDEX(기본자료!$I$2:$I$1001,$AB277)="","",INDEX(기본자료!$I$2:$I$1001,$AB277)))</f>
        <v/>
      </c>
      <c r="L277" s="10">
        <f>IF($AB277="","",IF(INDEX(기본자료!$A$2:$A$1001,$AB277)="","",INDEX(기본자료!$A$2:$A$1001,$AB277)))</f>
        <v/>
      </c>
      <c r="M277" s="15" t="n"/>
      <c r="N277" s="10">
        <f>IF($B277="","",IF(AND($U277="파견중",$Q277&lt;&gt;""),$Q277,IF(AND($AD277&lt;&gt;"",LEFT($AD277,1)&lt;&gt;"⚠"),LEFT($AD277,FIND(" ",$AD277)-1),IF($H277="","",IF(RIGHT($H277,2)="병원",$H277,$H277&amp;"병원")))))</f>
        <v/>
      </c>
      <c r="O277" s="10">
        <f>IF($B277="","",IF(AND($U277="파견중",$Q277&lt;&gt;""),IF($R277&lt;&gt;"",$R277,"파견과 미입력"),IF(AND($AD277&lt;&gt;"",LEFT($AD277,1)&lt;&gt;"⚠"),MID($AD277,FIND(" ",$AD277)+1,60),IF($F277="","",IF($F277="인턴","수련교육부(인턴)",$F277)))))</f>
        <v/>
      </c>
      <c r="P277" s="10">
        <f>IF($B277="","",IF($AK277&lt;&gt;"",IF(AND(TODAY()&gt;=INDEX(파견수련계획!$AB$4:$AB$83,$AK277),OR(NOT(ISNUMBER(INDEX(파견수련계획!$AC$4:$AC$83,$AK277))),TODAY()&lt;=INDEX(파견수련계획!$AC$4:$AC$83,$AK277))),"다기관",IF($AF277="","",INDEX(파견수련계획!$T$4:$T$83,$AF277))),IF($AF277="","",INDEX(파견수련계획!$T$4:$T$83,$AF277))))</f>
        <v/>
      </c>
      <c r="Q277" s="10">
        <f>IF($AF277="","",INDEX(파견수련계획!$S$4:$S$83,$AF277))</f>
        <v/>
      </c>
      <c r="R277" s="10">
        <f>IF($AF277="","",INDEX(파견수련계획!$U$4:$U$83,$AF277))</f>
        <v/>
      </c>
      <c r="S277" s="11">
        <f>IF($AF277="","",IF(INDEX(파견수련계획!$H$4:$H$83,$AF277)="","",INDEX(파견수련계획!$H$4:$H$83,$AF277)))</f>
        <v/>
      </c>
      <c r="T277" s="11">
        <f>IF($AF277="","",IF(INDEX(파견수련계획!$I$4:$I$83,$AF277)="","",INDEX(파견수련계획!$I$4:$I$83,$AF277)))</f>
        <v/>
      </c>
      <c r="U277" s="10">
        <f>IF($AF277="","",INDEX(파견수련계획!$X$4:$X$83,$AF277))</f>
        <v/>
      </c>
      <c r="V277" s="17">
        <f>IF($AF277="","",INDEX(파견수련계획!$V$4:$V$83,$AF277))</f>
        <v/>
      </c>
      <c r="W277" s="17">
        <f>IF(AND($U277="파견중",$T277&lt;&gt;""),$T277-TODAY(),"")</f>
        <v/>
      </c>
      <c r="X277" s="17">
        <f>IF(OR($B277="",TRIM($J277&amp;"")=""),"",SUMPRODUCT((파견수련계획!$Q$4:$Q$83=TRIM($J277&amp;""))*파견수련계획!$W$4:$W$83))</f>
        <v/>
      </c>
      <c r="Y277" s="10">
        <f>IF($B277="","",IF($AG277="","",IF(IF(TRIM($J277&amp;"")="",0,SUMPRODUCT((파견수련계획!$Q$4:$Q$83=TRIM($J277&amp;""))*파견수련계획!$AD$4:$AD$83))&gt;0,$AE277,IF(N($X277)&lt;=0,$AG277,IF($AH277+$AI277=DAY(EOMONTH(요약!$B$3,0)),IF(AND($AH277&gt;=요약!$E$3,$AI277&lt;요약!$E$3),"서울병원",IF(AND($AI277&gt;=요약!$E$3,$AH277&lt;요약!$E$3),"구리병원","⚠15일 판정불가(서울 "&amp;$AH277&amp;"일/구리 "&amp;$AI277&amp;"일)")),IF($AJ277="",$AE277,IF(INDEX(파견수련계획!$T$4:$T$83,$AJ277)="통합수련",INDEX(파견수련계획!$S$4:$S$83,$AJ277),$AE277)))))))</f>
        <v/>
      </c>
      <c r="Z277" s="19">
        <f>IF($B277="","",IF($AB277="","기본자료에 없는 사번",IF(COUNTIF($B$2:$B$401,$B277)&gt;1,"중복 사번",IF($AE277="","소속(입사장소) 입력",IF(IF(TRIM($J277&amp;"")="",0,SUMPRODUCT((파견수련계획!$Q$4:$Q$83=TRIM($J277&amp;""))*(파견수련계획!$AA$4:$AA$83&lt;&gt;"")))&gt;0,"파견수련계획 입력오류 확인",IF(LEFT($Y277,1)="⚠","서울·구리 15일 판정 불가(양쪽 모두 이상/미만)",IF(IF($AC277="",0,N(INDEX(인턴근무계획!$T$3:$T$62,$AC277)))&gt;0,"인턴계획 입력오류 확인",IF(AND($AC277&lt;&gt;"",$U277&lt;&gt;"파견중",$N277&lt;&gt;$AE277),"인턴 타지역 근무: 파견 여부 확인","정상"))))))))</f>
        <v/>
      </c>
      <c r="AA277" s="5" t="n"/>
      <c r="AB277" s="10">
        <f>IF($B277="","",IFERROR(MATCH($B277,기본자료!$B$2:$B$1001,0),IFERROR(MATCH($B277&amp;"",기본자료!$B$2:$B$1001,0),IFERROR(MATCH(VALUE($B277),기본자료!$B$2:$B$1001,0),""))))</f>
        <v/>
      </c>
      <c r="AC277" s="10">
        <f>IF($B277="","",IFERROR(MATCH($B277,인턴근무계획!$D$3:$D$62,0),IFERROR(MATCH($B277&amp;"",인턴근무계획!$D$3:$D$62,0),IFERROR(MATCH(VALUE($B277),인턴근무계획!$D$3:$D$62,0),""))))</f>
        <v/>
      </c>
      <c r="AD277" s="10">
        <f>IF(OR($AC277="",인턴현황!$G$3=""),"",INDEX(인턴근무계획!$M$3:$R$62,$AC277,인턴현황!$G$3)&amp;"")</f>
        <v/>
      </c>
      <c r="AE277" s="10">
        <f>IF($B277="","",IF($M277&lt;&gt;"",$M277,IF($AF277&lt;&gt;"",IF(LEFT(INDEX(파견수련계획!$R$4:$R$83,$AF277),1)&lt;&gt;"⚠",INDEX(파견수련계획!$R$4:$R$83,$AF277),IF($H277="","",IF(RIGHT($H277,2)="병원",$H277,$H277&amp;"병원"))),IF($H277="","",IF(RIGHT($H277,2)="병원",$H277,$H277&amp;"병원")))))</f>
        <v/>
      </c>
      <c r="AF277" s="10">
        <f>IF(OR($B277="",TRIM($J277&amp;"")=""),"",IFERROR(MATCH(TRIM($J277&amp;"")&amp;"|파견중",파견수련계획!$Y$4:$Y$83,0),IFERROR(MATCH(TRIM($J277&amp;"")&amp;"|파견예정",파견수련계획!$Y$4:$Y$83,0),IFERROR(MATCH(TRIM($J277&amp;"")&amp;"|파견종료",파견수련계획!$Y$4:$Y$83,0),""))))</f>
        <v/>
      </c>
      <c r="AG277" s="10">
        <f>IF($B277="","",IF(AND(IF(OR($AC277="",인턴현황!$K$2=""),"",INDEX(인턴근무계획!$M$3:$R$62,$AC277,인턴현황!$K$2)&amp;"")&lt;&gt;"",LEFT(IF(OR($AC277="",인턴현황!$K$2=""),"",INDEX(인턴근무계획!$M$3:$R$62,$AC277,인턴현황!$K$2)&amp;""),1)&lt;&gt;"⚠"),LEFT(IF(OR($AC277="",인턴현황!$K$2=""),"",INDEX(인턴근무계획!$M$3:$R$62,$AC277,인턴현황!$K$2)&amp;""),FIND(" ",IF(OR($AC277="",인턴현황!$K$2=""),"",INDEX(인턴근무계획!$M$3:$R$62,$AC277,인턴현황!$K$2)&amp;""))-1),$AE277))</f>
        <v/>
      </c>
      <c r="AH277" s="17">
        <f>IF($B277="","",IF(TRIM($J277&amp;"")="",0,SUMPRODUCT((파견수련계획!$Q$4:$Q$83=TRIM($J277&amp;""))*(파견수련계획!$S$4:$S$83="서울병원")*파견수련계획!$W$4:$W$83))+IF($AG277="서울병원",MAX(0,DAY(EOMONTH(요약!$B$3,0))-N($X277)),0))</f>
        <v/>
      </c>
      <c r="AI277" s="17">
        <f>IF($B277="","",IF(TRIM($J277&amp;"")="",0,SUMPRODUCT((파견수련계획!$Q$4:$Q$83=TRIM($J277&amp;""))*(파견수련계획!$S$4:$S$83="구리병원")*파견수련계획!$W$4:$W$83))+IF($AG277="구리병원",MAX(0,DAY(EOMONTH(요약!$B$3,0))-N($X277)),0))</f>
        <v/>
      </c>
      <c r="AJ277" s="10">
        <f>IF(OR($B277="",TRIM($J277&amp;"")=""),"",IFERROR(MATCH(TRIM($J277&amp;"")&amp;"|월",파견수련계획!$Z$4:$Z$83,0),""))</f>
        <v/>
      </c>
      <c r="AK277" s="10">
        <f>IF(OR($B277="",TRIM($J277&amp;"")=""),"",IFERROR(MATCH(TRIM($J277&amp;"")&amp;"|다기관",파견수련계획!$AE$4:$AE$83,0),""))</f>
        <v/>
      </c>
      <c r="AL277" s="10">
        <f>IF($AK277="","","다기관 "&amp;TEXT(INDEX(파견수련계획!$AB$4:$AB$83,$AK277),"yyyy-mm-dd")&amp;"~"&amp;IF(ISNUMBER(INDEX(파견수련계획!$AC$4:$AC$83,$AK277)),TEXT(INDEX(파견수련계획!$AC$4:$AC$83,$AK277),"yyyy-mm-dd"),""))</f>
        <v/>
      </c>
    </row>
    <row r="278">
      <c r="A278" s="10">
        <f>IF(B278="","",ROW()-1)</f>
        <v/>
      </c>
      <c r="B278" s="18" t="n"/>
      <c r="C278" s="10">
        <f>IF($AB278="","",IF(INDEX(기본자료!$C$2:$C$1001,$AB278)="","",INDEX(기본자료!$C$2:$C$1001,$AB278)))</f>
        <v/>
      </c>
      <c r="D278" s="10">
        <f>IF($AB278="","",IF(INDEX(기본자료!$J$2:$J$1001,$AB278)="","",INDEX(기본자료!$J$2:$J$1001,$AB278)))</f>
        <v/>
      </c>
      <c r="E278" s="11">
        <f>IF($AB278="","",IF(INDEX(기본자료!$K$2:$K$1001,$AB278)="","",IF(NOT(ISNUMBER(INDEX(기본자료!$K$2:$K$1001,$AB278))),INDEX(기본자료!$K$2:$K$1001,$AB278),IF(INDEX(기본자료!$K$2:$K$1001,$AB278)&lt;1000000,INDEX(기본자료!$K$2:$K$1001,$AB278),IF(AND(INDEX(기본자료!$K$2:$K$1001,$AB278)&gt;=10000101,INT(MOD(INDEX(기본자료!$K$2:$K$1001,$AB278),10000)/100)&gt;=1,INT(MOD(INDEX(기본자료!$K$2:$K$1001,$AB278),10000)/100)&lt;=12,MOD(INDEX(기본자료!$K$2:$K$1001,$AB278),100)&gt;=1,MOD(INDEX(기본자료!$K$2:$K$1001,$AB278),100)&lt;=31),DATE(INT(INDEX(기본자료!$K$2:$K$1001,$AB278)/10000),INT(MOD(INDEX(기본자료!$K$2:$K$1001,$AB278),10000)/100),MOD(INDEX(기본자료!$K$2:$K$1001,$AB278),100)),INDEX(기본자료!$K$2:$K$1001,$AB278)&amp;"")))))</f>
        <v/>
      </c>
      <c r="F278" s="10">
        <f>IF($AB278="","",IF(INDEX(기본자료!$D$2:$D$1001,$AB278)="","",INDEX(기본자료!$D$2:$D$1001,$AB278)))</f>
        <v/>
      </c>
      <c r="G278" s="10">
        <f>IF($AB278="","",IF(INDEX(기본자료!$E$2:$E$1001,$AB278)="","",INDEX(기본자료!$E$2:$E$1001,$AB278)))</f>
        <v/>
      </c>
      <c r="H278" s="10">
        <f>IF($AB278="","",IF(INDEX(기본자료!$F$2:$F$1001,$AB278)="","",INDEX(기본자료!$F$2:$F$1001,$AB278)))</f>
        <v/>
      </c>
      <c r="I278" s="11">
        <f>IF($AB278="","",IF(INDEX(기본자료!$G$2:$G$1001,$AB278)="","",IF(NOT(ISNUMBER(INDEX(기본자료!$G$2:$G$1001,$AB278))),INDEX(기본자료!$G$2:$G$1001,$AB278),IF(INDEX(기본자료!$G$2:$G$1001,$AB278)&lt;1000000,INDEX(기본자료!$G$2:$G$1001,$AB278),IF(AND(INDEX(기본자료!$G$2:$G$1001,$AB278)&gt;=10000101,INT(MOD(INDEX(기본자료!$G$2:$G$1001,$AB278),10000)/100)&gt;=1,INT(MOD(INDEX(기본자료!$G$2:$G$1001,$AB278),10000)/100)&lt;=12,MOD(INDEX(기본자료!$G$2:$G$1001,$AB278),100)&gt;=1,MOD(INDEX(기본자료!$G$2:$G$1001,$AB278),100)&lt;=31),DATE(INT(INDEX(기본자료!$G$2:$G$1001,$AB278)/10000),INT(MOD(INDEX(기본자료!$G$2:$G$1001,$AB278),10000)/100),MOD(INDEX(기본자료!$G$2:$G$1001,$AB278),100)),INDEX(기본자료!$G$2:$G$1001,$AB278)&amp;"")))))</f>
        <v/>
      </c>
      <c r="J278" s="10">
        <f>IF($AB278="","",IF(INDEX(기본자료!$H$2:$H$1001,$AB278)="","",INDEX(기본자료!$H$2:$H$1001,$AB278)))</f>
        <v/>
      </c>
      <c r="K278" s="10">
        <f>IF($AB278="","",IF(INDEX(기본자료!$I$2:$I$1001,$AB278)="","",INDEX(기본자료!$I$2:$I$1001,$AB278)))</f>
        <v/>
      </c>
      <c r="L278" s="10">
        <f>IF($AB278="","",IF(INDEX(기본자료!$A$2:$A$1001,$AB278)="","",INDEX(기본자료!$A$2:$A$1001,$AB278)))</f>
        <v/>
      </c>
      <c r="M278" s="15" t="n"/>
      <c r="N278" s="10">
        <f>IF($B278="","",IF(AND($U278="파견중",$Q278&lt;&gt;""),$Q278,IF(AND($AD278&lt;&gt;"",LEFT($AD278,1)&lt;&gt;"⚠"),LEFT($AD278,FIND(" ",$AD278)-1),IF($H278="","",IF(RIGHT($H278,2)="병원",$H278,$H278&amp;"병원")))))</f>
        <v/>
      </c>
      <c r="O278" s="10">
        <f>IF($B278="","",IF(AND($U278="파견중",$Q278&lt;&gt;""),IF($R278&lt;&gt;"",$R278,"파견과 미입력"),IF(AND($AD278&lt;&gt;"",LEFT($AD278,1)&lt;&gt;"⚠"),MID($AD278,FIND(" ",$AD278)+1,60),IF($F278="","",IF($F278="인턴","수련교육부(인턴)",$F278)))))</f>
        <v/>
      </c>
      <c r="P278" s="10">
        <f>IF($B278="","",IF($AK278&lt;&gt;"",IF(AND(TODAY()&gt;=INDEX(파견수련계획!$AB$4:$AB$83,$AK278),OR(NOT(ISNUMBER(INDEX(파견수련계획!$AC$4:$AC$83,$AK278))),TODAY()&lt;=INDEX(파견수련계획!$AC$4:$AC$83,$AK278))),"다기관",IF($AF278="","",INDEX(파견수련계획!$T$4:$T$83,$AF278))),IF($AF278="","",INDEX(파견수련계획!$T$4:$T$83,$AF278))))</f>
        <v/>
      </c>
      <c r="Q278" s="10">
        <f>IF($AF278="","",INDEX(파견수련계획!$S$4:$S$83,$AF278))</f>
        <v/>
      </c>
      <c r="R278" s="10">
        <f>IF($AF278="","",INDEX(파견수련계획!$U$4:$U$83,$AF278))</f>
        <v/>
      </c>
      <c r="S278" s="11">
        <f>IF($AF278="","",IF(INDEX(파견수련계획!$H$4:$H$83,$AF278)="","",INDEX(파견수련계획!$H$4:$H$83,$AF278)))</f>
        <v/>
      </c>
      <c r="T278" s="11">
        <f>IF($AF278="","",IF(INDEX(파견수련계획!$I$4:$I$83,$AF278)="","",INDEX(파견수련계획!$I$4:$I$83,$AF278)))</f>
        <v/>
      </c>
      <c r="U278" s="10">
        <f>IF($AF278="","",INDEX(파견수련계획!$X$4:$X$83,$AF278))</f>
        <v/>
      </c>
      <c r="V278" s="17">
        <f>IF($AF278="","",INDEX(파견수련계획!$V$4:$V$83,$AF278))</f>
        <v/>
      </c>
      <c r="W278" s="17">
        <f>IF(AND($U278="파견중",$T278&lt;&gt;""),$T278-TODAY(),"")</f>
        <v/>
      </c>
      <c r="X278" s="17">
        <f>IF(OR($B278="",TRIM($J278&amp;"")=""),"",SUMPRODUCT((파견수련계획!$Q$4:$Q$83=TRIM($J278&amp;""))*파견수련계획!$W$4:$W$83))</f>
        <v/>
      </c>
      <c r="Y278" s="10">
        <f>IF($B278="","",IF($AG278="","",IF(IF(TRIM($J278&amp;"")="",0,SUMPRODUCT((파견수련계획!$Q$4:$Q$83=TRIM($J278&amp;""))*파견수련계획!$AD$4:$AD$83))&gt;0,$AE278,IF(N($X278)&lt;=0,$AG278,IF($AH278+$AI278=DAY(EOMONTH(요약!$B$3,0)),IF(AND($AH278&gt;=요약!$E$3,$AI278&lt;요약!$E$3),"서울병원",IF(AND($AI278&gt;=요약!$E$3,$AH278&lt;요약!$E$3),"구리병원","⚠15일 판정불가(서울 "&amp;$AH278&amp;"일/구리 "&amp;$AI278&amp;"일)")),IF($AJ278="",$AE278,IF(INDEX(파견수련계획!$T$4:$T$83,$AJ278)="통합수련",INDEX(파견수련계획!$S$4:$S$83,$AJ278),$AE278)))))))</f>
        <v/>
      </c>
      <c r="Z278" s="19">
        <f>IF($B278="","",IF($AB278="","기본자료에 없는 사번",IF(COUNTIF($B$2:$B$401,$B278)&gt;1,"중복 사번",IF($AE278="","소속(입사장소) 입력",IF(IF(TRIM($J278&amp;"")="",0,SUMPRODUCT((파견수련계획!$Q$4:$Q$83=TRIM($J278&amp;""))*(파견수련계획!$AA$4:$AA$83&lt;&gt;"")))&gt;0,"파견수련계획 입력오류 확인",IF(LEFT($Y278,1)="⚠","서울·구리 15일 판정 불가(양쪽 모두 이상/미만)",IF(IF($AC278="",0,N(INDEX(인턴근무계획!$T$3:$T$62,$AC278)))&gt;0,"인턴계획 입력오류 확인",IF(AND($AC278&lt;&gt;"",$U278&lt;&gt;"파견중",$N278&lt;&gt;$AE278),"인턴 타지역 근무: 파견 여부 확인","정상"))))))))</f>
        <v/>
      </c>
      <c r="AA278" s="5" t="n"/>
      <c r="AB278" s="10">
        <f>IF($B278="","",IFERROR(MATCH($B278,기본자료!$B$2:$B$1001,0),IFERROR(MATCH($B278&amp;"",기본자료!$B$2:$B$1001,0),IFERROR(MATCH(VALUE($B278),기본자료!$B$2:$B$1001,0),""))))</f>
        <v/>
      </c>
      <c r="AC278" s="10">
        <f>IF($B278="","",IFERROR(MATCH($B278,인턴근무계획!$D$3:$D$62,0),IFERROR(MATCH($B278&amp;"",인턴근무계획!$D$3:$D$62,0),IFERROR(MATCH(VALUE($B278),인턴근무계획!$D$3:$D$62,0),""))))</f>
        <v/>
      </c>
      <c r="AD278" s="10">
        <f>IF(OR($AC278="",인턴현황!$G$3=""),"",INDEX(인턴근무계획!$M$3:$R$62,$AC278,인턴현황!$G$3)&amp;"")</f>
        <v/>
      </c>
      <c r="AE278" s="10">
        <f>IF($B278="","",IF($M278&lt;&gt;"",$M278,IF($AF278&lt;&gt;"",IF(LEFT(INDEX(파견수련계획!$R$4:$R$83,$AF278),1)&lt;&gt;"⚠",INDEX(파견수련계획!$R$4:$R$83,$AF278),IF($H278="","",IF(RIGHT($H278,2)="병원",$H278,$H278&amp;"병원"))),IF($H278="","",IF(RIGHT($H278,2)="병원",$H278,$H278&amp;"병원")))))</f>
        <v/>
      </c>
      <c r="AF278" s="10">
        <f>IF(OR($B278="",TRIM($J278&amp;"")=""),"",IFERROR(MATCH(TRIM($J278&amp;"")&amp;"|파견중",파견수련계획!$Y$4:$Y$83,0),IFERROR(MATCH(TRIM($J278&amp;"")&amp;"|파견예정",파견수련계획!$Y$4:$Y$83,0),IFERROR(MATCH(TRIM($J278&amp;"")&amp;"|파견종료",파견수련계획!$Y$4:$Y$83,0),""))))</f>
        <v/>
      </c>
      <c r="AG278" s="10">
        <f>IF($B278="","",IF(AND(IF(OR($AC278="",인턴현황!$K$2=""),"",INDEX(인턴근무계획!$M$3:$R$62,$AC278,인턴현황!$K$2)&amp;"")&lt;&gt;"",LEFT(IF(OR($AC278="",인턴현황!$K$2=""),"",INDEX(인턴근무계획!$M$3:$R$62,$AC278,인턴현황!$K$2)&amp;""),1)&lt;&gt;"⚠"),LEFT(IF(OR($AC278="",인턴현황!$K$2=""),"",INDEX(인턴근무계획!$M$3:$R$62,$AC278,인턴현황!$K$2)&amp;""),FIND(" ",IF(OR($AC278="",인턴현황!$K$2=""),"",INDEX(인턴근무계획!$M$3:$R$62,$AC278,인턴현황!$K$2)&amp;""))-1),$AE278))</f>
        <v/>
      </c>
      <c r="AH278" s="17">
        <f>IF($B278="","",IF(TRIM($J278&amp;"")="",0,SUMPRODUCT((파견수련계획!$Q$4:$Q$83=TRIM($J278&amp;""))*(파견수련계획!$S$4:$S$83="서울병원")*파견수련계획!$W$4:$W$83))+IF($AG278="서울병원",MAX(0,DAY(EOMONTH(요약!$B$3,0))-N($X278)),0))</f>
        <v/>
      </c>
      <c r="AI278" s="17">
        <f>IF($B278="","",IF(TRIM($J278&amp;"")="",0,SUMPRODUCT((파견수련계획!$Q$4:$Q$83=TRIM($J278&amp;""))*(파견수련계획!$S$4:$S$83="구리병원")*파견수련계획!$W$4:$W$83))+IF($AG278="구리병원",MAX(0,DAY(EOMONTH(요약!$B$3,0))-N($X278)),0))</f>
        <v/>
      </c>
      <c r="AJ278" s="10">
        <f>IF(OR($B278="",TRIM($J278&amp;"")=""),"",IFERROR(MATCH(TRIM($J278&amp;"")&amp;"|월",파견수련계획!$Z$4:$Z$83,0),""))</f>
        <v/>
      </c>
      <c r="AK278" s="10">
        <f>IF(OR($B278="",TRIM($J278&amp;"")=""),"",IFERROR(MATCH(TRIM($J278&amp;"")&amp;"|다기관",파견수련계획!$AE$4:$AE$83,0),""))</f>
        <v/>
      </c>
      <c r="AL278" s="10">
        <f>IF($AK278="","","다기관 "&amp;TEXT(INDEX(파견수련계획!$AB$4:$AB$83,$AK278),"yyyy-mm-dd")&amp;"~"&amp;IF(ISNUMBER(INDEX(파견수련계획!$AC$4:$AC$83,$AK278)),TEXT(INDEX(파견수련계획!$AC$4:$AC$83,$AK278),"yyyy-mm-dd"),""))</f>
        <v/>
      </c>
    </row>
    <row r="279">
      <c r="A279" s="10">
        <f>IF(B279="","",ROW()-1)</f>
        <v/>
      </c>
      <c r="B279" s="18" t="n"/>
      <c r="C279" s="10">
        <f>IF($AB279="","",IF(INDEX(기본자료!$C$2:$C$1001,$AB279)="","",INDEX(기본자료!$C$2:$C$1001,$AB279)))</f>
        <v/>
      </c>
      <c r="D279" s="10">
        <f>IF($AB279="","",IF(INDEX(기본자료!$J$2:$J$1001,$AB279)="","",INDEX(기본자료!$J$2:$J$1001,$AB279)))</f>
        <v/>
      </c>
      <c r="E279" s="11">
        <f>IF($AB279="","",IF(INDEX(기본자료!$K$2:$K$1001,$AB279)="","",IF(NOT(ISNUMBER(INDEX(기본자료!$K$2:$K$1001,$AB279))),INDEX(기본자료!$K$2:$K$1001,$AB279),IF(INDEX(기본자료!$K$2:$K$1001,$AB279)&lt;1000000,INDEX(기본자료!$K$2:$K$1001,$AB279),IF(AND(INDEX(기본자료!$K$2:$K$1001,$AB279)&gt;=10000101,INT(MOD(INDEX(기본자료!$K$2:$K$1001,$AB279),10000)/100)&gt;=1,INT(MOD(INDEX(기본자료!$K$2:$K$1001,$AB279),10000)/100)&lt;=12,MOD(INDEX(기본자료!$K$2:$K$1001,$AB279),100)&gt;=1,MOD(INDEX(기본자료!$K$2:$K$1001,$AB279),100)&lt;=31),DATE(INT(INDEX(기본자료!$K$2:$K$1001,$AB279)/10000),INT(MOD(INDEX(기본자료!$K$2:$K$1001,$AB279),10000)/100),MOD(INDEX(기본자료!$K$2:$K$1001,$AB279),100)),INDEX(기본자료!$K$2:$K$1001,$AB279)&amp;"")))))</f>
        <v/>
      </c>
      <c r="F279" s="10">
        <f>IF($AB279="","",IF(INDEX(기본자료!$D$2:$D$1001,$AB279)="","",INDEX(기본자료!$D$2:$D$1001,$AB279)))</f>
        <v/>
      </c>
      <c r="G279" s="10">
        <f>IF($AB279="","",IF(INDEX(기본자료!$E$2:$E$1001,$AB279)="","",INDEX(기본자료!$E$2:$E$1001,$AB279)))</f>
        <v/>
      </c>
      <c r="H279" s="10">
        <f>IF($AB279="","",IF(INDEX(기본자료!$F$2:$F$1001,$AB279)="","",INDEX(기본자료!$F$2:$F$1001,$AB279)))</f>
        <v/>
      </c>
      <c r="I279" s="11">
        <f>IF($AB279="","",IF(INDEX(기본자료!$G$2:$G$1001,$AB279)="","",IF(NOT(ISNUMBER(INDEX(기본자료!$G$2:$G$1001,$AB279))),INDEX(기본자료!$G$2:$G$1001,$AB279),IF(INDEX(기본자료!$G$2:$G$1001,$AB279)&lt;1000000,INDEX(기본자료!$G$2:$G$1001,$AB279),IF(AND(INDEX(기본자료!$G$2:$G$1001,$AB279)&gt;=10000101,INT(MOD(INDEX(기본자료!$G$2:$G$1001,$AB279),10000)/100)&gt;=1,INT(MOD(INDEX(기본자료!$G$2:$G$1001,$AB279),10000)/100)&lt;=12,MOD(INDEX(기본자료!$G$2:$G$1001,$AB279),100)&gt;=1,MOD(INDEX(기본자료!$G$2:$G$1001,$AB279),100)&lt;=31),DATE(INT(INDEX(기본자료!$G$2:$G$1001,$AB279)/10000),INT(MOD(INDEX(기본자료!$G$2:$G$1001,$AB279),10000)/100),MOD(INDEX(기본자료!$G$2:$G$1001,$AB279),100)),INDEX(기본자료!$G$2:$G$1001,$AB279)&amp;"")))))</f>
        <v/>
      </c>
      <c r="J279" s="10">
        <f>IF($AB279="","",IF(INDEX(기본자료!$H$2:$H$1001,$AB279)="","",INDEX(기본자료!$H$2:$H$1001,$AB279)))</f>
        <v/>
      </c>
      <c r="K279" s="10">
        <f>IF($AB279="","",IF(INDEX(기본자료!$I$2:$I$1001,$AB279)="","",INDEX(기본자료!$I$2:$I$1001,$AB279)))</f>
        <v/>
      </c>
      <c r="L279" s="10">
        <f>IF($AB279="","",IF(INDEX(기본자료!$A$2:$A$1001,$AB279)="","",INDEX(기본자료!$A$2:$A$1001,$AB279)))</f>
        <v/>
      </c>
      <c r="M279" s="15" t="n"/>
      <c r="N279" s="10">
        <f>IF($B279="","",IF(AND($U279="파견중",$Q279&lt;&gt;""),$Q279,IF(AND($AD279&lt;&gt;"",LEFT($AD279,1)&lt;&gt;"⚠"),LEFT($AD279,FIND(" ",$AD279)-1),IF($H279="","",IF(RIGHT($H279,2)="병원",$H279,$H279&amp;"병원")))))</f>
        <v/>
      </c>
      <c r="O279" s="10">
        <f>IF($B279="","",IF(AND($U279="파견중",$Q279&lt;&gt;""),IF($R279&lt;&gt;"",$R279,"파견과 미입력"),IF(AND($AD279&lt;&gt;"",LEFT($AD279,1)&lt;&gt;"⚠"),MID($AD279,FIND(" ",$AD279)+1,60),IF($F279="","",IF($F279="인턴","수련교육부(인턴)",$F279)))))</f>
        <v/>
      </c>
      <c r="P279" s="10">
        <f>IF($B279="","",IF($AK279&lt;&gt;"",IF(AND(TODAY()&gt;=INDEX(파견수련계획!$AB$4:$AB$83,$AK279),OR(NOT(ISNUMBER(INDEX(파견수련계획!$AC$4:$AC$83,$AK279))),TODAY()&lt;=INDEX(파견수련계획!$AC$4:$AC$83,$AK279))),"다기관",IF($AF279="","",INDEX(파견수련계획!$T$4:$T$83,$AF279))),IF($AF279="","",INDEX(파견수련계획!$T$4:$T$83,$AF279))))</f>
        <v/>
      </c>
      <c r="Q279" s="10">
        <f>IF($AF279="","",INDEX(파견수련계획!$S$4:$S$83,$AF279))</f>
        <v/>
      </c>
      <c r="R279" s="10">
        <f>IF($AF279="","",INDEX(파견수련계획!$U$4:$U$83,$AF279))</f>
        <v/>
      </c>
      <c r="S279" s="11">
        <f>IF($AF279="","",IF(INDEX(파견수련계획!$H$4:$H$83,$AF279)="","",INDEX(파견수련계획!$H$4:$H$83,$AF279)))</f>
        <v/>
      </c>
      <c r="T279" s="11">
        <f>IF($AF279="","",IF(INDEX(파견수련계획!$I$4:$I$83,$AF279)="","",INDEX(파견수련계획!$I$4:$I$83,$AF279)))</f>
        <v/>
      </c>
      <c r="U279" s="10">
        <f>IF($AF279="","",INDEX(파견수련계획!$X$4:$X$83,$AF279))</f>
        <v/>
      </c>
      <c r="V279" s="17">
        <f>IF($AF279="","",INDEX(파견수련계획!$V$4:$V$83,$AF279))</f>
        <v/>
      </c>
      <c r="W279" s="17">
        <f>IF(AND($U279="파견중",$T279&lt;&gt;""),$T279-TODAY(),"")</f>
        <v/>
      </c>
      <c r="X279" s="17">
        <f>IF(OR($B279="",TRIM($J279&amp;"")=""),"",SUMPRODUCT((파견수련계획!$Q$4:$Q$83=TRIM($J279&amp;""))*파견수련계획!$W$4:$W$83))</f>
        <v/>
      </c>
      <c r="Y279" s="10">
        <f>IF($B279="","",IF($AG279="","",IF(IF(TRIM($J279&amp;"")="",0,SUMPRODUCT((파견수련계획!$Q$4:$Q$83=TRIM($J279&amp;""))*파견수련계획!$AD$4:$AD$83))&gt;0,$AE279,IF(N($X279)&lt;=0,$AG279,IF($AH279+$AI279=DAY(EOMONTH(요약!$B$3,0)),IF(AND($AH279&gt;=요약!$E$3,$AI279&lt;요약!$E$3),"서울병원",IF(AND($AI279&gt;=요약!$E$3,$AH279&lt;요약!$E$3),"구리병원","⚠15일 판정불가(서울 "&amp;$AH279&amp;"일/구리 "&amp;$AI279&amp;"일)")),IF($AJ279="",$AE279,IF(INDEX(파견수련계획!$T$4:$T$83,$AJ279)="통합수련",INDEX(파견수련계획!$S$4:$S$83,$AJ279),$AE279)))))))</f>
        <v/>
      </c>
      <c r="Z279" s="19">
        <f>IF($B279="","",IF($AB279="","기본자료에 없는 사번",IF(COUNTIF($B$2:$B$401,$B279)&gt;1,"중복 사번",IF($AE279="","소속(입사장소) 입력",IF(IF(TRIM($J279&amp;"")="",0,SUMPRODUCT((파견수련계획!$Q$4:$Q$83=TRIM($J279&amp;""))*(파견수련계획!$AA$4:$AA$83&lt;&gt;"")))&gt;0,"파견수련계획 입력오류 확인",IF(LEFT($Y279,1)="⚠","서울·구리 15일 판정 불가(양쪽 모두 이상/미만)",IF(IF($AC279="",0,N(INDEX(인턴근무계획!$T$3:$T$62,$AC279)))&gt;0,"인턴계획 입력오류 확인",IF(AND($AC279&lt;&gt;"",$U279&lt;&gt;"파견중",$N279&lt;&gt;$AE279),"인턴 타지역 근무: 파견 여부 확인","정상"))))))))</f>
        <v/>
      </c>
      <c r="AA279" s="5" t="n"/>
      <c r="AB279" s="10">
        <f>IF($B279="","",IFERROR(MATCH($B279,기본자료!$B$2:$B$1001,0),IFERROR(MATCH($B279&amp;"",기본자료!$B$2:$B$1001,0),IFERROR(MATCH(VALUE($B279),기본자료!$B$2:$B$1001,0),""))))</f>
        <v/>
      </c>
      <c r="AC279" s="10">
        <f>IF($B279="","",IFERROR(MATCH($B279,인턴근무계획!$D$3:$D$62,0),IFERROR(MATCH($B279&amp;"",인턴근무계획!$D$3:$D$62,0),IFERROR(MATCH(VALUE($B279),인턴근무계획!$D$3:$D$62,0),""))))</f>
        <v/>
      </c>
      <c r="AD279" s="10">
        <f>IF(OR($AC279="",인턴현황!$G$3=""),"",INDEX(인턴근무계획!$M$3:$R$62,$AC279,인턴현황!$G$3)&amp;"")</f>
        <v/>
      </c>
      <c r="AE279" s="10">
        <f>IF($B279="","",IF($M279&lt;&gt;"",$M279,IF($AF279&lt;&gt;"",IF(LEFT(INDEX(파견수련계획!$R$4:$R$83,$AF279),1)&lt;&gt;"⚠",INDEX(파견수련계획!$R$4:$R$83,$AF279),IF($H279="","",IF(RIGHT($H279,2)="병원",$H279,$H279&amp;"병원"))),IF($H279="","",IF(RIGHT($H279,2)="병원",$H279,$H279&amp;"병원")))))</f>
        <v/>
      </c>
      <c r="AF279" s="10">
        <f>IF(OR($B279="",TRIM($J279&amp;"")=""),"",IFERROR(MATCH(TRIM($J279&amp;"")&amp;"|파견중",파견수련계획!$Y$4:$Y$83,0),IFERROR(MATCH(TRIM($J279&amp;"")&amp;"|파견예정",파견수련계획!$Y$4:$Y$83,0),IFERROR(MATCH(TRIM($J279&amp;"")&amp;"|파견종료",파견수련계획!$Y$4:$Y$83,0),""))))</f>
        <v/>
      </c>
      <c r="AG279" s="10">
        <f>IF($B279="","",IF(AND(IF(OR($AC279="",인턴현황!$K$2=""),"",INDEX(인턴근무계획!$M$3:$R$62,$AC279,인턴현황!$K$2)&amp;"")&lt;&gt;"",LEFT(IF(OR($AC279="",인턴현황!$K$2=""),"",INDEX(인턴근무계획!$M$3:$R$62,$AC279,인턴현황!$K$2)&amp;""),1)&lt;&gt;"⚠"),LEFT(IF(OR($AC279="",인턴현황!$K$2=""),"",INDEX(인턴근무계획!$M$3:$R$62,$AC279,인턴현황!$K$2)&amp;""),FIND(" ",IF(OR($AC279="",인턴현황!$K$2=""),"",INDEX(인턴근무계획!$M$3:$R$62,$AC279,인턴현황!$K$2)&amp;""))-1),$AE279))</f>
        <v/>
      </c>
      <c r="AH279" s="17">
        <f>IF($B279="","",IF(TRIM($J279&amp;"")="",0,SUMPRODUCT((파견수련계획!$Q$4:$Q$83=TRIM($J279&amp;""))*(파견수련계획!$S$4:$S$83="서울병원")*파견수련계획!$W$4:$W$83))+IF($AG279="서울병원",MAX(0,DAY(EOMONTH(요약!$B$3,0))-N($X279)),0))</f>
        <v/>
      </c>
      <c r="AI279" s="17">
        <f>IF($B279="","",IF(TRIM($J279&amp;"")="",0,SUMPRODUCT((파견수련계획!$Q$4:$Q$83=TRIM($J279&amp;""))*(파견수련계획!$S$4:$S$83="구리병원")*파견수련계획!$W$4:$W$83))+IF($AG279="구리병원",MAX(0,DAY(EOMONTH(요약!$B$3,0))-N($X279)),0))</f>
        <v/>
      </c>
      <c r="AJ279" s="10">
        <f>IF(OR($B279="",TRIM($J279&amp;"")=""),"",IFERROR(MATCH(TRIM($J279&amp;"")&amp;"|월",파견수련계획!$Z$4:$Z$83,0),""))</f>
        <v/>
      </c>
      <c r="AK279" s="10">
        <f>IF(OR($B279="",TRIM($J279&amp;"")=""),"",IFERROR(MATCH(TRIM($J279&amp;"")&amp;"|다기관",파견수련계획!$AE$4:$AE$83,0),""))</f>
        <v/>
      </c>
      <c r="AL279" s="10">
        <f>IF($AK279="","","다기관 "&amp;TEXT(INDEX(파견수련계획!$AB$4:$AB$83,$AK279),"yyyy-mm-dd")&amp;"~"&amp;IF(ISNUMBER(INDEX(파견수련계획!$AC$4:$AC$83,$AK279)),TEXT(INDEX(파견수련계획!$AC$4:$AC$83,$AK279),"yyyy-mm-dd"),""))</f>
        <v/>
      </c>
    </row>
    <row r="280">
      <c r="A280" s="10">
        <f>IF(B280="","",ROW()-1)</f>
        <v/>
      </c>
      <c r="B280" s="18" t="n"/>
      <c r="C280" s="10">
        <f>IF($AB280="","",IF(INDEX(기본자료!$C$2:$C$1001,$AB280)="","",INDEX(기본자료!$C$2:$C$1001,$AB280)))</f>
        <v/>
      </c>
      <c r="D280" s="10">
        <f>IF($AB280="","",IF(INDEX(기본자료!$J$2:$J$1001,$AB280)="","",INDEX(기본자료!$J$2:$J$1001,$AB280)))</f>
        <v/>
      </c>
      <c r="E280" s="11">
        <f>IF($AB280="","",IF(INDEX(기본자료!$K$2:$K$1001,$AB280)="","",IF(NOT(ISNUMBER(INDEX(기본자료!$K$2:$K$1001,$AB280))),INDEX(기본자료!$K$2:$K$1001,$AB280),IF(INDEX(기본자료!$K$2:$K$1001,$AB280)&lt;1000000,INDEX(기본자료!$K$2:$K$1001,$AB280),IF(AND(INDEX(기본자료!$K$2:$K$1001,$AB280)&gt;=10000101,INT(MOD(INDEX(기본자료!$K$2:$K$1001,$AB280),10000)/100)&gt;=1,INT(MOD(INDEX(기본자료!$K$2:$K$1001,$AB280),10000)/100)&lt;=12,MOD(INDEX(기본자료!$K$2:$K$1001,$AB280),100)&gt;=1,MOD(INDEX(기본자료!$K$2:$K$1001,$AB280),100)&lt;=31),DATE(INT(INDEX(기본자료!$K$2:$K$1001,$AB280)/10000),INT(MOD(INDEX(기본자료!$K$2:$K$1001,$AB280),10000)/100),MOD(INDEX(기본자료!$K$2:$K$1001,$AB280),100)),INDEX(기본자료!$K$2:$K$1001,$AB280)&amp;"")))))</f>
        <v/>
      </c>
      <c r="F280" s="10">
        <f>IF($AB280="","",IF(INDEX(기본자료!$D$2:$D$1001,$AB280)="","",INDEX(기본자료!$D$2:$D$1001,$AB280)))</f>
        <v/>
      </c>
      <c r="G280" s="10">
        <f>IF($AB280="","",IF(INDEX(기본자료!$E$2:$E$1001,$AB280)="","",INDEX(기본자료!$E$2:$E$1001,$AB280)))</f>
        <v/>
      </c>
      <c r="H280" s="10">
        <f>IF($AB280="","",IF(INDEX(기본자료!$F$2:$F$1001,$AB280)="","",INDEX(기본자료!$F$2:$F$1001,$AB280)))</f>
        <v/>
      </c>
      <c r="I280" s="11">
        <f>IF($AB280="","",IF(INDEX(기본자료!$G$2:$G$1001,$AB280)="","",IF(NOT(ISNUMBER(INDEX(기본자료!$G$2:$G$1001,$AB280))),INDEX(기본자료!$G$2:$G$1001,$AB280),IF(INDEX(기본자료!$G$2:$G$1001,$AB280)&lt;1000000,INDEX(기본자료!$G$2:$G$1001,$AB280),IF(AND(INDEX(기본자료!$G$2:$G$1001,$AB280)&gt;=10000101,INT(MOD(INDEX(기본자료!$G$2:$G$1001,$AB280),10000)/100)&gt;=1,INT(MOD(INDEX(기본자료!$G$2:$G$1001,$AB280),10000)/100)&lt;=12,MOD(INDEX(기본자료!$G$2:$G$1001,$AB280),100)&gt;=1,MOD(INDEX(기본자료!$G$2:$G$1001,$AB280),100)&lt;=31),DATE(INT(INDEX(기본자료!$G$2:$G$1001,$AB280)/10000),INT(MOD(INDEX(기본자료!$G$2:$G$1001,$AB280),10000)/100),MOD(INDEX(기본자료!$G$2:$G$1001,$AB280),100)),INDEX(기본자료!$G$2:$G$1001,$AB280)&amp;"")))))</f>
        <v/>
      </c>
      <c r="J280" s="10">
        <f>IF($AB280="","",IF(INDEX(기본자료!$H$2:$H$1001,$AB280)="","",INDEX(기본자료!$H$2:$H$1001,$AB280)))</f>
        <v/>
      </c>
      <c r="K280" s="10">
        <f>IF($AB280="","",IF(INDEX(기본자료!$I$2:$I$1001,$AB280)="","",INDEX(기본자료!$I$2:$I$1001,$AB280)))</f>
        <v/>
      </c>
      <c r="L280" s="10">
        <f>IF($AB280="","",IF(INDEX(기본자료!$A$2:$A$1001,$AB280)="","",INDEX(기본자료!$A$2:$A$1001,$AB280)))</f>
        <v/>
      </c>
      <c r="M280" s="15" t="n"/>
      <c r="N280" s="10">
        <f>IF($B280="","",IF(AND($U280="파견중",$Q280&lt;&gt;""),$Q280,IF(AND($AD280&lt;&gt;"",LEFT($AD280,1)&lt;&gt;"⚠"),LEFT($AD280,FIND(" ",$AD280)-1),IF($H280="","",IF(RIGHT($H280,2)="병원",$H280,$H280&amp;"병원")))))</f>
        <v/>
      </c>
      <c r="O280" s="10">
        <f>IF($B280="","",IF(AND($U280="파견중",$Q280&lt;&gt;""),IF($R280&lt;&gt;"",$R280,"파견과 미입력"),IF(AND($AD280&lt;&gt;"",LEFT($AD280,1)&lt;&gt;"⚠"),MID($AD280,FIND(" ",$AD280)+1,60),IF($F280="","",IF($F280="인턴","수련교육부(인턴)",$F280)))))</f>
        <v/>
      </c>
      <c r="P280" s="10">
        <f>IF($B280="","",IF($AK280&lt;&gt;"",IF(AND(TODAY()&gt;=INDEX(파견수련계획!$AB$4:$AB$83,$AK280),OR(NOT(ISNUMBER(INDEX(파견수련계획!$AC$4:$AC$83,$AK280))),TODAY()&lt;=INDEX(파견수련계획!$AC$4:$AC$83,$AK280))),"다기관",IF($AF280="","",INDEX(파견수련계획!$T$4:$T$83,$AF280))),IF($AF280="","",INDEX(파견수련계획!$T$4:$T$83,$AF280))))</f>
        <v/>
      </c>
      <c r="Q280" s="10">
        <f>IF($AF280="","",INDEX(파견수련계획!$S$4:$S$83,$AF280))</f>
        <v/>
      </c>
      <c r="R280" s="10">
        <f>IF($AF280="","",INDEX(파견수련계획!$U$4:$U$83,$AF280))</f>
        <v/>
      </c>
      <c r="S280" s="11">
        <f>IF($AF280="","",IF(INDEX(파견수련계획!$H$4:$H$83,$AF280)="","",INDEX(파견수련계획!$H$4:$H$83,$AF280)))</f>
        <v/>
      </c>
      <c r="T280" s="11">
        <f>IF($AF280="","",IF(INDEX(파견수련계획!$I$4:$I$83,$AF280)="","",INDEX(파견수련계획!$I$4:$I$83,$AF280)))</f>
        <v/>
      </c>
      <c r="U280" s="10">
        <f>IF($AF280="","",INDEX(파견수련계획!$X$4:$X$83,$AF280))</f>
        <v/>
      </c>
      <c r="V280" s="17">
        <f>IF($AF280="","",INDEX(파견수련계획!$V$4:$V$83,$AF280))</f>
        <v/>
      </c>
      <c r="W280" s="17">
        <f>IF(AND($U280="파견중",$T280&lt;&gt;""),$T280-TODAY(),"")</f>
        <v/>
      </c>
      <c r="X280" s="17">
        <f>IF(OR($B280="",TRIM($J280&amp;"")=""),"",SUMPRODUCT((파견수련계획!$Q$4:$Q$83=TRIM($J280&amp;""))*파견수련계획!$W$4:$W$83))</f>
        <v/>
      </c>
      <c r="Y280" s="10">
        <f>IF($B280="","",IF($AG280="","",IF(IF(TRIM($J280&amp;"")="",0,SUMPRODUCT((파견수련계획!$Q$4:$Q$83=TRIM($J280&amp;""))*파견수련계획!$AD$4:$AD$83))&gt;0,$AE280,IF(N($X280)&lt;=0,$AG280,IF($AH280+$AI280=DAY(EOMONTH(요약!$B$3,0)),IF(AND($AH280&gt;=요약!$E$3,$AI280&lt;요약!$E$3),"서울병원",IF(AND($AI280&gt;=요약!$E$3,$AH280&lt;요약!$E$3),"구리병원","⚠15일 판정불가(서울 "&amp;$AH280&amp;"일/구리 "&amp;$AI280&amp;"일)")),IF($AJ280="",$AE280,IF(INDEX(파견수련계획!$T$4:$T$83,$AJ280)="통합수련",INDEX(파견수련계획!$S$4:$S$83,$AJ280),$AE280)))))))</f>
        <v/>
      </c>
      <c r="Z280" s="19">
        <f>IF($B280="","",IF($AB280="","기본자료에 없는 사번",IF(COUNTIF($B$2:$B$401,$B280)&gt;1,"중복 사번",IF($AE280="","소속(입사장소) 입력",IF(IF(TRIM($J280&amp;"")="",0,SUMPRODUCT((파견수련계획!$Q$4:$Q$83=TRIM($J280&amp;""))*(파견수련계획!$AA$4:$AA$83&lt;&gt;"")))&gt;0,"파견수련계획 입력오류 확인",IF(LEFT($Y280,1)="⚠","서울·구리 15일 판정 불가(양쪽 모두 이상/미만)",IF(IF($AC280="",0,N(INDEX(인턴근무계획!$T$3:$T$62,$AC280)))&gt;0,"인턴계획 입력오류 확인",IF(AND($AC280&lt;&gt;"",$U280&lt;&gt;"파견중",$N280&lt;&gt;$AE280),"인턴 타지역 근무: 파견 여부 확인","정상"))))))))</f>
        <v/>
      </c>
      <c r="AA280" s="5" t="n"/>
      <c r="AB280" s="10">
        <f>IF($B280="","",IFERROR(MATCH($B280,기본자료!$B$2:$B$1001,0),IFERROR(MATCH($B280&amp;"",기본자료!$B$2:$B$1001,0),IFERROR(MATCH(VALUE($B280),기본자료!$B$2:$B$1001,0),""))))</f>
        <v/>
      </c>
      <c r="AC280" s="10">
        <f>IF($B280="","",IFERROR(MATCH($B280,인턴근무계획!$D$3:$D$62,0),IFERROR(MATCH($B280&amp;"",인턴근무계획!$D$3:$D$62,0),IFERROR(MATCH(VALUE($B280),인턴근무계획!$D$3:$D$62,0),""))))</f>
        <v/>
      </c>
      <c r="AD280" s="10">
        <f>IF(OR($AC280="",인턴현황!$G$3=""),"",INDEX(인턴근무계획!$M$3:$R$62,$AC280,인턴현황!$G$3)&amp;"")</f>
        <v/>
      </c>
      <c r="AE280" s="10">
        <f>IF($B280="","",IF($M280&lt;&gt;"",$M280,IF($AF280&lt;&gt;"",IF(LEFT(INDEX(파견수련계획!$R$4:$R$83,$AF280),1)&lt;&gt;"⚠",INDEX(파견수련계획!$R$4:$R$83,$AF280),IF($H280="","",IF(RIGHT($H280,2)="병원",$H280,$H280&amp;"병원"))),IF($H280="","",IF(RIGHT($H280,2)="병원",$H280,$H280&amp;"병원")))))</f>
        <v/>
      </c>
      <c r="AF280" s="10">
        <f>IF(OR($B280="",TRIM($J280&amp;"")=""),"",IFERROR(MATCH(TRIM($J280&amp;"")&amp;"|파견중",파견수련계획!$Y$4:$Y$83,0),IFERROR(MATCH(TRIM($J280&amp;"")&amp;"|파견예정",파견수련계획!$Y$4:$Y$83,0),IFERROR(MATCH(TRIM($J280&amp;"")&amp;"|파견종료",파견수련계획!$Y$4:$Y$83,0),""))))</f>
        <v/>
      </c>
      <c r="AG280" s="10">
        <f>IF($B280="","",IF(AND(IF(OR($AC280="",인턴현황!$K$2=""),"",INDEX(인턴근무계획!$M$3:$R$62,$AC280,인턴현황!$K$2)&amp;"")&lt;&gt;"",LEFT(IF(OR($AC280="",인턴현황!$K$2=""),"",INDEX(인턴근무계획!$M$3:$R$62,$AC280,인턴현황!$K$2)&amp;""),1)&lt;&gt;"⚠"),LEFT(IF(OR($AC280="",인턴현황!$K$2=""),"",INDEX(인턴근무계획!$M$3:$R$62,$AC280,인턴현황!$K$2)&amp;""),FIND(" ",IF(OR($AC280="",인턴현황!$K$2=""),"",INDEX(인턴근무계획!$M$3:$R$62,$AC280,인턴현황!$K$2)&amp;""))-1),$AE280))</f>
        <v/>
      </c>
      <c r="AH280" s="17">
        <f>IF($B280="","",IF(TRIM($J280&amp;"")="",0,SUMPRODUCT((파견수련계획!$Q$4:$Q$83=TRIM($J280&amp;""))*(파견수련계획!$S$4:$S$83="서울병원")*파견수련계획!$W$4:$W$83))+IF($AG280="서울병원",MAX(0,DAY(EOMONTH(요약!$B$3,0))-N($X280)),0))</f>
        <v/>
      </c>
      <c r="AI280" s="17">
        <f>IF($B280="","",IF(TRIM($J280&amp;"")="",0,SUMPRODUCT((파견수련계획!$Q$4:$Q$83=TRIM($J280&amp;""))*(파견수련계획!$S$4:$S$83="구리병원")*파견수련계획!$W$4:$W$83))+IF($AG280="구리병원",MAX(0,DAY(EOMONTH(요약!$B$3,0))-N($X280)),0))</f>
        <v/>
      </c>
      <c r="AJ280" s="10">
        <f>IF(OR($B280="",TRIM($J280&amp;"")=""),"",IFERROR(MATCH(TRIM($J280&amp;"")&amp;"|월",파견수련계획!$Z$4:$Z$83,0),""))</f>
        <v/>
      </c>
      <c r="AK280" s="10">
        <f>IF(OR($B280="",TRIM($J280&amp;"")=""),"",IFERROR(MATCH(TRIM($J280&amp;"")&amp;"|다기관",파견수련계획!$AE$4:$AE$83,0),""))</f>
        <v/>
      </c>
      <c r="AL280" s="10">
        <f>IF($AK280="","","다기관 "&amp;TEXT(INDEX(파견수련계획!$AB$4:$AB$83,$AK280),"yyyy-mm-dd")&amp;"~"&amp;IF(ISNUMBER(INDEX(파견수련계획!$AC$4:$AC$83,$AK280)),TEXT(INDEX(파견수련계획!$AC$4:$AC$83,$AK280),"yyyy-mm-dd"),""))</f>
        <v/>
      </c>
    </row>
    <row r="281">
      <c r="A281" s="10">
        <f>IF(B281="","",ROW()-1)</f>
        <v/>
      </c>
      <c r="B281" s="18" t="n"/>
      <c r="C281" s="10">
        <f>IF($AB281="","",IF(INDEX(기본자료!$C$2:$C$1001,$AB281)="","",INDEX(기본자료!$C$2:$C$1001,$AB281)))</f>
        <v/>
      </c>
      <c r="D281" s="10">
        <f>IF($AB281="","",IF(INDEX(기본자료!$J$2:$J$1001,$AB281)="","",INDEX(기본자료!$J$2:$J$1001,$AB281)))</f>
        <v/>
      </c>
      <c r="E281" s="11">
        <f>IF($AB281="","",IF(INDEX(기본자료!$K$2:$K$1001,$AB281)="","",IF(NOT(ISNUMBER(INDEX(기본자료!$K$2:$K$1001,$AB281))),INDEX(기본자료!$K$2:$K$1001,$AB281),IF(INDEX(기본자료!$K$2:$K$1001,$AB281)&lt;1000000,INDEX(기본자료!$K$2:$K$1001,$AB281),IF(AND(INDEX(기본자료!$K$2:$K$1001,$AB281)&gt;=10000101,INT(MOD(INDEX(기본자료!$K$2:$K$1001,$AB281),10000)/100)&gt;=1,INT(MOD(INDEX(기본자료!$K$2:$K$1001,$AB281),10000)/100)&lt;=12,MOD(INDEX(기본자료!$K$2:$K$1001,$AB281),100)&gt;=1,MOD(INDEX(기본자료!$K$2:$K$1001,$AB281),100)&lt;=31),DATE(INT(INDEX(기본자료!$K$2:$K$1001,$AB281)/10000),INT(MOD(INDEX(기본자료!$K$2:$K$1001,$AB281),10000)/100),MOD(INDEX(기본자료!$K$2:$K$1001,$AB281),100)),INDEX(기본자료!$K$2:$K$1001,$AB281)&amp;"")))))</f>
        <v/>
      </c>
      <c r="F281" s="10">
        <f>IF($AB281="","",IF(INDEX(기본자료!$D$2:$D$1001,$AB281)="","",INDEX(기본자료!$D$2:$D$1001,$AB281)))</f>
        <v/>
      </c>
      <c r="G281" s="10">
        <f>IF($AB281="","",IF(INDEX(기본자료!$E$2:$E$1001,$AB281)="","",INDEX(기본자료!$E$2:$E$1001,$AB281)))</f>
        <v/>
      </c>
      <c r="H281" s="10">
        <f>IF($AB281="","",IF(INDEX(기본자료!$F$2:$F$1001,$AB281)="","",INDEX(기본자료!$F$2:$F$1001,$AB281)))</f>
        <v/>
      </c>
      <c r="I281" s="11">
        <f>IF($AB281="","",IF(INDEX(기본자료!$G$2:$G$1001,$AB281)="","",IF(NOT(ISNUMBER(INDEX(기본자료!$G$2:$G$1001,$AB281))),INDEX(기본자료!$G$2:$G$1001,$AB281),IF(INDEX(기본자료!$G$2:$G$1001,$AB281)&lt;1000000,INDEX(기본자료!$G$2:$G$1001,$AB281),IF(AND(INDEX(기본자료!$G$2:$G$1001,$AB281)&gt;=10000101,INT(MOD(INDEX(기본자료!$G$2:$G$1001,$AB281),10000)/100)&gt;=1,INT(MOD(INDEX(기본자료!$G$2:$G$1001,$AB281),10000)/100)&lt;=12,MOD(INDEX(기본자료!$G$2:$G$1001,$AB281),100)&gt;=1,MOD(INDEX(기본자료!$G$2:$G$1001,$AB281),100)&lt;=31),DATE(INT(INDEX(기본자료!$G$2:$G$1001,$AB281)/10000),INT(MOD(INDEX(기본자료!$G$2:$G$1001,$AB281),10000)/100),MOD(INDEX(기본자료!$G$2:$G$1001,$AB281),100)),INDEX(기본자료!$G$2:$G$1001,$AB281)&amp;"")))))</f>
        <v/>
      </c>
      <c r="J281" s="10">
        <f>IF($AB281="","",IF(INDEX(기본자료!$H$2:$H$1001,$AB281)="","",INDEX(기본자료!$H$2:$H$1001,$AB281)))</f>
        <v/>
      </c>
      <c r="K281" s="10">
        <f>IF($AB281="","",IF(INDEX(기본자료!$I$2:$I$1001,$AB281)="","",INDEX(기본자료!$I$2:$I$1001,$AB281)))</f>
        <v/>
      </c>
      <c r="L281" s="10">
        <f>IF($AB281="","",IF(INDEX(기본자료!$A$2:$A$1001,$AB281)="","",INDEX(기본자료!$A$2:$A$1001,$AB281)))</f>
        <v/>
      </c>
      <c r="M281" s="15" t="n"/>
      <c r="N281" s="10">
        <f>IF($B281="","",IF(AND($U281="파견중",$Q281&lt;&gt;""),$Q281,IF(AND($AD281&lt;&gt;"",LEFT($AD281,1)&lt;&gt;"⚠"),LEFT($AD281,FIND(" ",$AD281)-1),IF($H281="","",IF(RIGHT($H281,2)="병원",$H281,$H281&amp;"병원")))))</f>
        <v/>
      </c>
      <c r="O281" s="10">
        <f>IF($B281="","",IF(AND($U281="파견중",$Q281&lt;&gt;""),IF($R281&lt;&gt;"",$R281,"파견과 미입력"),IF(AND($AD281&lt;&gt;"",LEFT($AD281,1)&lt;&gt;"⚠"),MID($AD281,FIND(" ",$AD281)+1,60),IF($F281="","",IF($F281="인턴","수련교육부(인턴)",$F281)))))</f>
        <v/>
      </c>
      <c r="P281" s="10">
        <f>IF($B281="","",IF($AK281&lt;&gt;"",IF(AND(TODAY()&gt;=INDEX(파견수련계획!$AB$4:$AB$83,$AK281),OR(NOT(ISNUMBER(INDEX(파견수련계획!$AC$4:$AC$83,$AK281))),TODAY()&lt;=INDEX(파견수련계획!$AC$4:$AC$83,$AK281))),"다기관",IF($AF281="","",INDEX(파견수련계획!$T$4:$T$83,$AF281))),IF($AF281="","",INDEX(파견수련계획!$T$4:$T$83,$AF281))))</f>
        <v/>
      </c>
      <c r="Q281" s="10">
        <f>IF($AF281="","",INDEX(파견수련계획!$S$4:$S$83,$AF281))</f>
        <v/>
      </c>
      <c r="R281" s="10">
        <f>IF($AF281="","",INDEX(파견수련계획!$U$4:$U$83,$AF281))</f>
        <v/>
      </c>
      <c r="S281" s="11">
        <f>IF($AF281="","",IF(INDEX(파견수련계획!$H$4:$H$83,$AF281)="","",INDEX(파견수련계획!$H$4:$H$83,$AF281)))</f>
        <v/>
      </c>
      <c r="T281" s="11">
        <f>IF($AF281="","",IF(INDEX(파견수련계획!$I$4:$I$83,$AF281)="","",INDEX(파견수련계획!$I$4:$I$83,$AF281)))</f>
        <v/>
      </c>
      <c r="U281" s="10">
        <f>IF($AF281="","",INDEX(파견수련계획!$X$4:$X$83,$AF281))</f>
        <v/>
      </c>
      <c r="V281" s="17">
        <f>IF($AF281="","",INDEX(파견수련계획!$V$4:$V$83,$AF281))</f>
        <v/>
      </c>
      <c r="W281" s="17">
        <f>IF(AND($U281="파견중",$T281&lt;&gt;""),$T281-TODAY(),"")</f>
        <v/>
      </c>
      <c r="X281" s="17">
        <f>IF(OR($B281="",TRIM($J281&amp;"")=""),"",SUMPRODUCT((파견수련계획!$Q$4:$Q$83=TRIM($J281&amp;""))*파견수련계획!$W$4:$W$83))</f>
        <v/>
      </c>
      <c r="Y281" s="10">
        <f>IF($B281="","",IF($AG281="","",IF(IF(TRIM($J281&amp;"")="",0,SUMPRODUCT((파견수련계획!$Q$4:$Q$83=TRIM($J281&amp;""))*파견수련계획!$AD$4:$AD$83))&gt;0,$AE281,IF(N($X281)&lt;=0,$AG281,IF($AH281+$AI281=DAY(EOMONTH(요약!$B$3,0)),IF(AND($AH281&gt;=요약!$E$3,$AI281&lt;요약!$E$3),"서울병원",IF(AND($AI281&gt;=요약!$E$3,$AH281&lt;요약!$E$3),"구리병원","⚠15일 판정불가(서울 "&amp;$AH281&amp;"일/구리 "&amp;$AI281&amp;"일)")),IF($AJ281="",$AE281,IF(INDEX(파견수련계획!$T$4:$T$83,$AJ281)="통합수련",INDEX(파견수련계획!$S$4:$S$83,$AJ281),$AE281)))))))</f>
        <v/>
      </c>
      <c r="Z281" s="19">
        <f>IF($B281="","",IF($AB281="","기본자료에 없는 사번",IF(COUNTIF($B$2:$B$401,$B281)&gt;1,"중복 사번",IF($AE281="","소속(입사장소) 입력",IF(IF(TRIM($J281&amp;"")="",0,SUMPRODUCT((파견수련계획!$Q$4:$Q$83=TRIM($J281&amp;""))*(파견수련계획!$AA$4:$AA$83&lt;&gt;"")))&gt;0,"파견수련계획 입력오류 확인",IF(LEFT($Y281,1)="⚠","서울·구리 15일 판정 불가(양쪽 모두 이상/미만)",IF(IF($AC281="",0,N(INDEX(인턴근무계획!$T$3:$T$62,$AC281)))&gt;0,"인턴계획 입력오류 확인",IF(AND($AC281&lt;&gt;"",$U281&lt;&gt;"파견중",$N281&lt;&gt;$AE281),"인턴 타지역 근무: 파견 여부 확인","정상"))))))))</f>
        <v/>
      </c>
      <c r="AA281" s="5" t="n"/>
      <c r="AB281" s="10">
        <f>IF($B281="","",IFERROR(MATCH($B281,기본자료!$B$2:$B$1001,0),IFERROR(MATCH($B281&amp;"",기본자료!$B$2:$B$1001,0),IFERROR(MATCH(VALUE($B281),기본자료!$B$2:$B$1001,0),""))))</f>
        <v/>
      </c>
      <c r="AC281" s="10">
        <f>IF($B281="","",IFERROR(MATCH($B281,인턴근무계획!$D$3:$D$62,0),IFERROR(MATCH($B281&amp;"",인턴근무계획!$D$3:$D$62,0),IFERROR(MATCH(VALUE($B281),인턴근무계획!$D$3:$D$62,0),""))))</f>
        <v/>
      </c>
      <c r="AD281" s="10">
        <f>IF(OR($AC281="",인턴현황!$G$3=""),"",INDEX(인턴근무계획!$M$3:$R$62,$AC281,인턴현황!$G$3)&amp;"")</f>
        <v/>
      </c>
      <c r="AE281" s="10">
        <f>IF($B281="","",IF($M281&lt;&gt;"",$M281,IF($AF281&lt;&gt;"",IF(LEFT(INDEX(파견수련계획!$R$4:$R$83,$AF281),1)&lt;&gt;"⚠",INDEX(파견수련계획!$R$4:$R$83,$AF281),IF($H281="","",IF(RIGHT($H281,2)="병원",$H281,$H281&amp;"병원"))),IF($H281="","",IF(RIGHT($H281,2)="병원",$H281,$H281&amp;"병원")))))</f>
        <v/>
      </c>
      <c r="AF281" s="10">
        <f>IF(OR($B281="",TRIM($J281&amp;"")=""),"",IFERROR(MATCH(TRIM($J281&amp;"")&amp;"|파견중",파견수련계획!$Y$4:$Y$83,0),IFERROR(MATCH(TRIM($J281&amp;"")&amp;"|파견예정",파견수련계획!$Y$4:$Y$83,0),IFERROR(MATCH(TRIM($J281&amp;"")&amp;"|파견종료",파견수련계획!$Y$4:$Y$83,0),""))))</f>
        <v/>
      </c>
      <c r="AG281" s="10">
        <f>IF($B281="","",IF(AND(IF(OR($AC281="",인턴현황!$K$2=""),"",INDEX(인턴근무계획!$M$3:$R$62,$AC281,인턴현황!$K$2)&amp;"")&lt;&gt;"",LEFT(IF(OR($AC281="",인턴현황!$K$2=""),"",INDEX(인턴근무계획!$M$3:$R$62,$AC281,인턴현황!$K$2)&amp;""),1)&lt;&gt;"⚠"),LEFT(IF(OR($AC281="",인턴현황!$K$2=""),"",INDEX(인턴근무계획!$M$3:$R$62,$AC281,인턴현황!$K$2)&amp;""),FIND(" ",IF(OR($AC281="",인턴현황!$K$2=""),"",INDEX(인턴근무계획!$M$3:$R$62,$AC281,인턴현황!$K$2)&amp;""))-1),$AE281))</f>
        <v/>
      </c>
      <c r="AH281" s="17">
        <f>IF($B281="","",IF(TRIM($J281&amp;"")="",0,SUMPRODUCT((파견수련계획!$Q$4:$Q$83=TRIM($J281&amp;""))*(파견수련계획!$S$4:$S$83="서울병원")*파견수련계획!$W$4:$W$83))+IF($AG281="서울병원",MAX(0,DAY(EOMONTH(요약!$B$3,0))-N($X281)),0))</f>
        <v/>
      </c>
      <c r="AI281" s="17">
        <f>IF($B281="","",IF(TRIM($J281&amp;"")="",0,SUMPRODUCT((파견수련계획!$Q$4:$Q$83=TRIM($J281&amp;""))*(파견수련계획!$S$4:$S$83="구리병원")*파견수련계획!$W$4:$W$83))+IF($AG281="구리병원",MAX(0,DAY(EOMONTH(요약!$B$3,0))-N($X281)),0))</f>
        <v/>
      </c>
      <c r="AJ281" s="10">
        <f>IF(OR($B281="",TRIM($J281&amp;"")=""),"",IFERROR(MATCH(TRIM($J281&amp;"")&amp;"|월",파견수련계획!$Z$4:$Z$83,0),""))</f>
        <v/>
      </c>
      <c r="AK281" s="10">
        <f>IF(OR($B281="",TRIM($J281&amp;"")=""),"",IFERROR(MATCH(TRIM($J281&amp;"")&amp;"|다기관",파견수련계획!$AE$4:$AE$83,0),""))</f>
        <v/>
      </c>
      <c r="AL281" s="10">
        <f>IF($AK281="","","다기관 "&amp;TEXT(INDEX(파견수련계획!$AB$4:$AB$83,$AK281),"yyyy-mm-dd")&amp;"~"&amp;IF(ISNUMBER(INDEX(파견수련계획!$AC$4:$AC$83,$AK281)),TEXT(INDEX(파견수련계획!$AC$4:$AC$83,$AK281),"yyyy-mm-dd"),""))</f>
        <v/>
      </c>
    </row>
    <row r="282">
      <c r="A282" s="10">
        <f>IF(B282="","",ROW()-1)</f>
        <v/>
      </c>
      <c r="B282" s="18" t="n"/>
      <c r="C282" s="10">
        <f>IF($AB282="","",IF(INDEX(기본자료!$C$2:$C$1001,$AB282)="","",INDEX(기본자료!$C$2:$C$1001,$AB282)))</f>
        <v/>
      </c>
      <c r="D282" s="10">
        <f>IF($AB282="","",IF(INDEX(기본자료!$J$2:$J$1001,$AB282)="","",INDEX(기본자료!$J$2:$J$1001,$AB282)))</f>
        <v/>
      </c>
      <c r="E282" s="11">
        <f>IF($AB282="","",IF(INDEX(기본자료!$K$2:$K$1001,$AB282)="","",IF(NOT(ISNUMBER(INDEX(기본자료!$K$2:$K$1001,$AB282))),INDEX(기본자료!$K$2:$K$1001,$AB282),IF(INDEX(기본자료!$K$2:$K$1001,$AB282)&lt;1000000,INDEX(기본자료!$K$2:$K$1001,$AB282),IF(AND(INDEX(기본자료!$K$2:$K$1001,$AB282)&gt;=10000101,INT(MOD(INDEX(기본자료!$K$2:$K$1001,$AB282),10000)/100)&gt;=1,INT(MOD(INDEX(기본자료!$K$2:$K$1001,$AB282),10000)/100)&lt;=12,MOD(INDEX(기본자료!$K$2:$K$1001,$AB282),100)&gt;=1,MOD(INDEX(기본자료!$K$2:$K$1001,$AB282),100)&lt;=31),DATE(INT(INDEX(기본자료!$K$2:$K$1001,$AB282)/10000),INT(MOD(INDEX(기본자료!$K$2:$K$1001,$AB282),10000)/100),MOD(INDEX(기본자료!$K$2:$K$1001,$AB282),100)),INDEX(기본자료!$K$2:$K$1001,$AB282)&amp;"")))))</f>
        <v/>
      </c>
      <c r="F282" s="10">
        <f>IF($AB282="","",IF(INDEX(기본자료!$D$2:$D$1001,$AB282)="","",INDEX(기본자료!$D$2:$D$1001,$AB282)))</f>
        <v/>
      </c>
      <c r="G282" s="10">
        <f>IF($AB282="","",IF(INDEX(기본자료!$E$2:$E$1001,$AB282)="","",INDEX(기본자료!$E$2:$E$1001,$AB282)))</f>
        <v/>
      </c>
      <c r="H282" s="10">
        <f>IF($AB282="","",IF(INDEX(기본자료!$F$2:$F$1001,$AB282)="","",INDEX(기본자료!$F$2:$F$1001,$AB282)))</f>
        <v/>
      </c>
      <c r="I282" s="11">
        <f>IF($AB282="","",IF(INDEX(기본자료!$G$2:$G$1001,$AB282)="","",IF(NOT(ISNUMBER(INDEX(기본자료!$G$2:$G$1001,$AB282))),INDEX(기본자료!$G$2:$G$1001,$AB282),IF(INDEX(기본자료!$G$2:$G$1001,$AB282)&lt;1000000,INDEX(기본자료!$G$2:$G$1001,$AB282),IF(AND(INDEX(기본자료!$G$2:$G$1001,$AB282)&gt;=10000101,INT(MOD(INDEX(기본자료!$G$2:$G$1001,$AB282),10000)/100)&gt;=1,INT(MOD(INDEX(기본자료!$G$2:$G$1001,$AB282),10000)/100)&lt;=12,MOD(INDEX(기본자료!$G$2:$G$1001,$AB282),100)&gt;=1,MOD(INDEX(기본자료!$G$2:$G$1001,$AB282),100)&lt;=31),DATE(INT(INDEX(기본자료!$G$2:$G$1001,$AB282)/10000),INT(MOD(INDEX(기본자료!$G$2:$G$1001,$AB282),10000)/100),MOD(INDEX(기본자료!$G$2:$G$1001,$AB282),100)),INDEX(기본자료!$G$2:$G$1001,$AB282)&amp;"")))))</f>
        <v/>
      </c>
      <c r="J282" s="10">
        <f>IF($AB282="","",IF(INDEX(기본자료!$H$2:$H$1001,$AB282)="","",INDEX(기본자료!$H$2:$H$1001,$AB282)))</f>
        <v/>
      </c>
      <c r="K282" s="10">
        <f>IF($AB282="","",IF(INDEX(기본자료!$I$2:$I$1001,$AB282)="","",INDEX(기본자료!$I$2:$I$1001,$AB282)))</f>
        <v/>
      </c>
      <c r="L282" s="10">
        <f>IF($AB282="","",IF(INDEX(기본자료!$A$2:$A$1001,$AB282)="","",INDEX(기본자료!$A$2:$A$1001,$AB282)))</f>
        <v/>
      </c>
      <c r="M282" s="15" t="n"/>
      <c r="N282" s="10">
        <f>IF($B282="","",IF(AND($U282="파견중",$Q282&lt;&gt;""),$Q282,IF(AND($AD282&lt;&gt;"",LEFT($AD282,1)&lt;&gt;"⚠"),LEFT($AD282,FIND(" ",$AD282)-1),IF($H282="","",IF(RIGHT($H282,2)="병원",$H282,$H282&amp;"병원")))))</f>
        <v/>
      </c>
      <c r="O282" s="10">
        <f>IF($B282="","",IF(AND($U282="파견중",$Q282&lt;&gt;""),IF($R282&lt;&gt;"",$R282,"파견과 미입력"),IF(AND($AD282&lt;&gt;"",LEFT($AD282,1)&lt;&gt;"⚠"),MID($AD282,FIND(" ",$AD282)+1,60),IF($F282="","",IF($F282="인턴","수련교육부(인턴)",$F282)))))</f>
        <v/>
      </c>
      <c r="P282" s="10">
        <f>IF($B282="","",IF($AK282&lt;&gt;"",IF(AND(TODAY()&gt;=INDEX(파견수련계획!$AB$4:$AB$83,$AK282),OR(NOT(ISNUMBER(INDEX(파견수련계획!$AC$4:$AC$83,$AK282))),TODAY()&lt;=INDEX(파견수련계획!$AC$4:$AC$83,$AK282))),"다기관",IF($AF282="","",INDEX(파견수련계획!$T$4:$T$83,$AF282))),IF($AF282="","",INDEX(파견수련계획!$T$4:$T$83,$AF282))))</f>
        <v/>
      </c>
      <c r="Q282" s="10">
        <f>IF($AF282="","",INDEX(파견수련계획!$S$4:$S$83,$AF282))</f>
        <v/>
      </c>
      <c r="R282" s="10">
        <f>IF($AF282="","",INDEX(파견수련계획!$U$4:$U$83,$AF282))</f>
        <v/>
      </c>
      <c r="S282" s="11">
        <f>IF($AF282="","",IF(INDEX(파견수련계획!$H$4:$H$83,$AF282)="","",INDEX(파견수련계획!$H$4:$H$83,$AF282)))</f>
        <v/>
      </c>
      <c r="T282" s="11">
        <f>IF($AF282="","",IF(INDEX(파견수련계획!$I$4:$I$83,$AF282)="","",INDEX(파견수련계획!$I$4:$I$83,$AF282)))</f>
        <v/>
      </c>
      <c r="U282" s="10">
        <f>IF($AF282="","",INDEX(파견수련계획!$X$4:$X$83,$AF282))</f>
        <v/>
      </c>
      <c r="V282" s="17">
        <f>IF($AF282="","",INDEX(파견수련계획!$V$4:$V$83,$AF282))</f>
        <v/>
      </c>
      <c r="W282" s="17">
        <f>IF(AND($U282="파견중",$T282&lt;&gt;""),$T282-TODAY(),"")</f>
        <v/>
      </c>
      <c r="X282" s="17">
        <f>IF(OR($B282="",TRIM($J282&amp;"")=""),"",SUMPRODUCT((파견수련계획!$Q$4:$Q$83=TRIM($J282&amp;""))*파견수련계획!$W$4:$W$83))</f>
        <v/>
      </c>
      <c r="Y282" s="10">
        <f>IF($B282="","",IF($AG282="","",IF(IF(TRIM($J282&amp;"")="",0,SUMPRODUCT((파견수련계획!$Q$4:$Q$83=TRIM($J282&amp;""))*파견수련계획!$AD$4:$AD$83))&gt;0,$AE282,IF(N($X282)&lt;=0,$AG282,IF($AH282+$AI282=DAY(EOMONTH(요약!$B$3,0)),IF(AND($AH282&gt;=요약!$E$3,$AI282&lt;요약!$E$3),"서울병원",IF(AND($AI282&gt;=요약!$E$3,$AH282&lt;요약!$E$3),"구리병원","⚠15일 판정불가(서울 "&amp;$AH282&amp;"일/구리 "&amp;$AI282&amp;"일)")),IF($AJ282="",$AE282,IF(INDEX(파견수련계획!$T$4:$T$83,$AJ282)="통합수련",INDEX(파견수련계획!$S$4:$S$83,$AJ282),$AE282)))))))</f>
        <v/>
      </c>
      <c r="Z282" s="19">
        <f>IF($B282="","",IF($AB282="","기본자료에 없는 사번",IF(COUNTIF($B$2:$B$401,$B282)&gt;1,"중복 사번",IF($AE282="","소속(입사장소) 입력",IF(IF(TRIM($J282&amp;"")="",0,SUMPRODUCT((파견수련계획!$Q$4:$Q$83=TRIM($J282&amp;""))*(파견수련계획!$AA$4:$AA$83&lt;&gt;"")))&gt;0,"파견수련계획 입력오류 확인",IF(LEFT($Y282,1)="⚠","서울·구리 15일 판정 불가(양쪽 모두 이상/미만)",IF(IF($AC282="",0,N(INDEX(인턴근무계획!$T$3:$T$62,$AC282)))&gt;0,"인턴계획 입력오류 확인",IF(AND($AC282&lt;&gt;"",$U282&lt;&gt;"파견중",$N282&lt;&gt;$AE282),"인턴 타지역 근무: 파견 여부 확인","정상"))))))))</f>
        <v/>
      </c>
      <c r="AA282" s="5" t="n"/>
      <c r="AB282" s="10">
        <f>IF($B282="","",IFERROR(MATCH($B282,기본자료!$B$2:$B$1001,0),IFERROR(MATCH($B282&amp;"",기본자료!$B$2:$B$1001,0),IFERROR(MATCH(VALUE($B282),기본자료!$B$2:$B$1001,0),""))))</f>
        <v/>
      </c>
      <c r="AC282" s="10">
        <f>IF($B282="","",IFERROR(MATCH($B282,인턴근무계획!$D$3:$D$62,0),IFERROR(MATCH($B282&amp;"",인턴근무계획!$D$3:$D$62,0),IFERROR(MATCH(VALUE($B282),인턴근무계획!$D$3:$D$62,0),""))))</f>
        <v/>
      </c>
      <c r="AD282" s="10">
        <f>IF(OR($AC282="",인턴현황!$G$3=""),"",INDEX(인턴근무계획!$M$3:$R$62,$AC282,인턴현황!$G$3)&amp;"")</f>
        <v/>
      </c>
      <c r="AE282" s="10">
        <f>IF($B282="","",IF($M282&lt;&gt;"",$M282,IF($AF282&lt;&gt;"",IF(LEFT(INDEX(파견수련계획!$R$4:$R$83,$AF282),1)&lt;&gt;"⚠",INDEX(파견수련계획!$R$4:$R$83,$AF282),IF($H282="","",IF(RIGHT($H282,2)="병원",$H282,$H282&amp;"병원"))),IF($H282="","",IF(RIGHT($H282,2)="병원",$H282,$H282&amp;"병원")))))</f>
        <v/>
      </c>
      <c r="AF282" s="10">
        <f>IF(OR($B282="",TRIM($J282&amp;"")=""),"",IFERROR(MATCH(TRIM($J282&amp;"")&amp;"|파견중",파견수련계획!$Y$4:$Y$83,0),IFERROR(MATCH(TRIM($J282&amp;"")&amp;"|파견예정",파견수련계획!$Y$4:$Y$83,0),IFERROR(MATCH(TRIM($J282&amp;"")&amp;"|파견종료",파견수련계획!$Y$4:$Y$83,0),""))))</f>
        <v/>
      </c>
      <c r="AG282" s="10">
        <f>IF($B282="","",IF(AND(IF(OR($AC282="",인턴현황!$K$2=""),"",INDEX(인턴근무계획!$M$3:$R$62,$AC282,인턴현황!$K$2)&amp;"")&lt;&gt;"",LEFT(IF(OR($AC282="",인턴현황!$K$2=""),"",INDEX(인턴근무계획!$M$3:$R$62,$AC282,인턴현황!$K$2)&amp;""),1)&lt;&gt;"⚠"),LEFT(IF(OR($AC282="",인턴현황!$K$2=""),"",INDEX(인턴근무계획!$M$3:$R$62,$AC282,인턴현황!$K$2)&amp;""),FIND(" ",IF(OR($AC282="",인턴현황!$K$2=""),"",INDEX(인턴근무계획!$M$3:$R$62,$AC282,인턴현황!$K$2)&amp;""))-1),$AE282))</f>
        <v/>
      </c>
      <c r="AH282" s="17">
        <f>IF($B282="","",IF(TRIM($J282&amp;"")="",0,SUMPRODUCT((파견수련계획!$Q$4:$Q$83=TRIM($J282&amp;""))*(파견수련계획!$S$4:$S$83="서울병원")*파견수련계획!$W$4:$W$83))+IF($AG282="서울병원",MAX(0,DAY(EOMONTH(요약!$B$3,0))-N($X282)),0))</f>
        <v/>
      </c>
      <c r="AI282" s="17">
        <f>IF($B282="","",IF(TRIM($J282&amp;"")="",0,SUMPRODUCT((파견수련계획!$Q$4:$Q$83=TRIM($J282&amp;""))*(파견수련계획!$S$4:$S$83="구리병원")*파견수련계획!$W$4:$W$83))+IF($AG282="구리병원",MAX(0,DAY(EOMONTH(요약!$B$3,0))-N($X282)),0))</f>
        <v/>
      </c>
      <c r="AJ282" s="10">
        <f>IF(OR($B282="",TRIM($J282&amp;"")=""),"",IFERROR(MATCH(TRIM($J282&amp;"")&amp;"|월",파견수련계획!$Z$4:$Z$83,0),""))</f>
        <v/>
      </c>
      <c r="AK282" s="10">
        <f>IF(OR($B282="",TRIM($J282&amp;"")=""),"",IFERROR(MATCH(TRIM($J282&amp;"")&amp;"|다기관",파견수련계획!$AE$4:$AE$83,0),""))</f>
        <v/>
      </c>
      <c r="AL282" s="10">
        <f>IF($AK282="","","다기관 "&amp;TEXT(INDEX(파견수련계획!$AB$4:$AB$83,$AK282),"yyyy-mm-dd")&amp;"~"&amp;IF(ISNUMBER(INDEX(파견수련계획!$AC$4:$AC$83,$AK282)),TEXT(INDEX(파견수련계획!$AC$4:$AC$83,$AK282),"yyyy-mm-dd"),""))</f>
        <v/>
      </c>
    </row>
    <row r="283">
      <c r="A283" s="10">
        <f>IF(B283="","",ROW()-1)</f>
        <v/>
      </c>
      <c r="B283" s="18" t="n"/>
      <c r="C283" s="10">
        <f>IF($AB283="","",IF(INDEX(기본자료!$C$2:$C$1001,$AB283)="","",INDEX(기본자료!$C$2:$C$1001,$AB283)))</f>
        <v/>
      </c>
      <c r="D283" s="10">
        <f>IF($AB283="","",IF(INDEX(기본자료!$J$2:$J$1001,$AB283)="","",INDEX(기본자료!$J$2:$J$1001,$AB283)))</f>
        <v/>
      </c>
      <c r="E283" s="11">
        <f>IF($AB283="","",IF(INDEX(기본자료!$K$2:$K$1001,$AB283)="","",IF(NOT(ISNUMBER(INDEX(기본자료!$K$2:$K$1001,$AB283))),INDEX(기본자료!$K$2:$K$1001,$AB283),IF(INDEX(기본자료!$K$2:$K$1001,$AB283)&lt;1000000,INDEX(기본자료!$K$2:$K$1001,$AB283),IF(AND(INDEX(기본자료!$K$2:$K$1001,$AB283)&gt;=10000101,INT(MOD(INDEX(기본자료!$K$2:$K$1001,$AB283),10000)/100)&gt;=1,INT(MOD(INDEX(기본자료!$K$2:$K$1001,$AB283),10000)/100)&lt;=12,MOD(INDEX(기본자료!$K$2:$K$1001,$AB283),100)&gt;=1,MOD(INDEX(기본자료!$K$2:$K$1001,$AB283),100)&lt;=31),DATE(INT(INDEX(기본자료!$K$2:$K$1001,$AB283)/10000),INT(MOD(INDEX(기본자료!$K$2:$K$1001,$AB283),10000)/100),MOD(INDEX(기본자료!$K$2:$K$1001,$AB283),100)),INDEX(기본자료!$K$2:$K$1001,$AB283)&amp;"")))))</f>
        <v/>
      </c>
      <c r="F283" s="10">
        <f>IF($AB283="","",IF(INDEX(기본자료!$D$2:$D$1001,$AB283)="","",INDEX(기본자료!$D$2:$D$1001,$AB283)))</f>
        <v/>
      </c>
      <c r="G283" s="10">
        <f>IF($AB283="","",IF(INDEX(기본자료!$E$2:$E$1001,$AB283)="","",INDEX(기본자료!$E$2:$E$1001,$AB283)))</f>
        <v/>
      </c>
      <c r="H283" s="10">
        <f>IF($AB283="","",IF(INDEX(기본자료!$F$2:$F$1001,$AB283)="","",INDEX(기본자료!$F$2:$F$1001,$AB283)))</f>
        <v/>
      </c>
      <c r="I283" s="11">
        <f>IF($AB283="","",IF(INDEX(기본자료!$G$2:$G$1001,$AB283)="","",IF(NOT(ISNUMBER(INDEX(기본자료!$G$2:$G$1001,$AB283))),INDEX(기본자료!$G$2:$G$1001,$AB283),IF(INDEX(기본자료!$G$2:$G$1001,$AB283)&lt;1000000,INDEX(기본자료!$G$2:$G$1001,$AB283),IF(AND(INDEX(기본자료!$G$2:$G$1001,$AB283)&gt;=10000101,INT(MOD(INDEX(기본자료!$G$2:$G$1001,$AB283),10000)/100)&gt;=1,INT(MOD(INDEX(기본자료!$G$2:$G$1001,$AB283),10000)/100)&lt;=12,MOD(INDEX(기본자료!$G$2:$G$1001,$AB283),100)&gt;=1,MOD(INDEX(기본자료!$G$2:$G$1001,$AB283),100)&lt;=31),DATE(INT(INDEX(기본자료!$G$2:$G$1001,$AB283)/10000),INT(MOD(INDEX(기본자료!$G$2:$G$1001,$AB283),10000)/100),MOD(INDEX(기본자료!$G$2:$G$1001,$AB283),100)),INDEX(기본자료!$G$2:$G$1001,$AB283)&amp;"")))))</f>
        <v/>
      </c>
      <c r="J283" s="10">
        <f>IF($AB283="","",IF(INDEX(기본자료!$H$2:$H$1001,$AB283)="","",INDEX(기본자료!$H$2:$H$1001,$AB283)))</f>
        <v/>
      </c>
      <c r="K283" s="10">
        <f>IF($AB283="","",IF(INDEX(기본자료!$I$2:$I$1001,$AB283)="","",INDEX(기본자료!$I$2:$I$1001,$AB283)))</f>
        <v/>
      </c>
      <c r="L283" s="10">
        <f>IF($AB283="","",IF(INDEX(기본자료!$A$2:$A$1001,$AB283)="","",INDEX(기본자료!$A$2:$A$1001,$AB283)))</f>
        <v/>
      </c>
      <c r="M283" s="15" t="n"/>
      <c r="N283" s="10">
        <f>IF($B283="","",IF(AND($U283="파견중",$Q283&lt;&gt;""),$Q283,IF(AND($AD283&lt;&gt;"",LEFT($AD283,1)&lt;&gt;"⚠"),LEFT($AD283,FIND(" ",$AD283)-1),IF($H283="","",IF(RIGHT($H283,2)="병원",$H283,$H283&amp;"병원")))))</f>
        <v/>
      </c>
      <c r="O283" s="10">
        <f>IF($B283="","",IF(AND($U283="파견중",$Q283&lt;&gt;""),IF($R283&lt;&gt;"",$R283,"파견과 미입력"),IF(AND($AD283&lt;&gt;"",LEFT($AD283,1)&lt;&gt;"⚠"),MID($AD283,FIND(" ",$AD283)+1,60),IF($F283="","",IF($F283="인턴","수련교육부(인턴)",$F283)))))</f>
        <v/>
      </c>
      <c r="P283" s="10">
        <f>IF($B283="","",IF($AK283&lt;&gt;"",IF(AND(TODAY()&gt;=INDEX(파견수련계획!$AB$4:$AB$83,$AK283),OR(NOT(ISNUMBER(INDEX(파견수련계획!$AC$4:$AC$83,$AK283))),TODAY()&lt;=INDEX(파견수련계획!$AC$4:$AC$83,$AK283))),"다기관",IF($AF283="","",INDEX(파견수련계획!$T$4:$T$83,$AF283))),IF($AF283="","",INDEX(파견수련계획!$T$4:$T$83,$AF283))))</f>
        <v/>
      </c>
      <c r="Q283" s="10">
        <f>IF($AF283="","",INDEX(파견수련계획!$S$4:$S$83,$AF283))</f>
        <v/>
      </c>
      <c r="R283" s="10">
        <f>IF($AF283="","",INDEX(파견수련계획!$U$4:$U$83,$AF283))</f>
        <v/>
      </c>
      <c r="S283" s="11">
        <f>IF($AF283="","",IF(INDEX(파견수련계획!$H$4:$H$83,$AF283)="","",INDEX(파견수련계획!$H$4:$H$83,$AF283)))</f>
        <v/>
      </c>
      <c r="T283" s="11">
        <f>IF($AF283="","",IF(INDEX(파견수련계획!$I$4:$I$83,$AF283)="","",INDEX(파견수련계획!$I$4:$I$83,$AF283)))</f>
        <v/>
      </c>
      <c r="U283" s="10">
        <f>IF($AF283="","",INDEX(파견수련계획!$X$4:$X$83,$AF283))</f>
        <v/>
      </c>
      <c r="V283" s="17">
        <f>IF($AF283="","",INDEX(파견수련계획!$V$4:$V$83,$AF283))</f>
        <v/>
      </c>
      <c r="W283" s="17">
        <f>IF(AND($U283="파견중",$T283&lt;&gt;""),$T283-TODAY(),"")</f>
        <v/>
      </c>
      <c r="X283" s="17">
        <f>IF(OR($B283="",TRIM($J283&amp;"")=""),"",SUMPRODUCT((파견수련계획!$Q$4:$Q$83=TRIM($J283&amp;""))*파견수련계획!$W$4:$W$83))</f>
        <v/>
      </c>
      <c r="Y283" s="10">
        <f>IF($B283="","",IF($AG283="","",IF(IF(TRIM($J283&amp;"")="",0,SUMPRODUCT((파견수련계획!$Q$4:$Q$83=TRIM($J283&amp;""))*파견수련계획!$AD$4:$AD$83))&gt;0,$AE283,IF(N($X283)&lt;=0,$AG283,IF($AH283+$AI283=DAY(EOMONTH(요약!$B$3,0)),IF(AND($AH283&gt;=요약!$E$3,$AI283&lt;요약!$E$3),"서울병원",IF(AND($AI283&gt;=요약!$E$3,$AH283&lt;요약!$E$3),"구리병원","⚠15일 판정불가(서울 "&amp;$AH283&amp;"일/구리 "&amp;$AI283&amp;"일)")),IF($AJ283="",$AE283,IF(INDEX(파견수련계획!$T$4:$T$83,$AJ283)="통합수련",INDEX(파견수련계획!$S$4:$S$83,$AJ283),$AE283)))))))</f>
        <v/>
      </c>
      <c r="Z283" s="19">
        <f>IF($B283="","",IF($AB283="","기본자료에 없는 사번",IF(COUNTIF($B$2:$B$401,$B283)&gt;1,"중복 사번",IF($AE283="","소속(입사장소) 입력",IF(IF(TRIM($J283&amp;"")="",0,SUMPRODUCT((파견수련계획!$Q$4:$Q$83=TRIM($J283&amp;""))*(파견수련계획!$AA$4:$AA$83&lt;&gt;"")))&gt;0,"파견수련계획 입력오류 확인",IF(LEFT($Y283,1)="⚠","서울·구리 15일 판정 불가(양쪽 모두 이상/미만)",IF(IF($AC283="",0,N(INDEX(인턴근무계획!$T$3:$T$62,$AC283)))&gt;0,"인턴계획 입력오류 확인",IF(AND($AC283&lt;&gt;"",$U283&lt;&gt;"파견중",$N283&lt;&gt;$AE283),"인턴 타지역 근무: 파견 여부 확인","정상"))))))))</f>
        <v/>
      </c>
      <c r="AA283" s="5" t="n"/>
      <c r="AB283" s="10">
        <f>IF($B283="","",IFERROR(MATCH($B283,기본자료!$B$2:$B$1001,0),IFERROR(MATCH($B283&amp;"",기본자료!$B$2:$B$1001,0),IFERROR(MATCH(VALUE($B283),기본자료!$B$2:$B$1001,0),""))))</f>
        <v/>
      </c>
      <c r="AC283" s="10">
        <f>IF($B283="","",IFERROR(MATCH($B283,인턴근무계획!$D$3:$D$62,0),IFERROR(MATCH($B283&amp;"",인턴근무계획!$D$3:$D$62,0),IFERROR(MATCH(VALUE($B283),인턴근무계획!$D$3:$D$62,0),""))))</f>
        <v/>
      </c>
      <c r="AD283" s="10">
        <f>IF(OR($AC283="",인턴현황!$G$3=""),"",INDEX(인턴근무계획!$M$3:$R$62,$AC283,인턴현황!$G$3)&amp;"")</f>
        <v/>
      </c>
      <c r="AE283" s="10">
        <f>IF($B283="","",IF($M283&lt;&gt;"",$M283,IF($AF283&lt;&gt;"",IF(LEFT(INDEX(파견수련계획!$R$4:$R$83,$AF283),1)&lt;&gt;"⚠",INDEX(파견수련계획!$R$4:$R$83,$AF283),IF($H283="","",IF(RIGHT($H283,2)="병원",$H283,$H283&amp;"병원"))),IF($H283="","",IF(RIGHT($H283,2)="병원",$H283,$H283&amp;"병원")))))</f>
        <v/>
      </c>
      <c r="AF283" s="10">
        <f>IF(OR($B283="",TRIM($J283&amp;"")=""),"",IFERROR(MATCH(TRIM($J283&amp;"")&amp;"|파견중",파견수련계획!$Y$4:$Y$83,0),IFERROR(MATCH(TRIM($J283&amp;"")&amp;"|파견예정",파견수련계획!$Y$4:$Y$83,0),IFERROR(MATCH(TRIM($J283&amp;"")&amp;"|파견종료",파견수련계획!$Y$4:$Y$83,0),""))))</f>
        <v/>
      </c>
      <c r="AG283" s="10">
        <f>IF($B283="","",IF(AND(IF(OR($AC283="",인턴현황!$K$2=""),"",INDEX(인턴근무계획!$M$3:$R$62,$AC283,인턴현황!$K$2)&amp;"")&lt;&gt;"",LEFT(IF(OR($AC283="",인턴현황!$K$2=""),"",INDEX(인턴근무계획!$M$3:$R$62,$AC283,인턴현황!$K$2)&amp;""),1)&lt;&gt;"⚠"),LEFT(IF(OR($AC283="",인턴현황!$K$2=""),"",INDEX(인턴근무계획!$M$3:$R$62,$AC283,인턴현황!$K$2)&amp;""),FIND(" ",IF(OR($AC283="",인턴현황!$K$2=""),"",INDEX(인턴근무계획!$M$3:$R$62,$AC283,인턴현황!$K$2)&amp;""))-1),$AE283))</f>
        <v/>
      </c>
      <c r="AH283" s="17">
        <f>IF($B283="","",IF(TRIM($J283&amp;"")="",0,SUMPRODUCT((파견수련계획!$Q$4:$Q$83=TRIM($J283&amp;""))*(파견수련계획!$S$4:$S$83="서울병원")*파견수련계획!$W$4:$W$83))+IF($AG283="서울병원",MAX(0,DAY(EOMONTH(요약!$B$3,0))-N($X283)),0))</f>
        <v/>
      </c>
      <c r="AI283" s="17">
        <f>IF($B283="","",IF(TRIM($J283&amp;"")="",0,SUMPRODUCT((파견수련계획!$Q$4:$Q$83=TRIM($J283&amp;""))*(파견수련계획!$S$4:$S$83="구리병원")*파견수련계획!$W$4:$W$83))+IF($AG283="구리병원",MAX(0,DAY(EOMONTH(요약!$B$3,0))-N($X283)),0))</f>
        <v/>
      </c>
      <c r="AJ283" s="10">
        <f>IF(OR($B283="",TRIM($J283&amp;"")=""),"",IFERROR(MATCH(TRIM($J283&amp;"")&amp;"|월",파견수련계획!$Z$4:$Z$83,0),""))</f>
        <v/>
      </c>
      <c r="AK283" s="10">
        <f>IF(OR($B283="",TRIM($J283&amp;"")=""),"",IFERROR(MATCH(TRIM($J283&amp;"")&amp;"|다기관",파견수련계획!$AE$4:$AE$83,0),""))</f>
        <v/>
      </c>
      <c r="AL283" s="10">
        <f>IF($AK283="","","다기관 "&amp;TEXT(INDEX(파견수련계획!$AB$4:$AB$83,$AK283),"yyyy-mm-dd")&amp;"~"&amp;IF(ISNUMBER(INDEX(파견수련계획!$AC$4:$AC$83,$AK283)),TEXT(INDEX(파견수련계획!$AC$4:$AC$83,$AK283),"yyyy-mm-dd"),""))</f>
        <v/>
      </c>
    </row>
    <row r="284">
      <c r="A284" s="10">
        <f>IF(B284="","",ROW()-1)</f>
        <v/>
      </c>
      <c r="B284" s="18" t="n"/>
      <c r="C284" s="10">
        <f>IF($AB284="","",IF(INDEX(기본자료!$C$2:$C$1001,$AB284)="","",INDEX(기본자료!$C$2:$C$1001,$AB284)))</f>
        <v/>
      </c>
      <c r="D284" s="10">
        <f>IF($AB284="","",IF(INDEX(기본자료!$J$2:$J$1001,$AB284)="","",INDEX(기본자료!$J$2:$J$1001,$AB284)))</f>
        <v/>
      </c>
      <c r="E284" s="11">
        <f>IF($AB284="","",IF(INDEX(기본자료!$K$2:$K$1001,$AB284)="","",IF(NOT(ISNUMBER(INDEX(기본자료!$K$2:$K$1001,$AB284))),INDEX(기본자료!$K$2:$K$1001,$AB284),IF(INDEX(기본자료!$K$2:$K$1001,$AB284)&lt;1000000,INDEX(기본자료!$K$2:$K$1001,$AB284),IF(AND(INDEX(기본자료!$K$2:$K$1001,$AB284)&gt;=10000101,INT(MOD(INDEX(기본자료!$K$2:$K$1001,$AB284),10000)/100)&gt;=1,INT(MOD(INDEX(기본자료!$K$2:$K$1001,$AB284),10000)/100)&lt;=12,MOD(INDEX(기본자료!$K$2:$K$1001,$AB284),100)&gt;=1,MOD(INDEX(기본자료!$K$2:$K$1001,$AB284),100)&lt;=31),DATE(INT(INDEX(기본자료!$K$2:$K$1001,$AB284)/10000),INT(MOD(INDEX(기본자료!$K$2:$K$1001,$AB284),10000)/100),MOD(INDEX(기본자료!$K$2:$K$1001,$AB284),100)),INDEX(기본자료!$K$2:$K$1001,$AB284)&amp;"")))))</f>
        <v/>
      </c>
      <c r="F284" s="10">
        <f>IF($AB284="","",IF(INDEX(기본자료!$D$2:$D$1001,$AB284)="","",INDEX(기본자료!$D$2:$D$1001,$AB284)))</f>
        <v/>
      </c>
      <c r="G284" s="10">
        <f>IF($AB284="","",IF(INDEX(기본자료!$E$2:$E$1001,$AB284)="","",INDEX(기본자료!$E$2:$E$1001,$AB284)))</f>
        <v/>
      </c>
      <c r="H284" s="10">
        <f>IF($AB284="","",IF(INDEX(기본자료!$F$2:$F$1001,$AB284)="","",INDEX(기본자료!$F$2:$F$1001,$AB284)))</f>
        <v/>
      </c>
      <c r="I284" s="11">
        <f>IF($AB284="","",IF(INDEX(기본자료!$G$2:$G$1001,$AB284)="","",IF(NOT(ISNUMBER(INDEX(기본자료!$G$2:$G$1001,$AB284))),INDEX(기본자료!$G$2:$G$1001,$AB284),IF(INDEX(기본자료!$G$2:$G$1001,$AB284)&lt;1000000,INDEX(기본자료!$G$2:$G$1001,$AB284),IF(AND(INDEX(기본자료!$G$2:$G$1001,$AB284)&gt;=10000101,INT(MOD(INDEX(기본자료!$G$2:$G$1001,$AB284),10000)/100)&gt;=1,INT(MOD(INDEX(기본자료!$G$2:$G$1001,$AB284),10000)/100)&lt;=12,MOD(INDEX(기본자료!$G$2:$G$1001,$AB284),100)&gt;=1,MOD(INDEX(기본자료!$G$2:$G$1001,$AB284),100)&lt;=31),DATE(INT(INDEX(기본자료!$G$2:$G$1001,$AB284)/10000),INT(MOD(INDEX(기본자료!$G$2:$G$1001,$AB284),10000)/100),MOD(INDEX(기본자료!$G$2:$G$1001,$AB284),100)),INDEX(기본자료!$G$2:$G$1001,$AB284)&amp;"")))))</f>
        <v/>
      </c>
      <c r="J284" s="10">
        <f>IF($AB284="","",IF(INDEX(기본자료!$H$2:$H$1001,$AB284)="","",INDEX(기본자료!$H$2:$H$1001,$AB284)))</f>
        <v/>
      </c>
      <c r="K284" s="10">
        <f>IF($AB284="","",IF(INDEX(기본자료!$I$2:$I$1001,$AB284)="","",INDEX(기본자료!$I$2:$I$1001,$AB284)))</f>
        <v/>
      </c>
      <c r="L284" s="10">
        <f>IF($AB284="","",IF(INDEX(기본자료!$A$2:$A$1001,$AB284)="","",INDEX(기본자료!$A$2:$A$1001,$AB284)))</f>
        <v/>
      </c>
      <c r="M284" s="15" t="n"/>
      <c r="N284" s="10">
        <f>IF($B284="","",IF(AND($U284="파견중",$Q284&lt;&gt;""),$Q284,IF(AND($AD284&lt;&gt;"",LEFT($AD284,1)&lt;&gt;"⚠"),LEFT($AD284,FIND(" ",$AD284)-1),IF($H284="","",IF(RIGHT($H284,2)="병원",$H284,$H284&amp;"병원")))))</f>
        <v/>
      </c>
      <c r="O284" s="10">
        <f>IF($B284="","",IF(AND($U284="파견중",$Q284&lt;&gt;""),IF($R284&lt;&gt;"",$R284,"파견과 미입력"),IF(AND($AD284&lt;&gt;"",LEFT($AD284,1)&lt;&gt;"⚠"),MID($AD284,FIND(" ",$AD284)+1,60),IF($F284="","",IF($F284="인턴","수련교육부(인턴)",$F284)))))</f>
        <v/>
      </c>
      <c r="P284" s="10">
        <f>IF($B284="","",IF($AK284&lt;&gt;"",IF(AND(TODAY()&gt;=INDEX(파견수련계획!$AB$4:$AB$83,$AK284),OR(NOT(ISNUMBER(INDEX(파견수련계획!$AC$4:$AC$83,$AK284))),TODAY()&lt;=INDEX(파견수련계획!$AC$4:$AC$83,$AK284))),"다기관",IF($AF284="","",INDEX(파견수련계획!$T$4:$T$83,$AF284))),IF($AF284="","",INDEX(파견수련계획!$T$4:$T$83,$AF284))))</f>
        <v/>
      </c>
      <c r="Q284" s="10">
        <f>IF($AF284="","",INDEX(파견수련계획!$S$4:$S$83,$AF284))</f>
        <v/>
      </c>
      <c r="R284" s="10">
        <f>IF($AF284="","",INDEX(파견수련계획!$U$4:$U$83,$AF284))</f>
        <v/>
      </c>
      <c r="S284" s="11">
        <f>IF($AF284="","",IF(INDEX(파견수련계획!$H$4:$H$83,$AF284)="","",INDEX(파견수련계획!$H$4:$H$83,$AF284)))</f>
        <v/>
      </c>
      <c r="T284" s="11">
        <f>IF($AF284="","",IF(INDEX(파견수련계획!$I$4:$I$83,$AF284)="","",INDEX(파견수련계획!$I$4:$I$83,$AF284)))</f>
        <v/>
      </c>
      <c r="U284" s="10">
        <f>IF($AF284="","",INDEX(파견수련계획!$X$4:$X$83,$AF284))</f>
        <v/>
      </c>
      <c r="V284" s="17">
        <f>IF($AF284="","",INDEX(파견수련계획!$V$4:$V$83,$AF284))</f>
        <v/>
      </c>
      <c r="W284" s="17">
        <f>IF(AND($U284="파견중",$T284&lt;&gt;""),$T284-TODAY(),"")</f>
        <v/>
      </c>
      <c r="X284" s="17">
        <f>IF(OR($B284="",TRIM($J284&amp;"")=""),"",SUMPRODUCT((파견수련계획!$Q$4:$Q$83=TRIM($J284&amp;""))*파견수련계획!$W$4:$W$83))</f>
        <v/>
      </c>
      <c r="Y284" s="10">
        <f>IF($B284="","",IF($AG284="","",IF(IF(TRIM($J284&amp;"")="",0,SUMPRODUCT((파견수련계획!$Q$4:$Q$83=TRIM($J284&amp;""))*파견수련계획!$AD$4:$AD$83))&gt;0,$AE284,IF(N($X284)&lt;=0,$AG284,IF($AH284+$AI284=DAY(EOMONTH(요약!$B$3,0)),IF(AND($AH284&gt;=요약!$E$3,$AI284&lt;요약!$E$3),"서울병원",IF(AND($AI284&gt;=요약!$E$3,$AH284&lt;요약!$E$3),"구리병원","⚠15일 판정불가(서울 "&amp;$AH284&amp;"일/구리 "&amp;$AI284&amp;"일)")),IF($AJ284="",$AE284,IF(INDEX(파견수련계획!$T$4:$T$83,$AJ284)="통합수련",INDEX(파견수련계획!$S$4:$S$83,$AJ284),$AE284)))))))</f>
        <v/>
      </c>
      <c r="Z284" s="19">
        <f>IF($B284="","",IF($AB284="","기본자료에 없는 사번",IF(COUNTIF($B$2:$B$401,$B284)&gt;1,"중복 사번",IF($AE284="","소속(입사장소) 입력",IF(IF(TRIM($J284&amp;"")="",0,SUMPRODUCT((파견수련계획!$Q$4:$Q$83=TRIM($J284&amp;""))*(파견수련계획!$AA$4:$AA$83&lt;&gt;"")))&gt;0,"파견수련계획 입력오류 확인",IF(LEFT($Y284,1)="⚠","서울·구리 15일 판정 불가(양쪽 모두 이상/미만)",IF(IF($AC284="",0,N(INDEX(인턴근무계획!$T$3:$T$62,$AC284)))&gt;0,"인턴계획 입력오류 확인",IF(AND($AC284&lt;&gt;"",$U284&lt;&gt;"파견중",$N284&lt;&gt;$AE284),"인턴 타지역 근무: 파견 여부 확인","정상"))))))))</f>
        <v/>
      </c>
      <c r="AA284" s="5" t="n"/>
      <c r="AB284" s="10">
        <f>IF($B284="","",IFERROR(MATCH($B284,기본자료!$B$2:$B$1001,0),IFERROR(MATCH($B284&amp;"",기본자료!$B$2:$B$1001,0),IFERROR(MATCH(VALUE($B284),기본자료!$B$2:$B$1001,0),""))))</f>
        <v/>
      </c>
      <c r="AC284" s="10">
        <f>IF($B284="","",IFERROR(MATCH($B284,인턴근무계획!$D$3:$D$62,0),IFERROR(MATCH($B284&amp;"",인턴근무계획!$D$3:$D$62,0),IFERROR(MATCH(VALUE($B284),인턴근무계획!$D$3:$D$62,0),""))))</f>
        <v/>
      </c>
      <c r="AD284" s="10">
        <f>IF(OR($AC284="",인턴현황!$G$3=""),"",INDEX(인턴근무계획!$M$3:$R$62,$AC284,인턴현황!$G$3)&amp;"")</f>
        <v/>
      </c>
      <c r="AE284" s="10">
        <f>IF($B284="","",IF($M284&lt;&gt;"",$M284,IF($AF284&lt;&gt;"",IF(LEFT(INDEX(파견수련계획!$R$4:$R$83,$AF284),1)&lt;&gt;"⚠",INDEX(파견수련계획!$R$4:$R$83,$AF284),IF($H284="","",IF(RIGHT($H284,2)="병원",$H284,$H284&amp;"병원"))),IF($H284="","",IF(RIGHT($H284,2)="병원",$H284,$H284&amp;"병원")))))</f>
        <v/>
      </c>
      <c r="AF284" s="10">
        <f>IF(OR($B284="",TRIM($J284&amp;"")=""),"",IFERROR(MATCH(TRIM($J284&amp;"")&amp;"|파견중",파견수련계획!$Y$4:$Y$83,0),IFERROR(MATCH(TRIM($J284&amp;"")&amp;"|파견예정",파견수련계획!$Y$4:$Y$83,0),IFERROR(MATCH(TRIM($J284&amp;"")&amp;"|파견종료",파견수련계획!$Y$4:$Y$83,0),""))))</f>
        <v/>
      </c>
      <c r="AG284" s="10">
        <f>IF($B284="","",IF(AND(IF(OR($AC284="",인턴현황!$K$2=""),"",INDEX(인턴근무계획!$M$3:$R$62,$AC284,인턴현황!$K$2)&amp;"")&lt;&gt;"",LEFT(IF(OR($AC284="",인턴현황!$K$2=""),"",INDEX(인턴근무계획!$M$3:$R$62,$AC284,인턴현황!$K$2)&amp;""),1)&lt;&gt;"⚠"),LEFT(IF(OR($AC284="",인턴현황!$K$2=""),"",INDEX(인턴근무계획!$M$3:$R$62,$AC284,인턴현황!$K$2)&amp;""),FIND(" ",IF(OR($AC284="",인턴현황!$K$2=""),"",INDEX(인턴근무계획!$M$3:$R$62,$AC284,인턴현황!$K$2)&amp;""))-1),$AE284))</f>
        <v/>
      </c>
      <c r="AH284" s="17">
        <f>IF($B284="","",IF(TRIM($J284&amp;"")="",0,SUMPRODUCT((파견수련계획!$Q$4:$Q$83=TRIM($J284&amp;""))*(파견수련계획!$S$4:$S$83="서울병원")*파견수련계획!$W$4:$W$83))+IF($AG284="서울병원",MAX(0,DAY(EOMONTH(요약!$B$3,0))-N($X284)),0))</f>
        <v/>
      </c>
      <c r="AI284" s="17">
        <f>IF($B284="","",IF(TRIM($J284&amp;"")="",0,SUMPRODUCT((파견수련계획!$Q$4:$Q$83=TRIM($J284&amp;""))*(파견수련계획!$S$4:$S$83="구리병원")*파견수련계획!$W$4:$W$83))+IF($AG284="구리병원",MAX(0,DAY(EOMONTH(요약!$B$3,0))-N($X284)),0))</f>
        <v/>
      </c>
      <c r="AJ284" s="10">
        <f>IF(OR($B284="",TRIM($J284&amp;"")=""),"",IFERROR(MATCH(TRIM($J284&amp;"")&amp;"|월",파견수련계획!$Z$4:$Z$83,0),""))</f>
        <v/>
      </c>
      <c r="AK284" s="10">
        <f>IF(OR($B284="",TRIM($J284&amp;"")=""),"",IFERROR(MATCH(TRIM($J284&amp;"")&amp;"|다기관",파견수련계획!$AE$4:$AE$83,0),""))</f>
        <v/>
      </c>
      <c r="AL284" s="10">
        <f>IF($AK284="","","다기관 "&amp;TEXT(INDEX(파견수련계획!$AB$4:$AB$83,$AK284),"yyyy-mm-dd")&amp;"~"&amp;IF(ISNUMBER(INDEX(파견수련계획!$AC$4:$AC$83,$AK284)),TEXT(INDEX(파견수련계획!$AC$4:$AC$83,$AK284),"yyyy-mm-dd"),""))</f>
        <v/>
      </c>
    </row>
    <row r="285">
      <c r="A285" s="10">
        <f>IF(B285="","",ROW()-1)</f>
        <v/>
      </c>
      <c r="B285" s="18" t="n"/>
      <c r="C285" s="10">
        <f>IF($AB285="","",IF(INDEX(기본자료!$C$2:$C$1001,$AB285)="","",INDEX(기본자료!$C$2:$C$1001,$AB285)))</f>
        <v/>
      </c>
      <c r="D285" s="10">
        <f>IF($AB285="","",IF(INDEX(기본자료!$J$2:$J$1001,$AB285)="","",INDEX(기본자료!$J$2:$J$1001,$AB285)))</f>
        <v/>
      </c>
      <c r="E285" s="11">
        <f>IF($AB285="","",IF(INDEX(기본자료!$K$2:$K$1001,$AB285)="","",IF(NOT(ISNUMBER(INDEX(기본자료!$K$2:$K$1001,$AB285))),INDEX(기본자료!$K$2:$K$1001,$AB285),IF(INDEX(기본자료!$K$2:$K$1001,$AB285)&lt;1000000,INDEX(기본자료!$K$2:$K$1001,$AB285),IF(AND(INDEX(기본자료!$K$2:$K$1001,$AB285)&gt;=10000101,INT(MOD(INDEX(기본자료!$K$2:$K$1001,$AB285),10000)/100)&gt;=1,INT(MOD(INDEX(기본자료!$K$2:$K$1001,$AB285),10000)/100)&lt;=12,MOD(INDEX(기본자료!$K$2:$K$1001,$AB285),100)&gt;=1,MOD(INDEX(기본자료!$K$2:$K$1001,$AB285),100)&lt;=31),DATE(INT(INDEX(기본자료!$K$2:$K$1001,$AB285)/10000),INT(MOD(INDEX(기본자료!$K$2:$K$1001,$AB285),10000)/100),MOD(INDEX(기본자료!$K$2:$K$1001,$AB285),100)),INDEX(기본자료!$K$2:$K$1001,$AB285)&amp;"")))))</f>
        <v/>
      </c>
      <c r="F285" s="10">
        <f>IF($AB285="","",IF(INDEX(기본자료!$D$2:$D$1001,$AB285)="","",INDEX(기본자료!$D$2:$D$1001,$AB285)))</f>
        <v/>
      </c>
      <c r="G285" s="10">
        <f>IF($AB285="","",IF(INDEX(기본자료!$E$2:$E$1001,$AB285)="","",INDEX(기본자료!$E$2:$E$1001,$AB285)))</f>
        <v/>
      </c>
      <c r="H285" s="10">
        <f>IF($AB285="","",IF(INDEX(기본자료!$F$2:$F$1001,$AB285)="","",INDEX(기본자료!$F$2:$F$1001,$AB285)))</f>
        <v/>
      </c>
      <c r="I285" s="11">
        <f>IF($AB285="","",IF(INDEX(기본자료!$G$2:$G$1001,$AB285)="","",IF(NOT(ISNUMBER(INDEX(기본자료!$G$2:$G$1001,$AB285))),INDEX(기본자료!$G$2:$G$1001,$AB285),IF(INDEX(기본자료!$G$2:$G$1001,$AB285)&lt;1000000,INDEX(기본자료!$G$2:$G$1001,$AB285),IF(AND(INDEX(기본자료!$G$2:$G$1001,$AB285)&gt;=10000101,INT(MOD(INDEX(기본자료!$G$2:$G$1001,$AB285),10000)/100)&gt;=1,INT(MOD(INDEX(기본자료!$G$2:$G$1001,$AB285),10000)/100)&lt;=12,MOD(INDEX(기본자료!$G$2:$G$1001,$AB285),100)&gt;=1,MOD(INDEX(기본자료!$G$2:$G$1001,$AB285),100)&lt;=31),DATE(INT(INDEX(기본자료!$G$2:$G$1001,$AB285)/10000),INT(MOD(INDEX(기본자료!$G$2:$G$1001,$AB285),10000)/100),MOD(INDEX(기본자료!$G$2:$G$1001,$AB285),100)),INDEX(기본자료!$G$2:$G$1001,$AB285)&amp;"")))))</f>
        <v/>
      </c>
      <c r="J285" s="10">
        <f>IF($AB285="","",IF(INDEX(기본자료!$H$2:$H$1001,$AB285)="","",INDEX(기본자료!$H$2:$H$1001,$AB285)))</f>
        <v/>
      </c>
      <c r="K285" s="10">
        <f>IF($AB285="","",IF(INDEX(기본자료!$I$2:$I$1001,$AB285)="","",INDEX(기본자료!$I$2:$I$1001,$AB285)))</f>
        <v/>
      </c>
      <c r="L285" s="10">
        <f>IF($AB285="","",IF(INDEX(기본자료!$A$2:$A$1001,$AB285)="","",INDEX(기본자료!$A$2:$A$1001,$AB285)))</f>
        <v/>
      </c>
      <c r="M285" s="15" t="n"/>
      <c r="N285" s="10">
        <f>IF($B285="","",IF(AND($U285="파견중",$Q285&lt;&gt;""),$Q285,IF(AND($AD285&lt;&gt;"",LEFT($AD285,1)&lt;&gt;"⚠"),LEFT($AD285,FIND(" ",$AD285)-1),IF($H285="","",IF(RIGHT($H285,2)="병원",$H285,$H285&amp;"병원")))))</f>
        <v/>
      </c>
      <c r="O285" s="10">
        <f>IF($B285="","",IF(AND($U285="파견중",$Q285&lt;&gt;""),IF($R285&lt;&gt;"",$R285,"파견과 미입력"),IF(AND($AD285&lt;&gt;"",LEFT($AD285,1)&lt;&gt;"⚠"),MID($AD285,FIND(" ",$AD285)+1,60),IF($F285="","",IF($F285="인턴","수련교육부(인턴)",$F285)))))</f>
        <v/>
      </c>
      <c r="P285" s="10">
        <f>IF($B285="","",IF($AK285&lt;&gt;"",IF(AND(TODAY()&gt;=INDEX(파견수련계획!$AB$4:$AB$83,$AK285),OR(NOT(ISNUMBER(INDEX(파견수련계획!$AC$4:$AC$83,$AK285))),TODAY()&lt;=INDEX(파견수련계획!$AC$4:$AC$83,$AK285))),"다기관",IF($AF285="","",INDEX(파견수련계획!$T$4:$T$83,$AF285))),IF($AF285="","",INDEX(파견수련계획!$T$4:$T$83,$AF285))))</f>
        <v/>
      </c>
      <c r="Q285" s="10">
        <f>IF($AF285="","",INDEX(파견수련계획!$S$4:$S$83,$AF285))</f>
        <v/>
      </c>
      <c r="R285" s="10">
        <f>IF($AF285="","",INDEX(파견수련계획!$U$4:$U$83,$AF285))</f>
        <v/>
      </c>
      <c r="S285" s="11">
        <f>IF($AF285="","",IF(INDEX(파견수련계획!$H$4:$H$83,$AF285)="","",INDEX(파견수련계획!$H$4:$H$83,$AF285)))</f>
        <v/>
      </c>
      <c r="T285" s="11">
        <f>IF($AF285="","",IF(INDEX(파견수련계획!$I$4:$I$83,$AF285)="","",INDEX(파견수련계획!$I$4:$I$83,$AF285)))</f>
        <v/>
      </c>
      <c r="U285" s="10">
        <f>IF($AF285="","",INDEX(파견수련계획!$X$4:$X$83,$AF285))</f>
        <v/>
      </c>
      <c r="V285" s="17">
        <f>IF($AF285="","",INDEX(파견수련계획!$V$4:$V$83,$AF285))</f>
        <v/>
      </c>
      <c r="W285" s="17">
        <f>IF(AND($U285="파견중",$T285&lt;&gt;""),$T285-TODAY(),"")</f>
        <v/>
      </c>
      <c r="X285" s="17">
        <f>IF(OR($B285="",TRIM($J285&amp;"")=""),"",SUMPRODUCT((파견수련계획!$Q$4:$Q$83=TRIM($J285&amp;""))*파견수련계획!$W$4:$W$83))</f>
        <v/>
      </c>
      <c r="Y285" s="10">
        <f>IF($B285="","",IF($AG285="","",IF(IF(TRIM($J285&amp;"")="",0,SUMPRODUCT((파견수련계획!$Q$4:$Q$83=TRIM($J285&amp;""))*파견수련계획!$AD$4:$AD$83))&gt;0,$AE285,IF(N($X285)&lt;=0,$AG285,IF($AH285+$AI285=DAY(EOMONTH(요약!$B$3,0)),IF(AND($AH285&gt;=요약!$E$3,$AI285&lt;요약!$E$3),"서울병원",IF(AND($AI285&gt;=요약!$E$3,$AH285&lt;요약!$E$3),"구리병원","⚠15일 판정불가(서울 "&amp;$AH285&amp;"일/구리 "&amp;$AI285&amp;"일)")),IF($AJ285="",$AE285,IF(INDEX(파견수련계획!$T$4:$T$83,$AJ285)="통합수련",INDEX(파견수련계획!$S$4:$S$83,$AJ285),$AE285)))))))</f>
        <v/>
      </c>
      <c r="Z285" s="19">
        <f>IF($B285="","",IF($AB285="","기본자료에 없는 사번",IF(COUNTIF($B$2:$B$401,$B285)&gt;1,"중복 사번",IF($AE285="","소속(입사장소) 입력",IF(IF(TRIM($J285&amp;"")="",0,SUMPRODUCT((파견수련계획!$Q$4:$Q$83=TRIM($J285&amp;""))*(파견수련계획!$AA$4:$AA$83&lt;&gt;"")))&gt;0,"파견수련계획 입력오류 확인",IF(LEFT($Y285,1)="⚠","서울·구리 15일 판정 불가(양쪽 모두 이상/미만)",IF(IF($AC285="",0,N(INDEX(인턴근무계획!$T$3:$T$62,$AC285)))&gt;0,"인턴계획 입력오류 확인",IF(AND($AC285&lt;&gt;"",$U285&lt;&gt;"파견중",$N285&lt;&gt;$AE285),"인턴 타지역 근무: 파견 여부 확인","정상"))))))))</f>
        <v/>
      </c>
      <c r="AA285" s="5" t="n"/>
      <c r="AB285" s="10">
        <f>IF($B285="","",IFERROR(MATCH($B285,기본자료!$B$2:$B$1001,0),IFERROR(MATCH($B285&amp;"",기본자료!$B$2:$B$1001,0),IFERROR(MATCH(VALUE($B285),기본자료!$B$2:$B$1001,0),""))))</f>
        <v/>
      </c>
      <c r="AC285" s="10">
        <f>IF($B285="","",IFERROR(MATCH($B285,인턴근무계획!$D$3:$D$62,0),IFERROR(MATCH($B285&amp;"",인턴근무계획!$D$3:$D$62,0),IFERROR(MATCH(VALUE($B285),인턴근무계획!$D$3:$D$62,0),""))))</f>
        <v/>
      </c>
      <c r="AD285" s="10">
        <f>IF(OR($AC285="",인턴현황!$G$3=""),"",INDEX(인턴근무계획!$M$3:$R$62,$AC285,인턴현황!$G$3)&amp;"")</f>
        <v/>
      </c>
      <c r="AE285" s="10">
        <f>IF($B285="","",IF($M285&lt;&gt;"",$M285,IF($AF285&lt;&gt;"",IF(LEFT(INDEX(파견수련계획!$R$4:$R$83,$AF285),1)&lt;&gt;"⚠",INDEX(파견수련계획!$R$4:$R$83,$AF285),IF($H285="","",IF(RIGHT($H285,2)="병원",$H285,$H285&amp;"병원"))),IF($H285="","",IF(RIGHT($H285,2)="병원",$H285,$H285&amp;"병원")))))</f>
        <v/>
      </c>
      <c r="AF285" s="10">
        <f>IF(OR($B285="",TRIM($J285&amp;"")=""),"",IFERROR(MATCH(TRIM($J285&amp;"")&amp;"|파견중",파견수련계획!$Y$4:$Y$83,0),IFERROR(MATCH(TRIM($J285&amp;"")&amp;"|파견예정",파견수련계획!$Y$4:$Y$83,0),IFERROR(MATCH(TRIM($J285&amp;"")&amp;"|파견종료",파견수련계획!$Y$4:$Y$83,0),""))))</f>
        <v/>
      </c>
      <c r="AG285" s="10">
        <f>IF($B285="","",IF(AND(IF(OR($AC285="",인턴현황!$K$2=""),"",INDEX(인턴근무계획!$M$3:$R$62,$AC285,인턴현황!$K$2)&amp;"")&lt;&gt;"",LEFT(IF(OR($AC285="",인턴현황!$K$2=""),"",INDEX(인턴근무계획!$M$3:$R$62,$AC285,인턴현황!$K$2)&amp;""),1)&lt;&gt;"⚠"),LEFT(IF(OR($AC285="",인턴현황!$K$2=""),"",INDEX(인턴근무계획!$M$3:$R$62,$AC285,인턴현황!$K$2)&amp;""),FIND(" ",IF(OR($AC285="",인턴현황!$K$2=""),"",INDEX(인턴근무계획!$M$3:$R$62,$AC285,인턴현황!$K$2)&amp;""))-1),$AE285))</f>
        <v/>
      </c>
      <c r="AH285" s="17">
        <f>IF($B285="","",IF(TRIM($J285&amp;"")="",0,SUMPRODUCT((파견수련계획!$Q$4:$Q$83=TRIM($J285&amp;""))*(파견수련계획!$S$4:$S$83="서울병원")*파견수련계획!$W$4:$W$83))+IF($AG285="서울병원",MAX(0,DAY(EOMONTH(요약!$B$3,0))-N($X285)),0))</f>
        <v/>
      </c>
      <c r="AI285" s="17">
        <f>IF($B285="","",IF(TRIM($J285&amp;"")="",0,SUMPRODUCT((파견수련계획!$Q$4:$Q$83=TRIM($J285&amp;""))*(파견수련계획!$S$4:$S$83="구리병원")*파견수련계획!$W$4:$W$83))+IF($AG285="구리병원",MAX(0,DAY(EOMONTH(요약!$B$3,0))-N($X285)),0))</f>
        <v/>
      </c>
      <c r="AJ285" s="10">
        <f>IF(OR($B285="",TRIM($J285&amp;"")=""),"",IFERROR(MATCH(TRIM($J285&amp;"")&amp;"|월",파견수련계획!$Z$4:$Z$83,0),""))</f>
        <v/>
      </c>
      <c r="AK285" s="10">
        <f>IF(OR($B285="",TRIM($J285&amp;"")=""),"",IFERROR(MATCH(TRIM($J285&amp;"")&amp;"|다기관",파견수련계획!$AE$4:$AE$83,0),""))</f>
        <v/>
      </c>
      <c r="AL285" s="10">
        <f>IF($AK285="","","다기관 "&amp;TEXT(INDEX(파견수련계획!$AB$4:$AB$83,$AK285),"yyyy-mm-dd")&amp;"~"&amp;IF(ISNUMBER(INDEX(파견수련계획!$AC$4:$AC$83,$AK285)),TEXT(INDEX(파견수련계획!$AC$4:$AC$83,$AK285),"yyyy-mm-dd"),""))</f>
        <v/>
      </c>
    </row>
    <row r="286">
      <c r="A286" s="10">
        <f>IF(B286="","",ROW()-1)</f>
        <v/>
      </c>
      <c r="B286" s="18" t="n"/>
      <c r="C286" s="10">
        <f>IF($AB286="","",IF(INDEX(기본자료!$C$2:$C$1001,$AB286)="","",INDEX(기본자료!$C$2:$C$1001,$AB286)))</f>
        <v/>
      </c>
      <c r="D286" s="10">
        <f>IF($AB286="","",IF(INDEX(기본자료!$J$2:$J$1001,$AB286)="","",INDEX(기본자료!$J$2:$J$1001,$AB286)))</f>
        <v/>
      </c>
      <c r="E286" s="11">
        <f>IF($AB286="","",IF(INDEX(기본자료!$K$2:$K$1001,$AB286)="","",IF(NOT(ISNUMBER(INDEX(기본자료!$K$2:$K$1001,$AB286))),INDEX(기본자료!$K$2:$K$1001,$AB286),IF(INDEX(기본자료!$K$2:$K$1001,$AB286)&lt;1000000,INDEX(기본자료!$K$2:$K$1001,$AB286),IF(AND(INDEX(기본자료!$K$2:$K$1001,$AB286)&gt;=10000101,INT(MOD(INDEX(기본자료!$K$2:$K$1001,$AB286),10000)/100)&gt;=1,INT(MOD(INDEX(기본자료!$K$2:$K$1001,$AB286),10000)/100)&lt;=12,MOD(INDEX(기본자료!$K$2:$K$1001,$AB286),100)&gt;=1,MOD(INDEX(기본자료!$K$2:$K$1001,$AB286),100)&lt;=31),DATE(INT(INDEX(기본자료!$K$2:$K$1001,$AB286)/10000),INT(MOD(INDEX(기본자료!$K$2:$K$1001,$AB286),10000)/100),MOD(INDEX(기본자료!$K$2:$K$1001,$AB286),100)),INDEX(기본자료!$K$2:$K$1001,$AB286)&amp;"")))))</f>
        <v/>
      </c>
      <c r="F286" s="10">
        <f>IF($AB286="","",IF(INDEX(기본자료!$D$2:$D$1001,$AB286)="","",INDEX(기본자료!$D$2:$D$1001,$AB286)))</f>
        <v/>
      </c>
      <c r="G286" s="10">
        <f>IF($AB286="","",IF(INDEX(기본자료!$E$2:$E$1001,$AB286)="","",INDEX(기본자료!$E$2:$E$1001,$AB286)))</f>
        <v/>
      </c>
      <c r="H286" s="10">
        <f>IF($AB286="","",IF(INDEX(기본자료!$F$2:$F$1001,$AB286)="","",INDEX(기본자료!$F$2:$F$1001,$AB286)))</f>
        <v/>
      </c>
      <c r="I286" s="11">
        <f>IF($AB286="","",IF(INDEX(기본자료!$G$2:$G$1001,$AB286)="","",IF(NOT(ISNUMBER(INDEX(기본자료!$G$2:$G$1001,$AB286))),INDEX(기본자료!$G$2:$G$1001,$AB286),IF(INDEX(기본자료!$G$2:$G$1001,$AB286)&lt;1000000,INDEX(기본자료!$G$2:$G$1001,$AB286),IF(AND(INDEX(기본자료!$G$2:$G$1001,$AB286)&gt;=10000101,INT(MOD(INDEX(기본자료!$G$2:$G$1001,$AB286),10000)/100)&gt;=1,INT(MOD(INDEX(기본자료!$G$2:$G$1001,$AB286),10000)/100)&lt;=12,MOD(INDEX(기본자료!$G$2:$G$1001,$AB286),100)&gt;=1,MOD(INDEX(기본자료!$G$2:$G$1001,$AB286),100)&lt;=31),DATE(INT(INDEX(기본자료!$G$2:$G$1001,$AB286)/10000),INT(MOD(INDEX(기본자료!$G$2:$G$1001,$AB286),10000)/100),MOD(INDEX(기본자료!$G$2:$G$1001,$AB286),100)),INDEX(기본자료!$G$2:$G$1001,$AB286)&amp;"")))))</f>
        <v/>
      </c>
      <c r="J286" s="10">
        <f>IF($AB286="","",IF(INDEX(기본자료!$H$2:$H$1001,$AB286)="","",INDEX(기본자료!$H$2:$H$1001,$AB286)))</f>
        <v/>
      </c>
      <c r="K286" s="10">
        <f>IF($AB286="","",IF(INDEX(기본자료!$I$2:$I$1001,$AB286)="","",INDEX(기본자료!$I$2:$I$1001,$AB286)))</f>
        <v/>
      </c>
      <c r="L286" s="10">
        <f>IF($AB286="","",IF(INDEX(기본자료!$A$2:$A$1001,$AB286)="","",INDEX(기본자료!$A$2:$A$1001,$AB286)))</f>
        <v/>
      </c>
      <c r="M286" s="15" t="n"/>
      <c r="N286" s="10">
        <f>IF($B286="","",IF(AND($U286="파견중",$Q286&lt;&gt;""),$Q286,IF(AND($AD286&lt;&gt;"",LEFT($AD286,1)&lt;&gt;"⚠"),LEFT($AD286,FIND(" ",$AD286)-1),IF($H286="","",IF(RIGHT($H286,2)="병원",$H286,$H286&amp;"병원")))))</f>
        <v/>
      </c>
      <c r="O286" s="10">
        <f>IF($B286="","",IF(AND($U286="파견중",$Q286&lt;&gt;""),IF($R286&lt;&gt;"",$R286,"파견과 미입력"),IF(AND($AD286&lt;&gt;"",LEFT($AD286,1)&lt;&gt;"⚠"),MID($AD286,FIND(" ",$AD286)+1,60),IF($F286="","",IF($F286="인턴","수련교육부(인턴)",$F286)))))</f>
        <v/>
      </c>
      <c r="P286" s="10">
        <f>IF($B286="","",IF($AK286&lt;&gt;"",IF(AND(TODAY()&gt;=INDEX(파견수련계획!$AB$4:$AB$83,$AK286),OR(NOT(ISNUMBER(INDEX(파견수련계획!$AC$4:$AC$83,$AK286))),TODAY()&lt;=INDEX(파견수련계획!$AC$4:$AC$83,$AK286))),"다기관",IF($AF286="","",INDEX(파견수련계획!$T$4:$T$83,$AF286))),IF($AF286="","",INDEX(파견수련계획!$T$4:$T$83,$AF286))))</f>
        <v/>
      </c>
      <c r="Q286" s="10">
        <f>IF($AF286="","",INDEX(파견수련계획!$S$4:$S$83,$AF286))</f>
        <v/>
      </c>
      <c r="R286" s="10">
        <f>IF($AF286="","",INDEX(파견수련계획!$U$4:$U$83,$AF286))</f>
        <v/>
      </c>
      <c r="S286" s="11">
        <f>IF($AF286="","",IF(INDEX(파견수련계획!$H$4:$H$83,$AF286)="","",INDEX(파견수련계획!$H$4:$H$83,$AF286)))</f>
        <v/>
      </c>
      <c r="T286" s="11">
        <f>IF($AF286="","",IF(INDEX(파견수련계획!$I$4:$I$83,$AF286)="","",INDEX(파견수련계획!$I$4:$I$83,$AF286)))</f>
        <v/>
      </c>
      <c r="U286" s="10">
        <f>IF($AF286="","",INDEX(파견수련계획!$X$4:$X$83,$AF286))</f>
        <v/>
      </c>
      <c r="V286" s="17">
        <f>IF($AF286="","",INDEX(파견수련계획!$V$4:$V$83,$AF286))</f>
        <v/>
      </c>
      <c r="W286" s="17">
        <f>IF(AND($U286="파견중",$T286&lt;&gt;""),$T286-TODAY(),"")</f>
        <v/>
      </c>
      <c r="X286" s="17">
        <f>IF(OR($B286="",TRIM($J286&amp;"")=""),"",SUMPRODUCT((파견수련계획!$Q$4:$Q$83=TRIM($J286&amp;""))*파견수련계획!$W$4:$W$83))</f>
        <v/>
      </c>
      <c r="Y286" s="10">
        <f>IF($B286="","",IF($AG286="","",IF(IF(TRIM($J286&amp;"")="",0,SUMPRODUCT((파견수련계획!$Q$4:$Q$83=TRIM($J286&amp;""))*파견수련계획!$AD$4:$AD$83))&gt;0,$AE286,IF(N($X286)&lt;=0,$AG286,IF($AH286+$AI286=DAY(EOMONTH(요약!$B$3,0)),IF(AND($AH286&gt;=요약!$E$3,$AI286&lt;요약!$E$3),"서울병원",IF(AND($AI286&gt;=요약!$E$3,$AH286&lt;요약!$E$3),"구리병원","⚠15일 판정불가(서울 "&amp;$AH286&amp;"일/구리 "&amp;$AI286&amp;"일)")),IF($AJ286="",$AE286,IF(INDEX(파견수련계획!$T$4:$T$83,$AJ286)="통합수련",INDEX(파견수련계획!$S$4:$S$83,$AJ286),$AE286)))))))</f>
        <v/>
      </c>
      <c r="Z286" s="19">
        <f>IF($B286="","",IF($AB286="","기본자료에 없는 사번",IF(COUNTIF($B$2:$B$401,$B286)&gt;1,"중복 사번",IF($AE286="","소속(입사장소) 입력",IF(IF(TRIM($J286&amp;"")="",0,SUMPRODUCT((파견수련계획!$Q$4:$Q$83=TRIM($J286&amp;""))*(파견수련계획!$AA$4:$AA$83&lt;&gt;"")))&gt;0,"파견수련계획 입력오류 확인",IF(LEFT($Y286,1)="⚠","서울·구리 15일 판정 불가(양쪽 모두 이상/미만)",IF(IF($AC286="",0,N(INDEX(인턴근무계획!$T$3:$T$62,$AC286)))&gt;0,"인턴계획 입력오류 확인",IF(AND($AC286&lt;&gt;"",$U286&lt;&gt;"파견중",$N286&lt;&gt;$AE286),"인턴 타지역 근무: 파견 여부 확인","정상"))))))))</f>
        <v/>
      </c>
      <c r="AA286" s="5" t="n"/>
      <c r="AB286" s="10">
        <f>IF($B286="","",IFERROR(MATCH($B286,기본자료!$B$2:$B$1001,0),IFERROR(MATCH($B286&amp;"",기본자료!$B$2:$B$1001,0),IFERROR(MATCH(VALUE($B286),기본자료!$B$2:$B$1001,0),""))))</f>
        <v/>
      </c>
      <c r="AC286" s="10">
        <f>IF($B286="","",IFERROR(MATCH($B286,인턴근무계획!$D$3:$D$62,0),IFERROR(MATCH($B286&amp;"",인턴근무계획!$D$3:$D$62,0),IFERROR(MATCH(VALUE($B286),인턴근무계획!$D$3:$D$62,0),""))))</f>
        <v/>
      </c>
      <c r="AD286" s="10">
        <f>IF(OR($AC286="",인턴현황!$G$3=""),"",INDEX(인턴근무계획!$M$3:$R$62,$AC286,인턴현황!$G$3)&amp;"")</f>
        <v/>
      </c>
      <c r="AE286" s="10">
        <f>IF($B286="","",IF($M286&lt;&gt;"",$M286,IF($AF286&lt;&gt;"",IF(LEFT(INDEX(파견수련계획!$R$4:$R$83,$AF286),1)&lt;&gt;"⚠",INDEX(파견수련계획!$R$4:$R$83,$AF286),IF($H286="","",IF(RIGHT($H286,2)="병원",$H286,$H286&amp;"병원"))),IF($H286="","",IF(RIGHT($H286,2)="병원",$H286,$H286&amp;"병원")))))</f>
        <v/>
      </c>
      <c r="AF286" s="10">
        <f>IF(OR($B286="",TRIM($J286&amp;"")=""),"",IFERROR(MATCH(TRIM($J286&amp;"")&amp;"|파견중",파견수련계획!$Y$4:$Y$83,0),IFERROR(MATCH(TRIM($J286&amp;"")&amp;"|파견예정",파견수련계획!$Y$4:$Y$83,0),IFERROR(MATCH(TRIM($J286&amp;"")&amp;"|파견종료",파견수련계획!$Y$4:$Y$83,0),""))))</f>
        <v/>
      </c>
      <c r="AG286" s="10">
        <f>IF($B286="","",IF(AND(IF(OR($AC286="",인턴현황!$K$2=""),"",INDEX(인턴근무계획!$M$3:$R$62,$AC286,인턴현황!$K$2)&amp;"")&lt;&gt;"",LEFT(IF(OR($AC286="",인턴현황!$K$2=""),"",INDEX(인턴근무계획!$M$3:$R$62,$AC286,인턴현황!$K$2)&amp;""),1)&lt;&gt;"⚠"),LEFT(IF(OR($AC286="",인턴현황!$K$2=""),"",INDEX(인턴근무계획!$M$3:$R$62,$AC286,인턴현황!$K$2)&amp;""),FIND(" ",IF(OR($AC286="",인턴현황!$K$2=""),"",INDEX(인턴근무계획!$M$3:$R$62,$AC286,인턴현황!$K$2)&amp;""))-1),$AE286))</f>
        <v/>
      </c>
      <c r="AH286" s="17">
        <f>IF($B286="","",IF(TRIM($J286&amp;"")="",0,SUMPRODUCT((파견수련계획!$Q$4:$Q$83=TRIM($J286&amp;""))*(파견수련계획!$S$4:$S$83="서울병원")*파견수련계획!$W$4:$W$83))+IF($AG286="서울병원",MAX(0,DAY(EOMONTH(요약!$B$3,0))-N($X286)),0))</f>
        <v/>
      </c>
      <c r="AI286" s="17">
        <f>IF($B286="","",IF(TRIM($J286&amp;"")="",0,SUMPRODUCT((파견수련계획!$Q$4:$Q$83=TRIM($J286&amp;""))*(파견수련계획!$S$4:$S$83="구리병원")*파견수련계획!$W$4:$W$83))+IF($AG286="구리병원",MAX(0,DAY(EOMONTH(요약!$B$3,0))-N($X286)),0))</f>
        <v/>
      </c>
      <c r="AJ286" s="10">
        <f>IF(OR($B286="",TRIM($J286&amp;"")=""),"",IFERROR(MATCH(TRIM($J286&amp;"")&amp;"|월",파견수련계획!$Z$4:$Z$83,0),""))</f>
        <v/>
      </c>
      <c r="AK286" s="10">
        <f>IF(OR($B286="",TRIM($J286&amp;"")=""),"",IFERROR(MATCH(TRIM($J286&amp;"")&amp;"|다기관",파견수련계획!$AE$4:$AE$83,0),""))</f>
        <v/>
      </c>
      <c r="AL286" s="10">
        <f>IF($AK286="","","다기관 "&amp;TEXT(INDEX(파견수련계획!$AB$4:$AB$83,$AK286),"yyyy-mm-dd")&amp;"~"&amp;IF(ISNUMBER(INDEX(파견수련계획!$AC$4:$AC$83,$AK286)),TEXT(INDEX(파견수련계획!$AC$4:$AC$83,$AK286),"yyyy-mm-dd"),""))</f>
        <v/>
      </c>
    </row>
    <row r="287">
      <c r="A287" s="10">
        <f>IF(B287="","",ROW()-1)</f>
        <v/>
      </c>
      <c r="B287" s="18" t="n"/>
      <c r="C287" s="10">
        <f>IF($AB287="","",IF(INDEX(기본자료!$C$2:$C$1001,$AB287)="","",INDEX(기본자료!$C$2:$C$1001,$AB287)))</f>
        <v/>
      </c>
      <c r="D287" s="10">
        <f>IF($AB287="","",IF(INDEX(기본자료!$J$2:$J$1001,$AB287)="","",INDEX(기본자료!$J$2:$J$1001,$AB287)))</f>
        <v/>
      </c>
      <c r="E287" s="11">
        <f>IF($AB287="","",IF(INDEX(기본자료!$K$2:$K$1001,$AB287)="","",IF(NOT(ISNUMBER(INDEX(기본자료!$K$2:$K$1001,$AB287))),INDEX(기본자료!$K$2:$K$1001,$AB287),IF(INDEX(기본자료!$K$2:$K$1001,$AB287)&lt;1000000,INDEX(기본자료!$K$2:$K$1001,$AB287),IF(AND(INDEX(기본자료!$K$2:$K$1001,$AB287)&gt;=10000101,INT(MOD(INDEX(기본자료!$K$2:$K$1001,$AB287),10000)/100)&gt;=1,INT(MOD(INDEX(기본자료!$K$2:$K$1001,$AB287),10000)/100)&lt;=12,MOD(INDEX(기본자료!$K$2:$K$1001,$AB287),100)&gt;=1,MOD(INDEX(기본자료!$K$2:$K$1001,$AB287),100)&lt;=31),DATE(INT(INDEX(기본자료!$K$2:$K$1001,$AB287)/10000),INT(MOD(INDEX(기본자료!$K$2:$K$1001,$AB287),10000)/100),MOD(INDEX(기본자료!$K$2:$K$1001,$AB287),100)),INDEX(기본자료!$K$2:$K$1001,$AB287)&amp;"")))))</f>
        <v/>
      </c>
      <c r="F287" s="10">
        <f>IF($AB287="","",IF(INDEX(기본자료!$D$2:$D$1001,$AB287)="","",INDEX(기본자료!$D$2:$D$1001,$AB287)))</f>
        <v/>
      </c>
      <c r="G287" s="10">
        <f>IF($AB287="","",IF(INDEX(기본자료!$E$2:$E$1001,$AB287)="","",INDEX(기본자료!$E$2:$E$1001,$AB287)))</f>
        <v/>
      </c>
      <c r="H287" s="10">
        <f>IF($AB287="","",IF(INDEX(기본자료!$F$2:$F$1001,$AB287)="","",INDEX(기본자료!$F$2:$F$1001,$AB287)))</f>
        <v/>
      </c>
      <c r="I287" s="11">
        <f>IF($AB287="","",IF(INDEX(기본자료!$G$2:$G$1001,$AB287)="","",IF(NOT(ISNUMBER(INDEX(기본자료!$G$2:$G$1001,$AB287))),INDEX(기본자료!$G$2:$G$1001,$AB287),IF(INDEX(기본자료!$G$2:$G$1001,$AB287)&lt;1000000,INDEX(기본자료!$G$2:$G$1001,$AB287),IF(AND(INDEX(기본자료!$G$2:$G$1001,$AB287)&gt;=10000101,INT(MOD(INDEX(기본자료!$G$2:$G$1001,$AB287),10000)/100)&gt;=1,INT(MOD(INDEX(기본자료!$G$2:$G$1001,$AB287),10000)/100)&lt;=12,MOD(INDEX(기본자료!$G$2:$G$1001,$AB287),100)&gt;=1,MOD(INDEX(기본자료!$G$2:$G$1001,$AB287),100)&lt;=31),DATE(INT(INDEX(기본자료!$G$2:$G$1001,$AB287)/10000),INT(MOD(INDEX(기본자료!$G$2:$G$1001,$AB287),10000)/100),MOD(INDEX(기본자료!$G$2:$G$1001,$AB287),100)),INDEX(기본자료!$G$2:$G$1001,$AB287)&amp;"")))))</f>
        <v/>
      </c>
      <c r="J287" s="10">
        <f>IF($AB287="","",IF(INDEX(기본자료!$H$2:$H$1001,$AB287)="","",INDEX(기본자료!$H$2:$H$1001,$AB287)))</f>
        <v/>
      </c>
      <c r="K287" s="10">
        <f>IF($AB287="","",IF(INDEX(기본자료!$I$2:$I$1001,$AB287)="","",INDEX(기본자료!$I$2:$I$1001,$AB287)))</f>
        <v/>
      </c>
      <c r="L287" s="10">
        <f>IF($AB287="","",IF(INDEX(기본자료!$A$2:$A$1001,$AB287)="","",INDEX(기본자료!$A$2:$A$1001,$AB287)))</f>
        <v/>
      </c>
      <c r="M287" s="15" t="n"/>
      <c r="N287" s="10">
        <f>IF($B287="","",IF(AND($U287="파견중",$Q287&lt;&gt;""),$Q287,IF(AND($AD287&lt;&gt;"",LEFT($AD287,1)&lt;&gt;"⚠"),LEFT($AD287,FIND(" ",$AD287)-1),IF($H287="","",IF(RIGHT($H287,2)="병원",$H287,$H287&amp;"병원")))))</f>
        <v/>
      </c>
      <c r="O287" s="10">
        <f>IF($B287="","",IF(AND($U287="파견중",$Q287&lt;&gt;""),IF($R287&lt;&gt;"",$R287,"파견과 미입력"),IF(AND($AD287&lt;&gt;"",LEFT($AD287,1)&lt;&gt;"⚠"),MID($AD287,FIND(" ",$AD287)+1,60),IF($F287="","",IF($F287="인턴","수련교육부(인턴)",$F287)))))</f>
        <v/>
      </c>
      <c r="P287" s="10">
        <f>IF($B287="","",IF($AK287&lt;&gt;"",IF(AND(TODAY()&gt;=INDEX(파견수련계획!$AB$4:$AB$83,$AK287),OR(NOT(ISNUMBER(INDEX(파견수련계획!$AC$4:$AC$83,$AK287))),TODAY()&lt;=INDEX(파견수련계획!$AC$4:$AC$83,$AK287))),"다기관",IF($AF287="","",INDEX(파견수련계획!$T$4:$T$83,$AF287))),IF($AF287="","",INDEX(파견수련계획!$T$4:$T$83,$AF287))))</f>
        <v/>
      </c>
      <c r="Q287" s="10">
        <f>IF($AF287="","",INDEX(파견수련계획!$S$4:$S$83,$AF287))</f>
        <v/>
      </c>
      <c r="R287" s="10">
        <f>IF($AF287="","",INDEX(파견수련계획!$U$4:$U$83,$AF287))</f>
        <v/>
      </c>
      <c r="S287" s="11">
        <f>IF($AF287="","",IF(INDEX(파견수련계획!$H$4:$H$83,$AF287)="","",INDEX(파견수련계획!$H$4:$H$83,$AF287)))</f>
        <v/>
      </c>
      <c r="T287" s="11">
        <f>IF($AF287="","",IF(INDEX(파견수련계획!$I$4:$I$83,$AF287)="","",INDEX(파견수련계획!$I$4:$I$83,$AF287)))</f>
        <v/>
      </c>
      <c r="U287" s="10">
        <f>IF($AF287="","",INDEX(파견수련계획!$X$4:$X$83,$AF287))</f>
        <v/>
      </c>
      <c r="V287" s="17">
        <f>IF($AF287="","",INDEX(파견수련계획!$V$4:$V$83,$AF287))</f>
        <v/>
      </c>
      <c r="W287" s="17">
        <f>IF(AND($U287="파견중",$T287&lt;&gt;""),$T287-TODAY(),"")</f>
        <v/>
      </c>
      <c r="X287" s="17">
        <f>IF(OR($B287="",TRIM($J287&amp;"")=""),"",SUMPRODUCT((파견수련계획!$Q$4:$Q$83=TRIM($J287&amp;""))*파견수련계획!$W$4:$W$83))</f>
        <v/>
      </c>
      <c r="Y287" s="10">
        <f>IF($B287="","",IF($AG287="","",IF(IF(TRIM($J287&amp;"")="",0,SUMPRODUCT((파견수련계획!$Q$4:$Q$83=TRIM($J287&amp;""))*파견수련계획!$AD$4:$AD$83))&gt;0,$AE287,IF(N($X287)&lt;=0,$AG287,IF($AH287+$AI287=DAY(EOMONTH(요약!$B$3,0)),IF(AND($AH287&gt;=요약!$E$3,$AI287&lt;요약!$E$3),"서울병원",IF(AND($AI287&gt;=요약!$E$3,$AH287&lt;요약!$E$3),"구리병원","⚠15일 판정불가(서울 "&amp;$AH287&amp;"일/구리 "&amp;$AI287&amp;"일)")),IF($AJ287="",$AE287,IF(INDEX(파견수련계획!$T$4:$T$83,$AJ287)="통합수련",INDEX(파견수련계획!$S$4:$S$83,$AJ287),$AE287)))))))</f>
        <v/>
      </c>
      <c r="Z287" s="19">
        <f>IF($B287="","",IF($AB287="","기본자료에 없는 사번",IF(COUNTIF($B$2:$B$401,$B287)&gt;1,"중복 사번",IF($AE287="","소속(입사장소) 입력",IF(IF(TRIM($J287&amp;"")="",0,SUMPRODUCT((파견수련계획!$Q$4:$Q$83=TRIM($J287&amp;""))*(파견수련계획!$AA$4:$AA$83&lt;&gt;"")))&gt;0,"파견수련계획 입력오류 확인",IF(LEFT($Y287,1)="⚠","서울·구리 15일 판정 불가(양쪽 모두 이상/미만)",IF(IF($AC287="",0,N(INDEX(인턴근무계획!$T$3:$T$62,$AC287)))&gt;0,"인턴계획 입력오류 확인",IF(AND($AC287&lt;&gt;"",$U287&lt;&gt;"파견중",$N287&lt;&gt;$AE287),"인턴 타지역 근무: 파견 여부 확인","정상"))))))))</f>
        <v/>
      </c>
      <c r="AA287" s="5" t="n"/>
      <c r="AB287" s="10">
        <f>IF($B287="","",IFERROR(MATCH($B287,기본자료!$B$2:$B$1001,0),IFERROR(MATCH($B287&amp;"",기본자료!$B$2:$B$1001,0),IFERROR(MATCH(VALUE($B287),기본자료!$B$2:$B$1001,0),""))))</f>
        <v/>
      </c>
      <c r="AC287" s="10">
        <f>IF($B287="","",IFERROR(MATCH($B287,인턴근무계획!$D$3:$D$62,0),IFERROR(MATCH($B287&amp;"",인턴근무계획!$D$3:$D$62,0),IFERROR(MATCH(VALUE($B287),인턴근무계획!$D$3:$D$62,0),""))))</f>
        <v/>
      </c>
      <c r="AD287" s="10">
        <f>IF(OR($AC287="",인턴현황!$G$3=""),"",INDEX(인턴근무계획!$M$3:$R$62,$AC287,인턴현황!$G$3)&amp;"")</f>
        <v/>
      </c>
      <c r="AE287" s="10">
        <f>IF($B287="","",IF($M287&lt;&gt;"",$M287,IF($AF287&lt;&gt;"",IF(LEFT(INDEX(파견수련계획!$R$4:$R$83,$AF287),1)&lt;&gt;"⚠",INDEX(파견수련계획!$R$4:$R$83,$AF287),IF($H287="","",IF(RIGHT($H287,2)="병원",$H287,$H287&amp;"병원"))),IF($H287="","",IF(RIGHT($H287,2)="병원",$H287,$H287&amp;"병원")))))</f>
        <v/>
      </c>
      <c r="AF287" s="10">
        <f>IF(OR($B287="",TRIM($J287&amp;"")=""),"",IFERROR(MATCH(TRIM($J287&amp;"")&amp;"|파견중",파견수련계획!$Y$4:$Y$83,0),IFERROR(MATCH(TRIM($J287&amp;"")&amp;"|파견예정",파견수련계획!$Y$4:$Y$83,0),IFERROR(MATCH(TRIM($J287&amp;"")&amp;"|파견종료",파견수련계획!$Y$4:$Y$83,0),""))))</f>
        <v/>
      </c>
      <c r="AG287" s="10">
        <f>IF($B287="","",IF(AND(IF(OR($AC287="",인턴현황!$K$2=""),"",INDEX(인턴근무계획!$M$3:$R$62,$AC287,인턴현황!$K$2)&amp;"")&lt;&gt;"",LEFT(IF(OR($AC287="",인턴현황!$K$2=""),"",INDEX(인턴근무계획!$M$3:$R$62,$AC287,인턴현황!$K$2)&amp;""),1)&lt;&gt;"⚠"),LEFT(IF(OR($AC287="",인턴현황!$K$2=""),"",INDEX(인턴근무계획!$M$3:$R$62,$AC287,인턴현황!$K$2)&amp;""),FIND(" ",IF(OR($AC287="",인턴현황!$K$2=""),"",INDEX(인턴근무계획!$M$3:$R$62,$AC287,인턴현황!$K$2)&amp;""))-1),$AE287))</f>
        <v/>
      </c>
      <c r="AH287" s="17">
        <f>IF($B287="","",IF(TRIM($J287&amp;"")="",0,SUMPRODUCT((파견수련계획!$Q$4:$Q$83=TRIM($J287&amp;""))*(파견수련계획!$S$4:$S$83="서울병원")*파견수련계획!$W$4:$W$83))+IF($AG287="서울병원",MAX(0,DAY(EOMONTH(요약!$B$3,0))-N($X287)),0))</f>
        <v/>
      </c>
      <c r="AI287" s="17">
        <f>IF($B287="","",IF(TRIM($J287&amp;"")="",0,SUMPRODUCT((파견수련계획!$Q$4:$Q$83=TRIM($J287&amp;""))*(파견수련계획!$S$4:$S$83="구리병원")*파견수련계획!$W$4:$W$83))+IF($AG287="구리병원",MAX(0,DAY(EOMONTH(요약!$B$3,0))-N($X287)),0))</f>
        <v/>
      </c>
      <c r="AJ287" s="10">
        <f>IF(OR($B287="",TRIM($J287&amp;"")=""),"",IFERROR(MATCH(TRIM($J287&amp;"")&amp;"|월",파견수련계획!$Z$4:$Z$83,0),""))</f>
        <v/>
      </c>
      <c r="AK287" s="10">
        <f>IF(OR($B287="",TRIM($J287&amp;"")=""),"",IFERROR(MATCH(TRIM($J287&amp;"")&amp;"|다기관",파견수련계획!$AE$4:$AE$83,0),""))</f>
        <v/>
      </c>
      <c r="AL287" s="10">
        <f>IF($AK287="","","다기관 "&amp;TEXT(INDEX(파견수련계획!$AB$4:$AB$83,$AK287),"yyyy-mm-dd")&amp;"~"&amp;IF(ISNUMBER(INDEX(파견수련계획!$AC$4:$AC$83,$AK287)),TEXT(INDEX(파견수련계획!$AC$4:$AC$83,$AK287),"yyyy-mm-dd"),""))</f>
        <v/>
      </c>
    </row>
    <row r="288">
      <c r="A288" s="10">
        <f>IF(B288="","",ROW()-1)</f>
        <v/>
      </c>
      <c r="B288" s="18" t="n"/>
      <c r="C288" s="10">
        <f>IF($AB288="","",IF(INDEX(기본자료!$C$2:$C$1001,$AB288)="","",INDEX(기본자료!$C$2:$C$1001,$AB288)))</f>
        <v/>
      </c>
      <c r="D288" s="10">
        <f>IF($AB288="","",IF(INDEX(기본자료!$J$2:$J$1001,$AB288)="","",INDEX(기본자료!$J$2:$J$1001,$AB288)))</f>
        <v/>
      </c>
      <c r="E288" s="11">
        <f>IF($AB288="","",IF(INDEX(기본자료!$K$2:$K$1001,$AB288)="","",IF(NOT(ISNUMBER(INDEX(기본자료!$K$2:$K$1001,$AB288))),INDEX(기본자료!$K$2:$K$1001,$AB288),IF(INDEX(기본자료!$K$2:$K$1001,$AB288)&lt;1000000,INDEX(기본자료!$K$2:$K$1001,$AB288),IF(AND(INDEX(기본자료!$K$2:$K$1001,$AB288)&gt;=10000101,INT(MOD(INDEX(기본자료!$K$2:$K$1001,$AB288),10000)/100)&gt;=1,INT(MOD(INDEX(기본자료!$K$2:$K$1001,$AB288),10000)/100)&lt;=12,MOD(INDEX(기본자료!$K$2:$K$1001,$AB288),100)&gt;=1,MOD(INDEX(기본자료!$K$2:$K$1001,$AB288),100)&lt;=31),DATE(INT(INDEX(기본자료!$K$2:$K$1001,$AB288)/10000),INT(MOD(INDEX(기본자료!$K$2:$K$1001,$AB288),10000)/100),MOD(INDEX(기본자료!$K$2:$K$1001,$AB288),100)),INDEX(기본자료!$K$2:$K$1001,$AB288)&amp;"")))))</f>
        <v/>
      </c>
      <c r="F288" s="10">
        <f>IF($AB288="","",IF(INDEX(기본자료!$D$2:$D$1001,$AB288)="","",INDEX(기본자료!$D$2:$D$1001,$AB288)))</f>
        <v/>
      </c>
      <c r="G288" s="10">
        <f>IF($AB288="","",IF(INDEX(기본자료!$E$2:$E$1001,$AB288)="","",INDEX(기본자료!$E$2:$E$1001,$AB288)))</f>
        <v/>
      </c>
      <c r="H288" s="10">
        <f>IF($AB288="","",IF(INDEX(기본자료!$F$2:$F$1001,$AB288)="","",INDEX(기본자료!$F$2:$F$1001,$AB288)))</f>
        <v/>
      </c>
      <c r="I288" s="11">
        <f>IF($AB288="","",IF(INDEX(기본자료!$G$2:$G$1001,$AB288)="","",IF(NOT(ISNUMBER(INDEX(기본자료!$G$2:$G$1001,$AB288))),INDEX(기본자료!$G$2:$G$1001,$AB288),IF(INDEX(기본자료!$G$2:$G$1001,$AB288)&lt;1000000,INDEX(기본자료!$G$2:$G$1001,$AB288),IF(AND(INDEX(기본자료!$G$2:$G$1001,$AB288)&gt;=10000101,INT(MOD(INDEX(기본자료!$G$2:$G$1001,$AB288),10000)/100)&gt;=1,INT(MOD(INDEX(기본자료!$G$2:$G$1001,$AB288),10000)/100)&lt;=12,MOD(INDEX(기본자료!$G$2:$G$1001,$AB288),100)&gt;=1,MOD(INDEX(기본자료!$G$2:$G$1001,$AB288),100)&lt;=31),DATE(INT(INDEX(기본자료!$G$2:$G$1001,$AB288)/10000),INT(MOD(INDEX(기본자료!$G$2:$G$1001,$AB288),10000)/100),MOD(INDEX(기본자료!$G$2:$G$1001,$AB288),100)),INDEX(기본자료!$G$2:$G$1001,$AB288)&amp;"")))))</f>
        <v/>
      </c>
      <c r="J288" s="10">
        <f>IF($AB288="","",IF(INDEX(기본자료!$H$2:$H$1001,$AB288)="","",INDEX(기본자료!$H$2:$H$1001,$AB288)))</f>
        <v/>
      </c>
      <c r="K288" s="10">
        <f>IF($AB288="","",IF(INDEX(기본자료!$I$2:$I$1001,$AB288)="","",INDEX(기본자료!$I$2:$I$1001,$AB288)))</f>
        <v/>
      </c>
      <c r="L288" s="10">
        <f>IF($AB288="","",IF(INDEX(기본자료!$A$2:$A$1001,$AB288)="","",INDEX(기본자료!$A$2:$A$1001,$AB288)))</f>
        <v/>
      </c>
      <c r="M288" s="15" t="n"/>
      <c r="N288" s="10">
        <f>IF($B288="","",IF(AND($U288="파견중",$Q288&lt;&gt;""),$Q288,IF(AND($AD288&lt;&gt;"",LEFT($AD288,1)&lt;&gt;"⚠"),LEFT($AD288,FIND(" ",$AD288)-1),IF($H288="","",IF(RIGHT($H288,2)="병원",$H288,$H288&amp;"병원")))))</f>
        <v/>
      </c>
      <c r="O288" s="10">
        <f>IF($B288="","",IF(AND($U288="파견중",$Q288&lt;&gt;""),IF($R288&lt;&gt;"",$R288,"파견과 미입력"),IF(AND($AD288&lt;&gt;"",LEFT($AD288,1)&lt;&gt;"⚠"),MID($AD288,FIND(" ",$AD288)+1,60),IF($F288="","",IF($F288="인턴","수련교육부(인턴)",$F288)))))</f>
        <v/>
      </c>
      <c r="P288" s="10">
        <f>IF($B288="","",IF($AK288&lt;&gt;"",IF(AND(TODAY()&gt;=INDEX(파견수련계획!$AB$4:$AB$83,$AK288),OR(NOT(ISNUMBER(INDEX(파견수련계획!$AC$4:$AC$83,$AK288))),TODAY()&lt;=INDEX(파견수련계획!$AC$4:$AC$83,$AK288))),"다기관",IF($AF288="","",INDEX(파견수련계획!$T$4:$T$83,$AF288))),IF($AF288="","",INDEX(파견수련계획!$T$4:$T$83,$AF288))))</f>
        <v/>
      </c>
      <c r="Q288" s="10">
        <f>IF($AF288="","",INDEX(파견수련계획!$S$4:$S$83,$AF288))</f>
        <v/>
      </c>
      <c r="R288" s="10">
        <f>IF($AF288="","",INDEX(파견수련계획!$U$4:$U$83,$AF288))</f>
        <v/>
      </c>
      <c r="S288" s="11">
        <f>IF($AF288="","",IF(INDEX(파견수련계획!$H$4:$H$83,$AF288)="","",INDEX(파견수련계획!$H$4:$H$83,$AF288)))</f>
        <v/>
      </c>
      <c r="T288" s="11">
        <f>IF($AF288="","",IF(INDEX(파견수련계획!$I$4:$I$83,$AF288)="","",INDEX(파견수련계획!$I$4:$I$83,$AF288)))</f>
        <v/>
      </c>
      <c r="U288" s="10">
        <f>IF($AF288="","",INDEX(파견수련계획!$X$4:$X$83,$AF288))</f>
        <v/>
      </c>
      <c r="V288" s="17">
        <f>IF($AF288="","",INDEX(파견수련계획!$V$4:$V$83,$AF288))</f>
        <v/>
      </c>
      <c r="W288" s="17">
        <f>IF(AND($U288="파견중",$T288&lt;&gt;""),$T288-TODAY(),"")</f>
        <v/>
      </c>
      <c r="X288" s="17">
        <f>IF(OR($B288="",TRIM($J288&amp;"")=""),"",SUMPRODUCT((파견수련계획!$Q$4:$Q$83=TRIM($J288&amp;""))*파견수련계획!$W$4:$W$83))</f>
        <v/>
      </c>
      <c r="Y288" s="10">
        <f>IF($B288="","",IF($AG288="","",IF(IF(TRIM($J288&amp;"")="",0,SUMPRODUCT((파견수련계획!$Q$4:$Q$83=TRIM($J288&amp;""))*파견수련계획!$AD$4:$AD$83))&gt;0,$AE288,IF(N($X288)&lt;=0,$AG288,IF($AH288+$AI288=DAY(EOMONTH(요약!$B$3,0)),IF(AND($AH288&gt;=요약!$E$3,$AI288&lt;요약!$E$3),"서울병원",IF(AND($AI288&gt;=요약!$E$3,$AH288&lt;요약!$E$3),"구리병원","⚠15일 판정불가(서울 "&amp;$AH288&amp;"일/구리 "&amp;$AI288&amp;"일)")),IF($AJ288="",$AE288,IF(INDEX(파견수련계획!$T$4:$T$83,$AJ288)="통합수련",INDEX(파견수련계획!$S$4:$S$83,$AJ288),$AE288)))))))</f>
        <v/>
      </c>
      <c r="Z288" s="19">
        <f>IF($B288="","",IF($AB288="","기본자료에 없는 사번",IF(COUNTIF($B$2:$B$401,$B288)&gt;1,"중복 사번",IF($AE288="","소속(입사장소) 입력",IF(IF(TRIM($J288&amp;"")="",0,SUMPRODUCT((파견수련계획!$Q$4:$Q$83=TRIM($J288&amp;""))*(파견수련계획!$AA$4:$AA$83&lt;&gt;"")))&gt;0,"파견수련계획 입력오류 확인",IF(LEFT($Y288,1)="⚠","서울·구리 15일 판정 불가(양쪽 모두 이상/미만)",IF(IF($AC288="",0,N(INDEX(인턴근무계획!$T$3:$T$62,$AC288)))&gt;0,"인턴계획 입력오류 확인",IF(AND($AC288&lt;&gt;"",$U288&lt;&gt;"파견중",$N288&lt;&gt;$AE288),"인턴 타지역 근무: 파견 여부 확인","정상"))))))))</f>
        <v/>
      </c>
      <c r="AA288" s="5" t="n"/>
      <c r="AB288" s="10">
        <f>IF($B288="","",IFERROR(MATCH($B288,기본자료!$B$2:$B$1001,0),IFERROR(MATCH($B288&amp;"",기본자료!$B$2:$B$1001,0),IFERROR(MATCH(VALUE($B288),기본자료!$B$2:$B$1001,0),""))))</f>
        <v/>
      </c>
      <c r="AC288" s="10">
        <f>IF($B288="","",IFERROR(MATCH($B288,인턴근무계획!$D$3:$D$62,0),IFERROR(MATCH($B288&amp;"",인턴근무계획!$D$3:$D$62,0),IFERROR(MATCH(VALUE($B288),인턴근무계획!$D$3:$D$62,0),""))))</f>
        <v/>
      </c>
      <c r="AD288" s="10">
        <f>IF(OR($AC288="",인턴현황!$G$3=""),"",INDEX(인턴근무계획!$M$3:$R$62,$AC288,인턴현황!$G$3)&amp;"")</f>
        <v/>
      </c>
      <c r="AE288" s="10">
        <f>IF($B288="","",IF($M288&lt;&gt;"",$M288,IF($AF288&lt;&gt;"",IF(LEFT(INDEX(파견수련계획!$R$4:$R$83,$AF288),1)&lt;&gt;"⚠",INDEX(파견수련계획!$R$4:$R$83,$AF288),IF($H288="","",IF(RIGHT($H288,2)="병원",$H288,$H288&amp;"병원"))),IF($H288="","",IF(RIGHT($H288,2)="병원",$H288,$H288&amp;"병원")))))</f>
        <v/>
      </c>
      <c r="AF288" s="10">
        <f>IF(OR($B288="",TRIM($J288&amp;"")=""),"",IFERROR(MATCH(TRIM($J288&amp;"")&amp;"|파견중",파견수련계획!$Y$4:$Y$83,0),IFERROR(MATCH(TRIM($J288&amp;"")&amp;"|파견예정",파견수련계획!$Y$4:$Y$83,0),IFERROR(MATCH(TRIM($J288&amp;"")&amp;"|파견종료",파견수련계획!$Y$4:$Y$83,0),""))))</f>
        <v/>
      </c>
      <c r="AG288" s="10">
        <f>IF($B288="","",IF(AND(IF(OR($AC288="",인턴현황!$K$2=""),"",INDEX(인턴근무계획!$M$3:$R$62,$AC288,인턴현황!$K$2)&amp;"")&lt;&gt;"",LEFT(IF(OR($AC288="",인턴현황!$K$2=""),"",INDEX(인턴근무계획!$M$3:$R$62,$AC288,인턴현황!$K$2)&amp;""),1)&lt;&gt;"⚠"),LEFT(IF(OR($AC288="",인턴현황!$K$2=""),"",INDEX(인턴근무계획!$M$3:$R$62,$AC288,인턴현황!$K$2)&amp;""),FIND(" ",IF(OR($AC288="",인턴현황!$K$2=""),"",INDEX(인턴근무계획!$M$3:$R$62,$AC288,인턴현황!$K$2)&amp;""))-1),$AE288))</f>
        <v/>
      </c>
      <c r="AH288" s="17">
        <f>IF($B288="","",IF(TRIM($J288&amp;"")="",0,SUMPRODUCT((파견수련계획!$Q$4:$Q$83=TRIM($J288&amp;""))*(파견수련계획!$S$4:$S$83="서울병원")*파견수련계획!$W$4:$W$83))+IF($AG288="서울병원",MAX(0,DAY(EOMONTH(요약!$B$3,0))-N($X288)),0))</f>
        <v/>
      </c>
      <c r="AI288" s="17">
        <f>IF($B288="","",IF(TRIM($J288&amp;"")="",0,SUMPRODUCT((파견수련계획!$Q$4:$Q$83=TRIM($J288&amp;""))*(파견수련계획!$S$4:$S$83="구리병원")*파견수련계획!$W$4:$W$83))+IF($AG288="구리병원",MAX(0,DAY(EOMONTH(요약!$B$3,0))-N($X288)),0))</f>
        <v/>
      </c>
      <c r="AJ288" s="10">
        <f>IF(OR($B288="",TRIM($J288&amp;"")=""),"",IFERROR(MATCH(TRIM($J288&amp;"")&amp;"|월",파견수련계획!$Z$4:$Z$83,0),""))</f>
        <v/>
      </c>
      <c r="AK288" s="10">
        <f>IF(OR($B288="",TRIM($J288&amp;"")=""),"",IFERROR(MATCH(TRIM($J288&amp;"")&amp;"|다기관",파견수련계획!$AE$4:$AE$83,0),""))</f>
        <v/>
      </c>
      <c r="AL288" s="10">
        <f>IF($AK288="","","다기관 "&amp;TEXT(INDEX(파견수련계획!$AB$4:$AB$83,$AK288),"yyyy-mm-dd")&amp;"~"&amp;IF(ISNUMBER(INDEX(파견수련계획!$AC$4:$AC$83,$AK288)),TEXT(INDEX(파견수련계획!$AC$4:$AC$83,$AK288),"yyyy-mm-dd"),""))</f>
        <v/>
      </c>
    </row>
    <row r="289">
      <c r="A289" s="10">
        <f>IF(B289="","",ROW()-1)</f>
        <v/>
      </c>
      <c r="B289" s="18" t="n"/>
      <c r="C289" s="10">
        <f>IF($AB289="","",IF(INDEX(기본자료!$C$2:$C$1001,$AB289)="","",INDEX(기본자료!$C$2:$C$1001,$AB289)))</f>
        <v/>
      </c>
      <c r="D289" s="10">
        <f>IF($AB289="","",IF(INDEX(기본자료!$J$2:$J$1001,$AB289)="","",INDEX(기본자료!$J$2:$J$1001,$AB289)))</f>
        <v/>
      </c>
      <c r="E289" s="11">
        <f>IF($AB289="","",IF(INDEX(기본자료!$K$2:$K$1001,$AB289)="","",IF(NOT(ISNUMBER(INDEX(기본자료!$K$2:$K$1001,$AB289))),INDEX(기본자료!$K$2:$K$1001,$AB289),IF(INDEX(기본자료!$K$2:$K$1001,$AB289)&lt;1000000,INDEX(기본자료!$K$2:$K$1001,$AB289),IF(AND(INDEX(기본자료!$K$2:$K$1001,$AB289)&gt;=10000101,INT(MOD(INDEX(기본자료!$K$2:$K$1001,$AB289),10000)/100)&gt;=1,INT(MOD(INDEX(기본자료!$K$2:$K$1001,$AB289),10000)/100)&lt;=12,MOD(INDEX(기본자료!$K$2:$K$1001,$AB289),100)&gt;=1,MOD(INDEX(기본자료!$K$2:$K$1001,$AB289),100)&lt;=31),DATE(INT(INDEX(기본자료!$K$2:$K$1001,$AB289)/10000),INT(MOD(INDEX(기본자료!$K$2:$K$1001,$AB289),10000)/100),MOD(INDEX(기본자료!$K$2:$K$1001,$AB289),100)),INDEX(기본자료!$K$2:$K$1001,$AB289)&amp;"")))))</f>
        <v/>
      </c>
      <c r="F289" s="10">
        <f>IF($AB289="","",IF(INDEX(기본자료!$D$2:$D$1001,$AB289)="","",INDEX(기본자료!$D$2:$D$1001,$AB289)))</f>
        <v/>
      </c>
      <c r="G289" s="10">
        <f>IF($AB289="","",IF(INDEX(기본자료!$E$2:$E$1001,$AB289)="","",INDEX(기본자료!$E$2:$E$1001,$AB289)))</f>
        <v/>
      </c>
      <c r="H289" s="10">
        <f>IF($AB289="","",IF(INDEX(기본자료!$F$2:$F$1001,$AB289)="","",INDEX(기본자료!$F$2:$F$1001,$AB289)))</f>
        <v/>
      </c>
      <c r="I289" s="11">
        <f>IF($AB289="","",IF(INDEX(기본자료!$G$2:$G$1001,$AB289)="","",IF(NOT(ISNUMBER(INDEX(기본자료!$G$2:$G$1001,$AB289))),INDEX(기본자료!$G$2:$G$1001,$AB289),IF(INDEX(기본자료!$G$2:$G$1001,$AB289)&lt;1000000,INDEX(기본자료!$G$2:$G$1001,$AB289),IF(AND(INDEX(기본자료!$G$2:$G$1001,$AB289)&gt;=10000101,INT(MOD(INDEX(기본자료!$G$2:$G$1001,$AB289),10000)/100)&gt;=1,INT(MOD(INDEX(기본자료!$G$2:$G$1001,$AB289),10000)/100)&lt;=12,MOD(INDEX(기본자료!$G$2:$G$1001,$AB289),100)&gt;=1,MOD(INDEX(기본자료!$G$2:$G$1001,$AB289),100)&lt;=31),DATE(INT(INDEX(기본자료!$G$2:$G$1001,$AB289)/10000),INT(MOD(INDEX(기본자료!$G$2:$G$1001,$AB289),10000)/100),MOD(INDEX(기본자료!$G$2:$G$1001,$AB289),100)),INDEX(기본자료!$G$2:$G$1001,$AB289)&amp;"")))))</f>
        <v/>
      </c>
      <c r="J289" s="10">
        <f>IF($AB289="","",IF(INDEX(기본자료!$H$2:$H$1001,$AB289)="","",INDEX(기본자료!$H$2:$H$1001,$AB289)))</f>
        <v/>
      </c>
      <c r="K289" s="10">
        <f>IF($AB289="","",IF(INDEX(기본자료!$I$2:$I$1001,$AB289)="","",INDEX(기본자료!$I$2:$I$1001,$AB289)))</f>
        <v/>
      </c>
      <c r="L289" s="10">
        <f>IF($AB289="","",IF(INDEX(기본자료!$A$2:$A$1001,$AB289)="","",INDEX(기본자료!$A$2:$A$1001,$AB289)))</f>
        <v/>
      </c>
      <c r="M289" s="15" t="n"/>
      <c r="N289" s="10">
        <f>IF($B289="","",IF(AND($U289="파견중",$Q289&lt;&gt;""),$Q289,IF(AND($AD289&lt;&gt;"",LEFT($AD289,1)&lt;&gt;"⚠"),LEFT($AD289,FIND(" ",$AD289)-1),IF($H289="","",IF(RIGHT($H289,2)="병원",$H289,$H289&amp;"병원")))))</f>
        <v/>
      </c>
      <c r="O289" s="10">
        <f>IF($B289="","",IF(AND($U289="파견중",$Q289&lt;&gt;""),IF($R289&lt;&gt;"",$R289,"파견과 미입력"),IF(AND($AD289&lt;&gt;"",LEFT($AD289,1)&lt;&gt;"⚠"),MID($AD289,FIND(" ",$AD289)+1,60),IF($F289="","",IF($F289="인턴","수련교육부(인턴)",$F289)))))</f>
        <v/>
      </c>
      <c r="P289" s="10">
        <f>IF($B289="","",IF($AK289&lt;&gt;"",IF(AND(TODAY()&gt;=INDEX(파견수련계획!$AB$4:$AB$83,$AK289),OR(NOT(ISNUMBER(INDEX(파견수련계획!$AC$4:$AC$83,$AK289))),TODAY()&lt;=INDEX(파견수련계획!$AC$4:$AC$83,$AK289))),"다기관",IF($AF289="","",INDEX(파견수련계획!$T$4:$T$83,$AF289))),IF($AF289="","",INDEX(파견수련계획!$T$4:$T$83,$AF289))))</f>
        <v/>
      </c>
      <c r="Q289" s="10">
        <f>IF($AF289="","",INDEX(파견수련계획!$S$4:$S$83,$AF289))</f>
        <v/>
      </c>
      <c r="R289" s="10">
        <f>IF($AF289="","",INDEX(파견수련계획!$U$4:$U$83,$AF289))</f>
        <v/>
      </c>
      <c r="S289" s="11">
        <f>IF($AF289="","",IF(INDEX(파견수련계획!$H$4:$H$83,$AF289)="","",INDEX(파견수련계획!$H$4:$H$83,$AF289)))</f>
        <v/>
      </c>
      <c r="T289" s="11">
        <f>IF($AF289="","",IF(INDEX(파견수련계획!$I$4:$I$83,$AF289)="","",INDEX(파견수련계획!$I$4:$I$83,$AF289)))</f>
        <v/>
      </c>
      <c r="U289" s="10">
        <f>IF($AF289="","",INDEX(파견수련계획!$X$4:$X$83,$AF289))</f>
        <v/>
      </c>
      <c r="V289" s="17">
        <f>IF($AF289="","",INDEX(파견수련계획!$V$4:$V$83,$AF289))</f>
        <v/>
      </c>
      <c r="W289" s="17">
        <f>IF(AND($U289="파견중",$T289&lt;&gt;""),$T289-TODAY(),"")</f>
        <v/>
      </c>
      <c r="X289" s="17">
        <f>IF(OR($B289="",TRIM($J289&amp;"")=""),"",SUMPRODUCT((파견수련계획!$Q$4:$Q$83=TRIM($J289&amp;""))*파견수련계획!$W$4:$W$83))</f>
        <v/>
      </c>
      <c r="Y289" s="10">
        <f>IF($B289="","",IF($AG289="","",IF(IF(TRIM($J289&amp;"")="",0,SUMPRODUCT((파견수련계획!$Q$4:$Q$83=TRIM($J289&amp;""))*파견수련계획!$AD$4:$AD$83))&gt;0,$AE289,IF(N($X289)&lt;=0,$AG289,IF($AH289+$AI289=DAY(EOMONTH(요약!$B$3,0)),IF(AND($AH289&gt;=요약!$E$3,$AI289&lt;요약!$E$3),"서울병원",IF(AND($AI289&gt;=요약!$E$3,$AH289&lt;요약!$E$3),"구리병원","⚠15일 판정불가(서울 "&amp;$AH289&amp;"일/구리 "&amp;$AI289&amp;"일)")),IF($AJ289="",$AE289,IF(INDEX(파견수련계획!$T$4:$T$83,$AJ289)="통합수련",INDEX(파견수련계획!$S$4:$S$83,$AJ289),$AE289)))))))</f>
        <v/>
      </c>
      <c r="Z289" s="19">
        <f>IF($B289="","",IF($AB289="","기본자료에 없는 사번",IF(COUNTIF($B$2:$B$401,$B289)&gt;1,"중복 사번",IF($AE289="","소속(입사장소) 입력",IF(IF(TRIM($J289&amp;"")="",0,SUMPRODUCT((파견수련계획!$Q$4:$Q$83=TRIM($J289&amp;""))*(파견수련계획!$AA$4:$AA$83&lt;&gt;"")))&gt;0,"파견수련계획 입력오류 확인",IF(LEFT($Y289,1)="⚠","서울·구리 15일 판정 불가(양쪽 모두 이상/미만)",IF(IF($AC289="",0,N(INDEX(인턴근무계획!$T$3:$T$62,$AC289)))&gt;0,"인턴계획 입력오류 확인",IF(AND($AC289&lt;&gt;"",$U289&lt;&gt;"파견중",$N289&lt;&gt;$AE289),"인턴 타지역 근무: 파견 여부 확인","정상"))))))))</f>
        <v/>
      </c>
      <c r="AA289" s="5" t="n"/>
      <c r="AB289" s="10">
        <f>IF($B289="","",IFERROR(MATCH($B289,기본자료!$B$2:$B$1001,0),IFERROR(MATCH($B289&amp;"",기본자료!$B$2:$B$1001,0),IFERROR(MATCH(VALUE($B289),기본자료!$B$2:$B$1001,0),""))))</f>
        <v/>
      </c>
      <c r="AC289" s="10">
        <f>IF($B289="","",IFERROR(MATCH($B289,인턴근무계획!$D$3:$D$62,0),IFERROR(MATCH($B289&amp;"",인턴근무계획!$D$3:$D$62,0),IFERROR(MATCH(VALUE($B289),인턴근무계획!$D$3:$D$62,0),""))))</f>
        <v/>
      </c>
      <c r="AD289" s="10">
        <f>IF(OR($AC289="",인턴현황!$G$3=""),"",INDEX(인턴근무계획!$M$3:$R$62,$AC289,인턴현황!$G$3)&amp;"")</f>
        <v/>
      </c>
      <c r="AE289" s="10">
        <f>IF($B289="","",IF($M289&lt;&gt;"",$M289,IF($AF289&lt;&gt;"",IF(LEFT(INDEX(파견수련계획!$R$4:$R$83,$AF289),1)&lt;&gt;"⚠",INDEX(파견수련계획!$R$4:$R$83,$AF289),IF($H289="","",IF(RIGHT($H289,2)="병원",$H289,$H289&amp;"병원"))),IF($H289="","",IF(RIGHT($H289,2)="병원",$H289,$H289&amp;"병원")))))</f>
        <v/>
      </c>
      <c r="AF289" s="10">
        <f>IF(OR($B289="",TRIM($J289&amp;"")=""),"",IFERROR(MATCH(TRIM($J289&amp;"")&amp;"|파견중",파견수련계획!$Y$4:$Y$83,0),IFERROR(MATCH(TRIM($J289&amp;"")&amp;"|파견예정",파견수련계획!$Y$4:$Y$83,0),IFERROR(MATCH(TRIM($J289&amp;"")&amp;"|파견종료",파견수련계획!$Y$4:$Y$83,0),""))))</f>
        <v/>
      </c>
      <c r="AG289" s="10">
        <f>IF($B289="","",IF(AND(IF(OR($AC289="",인턴현황!$K$2=""),"",INDEX(인턴근무계획!$M$3:$R$62,$AC289,인턴현황!$K$2)&amp;"")&lt;&gt;"",LEFT(IF(OR($AC289="",인턴현황!$K$2=""),"",INDEX(인턴근무계획!$M$3:$R$62,$AC289,인턴현황!$K$2)&amp;""),1)&lt;&gt;"⚠"),LEFT(IF(OR($AC289="",인턴현황!$K$2=""),"",INDEX(인턴근무계획!$M$3:$R$62,$AC289,인턴현황!$K$2)&amp;""),FIND(" ",IF(OR($AC289="",인턴현황!$K$2=""),"",INDEX(인턴근무계획!$M$3:$R$62,$AC289,인턴현황!$K$2)&amp;""))-1),$AE289))</f>
        <v/>
      </c>
      <c r="AH289" s="17">
        <f>IF($B289="","",IF(TRIM($J289&amp;"")="",0,SUMPRODUCT((파견수련계획!$Q$4:$Q$83=TRIM($J289&amp;""))*(파견수련계획!$S$4:$S$83="서울병원")*파견수련계획!$W$4:$W$83))+IF($AG289="서울병원",MAX(0,DAY(EOMONTH(요약!$B$3,0))-N($X289)),0))</f>
        <v/>
      </c>
      <c r="AI289" s="17">
        <f>IF($B289="","",IF(TRIM($J289&amp;"")="",0,SUMPRODUCT((파견수련계획!$Q$4:$Q$83=TRIM($J289&amp;""))*(파견수련계획!$S$4:$S$83="구리병원")*파견수련계획!$W$4:$W$83))+IF($AG289="구리병원",MAX(0,DAY(EOMONTH(요약!$B$3,0))-N($X289)),0))</f>
        <v/>
      </c>
      <c r="AJ289" s="10">
        <f>IF(OR($B289="",TRIM($J289&amp;"")=""),"",IFERROR(MATCH(TRIM($J289&amp;"")&amp;"|월",파견수련계획!$Z$4:$Z$83,0),""))</f>
        <v/>
      </c>
      <c r="AK289" s="10">
        <f>IF(OR($B289="",TRIM($J289&amp;"")=""),"",IFERROR(MATCH(TRIM($J289&amp;"")&amp;"|다기관",파견수련계획!$AE$4:$AE$83,0),""))</f>
        <v/>
      </c>
      <c r="AL289" s="10">
        <f>IF($AK289="","","다기관 "&amp;TEXT(INDEX(파견수련계획!$AB$4:$AB$83,$AK289),"yyyy-mm-dd")&amp;"~"&amp;IF(ISNUMBER(INDEX(파견수련계획!$AC$4:$AC$83,$AK289)),TEXT(INDEX(파견수련계획!$AC$4:$AC$83,$AK289),"yyyy-mm-dd"),""))</f>
        <v/>
      </c>
    </row>
    <row r="290">
      <c r="A290" s="10">
        <f>IF(B290="","",ROW()-1)</f>
        <v/>
      </c>
      <c r="B290" s="18" t="n"/>
      <c r="C290" s="10">
        <f>IF($AB290="","",IF(INDEX(기본자료!$C$2:$C$1001,$AB290)="","",INDEX(기본자료!$C$2:$C$1001,$AB290)))</f>
        <v/>
      </c>
      <c r="D290" s="10">
        <f>IF($AB290="","",IF(INDEX(기본자료!$J$2:$J$1001,$AB290)="","",INDEX(기본자료!$J$2:$J$1001,$AB290)))</f>
        <v/>
      </c>
      <c r="E290" s="11">
        <f>IF($AB290="","",IF(INDEX(기본자료!$K$2:$K$1001,$AB290)="","",IF(NOT(ISNUMBER(INDEX(기본자료!$K$2:$K$1001,$AB290))),INDEX(기본자료!$K$2:$K$1001,$AB290),IF(INDEX(기본자료!$K$2:$K$1001,$AB290)&lt;1000000,INDEX(기본자료!$K$2:$K$1001,$AB290),IF(AND(INDEX(기본자료!$K$2:$K$1001,$AB290)&gt;=10000101,INT(MOD(INDEX(기본자료!$K$2:$K$1001,$AB290),10000)/100)&gt;=1,INT(MOD(INDEX(기본자료!$K$2:$K$1001,$AB290),10000)/100)&lt;=12,MOD(INDEX(기본자료!$K$2:$K$1001,$AB290),100)&gt;=1,MOD(INDEX(기본자료!$K$2:$K$1001,$AB290),100)&lt;=31),DATE(INT(INDEX(기본자료!$K$2:$K$1001,$AB290)/10000),INT(MOD(INDEX(기본자료!$K$2:$K$1001,$AB290),10000)/100),MOD(INDEX(기본자료!$K$2:$K$1001,$AB290),100)),INDEX(기본자료!$K$2:$K$1001,$AB290)&amp;"")))))</f>
        <v/>
      </c>
      <c r="F290" s="10">
        <f>IF($AB290="","",IF(INDEX(기본자료!$D$2:$D$1001,$AB290)="","",INDEX(기본자료!$D$2:$D$1001,$AB290)))</f>
        <v/>
      </c>
      <c r="G290" s="10">
        <f>IF($AB290="","",IF(INDEX(기본자료!$E$2:$E$1001,$AB290)="","",INDEX(기본자료!$E$2:$E$1001,$AB290)))</f>
        <v/>
      </c>
      <c r="H290" s="10">
        <f>IF($AB290="","",IF(INDEX(기본자료!$F$2:$F$1001,$AB290)="","",INDEX(기본자료!$F$2:$F$1001,$AB290)))</f>
        <v/>
      </c>
      <c r="I290" s="11">
        <f>IF($AB290="","",IF(INDEX(기본자료!$G$2:$G$1001,$AB290)="","",IF(NOT(ISNUMBER(INDEX(기본자료!$G$2:$G$1001,$AB290))),INDEX(기본자료!$G$2:$G$1001,$AB290),IF(INDEX(기본자료!$G$2:$G$1001,$AB290)&lt;1000000,INDEX(기본자료!$G$2:$G$1001,$AB290),IF(AND(INDEX(기본자료!$G$2:$G$1001,$AB290)&gt;=10000101,INT(MOD(INDEX(기본자료!$G$2:$G$1001,$AB290),10000)/100)&gt;=1,INT(MOD(INDEX(기본자료!$G$2:$G$1001,$AB290),10000)/100)&lt;=12,MOD(INDEX(기본자료!$G$2:$G$1001,$AB290),100)&gt;=1,MOD(INDEX(기본자료!$G$2:$G$1001,$AB290),100)&lt;=31),DATE(INT(INDEX(기본자료!$G$2:$G$1001,$AB290)/10000),INT(MOD(INDEX(기본자료!$G$2:$G$1001,$AB290),10000)/100),MOD(INDEX(기본자료!$G$2:$G$1001,$AB290),100)),INDEX(기본자료!$G$2:$G$1001,$AB290)&amp;"")))))</f>
        <v/>
      </c>
      <c r="J290" s="10">
        <f>IF($AB290="","",IF(INDEX(기본자료!$H$2:$H$1001,$AB290)="","",INDEX(기본자료!$H$2:$H$1001,$AB290)))</f>
        <v/>
      </c>
      <c r="K290" s="10">
        <f>IF($AB290="","",IF(INDEX(기본자료!$I$2:$I$1001,$AB290)="","",INDEX(기본자료!$I$2:$I$1001,$AB290)))</f>
        <v/>
      </c>
      <c r="L290" s="10">
        <f>IF($AB290="","",IF(INDEX(기본자료!$A$2:$A$1001,$AB290)="","",INDEX(기본자료!$A$2:$A$1001,$AB290)))</f>
        <v/>
      </c>
      <c r="M290" s="15" t="n"/>
      <c r="N290" s="10">
        <f>IF($B290="","",IF(AND($U290="파견중",$Q290&lt;&gt;""),$Q290,IF(AND($AD290&lt;&gt;"",LEFT($AD290,1)&lt;&gt;"⚠"),LEFT($AD290,FIND(" ",$AD290)-1),IF($H290="","",IF(RIGHT($H290,2)="병원",$H290,$H290&amp;"병원")))))</f>
        <v/>
      </c>
      <c r="O290" s="10">
        <f>IF($B290="","",IF(AND($U290="파견중",$Q290&lt;&gt;""),IF($R290&lt;&gt;"",$R290,"파견과 미입력"),IF(AND($AD290&lt;&gt;"",LEFT($AD290,1)&lt;&gt;"⚠"),MID($AD290,FIND(" ",$AD290)+1,60),IF($F290="","",IF($F290="인턴","수련교육부(인턴)",$F290)))))</f>
        <v/>
      </c>
      <c r="P290" s="10">
        <f>IF($B290="","",IF($AK290&lt;&gt;"",IF(AND(TODAY()&gt;=INDEX(파견수련계획!$AB$4:$AB$83,$AK290),OR(NOT(ISNUMBER(INDEX(파견수련계획!$AC$4:$AC$83,$AK290))),TODAY()&lt;=INDEX(파견수련계획!$AC$4:$AC$83,$AK290))),"다기관",IF($AF290="","",INDEX(파견수련계획!$T$4:$T$83,$AF290))),IF($AF290="","",INDEX(파견수련계획!$T$4:$T$83,$AF290))))</f>
        <v/>
      </c>
      <c r="Q290" s="10">
        <f>IF($AF290="","",INDEX(파견수련계획!$S$4:$S$83,$AF290))</f>
        <v/>
      </c>
      <c r="R290" s="10">
        <f>IF($AF290="","",INDEX(파견수련계획!$U$4:$U$83,$AF290))</f>
        <v/>
      </c>
      <c r="S290" s="11">
        <f>IF($AF290="","",IF(INDEX(파견수련계획!$H$4:$H$83,$AF290)="","",INDEX(파견수련계획!$H$4:$H$83,$AF290)))</f>
        <v/>
      </c>
      <c r="T290" s="11">
        <f>IF($AF290="","",IF(INDEX(파견수련계획!$I$4:$I$83,$AF290)="","",INDEX(파견수련계획!$I$4:$I$83,$AF290)))</f>
        <v/>
      </c>
      <c r="U290" s="10">
        <f>IF($AF290="","",INDEX(파견수련계획!$X$4:$X$83,$AF290))</f>
        <v/>
      </c>
      <c r="V290" s="17">
        <f>IF($AF290="","",INDEX(파견수련계획!$V$4:$V$83,$AF290))</f>
        <v/>
      </c>
      <c r="W290" s="17">
        <f>IF(AND($U290="파견중",$T290&lt;&gt;""),$T290-TODAY(),"")</f>
        <v/>
      </c>
      <c r="X290" s="17">
        <f>IF(OR($B290="",TRIM($J290&amp;"")=""),"",SUMPRODUCT((파견수련계획!$Q$4:$Q$83=TRIM($J290&amp;""))*파견수련계획!$W$4:$W$83))</f>
        <v/>
      </c>
      <c r="Y290" s="10">
        <f>IF($B290="","",IF($AG290="","",IF(IF(TRIM($J290&amp;"")="",0,SUMPRODUCT((파견수련계획!$Q$4:$Q$83=TRIM($J290&amp;""))*파견수련계획!$AD$4:$AD$83))&gt;0,$AE290,IF(N($X290)&lt;=0,$AG290,IF($AH290+$AI290=DAY(EOMONTH(요약!$B$3,0)),IF(AND($AH290&gt;=요약!$E$3,$AI290&lt;요약!$E$3),"서울병원",IF(AND($AI290&gt;=요약!$E$3,$AH290&lt;요약!$E$3),"구리병원","⚠15일 판정불가(서울 "&amp;$AH290&amp;"일/구리 "&amp;$AI290&amp;"일)")),IF($AJ290="",$AE290,IF(INDEX(파견수련계획!$T$4:$T$83,$AJ290)="통합수련",INDEX(파견수련계획!$S$4:$S$83,$AJ290),$AE290)))))))</f>
        <v/>
      </c>
      <c r="Z290" s="19">
        <f>IF($B290="","",IF($AB290="","기본자료에 없는 사번",IF(COUNTIF($B$2:$B$401,$B290)&gt;1,"중복 사번",IF($AE290="","소속(입사장소) 입력",IF(IF(TRIM($J290&amp;"")="",0,SUMPRODUCT((파견수련계획!$Q$4:$Q$83=TRIM($J290&amp;""))*(파견수련계획!$AA$4:$AA$83&lt;&gt;"")))&gt;0,"파견수련계획 입력오류 확인",IF(LEFT($Y290,1)="⚠","서울·구리 15일 판정 불가(양쪽 모두 이상/미만)",IF(IF($AC290="",0,N(INDEX(인턴근무계획!$T$3:$T$62,$AC290)))&gt;0,"인턴계획 입력오류 확인",IF(AND($AC290&lt;&gt;"",$U290&lt;&gt;"파견중",$N290&lt;&gt;$AE290),"인턴 타지역 근무: 파견 여부 확인","정상"))))))))</f>
        <v/>
      </c>
      <c r="AA290" s="5" t="n"/>
      <c r="AB290" s="10">
        <f>IF($B290="","",IFERROR(MATCH($B290,기본자료!$B$2:$B$1001,0),IFERROR(MATCH($B290&amp;"",기본자료!$B$2:$B$1001,0),IFERROR(MATCH(VALUE($B290),기본자료!$B$2:$B$1001,0),""))))</f>
        <v/>
      </c>
      <c r="AC290" s="10">
        <f>IF($B290="","",IFERROR(MATCH($B290,인턴근무계획!$D$3:$D$62,0),IFERROR(MATCH($B290&amp;"",인턴근무계획!$D$3:$D$62,0),IFERROR(MATCH(VALUE($B290),인턴근무계획!$D$3:$D$62,0),""))))</f>
        <v/>
      </c>
      <c r="AD290" s="10">
        <f>IF(OR($AC290="",인턴현황!$G$3=""),"",INDEX(인턴근무계획!$M$3:$R$62,$AC290,인턴현황!$G$3)&amp;"")</f>
        <v/>
      </c>
      <c r="AE290" s="10">
        <f>IF($B290="","",IF($M290&lt;&gt;"",$M290,IF($AF290&lt;&gt;"",IF(LEFT(INDEX(파견수련계획!$R$4:$R$83,$AF290),1)&lt;&gt;"⚠",INDEX(파견수련계획!$R$4:$R$83,$AF290),IF($H290="","",IF(RIGHT($H290,2)="병원",$H290,$H290&amp;"병원"))),IF($H290="","",IF(RIGHT($H290,2)="병원",$H290,$H290&amp;"병원")))))</f>
        <v/>
      </c>
      <c r="AF290" s="10">
        <f>IF(OR($B290="",TRIM($J290&amp;"")=""),"",IFERROR(MATCH(TRIM($J290&amp;"")&amp;"|파견중",파견수련계획!$Y$4:$Y$83,0),IFERROR(MATCH(TRIM($J290&amp;"")&amp;"|파견예정",파견수련계획!$Y$4:$Y$83,0),IFERROR(MATCH(TRIM($J290&amp;"")&amp;"|파견종료",파견수련계획!$Y$4:$Y$83,0),""))))</f>
        <v/>
      </c>
      <c r="AG290" s="10">
        <f>IF($B290="","",IF(AND(IF(OR($AC290="",인턴현황!$K$2=""),"",INDEX(인턴근무계획!$M$3:$R$62,$AC290,인턴현황!$K$2)&amp;"")&lt;&gt;"",LEFT(IF(OR($AC290="",인턴현황!$K$2=""),"",INDEX(인턴근무계획!$M$3:$R$62,$AC290,인턴현황!$K$2)&amp;""),1)&lt;&gt;"⚠"),LEFT(IF(OR($AC290="",인턴현황!$K$2=""),"",INDEX(인턴근무계획!$M$3:$R$62,$AC290,인턴현황!$K$2)&amp;""),FIND(" ",IF(OR($AC290="",인턴현황!$K$2=""),"",INDEX(인턴근무계획!$M$3:$R$62,$AC290,인턴현황!$K$2)&amp;""))-1),$AE290))</f>
        <v/>
      </c>
      <c r="AH290" s="17">
        <f>IF($B290="","",IF(TRIM($J290&amp;"")="",0,SUMPRODUCT((파견수련계획!$Q$4:$Q$83=TRIM($J290&amp;""))*(파견수련계획!$S$4:$S$83="서울병원")*파견수련계획!$W$4:$W$83))+IF($AG290="서울병원",MAX(0,DAY(EOMONTH(요약!$B$3,0))-N($X290)),0))</f>
        <v/>
      </c>
      <c r="AI290" s="17">
        <f>IF($B290="","",IF(TRIM($J290&amp;"")="",0,SUMPRODUCT((파견수련계획!$Q$4:$Q$83=TRIM($J290&amp;""))*(파견수련계획!$S$4:$S$83="구리병원")*파견수련계획!$W$4:$W$83))+IF($AG290="구리병원",MAX(0,DAY(EOMONTH(요약!$B$3,0))-N($X290)),0))</f>
        <v/>
      </c>
      <c r="AJ290" s="10">
        <f>IF(OR($B290="",TRIM($J290&amp;"")=""),"",IFERROR(MATCH(TRIM($J290&amp;"")&amp;"|월",파견수련계획!$Z$4:$Z$83,0),""))</f>
        <v/>
      </c>
      <c r="AK290" s="10">
        <f>IF(OR($B290="",TRIM($J290&amp;"")=""),"",IFERROR(MATCH(TRIM($J290&amp;"")&amp;"|다기관",파견수련계획!$AE$4:$AE$83,0),""))</f>
        <v/>
      </c>
      <c r="AL290" s="10">
        <f>IF($AK290="","","다기관 "&amp;TEXT(INDEX(파견수련계획!$AB$4:$AB$83,$AK290),"yyyy-mm-dd")&amp;"~"&amp;IF(ISNUMBER(INDEX(파견수련계획!$AC$4:$AC$83,$AK290)),TEXT(INDEX(파견수련계획!$AC$4:$AC$83,$AK290),"yyyy-mm-dd"),""))</f>
        <v/>
      </c>
    </row>
    <row r="291">
      <c r="A291" s="10">
        <f>IF(B291="","",ROW()-1)</f>
        <v/>
      </c>
      <c r="B291" s="18" t="n"/>
      <c r="C291" s="10">
        <f>IF($AB291="","",IF(INDEX(기본자료!$C$2:$C$1001,$AB291)="","",INDEX(기본자료!$C$2:$C$1001,$AB291)))</f>
        <v/>
      </c>
      <c r="D291" s="10">
        <f>IF($AB291="","",IF(INDEX(기본자료!$J$2:$J$1001,$AB291)="","",INDEX(기본자료!$J$2:$J$1001,$AB291)))</f>
        <v/>
      </c>
      <c r="E291" s="11">
        <f>IF($AB291="","",IF(INDEX(기본자료!$K$2:$K$1001,$AB291)="","",IF(NOT(ISNUMBER(INDEX(기본자료!$K$2:$K$1001,$AB291))),INDEX(기본자료!$K$2:$K$1001,$AB291),IF(INDEX(기본자료!$K$2:$K$1001,$AB291)&lt;1000000,INDEX(기본자료!$K$2:$K$1001,$AB291),IF(AND(INDEX(기본자료!$K$2:$K$1001,$AB291)&gt;=10000101,INT(MOD(INDEX(기본자료!$K$2:$K$1001,$AB291),10000)/100)&gt;=1,INT(MOD(INDEX(기본자료!$K$2:$K$1001,$AB291),10000)/100)&lt;=12,MOD(INDEX(기본자료!$K$2:$K$1001,$AB291),100)&gt;=1,MOD(INDEX(기본자료!$K$2:$K$1001,$AB291),100)&lt;=31),DATE(INT(INDEX(기본자료!$K$2:$K$1001,$AB291)/10000),INT(MOD(INDEX(기본자료!$K$2:$K$1001,$AB291),10000)/100),MOD(INDEX(기본자료!$K$2:$K$1001,$AB291),100)),INDEX(기본자료!$K$2:$K$1001,$AB291)&amp;"")))))</f>
        <v/>
      </c>
      <c r="F291" s="10">
        <f>IF($AB291="","",IF(INDEX(기본자료!$D$2:$D$1001,$AB291)="","",INDEX(기본자료!$D$2:$D$1001,$AB291)))</f>
        <v/>
      </c>
      <c r="G291" s="10">
        <f>IF($AB291="","",IF(INDEX(기본자료!$E$2:$E$1001,$AB291)="","",INDEX(기본자료!$E$2:$E$1001,$AB291)))</f>
        <v/>
      </c>
      <c r="H291" s="10">
        <f>IF($AB291="","",IF(INDEX(기본자료!$F$2:$F$1001,$AB291)="","",INDEX(기본자료!$F$2:$F$1001,$AB291)))</f>
        <v/>
      </c>
      <c r="I291" s="11">
        <f>IF($AB291="","",IF(INDEX(기본자료!$G$2:$G$1001,$AB291)="","",IF(NOT(ISNUMBER(INDEX(기본자료!$G$2:$G$1001,$AB291))),INDEX(기본자료!$G$2:$G$1001,$AB291),IF(INDEX(기본자료!$G$2:$G$1001,$AB291)&lt;1000000,INDEX(기본자료!$G$2:$G$1001,$AB291),IF(AND(INDEX(기본자료!$G$2:$G$1001,$AB291)&gt;=10000101,INT(MOD(INDEX(기본자료!$G$2:$G$1001,$AB291),10000)/100)&gt;=1,INT(MOD(INDEX(기본자료!$G$2:$G$1001,$AB291),10000)/100)&lt;=12,MOD(INDEX(기본자료!$G$2:$G$1001,$AB291),100)&gt;=1,MOD(INDEX(기본자료!$G$2:$G$1001,$AB291),100)&lt;=31),DATE(INT(INDEX(기본자료!$G$2:$G$1001,$AB291)/10000),INT(MOD(INDEX(기본자료!$G$2:$G$1001,$AB291),10000)/100),MOD(INDEX(기본자료!$G$2:$G$1001,$AB291),100)),INDEX(기본자료!$G$2:$G$1001,$AB291)&amp;"")))))</f>
        <v/>
      </c>
      <c r="J291" s="10">
        <f>IF($AB291="","",IF(INDEX(기본자료!$H$2:$H$1001,$AB291)="","",INDEX(기본자료!$H$2:$H$1001,$AB291)))</f>
        <v/>
      </c>
      <c r="K291" s="10">
        <f>IF($AB291="","",IF(INDEX(기본자료!$I$2:$I$1001,$AB291)="","",INDEX(기본자료!$I$2:$I$1001,$AB291)))</f>
        <v/>
      </c>
      <c r="L291" s="10">
        <f>IF($AB291="","",IF(INDEX(기본자료!$A$2:$A$1001,$AB291)="","",INDEX(기본자료!$A$2:$A$1001,$AB291)))</f>
        <v/>
      </c>
      <c r="M291" s="15" t="n"/>
      <c r="N291" s="10">
        <f>IF($B291="","",IF(AND($U291="파견중",$Q291&lt;&gt;""),$Q291,IF(AND($AD291&lt;&gt;"",LEFT($AD291,1)&lt;&gt;"⚠"),LEFT($AD291,FIND(" ",$AD291)-1),IF($H291="","",IF(RIGHT($H291,2)="병원",$H291,$H291&amp;"병원")))))</f>
        <v/>
      </c>
      <c r="O291" s="10">
        <f>IF($B291="","",IF(AND($U291="파견중",$Q291&lt;&gt;""),IF($R291&lt;&gt;"",$R291,"파견과 미입력"),IF(AND($AD291&lt;&gt;"",LEFT($AD291,1)&lt;&gt;"⚠"),MID($AD291,FIND(" ",$AD291)+1,60),IF($F291="","",IF($F291="인턴","수련교육부(인턴)",$F291)))))</f>
        <v/>
      </c>
      <c r="P291" s="10">
        <f>IF($B291="","",IF($AK291&lt;&gt;"",IF(AND(TODAY()&gt;=INDEX(파견수련계획!$AB$4:$AB$83,$AK291),OR(NOT(ISNUMBER(INDEX(파견수련계획!$AC$4:$AC$83,$AK291))),TODAY()&lt;=INDEX(파견수련계획!$AC$4:$AC$83,$AK291))),"다기관",IF($AF291="","",INDEX(파견수련계획!$T$4:$T$83,$AF291))),IF($AF291="","",INDEX(파견수련계획!$T$4:$T$83,$AF291))))</f>
        <v/>
      </c>
      <c r="Q291" s="10">
        <f>IF($AF291="","",INDEX(파견수련계획!$S$4:$S$83,$AF291))</f>
        <v/>
      </c>
      <c r="R291" s="10">
        <f>IF($AF291="","",INDEX(파견수련계획!$U$4:$U$83,$AF291))</f>
        <v/>
      </c>
      <c r="S291" s="11">
        <f>IF($AF291="","",IF(INDEX(파견수련계획!$H$4:$H$83,$AF291)="","",INDEX(파견수련계획!$H$4:$H$83,$AF291)))</f>
        <v/>
      </c>
      <c r="T291" s="11">
        <f>IF($AF291="","",IF(INDEX(파견수련계획!$I$4:$I$83,$AF291)="","",INDEX(파견수련계획!$I$4:$I$83,$AF291)))</f>
        <v/>
      </c>
      <c r="U291" s="10">
        <f>IF($AF291="","",INDEX(파견수련계획!$X$4:$X$83,$AF291))</f>
        <v/>
      </c>
      <c r="V291" s="17">
        <f>IF($AF291="","",INDEX(파견수련계획!$V$4:$V$83,$AF291))</f>
        <v/>
      </c>
      <c r="W291" s="17">
        <f>IF(AND($U291="파견중",$T291&lt;&gt;""),$T291-TODAY(),"")</f>
        <v/>
      </c>
      <c r="X291" s="17">
        <f>IF(OR($B291="",TRIM($J291&amp;"")=""),"",SUMPRODUCT((파견수련계획!$Q$4:$Q$83=TRIM($J291&amp;""))*파견수련계획!$W$4:$W$83))</f>
        <v/>
      </c>
      <c r="Y291" s="10">
        <f>IF($B291="","",IF($AG291="","",IF(IF(TRIM($J291&amp;"")="",0,SUMPRODUCT((파견수련계획!$Q$4:$Q$83=TRIM($J291&amp;""))*파견수련계획!$AD$4:$AD$83))&gt;0,$AE291,IF(N($X291)&lt;=0,$AG291,IF($AH291+$AI291=DAY(EOMONTH(요약!$B$3,0)),IF(AND($AH291&gt;=요약!$E$3,$AI291&lt;요약!$E$3),"서울병원",IF(AND($AI291&gt;=요약!$E$3,$AH291&lt;요약!$E$3),"구리병원","⚠15일 판정불가(서울 "&amp;$AH291&amp;"일/구리 "&amp;$AI291&amp;"일)")),IF($AJ291="",$AE291,IF(INDEX(파견수련계획!$T$4:$T$83,$AJ291)="통합수련",INDEX(파견수련계획!$S$4:$S$83,$AJ291),$AE291)))))))</f>
        <v/>
      </c>
      <c r="Z291" s="19">
        <f>IF($B291="","",IF($AB291="","기본자료에 없는 사번",IF(COUNTIF($B$2:$B$401,$B291)&gt;1,"중복 사번",IF($AE291="","소속(입사장소) 입력",IF(IF(TRIM($J291&amp;"")="",0,SUMPRODUCT((파견수련계획!$Q$4:$Q$83=TRIM($J291&amp;""))*(파견수련계획!$AA$4:$AA$83&lt;&gt;"")))&gt;0,"파견수련계획 입력오류 확인",IF(LEFT($Y291,1)="⚠","서울·구리 15일 판정 불가(양쪽 모두 이상/미만)",IF(IF($AC291="",0,N(INDEX(인턴근무계획!$T$3:$T$62,$AC291)))&gt;0,"인턴계획 입력오류 확인",IF(AND($AC291&lt;&gt;"",$U291&lt;&gt;"파견중",$N291&lt;&gt;$AE291),"인턴 타지역 근무: 파견 여부 확인","정상"))))))))</f>
        <v/>
      </c>
      <c r="AA291" s="5" t="n"/>
      <c r="AB291" s="10">
        <f>IF($B291="","",IFERROR(MATCH($B291,기본자료!$B$2:$B$1001,0),IFERROR(MATCH($B291&amp;"",기본자료!$B$2:$B$1001,0),IFERROR(MATCH(VALUE($B291),기본자료!$B$2:$B$1001,0),""))))</f>
        <v/>
      </c>
      <c r="AC291" s="10">
        <f>IF($B291="","",IFERROR(MATCH($B291,인턴근무계획!$D$3:$D$62,0),IFERROR(MATCH($B291&amp;"",인턴근무계획!$D$3:$D$62,0),IFERROR(MATCH(VALUE($B291),인턴근무계획!$D$3:$D$62,0),""))))</f>
        <v/>
      </c>
      <c r="AD291" s="10">
        <f>IF(OR($AC291="",인턴현황!$G$3=""),"",INDEX(인턴근무계획!$M$3:$R$62,$AC291,인턴현황!$G$3)&amp;"")</f>
        <v/>
      </c>
      <c r="AE291" s="10">
        <f>IF($B291="","",IF($M291&lt;&gt;"",$M291,IF($AF291&lt;&gt;"",IF(LEFT(INDEX(파견수련계획!$R$4:$R$83,$AF291),1)&lt;&gt;"⚠",INDEX(파견수련계획!$R$4:$R$83,$AF291),IF($H291="","",IF(RIGHT($H291,2)="병원",$H291,$H291&amp;"병원"))),IF($H291="","",IF(RIGHT($H291,2)="병원",$H291,$H291&amp;"병원")))))</f>
        <v/>
      </c>
      <c r="AF291" s="10">
        <f>IF(OR($B291="",TRIM($J291&amp;"")=""),"",IFERROR(MATCH(TRIM($J291&amp;"")&amp;"|파견중",파견수련계획!$Y$4:$Y$83,0),IFERROR(MATCH(TRIM($J291&amp;"")&amp;"|파견예정",파견수련계획!$Y$4:$Y$83,0),IFERROR(MATCH(TRIM($J291&amp;"")&amp;"|파견종료",파견수련계획!$Y$4:$Y$83,0),""))))</f>
        <v/>
      </c>
      <c r="AG291" s="10">
        <f>IF($B291="","",IF(AND(IF(OR($AC291="",인턴현황!$K$2=""),"",INDEX(인턴근무계획!$M$3:$R$62,$AC291,인턴현황!$K$2)&amp;"")&lt;&gt;"",LEFT(IF(OR($AC291="",인턴현황!$K$2=""),"",INDEX(인턴근무계획!$M$3:$R$62,$AC291,인턴현황!$K$2)&amp;""),1)&lt;&gt;"⚠"),LEFT(IF(OR($AC291="",인턴현황!$K$2=""),"",INDEX(인턴근무계획!$M$3:$R$62,$AC291,인턴현황!$K$2)&amp;""),FIND(" ",IF(OR($AC291="",인턴현황!$K$2=""),"",INDEX(인턴근무계획!$M$3:$R$62,$AC291,인턴현황!$K$2)&amp;""))-1),$AE291))</f>
        <v/>
      </c>
      <c r="AH291" s="17">
        <f>IF($B291="","",IF(TRIM($J291&amp;"")="",0,SUMPRODUCT((파견수련계획!$Q$4:$Q$83=TRIM($J291&amp;""))*(파견수련계획!$S$4:$S$83="서울병원")*파견수련계획!$W$4:$W$83))+IF($AG291="서울병원",MAX(0,DAY(EOMONTH(요약!$B$3,0))-N($X291)),0))</f>
        <v/>
      </c>
      <c r="AI291" s="17">
        <f>IF($B291="","",IF(TRIM($J291&amp;"")="",0,SUMPRODUCT((파견수련계획!$Q$4:$Q$83=TRIM($J291&amp;""))*(파견수련계획!$S$4:$S$83="구리병원")*파견수련계획!$W$4:$W$83))+IF($AG291="구리병원",MAX(0,DAY(EOMONTH(요약!$B$3,0))-N($X291)),0))</f>
        <v/>
      </c>
      <c r="AJ291" s="10">
        <f>IF(OR($B291="",TRIM($J291&amp;"")=""),"",IFERROR(MATCH(TRIM($J291&amp;"")&amp;"|월",파견수련계획!$Z$4:$Z$83,0),""))</f>
        <v/>
      </c>
      <c r="AK291" s="10">
        <f>IF(OR($B291="",TRIM($J291&amp;"")=""),"",IFERROR(MATCH(TRIM($J291&amp;"")&amp;"|다기관",파견수련계획!$AE$4:$AE$83,0),""))</f>
        <v/>
      </c>
      <c r="AL291" s="10">
        <f>IF($AK291="","","다기관 "&amp;TEXT(INDEX(파견수련계획!$AB$4:$AB$83,$AK291),"yyyy-mm-dd")&amp;"~"&amp;IF(ISNUMBER(INDEX(파견수련계획!$AC$4:$AC$83,$AK291)),TEXT(INDEX(파견수련계획!$AC$4:$AC$83,$AK291),"yyyy-mm-dd"),""))</f>
        <v/>
      </c>
    </row>
    <row r="292">
      <c r="A292" s="10">
        <f>IF(B292="","",ROW()-1)</f>
        <v/>
      </c>
      <c r="B292" s="18" t="n"/>
      <c r="C292" s="10">
        <f>IF($AB292="","",IF(INDEX(기본자료!$C$2:$C$1001,$AB292)="","",INDEX(기본자료!$C$2:$C$1001,$AB292)))</f>
        <v/>
      </c>
      <c r="D292" s="10">
        <f>IF($AB292="","",IF(INDEX(기본자료!$J$2:$J$1001,$AB292)="","",INDEX(기본자료!$J$2:$J$1001,$AB292)))</f>
        <v/>
      </c>
      <c r="E292" s="11">
        <f>IF($AB292="","",IF(INDEX(기본자료!$K$2:$K$1001,$AB292)="","",IF(NOT(ISNUMBER(INDEX(기본자료!$K$2:$K$1001,$AB292))),INDEX(기본자료!$K$2:$K$1001,$AB292),IF(INDEX(기본자료!$K$2:$K$1001,$AB292)&lt;1000000,INDEX(기본자료!$K$2:$K$1001,$AB292),IF(AND(INDEX(기본자료!$K$2:$K$1001,$AB292)&gt;=10000101,INT(MOD(INDEX(기본자료!$K$2:$K$1001,$AB292),10000)/100)&gt;=1,INT(MOD(INDEX(기본자료!$K$2:$K$1001,$AB292),10000)/100)&lt;=12,MOD(INDEX(기본자료!$K$2:$K$1001,$AB292),100)&gt;=1,MOD(INDEX(기본자료!$K$2:$K$1001,$AB292),100)&lt;=31),DATE(INT(INDEX(기본자료!$K$2:$K$1001,$AB292)/10000),INT(MOD(INDEX(기본자료!$K$2:$K$1001,$AB292),10000)/100),MOD(INDEX(기본자료!$K$2:$K$1001,$AB292),100)),INDEX(기본자료!$K$2:$K$1001,$AB292)&amp;"")))))</f>
        <v/>
      </c>
      <c r="F292" s="10">
        <f>IF($AB292="","",IF(INDEX(기본자료!$D$2:$D$1001,$AB292)="","",INDEX(기본자료!$D$2:$D$1001,$AB292)))</f>
        <v/>
      </c>
      <c r="G292" s="10">
        <f>IF($AB292="","",IF(INDEX(기본자료!$E$2:$E$1001,$AB292)="","",INDEX(기본자료!$E$2:$E$1001,$AB292)))</f>
        <v/>
      </c>
      <c r="H292" s="10">
        <f>IF($AB292="","",IF(INDEX(기본자료!$F$2:$F$1001,$AB292)="","",INDEX(기본자료!$F$2:$F$1001,$AB292)))</f>
        <v/>
      </c>
      <c r="I292" s="11">
        <f>IF($AB292="","",IF(INDEX(기본자료!$G$2:$G$1001,$AB292)="","",IF(NOT(ISNUMBER(INDEX(기본자료!$G$2:$G$1001,$AB292))),INDEX(기본자료!$G$2:$G$1001,$AB292),IF(INDEX(기본자료!$G$2:$G$1001,$AB292)&lt;1000000,INDEX(기본자료!$G$2:$G$1001,$AB292),IF(AND(INDEX(기본자료!$G$2:$G$1001,$AB292)&gt;=10000101,INT(MOD(INDEX(기본자료!$G$2:$G$1001,$AB292),10000)/100)&gt;=1,INT(MOD(INDEX(기본자료!$G$2:$G$1001,$AB292),10000)/100)&lt;=12,MOD(INDEX(기본자료!$G$2:$G$1001,$AB292),100)&gt;=1,MOD(INDEX(기본자료!$G$2:$G$1001,$AB292),100)&lt;=31),DATE(INT(INDEX(기본자료!$G$2:$G$1001,$AB292)/10000),INT(MOD(INDEX(기본자료!$G$2:$G$1001,$AB292),10000)/100),MOD(INDEX(기본자료!$G$2:$G$1001,$AB292),100)),INDEX(기본자료!$G$2:$G$1001,$AB292)&amp;"")))))</f>
        <v/>
      </c>
      <c r="J292" s="10">
        <f>IF($AB292="","",IF(INDEX(기본자료!$H$2:$H$1001,$AB292)="","",INDEX(기본자료!$H$2:$H$1001,$AB292)))</f>
        <v/>
      </c>
      <c r="K292" s="10">
        <f>IF($AB292="","",IF(INDEX(기본자료!$I$2:$I$1001,$AB292)="","",INDEX(기본자료!$I$2:$I$1001,$AB292)))</f>
        <v/>
      </c>
      <c r="L292" s="10">
        <f>IF($AB292="","",IF(INDEX(기본자료!$A$2:$A$1001,$AB292)="","",INDEX(기본자료!$A$2:$A$1001,$AB292)))</f>
        <v/>
      </c>
      <c r="M292" s="15" t="n"/>
      <c r="N292" s="10">
        <f>IF($B292="","",IF(AND($U292="파견중",$Q292&lt;&gt;""),$Q292,IF(AND($AD292&lt;&gt;"",LEFT($AD292,1)&lt;&gt;"⚠"),LEFT($AD292,FIND(" ",$AD292)-1),IF($H292="","",IF(RIGHT($H292,2)="병원",$H292,$H292&amp;"병원")))))</f>
        <v/>
      </c>
      <c r="O292" s="10">
        <f>IF($B292="","",IF(AND($U292="파견중",$Q292&lt;&gt;""),IF($R292&lt;&gt;"",$R292,"파견과 미입력"),IF(AND($AD292&lt;&gt;"",LEFT($AD292,1)&lt;&gt;"⚠"),MID($AD292,FIND(" ",$AD292)+1,60),IF($F292="","",IF($F292="인턴","수련교육부(인턴)",$F292)))))</f>
        <v/>
      </c>
      <c r="P292" s="10">
        <f>IF($B292="","",IF($AK292&lt;&gt;"",IF(AND(TODAY()&gt;=INDEX(파견수련계획!$AB$4:$AB$83,$AK292),OR(NOT(ISNUMBER(INDEX(파견수련계획!$AC$4:$AC$83,$AK292))),TODAY()&lt;=INDEX(파견수련계획!$AC$4:$AC$83,$AK292))),"다기관",IF($AF292="","",INDEX(파견수련계획!$T$4:$T$83,$AF292))),IF($AF292="","",INDEX(파견수련계획!$T$4:$T$83,$AF292))))</f>
        <v/>
      </c>
      <c r="Q292" s="10">
        <f>IF($AF292="","",INDEX(파견수련계획!$S$4:$S$83,$AF292))</f>
        <v/>
      </c>
      <c r="R292" s="10">
        <f>IF($AF292="","",INDEX(파견수련계획!$U$4:$U$83,$AF292))</f>
        <v/>
      </c>
      <c r="S292" s="11">
        <f>IF($AF292="","",IF(INDEX(파견수련계획!$H$4:$H$83,$AF292)="","",INDEX(파견수련계획!$H$4:$H$83,$AF292)))</f>
        <v/>
      </c>
      <c r="T292" s="11">
        <f>IF($AF292="","",IF(INDEX(파견수련계획!$I$4:$I$83,$AF292)="","",INDEX(파견수련계획!$I$4:$I$83,$AF292)))</f>
        <v/>
      </c>
      <c r="U292" s="10">
        <f>IF($AF292="","",INDEX(파견수련계획!$X$4:$X$83,$AF292))</f>
        <v/>
      </c>
      <c r="V292" s="17">
        <f>IF($AF292="","",INDEX(파견수련계획!$V$4:$V$83,$AF292))</f>
        <v/>
      </c>
      <c r="W292" s="17">
        <f>IF(AND($U292="파견중",$T292&lt;&gt;""),$T292-TODAY(),"")</f>
        <v/>
      </c>
      <c r="X292" s="17">
        <f>IF(OR($B292="",TRIM($J292&amp;"")=""),"",SUMPRODUCT((파견수련계획!$Q$4:$Q$83=TRIM($J292&amp;""))*파견수련계획!$W$4:$W$83))</f>
        <v/>
      </c>
      <c r="Y292" s="10">
        <f>IF($B292="","",IF($AG292="","",IF(IF(TRIM($J292&amp;"")="",0,SUMPRODUCT((파견수련계획!$Q$4:$Q$83=TRIM($J292&amp;""))*파견수련계획!$AD$4:$AD$83))&gt;0,$AE292,IF(N($X292)&lt;=0,$AG292,IF($AH292+$AI292=DAY(EOMONTH(요약!$B$3,0)),IF(AND($AH292&gt;=요약!$E$3,$AI292&lt;요약!$E$3),"서울병원",IF(AND($AI292&gt;=요약!$E$3,$AH292&lt;요약!$E$3),"구리병원","⚠15일 판정불가(서울 "&amp;$AH292&amp;"일/구리 "&amp;$AI292&amp;"일)")),IF($AJ292="",$AE292,IF(INDEX(파견수련계획!$T$4:$T$83,$AJ292)="통합수련",INDEX(파견수련계획!$S$4:$S$83,$AJ292),$AE292)))))))</f>
        <v/>
      </c>
      <c r="Z292" s="19">
        <f>IF($B292="","",IF($AB292="","기본자료에 없는 사번",IF(COUNTIF($B$2:$B$401,$B292)&gt;1,"중복 사번",IF($AE292="","소속(입사장소) 입력",IF(IF(TRIM($J292&amp;"")="",0,SUMPRODUCT((파견수련계획!$Q$4:$Q$83=TRIM($J292&amp;""))*(파견수련계획!$AA$4:$AA$83&lt;&gt;"")))&gt;0,"파견수련계획 입력오류 확인",IF(LEFT($Y292,1)="⚠","서울·구리 15일 판정 불가(양쪽 모두 이상/미만)",IF(IF($AC292="",0,N(INDEX(인턴근무계획!$T$3:$T$62,$AC292)))&gt;0,"인턴계획 입력오류 확인",IF(AND($AC292&lt;&gt;"",$U292&lt;&gt;"파견중",$N292&lt;&gt;$AE292),"인턴 타지역 근무: 파견 여부 확인","정상"))))))))</f>
        <v/>
      </c>
      <c r="AA292" s="5" t="n"/>
      <c r="AB292" s="10">
        <f>IF($B292="","",IFERROR(MATCH($B292,기본자료!$B$2:$B$1001,0),IFERROR(MATCH($B292&amp;"",기본자료!$B$2:$B$1001,0),IFERROR(MATCH(VALUE($B292),기본자료!$B$2:$B$1001,0),""))))</f>
        <v/>
      </c>
      <c r="AC292" s="10">
        <f>IF($B292="","",IFERROR(MATCH($B292,인턴근무계획!$D$3:$D$62,0),IFERROR(MATCH($B292&amp;"",인턴근무계획!$D$3:$D$62,0),IFERROR(MATCH(VALUE($B292),인턴근무계획!$D$3:$D$62,0),""))))</f>
        <v/>
      </c>
      <c r="AD292" s="10">
        <f>IF(OR($AC292="",인턴현황!$G$3=""),"",INDEX(인턴근무계획!$M$3:$R$62,$AC292,인턴현황!$G$3)&amp;"")</f>
        <v/>
      </c>
      <c r="AE292" s="10">
        <f>IF($B292="","",IF($M292&lt;&gt;"",$M292,IF($AF292&lt;&gt;"",IF(LEFT(INDEX(파견수련계획!$R$4:$R$83,$AF292),1)&lt;&gt;"⚠",INDEX(파견수련계획!$R$4:$R$83,$AF292),IF($H292="","",IF(RIGHT($H292,2)="병원",$H292,$H292&amp;"병원"))),IF($H292="","",IF(RIGHT($H292,2)="병원",$H292,$H292&amp;"병원")))))</f>
        <v/>
      </c>
      <c r="AF292" s="10">
        <f>IF(OR($B292="",TRIM($J292&amp;"")=""),"",IFERROR(MATCH(TRIM($J292&amp;"")&amp;"|파견중",파견수련계획!$Y$4:$Y$83,0),IFERROR(MATCH(TRIM($J292&amp;"")&amp;"|파견예정",파견수련계획!$Y$4:$Y$83,0),IFERROR(MATCH(TRIM($J292&amp;"")&amp;"|파견종료",파견수련계획!$Y$4:$Y$83,0),""))))</f>
        <v/>
      </c>
      <c r="AG292" s="10">
        <f>IF($B292="","",IF(AND(IF(OR($AC292="",인턴현황!$K$2=""),"",INDEX(인턴근무계획!$M$3:$R$62,$AC292,인턴현황!$K$2)&amp;"")&lt;&gt;"",LEFT(IF(OR($AC292="",인턴현황!$K$2=""),"",INDEX(인턴근무계획!$M$3:$R$62,$AC292,인턴현황!$K$2)&amp;""),1)&lt;&gt;"⚠"),LEFT(IF(OR($AC292="",인턴현황!$K$2=""),"",INDEX(인턴근무계획!$M$3:$R$62,$AC292,인턴현황!$K$2)&amp;""),FIND(" ",IF(OR($AC292="",인턴현황!$K$2=""),"",INDEX(인턴근무계획!$M$3:$R$62,$AC292,인턴현황!$K$2)&amp;""))-1),$AE292))</f>
        <v/>
      </c>
      <c r="AH292" s="17">
        <f>IF($B292="","",IF(TRIM($J292&amp;"")="",0,SUMPRODUCT((파견수련계획!$Q$4:$Q$83=TRIM($J292&amp;""))*(파견수련계획!$S$4:$S$83="서울병원")*파견수련계획!$W$4:$W$83))+IF($AG292="서울병원",MAX(0,DAY(EOMONTH(요약!$B$3,0))-N($X292)),0))</f>
        <v/>
      </c>
      <c r="AI292" s="17">
        <f>IF($B292="","",IF(TRIM($J292&amp;"")="",0,SUMPRODUCT((파견수련계획!$Q$4:$Q$83=TRIM($J292&amp;""))*(파견수련계획!$S$4:$S$83="구리병원")*파견수련계획!$W$4:$W$83))+IF($AG292="구리병원",MAX(0,DAY(EOMONTH(요약!$B$3,0))-N($X292)),0))</f>
        <v/>
      </c>
      <c r="AJ292" s="10">
        <f>IF(OR($B292="",TRIM($J292&amp;"")=""),"",IFERROR(MATCH(TRIM($J292&amp;"")&amp;"|월",파견수련계획!$Z$4:$Z$83,0),""))</f>
        <v/>
      </c>
      <c r="AK292" s="10">
        <f>IF(OR($B292="",TRIM($J292&amp;"")=""),"",IFERROR(MATCH(TRIM($J292&amp;"")&amp;"|다기관",파견수련계획!$AE$4:$AE$83,0),""))</f>
        <v/>
      </c>
      <c r="AL292" s="10">
        <f>IF($AK292="","","다기관 "&amp;TEXT(INDEX(파견수련계획!$AB$4:$AB$83,$AK292),"yyyy-mm-dd")&amp;"~"&amp;IF(ISNUMBER(INDEX(파견수련계획!$AC$4:$AC$83,$AK292)),TEXT(INDEX(파견수련계획!$AC$4:$AC$83,$AK292),"yyyy-mm-dd"),""))</f>
        <v/>
      </c>
    </row>
    <row r="293">
      <c r="A293" s="10">
        <f>IF(B293="","",ROW()-1)</f>
        <v/>
      </c>
      <c r="B293" s="18" t="n"/>
      <c r="C293" s="10">
        <f>IF($AB293="","",IF(INDEX(기본자료!$C$2:$C$1001,$AB293)="","",INDEX(기본자료!$C$2:$C$1001,$AB293)))</f>
        <v/>
      </c>
      <c r="D293" s="10">
        <f>IF($AB293="","",IF(INDEX(기본자료!$J$2:$J$1001,$AB293)="","",INDEX(기본자료!$J$2:$J$1001,$AB293)))</f>
        <v/>
      </c>
      <c r="E293" s="11">
        <f>IF($AB293="","",IF(INDEX(기본자료!$K$2:$K$1001,$AB293)="","",IF(NOT(ISNUMBER(INDEX(기본자료!$K$2:$K$1001,$AB293))),INDEX(기본자료!$K$2:$K$1001,$AB293),IF(INDEX(기본자료!$K$2:$K$1001,$AB293)&lt;1000000,INDEX(기본자료!$K$2:$K$1001,$AB293),IF(AND(INDEX(기본자료!$K$2:$K$1001,$AB293)&gt;=10000101,INT(MOD(INDEX(기본자료!$K$2:$K$1001,$AB293),10000)/100)&gt;=1,INT(MOD(INDEX(기본자료!$K$2:$K$1001,$AB293),10000)/100)&lt;=12,MOD(INDEX(기본자료!$K$2:$K$1001,$AB293),100)&gt;=1,MOD(INDEX(기본자료!$K$2:$K$1001,$AB293),100)&lt;=31),DATE(INT(INDEX(기본자료!$K$2:$K$1001,$AB293)/10000),INT(MOD(INDEX(기본자료!$K$2:$K$1001,$AB293),10000)/100),MOD(INDEX(기본자료!$K$2:$K$1001,$AB293),100)),INDEX(기본자료!$K$2:$K$1001,$AB293)&amp;"")))))</f>
        <v/>
      </c>
      <c r="F293" s="10">
        <f>IF($AB293="","",IF(INDEX(기본자료!$D$2:$D$1001,$AB293)="","",INDEX(기본자료!$D$2:$D$1001,$AB293)))</f>
        <v/>
      </c>
      <c r="G293" s="10">
        <f>IF($AB293="","",IF(INDEX(기본자료!$E$2:$E$1001,$AB293)="","",INDEX(기본자료!$E$2:$E$1001,$AB293)))</f>
        <v/>
      </c>
      <c r="H293" s="10">
        <f>IF($AB293="","",IF(INDEX(기본자료!$F$2:$F$1001,$AB293)="","",INDEX(기본자료!$F$2:$F$1001,$AB293)))</f>
        <v/>
      </c>
      <c r="I293" s="11">
        <f>IF($AB293="","",IF(INDEX(기본자료!$G$2:$G$1001,$AB293)="","",IF(NOT(ISNUMBER(INDEX(기본자료!$G$2:$G$1001,$AB293))),INDEX(기본자료!$G$2:$G$1001,$AB293),IF(INDEX(기본자료!$G$2:$G$1001,$AB293)&lt;1000000,INDEX(기본자료!$G$2:$G$1001,$AB293),IF(AND(INDEX(기본자료!$G$2:$G$1001,$AB293)&gt;=10000101,INT(MOD(INDEX(기본자료!$G$2:$G$1001,$AB293),10000)/100)&gt;=1,INT(MOD(INDEX(기본자료!$G$2:$G$1001,$AB293),10000)/100)&lt;=12,MOD(INDEX(기본자료!$G$2:$G$1001,$AB293),100)&gt;=1,MOD(INDEX(기본자료!$G$2:$G$1001,$AB293),100)&lt;=31),DATE(INT(INDEX(기본자료!$G$2:$G$1001,$AB293)/10000),INT(MOD(INDEX(기본자료!$G$2:$G$1001,$AB293),10000)/100),MOD(INDEX(기본자료!$G$2:$G$1001,$AB293),100)),INDEX(기본자료!$G$2:$G$1001,$AB293)&amp;"")))))</f>
        <v/>
      </c>
      <c r="J293" s="10">
        <f>IF($AB293="","",IF(INDEX(기본자료!$H$2:$H$1001,$AB293)="","",INDEX(기본자료!$H$2:$H$1001,$AB293)))</f>
        <v/>
      </c>
      <c r="K293" s="10">
        <f>IF($AB293="","",IF(INDEX(기본자료!$I$2:$I$1001,$AB293)="","",INDEX(기본자료!$I$2:$I$1001,$AB293)))</f>
        <v/>
      </c>
      <c r="L293" s="10">
        <f>IF($AB293="","",IF(INDEX(기본자료!$A$2:$A$1001,$AB293)="","",INDEX(기본자료!$A$2:$A$1001,$AB293)))</f>
        <v/>
      </c>
      <c r="M293" s="15" t="n"/>
      <c r="N293" s="10">
        <f>IF($B293="","",IF(AND($U293="파견중",$Q293&lt;&gt;""),$Q293,IF(AND($AD293&lt;&gt;"",LEFT($AD293,1)&lt;&gt;"⚠"),LEFT($AD293,FIND(" ",$AD293)-1),IF($H293="","",IF(RIGHT($H293,2)="병원",$H293,$H293&amp;"병원")))))</f>
        <v/>
      </c>
      <c r="O293" s="10">
        <f>IF($B293="","",IF(AND($U293="파견중",$Q293&lt;&gt;""),IF($R293&lt;&gt;"",$R293,"파견과 미입력"),IF(AND($AD293&lt;&gt;"",LEFT($AD293,1)&lt;&gt;"⚠"),MID($AD293,FIND(" ",$AD293)+1,60),IF($F293="","",IF($F293="인턴","수련교육부(인턴)",$F293)))))</f>
        <v/>
      </c>
      <c r="P293" s="10">
        <f>IF($B293="","",IF($AK293&lt;&gt;"",IF(AND(TODAY()&gt;=INDEX(파견수련계획!$AB$4:$AB$83,$AK293),OR(NOT(ISNUMBER(INDEX(파견수련계획!$AC$4:$AC$83,$AK293))),TODAY()&lt;=INDEX(파견수련계획!$AC$4:$AC$83,$AK293))),"다기관",IF($AF293="","",INDEX(파견수련계획!$T$4:$T$83,$AF293))),IF($AF293="","",INDEX(파견수련계획!$T$4:$T$83,$AF293))))</f>
        <v/>
      </c>
      <c r="Q293" s="10">
        <f>IF($AF293="","",INDEX(파견수련계획!$S$4:$S$83,$AF293))</f>
        <v/>
      </c>
      <c r="R293" s="10">
        <f>IF($AF293="","",INDEX(파견수련계획!$U$4:$U$83,$AF293))</f>
        <v/>
      </c>
      <c r="S293" s="11">
        <f>IF($AF293="","",IF(INDEX(파견수련계획!$H$4:$H$83,$AF293)="","",INDEX(파견수련계획!$H$4:$H$83,$AF293)))</f>
        <v/>
      </c>
      <c r="T293" s="11">
        <f>IF($AF293="","",IF(INDEX(파견수련계획!$I$4:$I$83,$AF293)="","",INDEX(파견수련계획!$I$4:$I$83,$AF293)))</f>
        <v/>
      </c>
      <c r="U293" s="10">
        <f>IF($AF293="","",INDEX(파견수련계획!$X$4:$X$83,$AF293))</f>
        <v/>
      </c>
      <c r="V293" s="17">
        <f>IF($AF293="","",INDEX(파견수련계획!$V$4:$V$83,$AF293))</f>
        <v/>
      </c>
      <c r="W293" s="17">
        <f>IF(AND($U293="파견중",$T293&lt;&gt;""),$T293-TODAY(),"")</f>
        <v/>
      </c>
      <c r="X293" s="17">
        <f>IF(OR($B293="",TRIM($J293&amp;"")=""),"",SUMPRODUCT((파견수련계획!$Q$4:$Q$83=TRIM($J293&amp;""))*파견수련계획!$W$4:$W$83))</f>
        <v/>
      </c>
      <c r="Y293" s="10">
        <f>IF($B293="","",IF($AG293="","",IF(IF(TRIM($J293&amp;"")="",0,SUMPRODUCT((파견수련계획!$Q$4:$Q$83=TRIM($J293&amp;""))*파견수련계획!$AD$4:$AD$83))&gt;0,$AE293,IF(N($X293)&lt;=0,$AG293,IF($AH293+$AI293=DAY(EOMONTH(요약!$B$3,0)),IF(AND($AH293&gt;=요약!$E$3,$AI293&lt;요약!$E$3),"서울병원",IF(AND($AI293&gt;=요약!$E$3,$AH293&lt;요약!$E$3),"구리병원","⚠15일 판정불가(서울 "&amp;$AH293&amp;"일/구리 "&amp;$AI293&amp;"일)")),IF($AJ293="",$AE293,IF(INDEX(파견수련계획!$T$4:$T$83,$AJ293)="통합수련",INDEX(파견수련계획!$S$4:$S$83,$AJ293),$AE293)))))))</f>
        <v/>
      </c>
      <c r="Z293" s="19">
        <f>IF($B293="","",IF($AB293="","기본자료에 없는 사번",IF(COUNTIF($B$2:$B$401,$B293)&gt;1,"중복 사번",IF($AE293="","소속(입사장소) 입력",IF(IF(TRIM($J293&amp;"")="",0,SUMPRODUCT((파견수련계획!$Q$4:$Q$83=TRIM($J293&amp;""))*(파견수련계획!$AA$4:$AA$83&lt;&gt;"")))&gt;0,"파견수련계획 입력오류 확인",IF(LEFT($Y293,1)="⚠","서울·구리 15일 판정 불가(양쪽 모두 이상/미만)",IF(IF($AC293="",0,N(INDEX(인턴근무계획!$T$3:$T$62,$AC293)))&gt;0,"인턴계획 입력오류 확인",IF(AND($AC293&lt;&gt;"",$U293&lt;&gt;"파견중",$N293&lt;&gt;$AE293),"인턴 타지역 근무: 파견 여부 확인","정상"))))))))</f>
        <v/>
      </c>
      <c r="AA293" s="5" t="n"/>
      <c r="AB293" s="10">
        <f>IF($B293="","",IFERROR(MATCH($B293,기본자료!$B$2:$B$1001,0),IFERROR(MATCH($B293&amp;"",기본자료!$B$2:$B$1001,0),IFERROR(MATCH(VALUE($B293),기본자료!$B$2:$B$1001,0),""))))</f>
        <v/>
      </c>
      <c r="AC293" s="10">
        <f>IF($B293="","",IFERROR(MATCH($B293,인턴근무계획!$D$3:$D$62,0),IFERROR(MATCH($B293&amp;"",인턴근무계획!$D$3:$D$62,0),IFERROR(MATCH(VALUE($B293),인턴근무계획!$D$3:$D$62,0),""))))</f>
        <v/>
      </c>
      <c r="AD293" s="10">
        <f>IF(OR($AC293="",인턴현황!$G$3=""),"",INDEX(인턴근무계획!$M$3:$R$62,$AC293,인턴현황!$G$3)&amp;"")</f>
        <v/>
      </c>
      <c r="AE293" s="10">
        <f>IF($B293="","",IF($M293&lt;&gt;"",$M293,IF($AF293&lt;&gt;"",IF(LEFT(INDEX(파견수련계획!$R$4:$R$83,$AF293),1)&lt;&gt;"⚠",INDEX(파견수련계획!$R$4:$R$83,$AF293),IF($H293="","",IF(RIGHT($H293,2)="병원",$H293,$H293&amp;"병원"))),IF($H293="","",IF(RIGHT($H293,2)="병원",$H293,$H293&amp;"병원")))))</f>
        <v/>
      </c>
      <c r="AF293" s="10">
        <f>IF(OR($B293="",TRIM($J293&amp;"")=""),"",IFERROR(MATCH(TRIM($J293&amp;"")&amp;"|파견중",파견수련계획!$Y$4:$Y$83,0),IFERROR(MATCH(TRIM($J293&amp;"")&amp;"|파견예정",파견수련계획!$Y$4:$Y$83,0),IFERROR(MATCH(TRIM($J293&amp;"")&amp;"|파견종료",파견수련계획!$Y$4:$Y$83,0),""))))</f>
        <v/>
      </c>
      <c r="AG293" s="10">
        <f>IF($B293="","",IF(AND(IF(OR($AC293="",인턴현황!$K$2=""),"",INDEX(인턴근무계획!$M$3:$R$62,$AC293,인턴현황!$K$2)&amp;"")&lt;&gt;"",LEFT(IF(OR($AC293="",인턴현황!$K$2=""),"",INDEX(인턴근무계획!$M$3:$R$62,$AC293,인턴현황!$K$2)&amp;""),1)&lt;&gt;"⚠"),LEFT(IF(OR($AC293="",인턴현황!$K$2=""),"",INDEX(인턴근무계획!$M$3:$R$62,$AC293,인턴현황!$K$2)&amp;""),FIND(" ",IF(OR($AC293="",인턴현황!$K$2=""),"",INDEX(인턴근무계획!$M$3:$R$62,$AC293,인턴현황!$K$2)&amp;""))-1),$AE293))</f>
        <v/>
      </c>
      <c r="AH293" s="17">
        <f>IF($B293="","",IF(TRIM($J293&amp;"")="",0,SUMPRODUCT((파견수련계획!$Q$4:$Q$83=TRIM($J293&amp;""))*(파견수련계획!$S$4:$S$83="서울병원")*파견수련계획!$W$4:$W$83))+IF($AG293="서울병원",MAX(0,DAY(EOMONTH(요약!$B$3,0))-N($X293)),0))</f>
        <v/>
      </c>
      <c r="AI293" s="17">
        <f>IF($B293="","",IF(TRIM($J293&amp;"")="",0,SUMPRODUCT((파견수련계획!$Q$4:$Q$83=TRIM($J293&amp;""))*(파견수련계획!$S$4:$S$83="구리병원")*파견수련계획!$W$4:$W$83))+IF($AG293="구리병원",MAX(0,DAY(EOMONTH(요약!$B$3,0))-N($X293)),0))</f>
        <v/>
      </c>
      <c r="AJ293" s="10">
        <f>IF(OR($B293="",TRIM($J293&amp;"")=""),"",IFERROR(MATCH(TRIM($J293&amp;"")&amp;"|월",파견수련계획!$Z$4:$Z$83,0),""))</f>
        <v/>
      </c>
      <c r="AK293" s="10">
        <f>IF(OR($B293="",TRIM($J293&amp;"")=""),"",IFERROR(MATCH(TRIM($J293&amp;"")&amp;"|다기관",파견수련계획!$AE$4:$AE$83,0),""))</f>
        <v/>
      </c>
      <c r="AL293" s="10">
        <f>IF($AK293="","","다기관 "&amp;TEXT(INDEX(파견수련계획!$AB$4:$AB$83,$AK293),"yyyy-mm-dd")&amp;"~"&amp;IF(ISNUMBER(INDEX(파견수련계획!$AC$4:$AC$83,$AK293)),TEXT(INDEX(파견수련계획!$AC$4:$AC$83,$AK293),"yyyy-mm-dd"),""))</f>
        <v/>
      </c>
    </row>
    <row r="294">
      <c r="A294" s="10">
        <f>IF(B294="","",ROW()-1)</f>
        <v/>
      </c>
      <c r="B294" s="18" t="n"/>
      <c r="C294" s="10">
        <f>IF($AB294="","",IF(INDEX(기본자료!$C$2:$C$1001,$AB294)="","",INDEX(기본자료!$C$2:$C$1001,$AB294)))</f>
        <v/>
      </c>
      <c r="D294" s="10">
        <f>IF($AB294="","",IF(INDEX(기본자료!$J$2:$J$1001,$AB294)="","",INDEX(기본자료!$J$2:$J$1001,$AB294)))</f>
        <v/>
      </c>
      <c r="E294" s="11">
        <f>IF($AB294="","",IF(INDEX(기본자료!$K$2:$K$1001,$AB294)="","",IF(NOT(ISNUMBER(INDEX(기본자료!$K$2:$K$1001,$AB294))),INDEX(기본자료!$K$2:$K$1001,$AB294),IF(INDEX(기본자료!$K$2:$K$1001,$AB294)&lt;1000000,INDEX(기본자료!$K$2:$K$1001,$AB294),IF(AND(INDEX(기본자료!$K$2:$K$1001,$AB294)&gt;=10000101,INT(MOD(INDEX(기본자료!$K$2:$K$1001,$AB294),10000)/100)&gt;=1,INT(MOD(INDEX(기본자료!$K$2:$K$1001,$AB294),10000)/100)&lt;=12,MOD(INDEX(기본자료!$K$2:$K$1001,$AB294),100)&gt;=1,MOD(INDEX(기본자료!$K$2:$K$1001,$AB294),100)&lt;=31),DATE(INT(INDEX(기본자료!$K$2:$K$1001,$AB294)/10000),INT(MOD(INDEX(기본자료!$K$2:$K$1001,$AB294),10000)/100),MOD(INDEX(기본자료!$K$2:$K$1001,$AB294),100)),INDEX(기본자료!$K$2:$K$1001,$AB294)&amp;"")))))</f>
        <v/>
      </c>
      <c r="F294" s="10">
        <f>IF($AB294="","",IF(INDEX(기본자료!$D$2:$D$1001,$AB294)="","",INDEX(기본자료!$D$2:$D$1001,$AB294)))</f>
        <v/>
      </c>
      <c r="G294" s="10">
        <f>IF($AB294="","",IF(INDEX(기본자료!$E$2:$E$1001,$AB294)="","",INDEX(기본자료!$E$2:$E$1001,$AB294)))</f>
        <v/>
      </c>
      <c r="H294" s="10">
        <f>IF($AB294="","",IF(INDEX(기본자료!$F$2:$F$1001,$AB294)="","",INDEX(기본자료!$F$2:$F$1001,$AB294)))</f>
        <v/>
      </c>
      <c r="I294" s="11">
        <f>IF($AB294="","",IF(INDEX(기본자료!$G$2:$G$1001,$AB294)="","",IF(NOT(ISNUMBER(INDEX(기본자료!$G$2:$G$1001,$AB294))),INDEX(기본자료!$G$2:$G$1001,$AB294),IF(INDEX(기본자료!$G$2:$G$1001,$AB294)&lt;1000000,INDEX(기본자료!$G$2:$G$1001,$AB294),IF(AND(INDEX(기본자료!$G$2:$G$1001,$AB294)&gt;=10000101,INT(MOD(INDEX(기본자료!$G$2:$G$1001,$AB294),10000)/100)&gt;=1,INT(MOD(INDEX(기본자료!$G$2:$G$1001,$AB294),10000)/100)&lt;=12,MOD(INDEX(기본자료!$G$2:$G$1001,$AB294),100)&gt;=1,MOD(INDEX(기본자료!$G$2:$G$1001,$AB294),100)&lt;=31),DATE(INT(INDEX(기본자료!$G$2:$G$1001,$AB294)/10000),INT(MOD(INDEX(기본자료!$G$2:$G$1001,$AB294),10000)/100),MOD(INDEX(기본자료!$G$2:$G$1001,$AB294),100)),INDEX(기본자료!$G$2:$G$1001,$AB294)&amp;"")))))</f>
        <v/>
      </c>
      <c r="J294" s="10">
        <f>IF($AB294="","",IF(INDEX(기본자료!$H$2:$H$1001,$AB294)="","",INDEX(기본자료!$H$2:$H$1001,$AB294)))</f>
        <v/>
      </c>
      <c r="K294" s="10">
        <f>IF($AB294="","",IF(INDEX(기본자료!$I$2:$I$1001,$AB294)="","",INDEX(기본자료!$I$2:$I$1001,$AB294)))</f>
        <v/>
      </c>
      <c r="L294" s="10">
        <f>IF($AB294="","",IF(INDEX(기본자료!$A$2:$A$1001,$AB294)="","",INDEX(기본자료!$A$2:$A$1001,$AB294)))</f>
        <v/>
      </c>
      <c r="M294" s="15" t="n"/>
      <c r="N294" s="10">
        <f>IF($B294="","",IF(AND($U294="파견중",$Q294&lt;&gt;""),$Q294,IF(AND($AD294&lt;&gt;"",LEFT($AD294,1)&lt;&gt;"⚠"),LEFT($AD294,FIND(" ",$AD294)-1),IF($H294="","",IF(RIGHT($H294,2)="병원",$H294,$H294&amp;"병원")))))</f>
        <v/>
      </c>
      <c r="O294" s="10">
        <f>IF($B294="","",IF(AND($U294="파견중",$Q294&lt;&gt;""),IF($R294&lt;&gt;"",$R294,"파견과 미입력"),IF(AND($AD294&lt;&gt;"",LEFT($AD294,1)&lt;&gt;"⚠"),MID($AD294,FIND(" ",$AD294)+1,60),IF($F294="","",IF($F294="인턴","수련교육부(인턴)",$F294)))))</f>
        <v/>
      </c>
      <c r="P294" s="10">
        <f>IF($B294="","",IF($AK294&lt;&gt;"",IF(AND(TODAY()&gt;=INDEX(파견수련계획!$AB$4:$AB$83,$AK294),OR(NOT(ISNUMBER(INDEX(파견수련계획!$AC$4:$AC$83,$AK294))),TODAY()&lt;=INDEX(파견수련계획!$AC$4:$AC$83,$AK294))),"다기관",IF($AF294="","",INDEX(파견수련계획!$T$4:$T$83,$AF294))),IF($AF294="","",INDEX(파견수련계획!$T$4:$T$83,$AF294))))</f>
        <v/>
      </c>
      <c r="Q294" s="10">
        <f>IF($AF294="","",INDEX(파견수련계획!$S$4:$S$83,$AF294))</f>
        <v/>
      </c>
      <c r="R294" s="10">
        <f>IF($AF294="","",INDEX(파견수련계획!$U$4:$U$83,$AF294))</f>
        <v/>
      </c>
      <c r="S294" s="11">
        <f>IF($AF294="","",IF(INDEX(파견수련계획!$H$4:$H$83,$AF294)="","",INDEX(파견수련계획!$H$4:$H$83,$AF294)))</f>
        <v/>
      </c>
      <c r="T294" s="11">
        <f>IF($AF294="","",IF(INDEX(파견수련계획!$I$4:$I$83,$AF294)="","",INDEX(파견수련계획!$I$4:$I$83,$AF294)))</f>
        <v/>
      </c>
      <c r="U294" s="10">
        <f>IF($AF294="","",INDEX(파견수련계획!$X$4:$X$83,$AF294))</f>
        <v/>
      </c>
      <c r="V294" s="17">
        <f>IF($AF294="","",INDEX(파견수련계획!$V$4:$V$83,$AF294))</f>
        <v/>
      </c>
      <c r="W294" s="17">
        <f>IF(AND($U294="파견중",$T294&lt;&gt;""),$T294-TODAY(),"")</f>
        <v/>
      </c>
      <c r="X294" s="17">
        <f>IF(OR($B294="",TRIM($J294&amp;"")=""),"",SUMPRODUCT((파견수련계획!$Q$4:$Q$83=TRIM($J294&amp;""))*파견수련계획!$W$4:$W$83))</f>
        <v/>
      </c>
      <c r="Y294" s="10">
        <f>IF($B294="","",IF($AG294="","",IF(IF(TRIM($J294&amp;"")="",0,SUMPRODUCT((파견수련계획!$Q$4:$Q$83=TRIM($J294&amp;""))*파견수련계획!$AD$4:$AD$83))&gt;0,$AE294,IF(N($X294)&lt;=0,$AG294,IF($AH294+$AI294=DAY(EOMONTH(요약!$B$3,0)),IF(AND($AH294&gt;=요약!$E$3,$AI294&lt;요약!$E$3),"서울병원",IF(AND($AI294&gt;=요약!$E$3,$AH294&lt;요약!$E$3),"구리병원","⚠15일 판정불가(서울 "&amp;$AH294&amp;"일/구리 "&amp;$AI294&amp;"일)")),IF($AJ294="",$AE294,IF(INDEX(파견수련계획!$T$4:$T$83,$AJ294)="통합수련",INDEX(파견수련계획!$S$4:$S$83,$AJ294),$AE294)))))))</f>
        <v/>
      </c>
      <c r="Z294" s="19">
        <f>IF($B294="","",IF($AB294="","기본자료에 없는 사번",IF(COUNTIF($B$2:$B$401,$B294)&gt;1,"중복 사번",IF($AE294="","소속(입사장소) 입력",IF(IF(TRIM($J294&amp;"")="",0,SUMPRODUCT((파견수련계획!$Q$4:$Q$83=TRIM($J294&amp;""))*(파견수련계획!$AA$4:$AA$83&lt;&gt;"")))&gt;0,"파견수련계획 입력오류 확인",IF(LEFT($Y294,1)="⚠","서울·구리 15일 판정 불가(양쪽 모두 이상/미만)",IF(IF($AC294="",0,N(INDEX(인턴근무계획!$T$3:$T$62,$AC294)))&gt;0,"인턴계획 입력오류 확인",IF(AND($AC294&lt;&gt;"",$U294&lt;&gt;"파견중",$N294&lt;&gt;$AE294),"인턴 타지역 근무: 파견 여부 확인","정상"))))))))</f>
        <v/>
      </c>
      <c r="AA294" s="5" t="n"/>
      <c r="AB294" s="10">
        <f>IF($B294="","",IFERROR(MATCH($B294,기본자료!$B$2:$B$1001,0),IFERROR(MATCH($B294&amp;"",기본자료!$B$2:$B$1001,0),IFERROR(MATCH(VALUE($B294),기본자료!$B$2:$B$1001,0),""))))</f>
        <v/>
      </c>
      <c r="AC294" s="10">
        <f>IF($B294="","",IFERROR(MATCH($B294,인턴근무계획!$D$3:$D$62,0),IFERROR(MATCH($B294&amp;"",인턴근무계획!$D$3:$D$62,0),IFERROR(MATCH(VALUE($B294),인턴근무계획!$D$3:$D$62,0),""))))</f>
        <v/>
      </c>
      <c r="AD294" s="10">
        <f>IF(OR($AC294="",인턴현황!$G$3=""),"",INDEX(인턴근무계획!$M$3:$R$62,$AC294,인턴현황!$G$3)&amp;"")</f>
        <v/>
      </c>
      <c r="AE294" s="10">
        <f>IF($B294="","",IF($M294&lt;&gt;"",$M294,IF($AF294&lt;&gt;"",IF(LEFT(INDEX(파견수련계획!$R$4:$R$83,$AF294),1)&lt;&gt;"⚠",INDEX(파견수련계획!$R$4:$R$83,$AF294),IF($H294="","",IF(RIGHT($H294,2)="병원",$H294,$H294&amp;"병원"))),IF($H294="","",IF(RIGHT($H294,2)="병원",$H294,$H294&amp;"병원")))))</f>
        <v/>
      </c>
      <c r="AF294" s="10">
        <f>IF(OR($B294="",TRIM($J294&amp;"")=""),"",IFERROR(MATCH(TRIM($J294&amp;"")&amp;"|파견중",파견수련계획!$Y$4:$Y$83,0),IFERROR(MATCH(TRIM($J294&amp;"")&amp;"|파견예정",파견수련계획!$Y$4:$Y$83,0),IFERROR(MATCH(TRIM($J294&amp;"")&amp;"|파견종료",파견수련계획!$Y$4:$Y$83,0),""))))</f>
        <v/>
      </c>
      <c r="AG294" s="10">
        <f>IF($B294="","",IF(AND(IF(OR($AC294="",인턴현황!$K$2=""),"",INDEX(인턴근무계획!$M$3:$R$62,$AC294,인턴현황!$K$2)&amp;"")&lt;&gt;"",LEFT(IF(OR($AC294="",인턴현황!$K$2=""),"",INDEX(인턴근무계획!$M$3:$R$62,$AC294,인턴현황!$K$2)&amp;""),1)&lt;&gt;"⚠"),LEFT(IF(OR($AC294="",인턴현황!$K$2=""),"",INDEX(인턴근무계획!$M$3:$R$62,$AC294,인턴현황!$K$2)&amp;""),FIND(" ",IF(OR($AC294="",인턴현황!$K$2=""),"",INDEX(인턴근무계획!$M$3:$R$62,$AC294,인턴현황!$K$2)&amp;""))-1),$AE294))</f>
        <v/>
      </c>
      <c r="AH294" s="17">
        <f>IF($B294="","",IF(TRIM($J294&amp;"")="",0,SUMPRODUCT((파견수련계획!$Q$4:$Q$83=TRIM($J294&amp;""))*(파견수련계획!$S$4:$S$83="서울병원")*파견수련계획!$W$4:$W$83))+IF($AG294="서울병원",MAX(0,DAY(EOMONTH(요약!$B$3,0))-N($X294)),0))</f>
        <v/>
      </c>
      <c r="AI294" s="17">
        <f>IF($B294="","",IF(TRIM($J294&amp;"")="",0,SUMPRODUCT((파견수련계획!$Q$4:$Q$83=TRIM($J294&amp;""))*(파견수련계획!$S$4:$S$83="구리병원")*파견수련계획!$W$4:$W$83))+IF($AG294="구리병원",MAX(0,DAY(EOMONTH(요약!$B$3,0))-N($X294)),0))</f>
        <v/>
      </c>
      <c r="AJ294" s="10">
        <f>IF(OR($B294="",TRIM($J294&amp;"")=""),"",IFERROR(MATCH(TRIM($J294&amp;"")&amp;"|월",파견수련계획!$Z$4:$Z$83,0),""))</f>
        <v/>
      </c>
      <c r="AK294" s="10">
        <f>IF(OR($B294="",TRIM($J294&amp;"")=""),"",IFERROR(MATCH(TRIM($J294&amp;"")&amp;"|다기관",파견수련계획!$AE$4:$AE$83,0),""))</f>
        <v/>
      </c>
      <c r="AL294" s="10">
        <f>IF($AK294="","","다기관 "&amp;TEXT(INDEX(파견수련계획!$AB$4:$AB$83,$AK294),"yyyy-mm-dd")&amp;"~"&amp;IF(ISNUMBER(INDEX(파견수련계획!$AC$4:$AC$83,$AK294)),TEXT(INDEX(파견수련계획!$AC$4:$AC$83,$AK294),"yyyy-mm-dd"),""))</f>
        <v/>
      </c>
    </row>
    <row r="295">
      <c r="A295" s="10">
        <f>IF(B295="","",ROW()-1)</f>
        <v/>
      </c>
      <c r="B295" s="18" t="n"/>
      <c r="C295" s="10">
        <f>IF($AB295="","",IF(INDEX(기본자료!$C$2:$C$1001,$AB295)="","",INDEX(기본자료!$C$2:$C$1001,$AB295)))</f>
        <v/>
      </c>
      <c r="D295" s="10">
        <f>IF($AB295="","",IF(INDEX(기본자료!$J$2:$J$1001,$AB295)="","",INDEX(기본자료!$J$2:$J$1001,$AB295)))</f>
        <v/>
      </c>
      <c r="E295" s="11">
        <f>IF($AB295="","",IF(INDEX(기본자료!$K$2:$K$1001,$AB295)="","",IF(NOT(ISNUMBER(INDEX(기본자료!$K$2:$K$1001,$AB295))),INDEX(기본자료!$K$2:$K$1001,$AB295),IF(INDEX(기본자료!$K$2:$K$1001,$AB295)&lt;1000000,INDEX(기본자료!$K$2:$K$1001,$AB295),IF(AND(INDEX(기본자료!$K$2:$K$1001,$AB295)&gt;=10000101,INT(MOD(INDEX(기본자료!$K$2:$K$1001,$AB295),10000)/100)&gt;=1,INT(MOD(INDEX(기본자료!$K$2:$K$1001,$AB295),10000)/100)&lt;=12,MOD(INDEX(기본자료!$K$2:$K$1001,$AB295),100)&gt;=1,MOD(INDEX(기본자료!$K$2:$K$1001,$AB295),100)&lt;=31),DATE(INT(INDEX(기본자료!$K$2:$K$1001,$AB295)/10000),INT(MOD(INDEX(기본자료!$K$2:$K$1001,$AB295),10000)/100),MOD(INDEX(기본자료!$K$2:$K$1001,$AB295),100)),INDEX(기본자료!$K$2:$K$1001,$AB295)&amp;"")))))</f>
        <v/>
      </c>
      <c r="F295" s="10">
        <f>IF($AB295="","",IF(INDEX(기본자료!$D$2:$D$1001,$AB295)="","",INDEX(기본자료!$D$2:$D$1001,$AB295)))</f>
        <v/>
      </c>
      <c r="G295" s="10">
        <f>IF($AB295="","",IF(INDEX(기본자료!$E$2:$E$1001,$AB295)="","",INDEX(기본자료!$E$2:$E$1001,$AB295)))</f>
        <v/>
      </c>
      <c r="H295" s="10">
        <f>IF($AB295="","",IF(INDEX(기본자료!$F$2:$F$1001,$AB295)="","",INDEX(기본자료!$F$2:$F$1001,$AB295)))</f>
        <v/>
      </c>
      <c r="I295" s="11">
        <f>IF($AB295="","",IF(INDEX(기본자료!$G$2:$G$1001,$AB295)="","",IF(NOT(ISNUMBER(INDEX(기본자료!$G$2:$G$1001,$AB295))),INDEX(기본자료!$G$2:$G$1001,$AB295),IF(INDEX(기본자료!$G$2:$G$1001,$AB295)&lt;1000000,INDEX(기본자료!$G$2:$G$1001,$AB295),IF(AND(INDEX(기본자료!$G$2:$G$1001,$AB295)&gt;=10000101,INT(MOD(INDEX(기본자료!$G$2:$G$1001,$AB295),10000)/100)&gt;=1,INT(MOD(INDEX(기본자료!$G$2:$G$1001,$AB295),10000)/100)&lt;=12,MOD(INDEX(기본자료!$G$2:$G$1001,$AB295),100)&gt;=1,MOD(INDEX(기본자료!$G$2:$G$1001,$AB295),100)&lt;=31),DATE(INT(INDEX(기본자료!$G$2:$G$1001,$AB295)/10000),INT(MOD(INDEX(기본자료!$G$2:$G$1001,$AB295),10000)/100),MOD(INDEX(기본자료!$G$2:$G$1001,$AB295),100)),INDEX(기본자료!$G$2:$G$1001,$AB295)&amp;"")))))</f>
        <v/>
      </c>
      <c r="J295" s="10">
        <f>IF($AB295="","",IF(INDEX(기본자료!$H$2:$H$1001,$AB295)="","",INDEX(기본자료!$H$2:$H$1001,$AB295)))</f>
        <v/>
      </c>
      <c r="K295" s="10">
        <f>IF($AB295="","",IF(INDEX(기본자료!$I$2:$I$1001,$AB295)="","",INDEX(기본자료!$I$2:$I$1001,$AB295)))</f>
        <v/>
      </c>
      <c r="L295" s="10">
        <f>IF($AB295="","",IF(INDEX(기본자료!$A$2:$A$1001,$AB295)="","",INDEX(기본자료!$A$2:$A$1001,$AB295)))</f>
        <v/>
      </c>
      <c r="M295" s="15" t="n"/>
      <c r="N295" s="10">
        <f>IF($B295="","",IF(AND($U295="파견중",$Q295&lt;&gt;""),$Q295,IF(AND($AD295&lt;&gt;"",LEFT($AD295,1)&lt;&gt;"⚠"),LEFT($AD295,FIND(" ",$AD295)-1),IF($H295="","",IF(RIGHT($H295,2)="병원",$H295,$H295&amp;"병원")))))</f>
        <v/>
      </c>
      <c r="O295" s="10">
        <f>IF($B295="","",IF(AND($U295="파견중",$Q295&lt;&gt;""),IF($R295&lt;&gt;"",$R295,"파견과 미입력"),IF(AND($AD295&lt;&gt;"",LEFT($AD295,1)&lt;&gt;"⚠"),MID($AD295,FIND(" ",$AD295)+1,60),IF($F295="","",IF($F295="인턴","수련교육부(인턴)",$F295)))))</f>
        <v/>
      </c>
      <c r="P295" s="10">
        <f>IF($B295="","",IF($AK295&lt;&gt;"",IF(AND(TODAY()&gt;=INDEX(파견수련계획!$AB$4:$AB$83,$AK295),OR(NOT(ISNUMBER(INDEX(파견수련계획!$AC$4:$AC$83,$AK295))),TODAY()&lt;=INDEX(파견수련계획!$AC$4:$AC$83,$AK295))),"다기관",IF($AF295="","",INDEX(파견수련계획!$T$4:$T$83,$AF295))),IF($AF295="","",INDEX(파견수련계획!$T$4:$T$83,$AF295))))</f>
        <v/>
      </c>
      <c r="Q295" s="10">
        <f>IF($AF295="","",INDEX(파견수련계획!$S$4:$S$83,$AF295))</f>
        <v/>
      </c>
      <c r="R295" s="10">
        <f>IF($AF295="","",INDEX(파견수련계획!$U$4:$U$83,$AF295))</f>
        <v/>
      </c>
      <c r="S295" s="11">
        <f>IF($AF295="","",IF(INDEX(파견수련계획!$H$4:$H$83,$AF295)="","",INDEX(파견수련계획!$H$4:$H$83,$AF295)))</f>
        <v/>
      </c>
      <c r="T295" s="11">
        <f>IF($AF295="","",IF(INDEX(파견수련계획!$I$4:$I$83,$AF295)="","",INDEX(파견수련계획!$I$4:$I$83,$AF295)))</f>
        <v/>
      </c>
      <c r="U295" s="10">
        <f>IF($AF295="","",INDEX(파견수련계획!$X$4:$X$83,$AF295))</f>
        <v/>
      </c>
      <c r="V295" s="17">
        <f>IF($AF295="","",INDEX(파견수련계획!$V$4:$V$83,$AF295))</f>
        <v/>
      </c>
      <c r="W295" s="17">
        <f>IF(AND($U295="파견중",$T295&lt;&gt;""),$T295-TODAY(),"")</f>
        <v/>
      </c>
      <c r="X295" s="17">
        <f>IF(OR($B295="",TRIM($J295&amp;"")=""),"",SUMPRODUCT((파견수련계획!$Q$4:$Q$83=TRIM($J295&amp;""))*파견수련계획!$W$4:$W$83))</f>
        <v/>
      </c>
      <c r="Y295" s="10">
        <f>IF($B295="","",IF($AG295="","",IF(IF(TRIM($J295&amp;"")="",0,SUMPRODUCT((파견수련계획!$Q$4:$Q$83=TRIM($J295&amp;""))*파견수련계획!$AD$4:$AD$83))&gt;0,$AE295,IF(N($X295)&lt;=0,$AG295,IF($AH295+$AI295=DAY(EOMONTH(요약!$B$3,0)),IF(AND($AH295&gt;=요약!$E$3,$AI295&lt;요약!$E$3),"서울병원",IF(AND($AI295&gt;=요약!$E$3,$AH295&lt;요약!$E$3),"구리병원","⚠15일 판정불가(서울 "&amp;$AH295&amp;"일/구리 "&amp;$AI295&amp;"일)")),IF($AJ295="",$AE295,IF(INDEX(파견수련계획!$T$4:$T$83,$AJ295)="통합수련",INDEX(파견수련계획!$S$4:$S$83,$AJ295),$AE295)))))))</f>
        <v/>
      </c>
      <c r="Z295" s="19">
        <f>IF($B295="","",IF($AB295="","기본자료에 없는 사번",IF(COUNTIF($B$2:$B$401,$B295)&gt;1,"중복 사번",IF($AE295="","소속(입사장소) 입력",IF(IF(TRIM($J295&amp;"")="",0,SUMPRODUCT((파견수련계획!$Q$4:$Q$83=TRIM($J295&amp;""))*(파견수련계획!$AA$4:$AA$83&lt;&gt;"")))&gt;0,"파견수련계획 입력오류 확인",IF(LEFT($Y295,1)="⚠","서울·구리 15일 판정 불가(양쪽 모두 이상/미만)",IF(IF($AC295="",0,N(INDEX(인턴근무계획!$T$3:$T$62,$AC295)))&gt;0,"인턴계획 입력오류 확인",IF(AND($AC295&lt;&gt;"",$U295&lt;&gt;"파견중",$N295&lt;&gt;$AE295),"인턴 타지역 근무: 파견 여부 확인","정상"))))))))</f>
        <v/>
      </c>
      <c r="AA295" s="5" t="n"/>
      <c r="AB295" s="10">
        <f>IF($B295="","",IFERROR(MATCH($B295,기본자료!$B$2:$B$1001,0),IFERROR(MATCH($B295&amp;"",기본자료!$B$2:$B$1001,0),IFERROR(MATCH(VALUE($B295),기본자료!$B$2:$B$1001,0),""))))</f>
        <v/>
      </c>
      <c r="AC295" s="10">
        <f>IF($B295="","",IFERROR(MATCH($B295,인턴근무계획!$D$3:$D$62,0),IFERROR(MATCH($B295&amp;"",인턴근무계획!$D$3:$D$62,0),IFERROR(MATCH(VALUE($B295),인턴근무계획!$D$3:$D$62,0),""))))</f>
        <v/>
      </c>
      <c r="AD295" s="10">
        <f>IF(OR($AC295="",인턴현황!$G$3=""),"",INDEX(인턴근무계획!$M$3:$R$62,$AC295,인턴현황!$G$3)&amp;"")</f>
        <v/>
      </c>
      <c r="AE295" s="10">
        <f>IF($B295="","",IF($M295&lt;&gt;"",$M295,IF($AF295&lt;&gt;"",IF(LEFT(INDEX(파견수련계획!$R$4:$R$83,$AF295),1)&lt;&gt;"⚠",INDEX(파견수련계획!$R$4:$R$83,$AF295),IF($H295="","",IF(RIGHT($H295,2)="병원",$H295,$H295&amp;"병원"))),IF($H295="","",IF(RIGHT($H295,2)="병원",$H295,$H295&amp;"병원")))))</f>
        <v/>
      </c>
      <c r="AF295" s="10">
        <f>IF(OR($B295="",TRIM($J295&amp;"")=""),"",IFERROR(MATCH(TRIM($J295&amp;"")&amp;"|파견중",파견수련계획!$Y$4:$Y$83,0),IFERROR(MATCH(TRIM($J295&amp;"")&amp;"|파견예정",파견수련계획!$Y$4:$Y$83,0),IFERROR(MATCH(TRIM($J295&amp;"")&amp;"|파견종료",파견수련계획!$Y$4:$Y$83,0),""))))</f>
        <v/>
      </c>
      <c r="AG295" s="10">
        <f>IF($B295="","",IF(AND(IF(OR($AC295="",인턴현황!$K$2=""),"",INDEX(인턴근무계획!$M$3:$R$62,$AC295,인턴현황!$K$2)&amp;"")&lt;&gt;"",LEFT(IF(OR($AC295="",인턴현황!$K$2=""),"",INDEX(인턴근무계획!$M$3:$R$62,$AC295,인턴현황!$K$2)&amp;""),1)&lt;&gt;"⚠"),LEFT(IF(OR($AC295="",인턴현황!$K$2=""),"",INDEX(인턴근무계획!$M$3:$R$62,$AC295,인턴현황!$K$2)&amp;""),FIND(" ",IF(OR($AC295="",인턴현황!$K$2=""),"",INDEX(인턴근무계획!$M$3:$R$62,$AC295,인턴현황!$K$2)&amp;""))-1),$AE295))</f>
        <v/>
      </c>
      <c r="AH295" s="17">
        <f>IF($B295="","",IF(TRIM($J295&amp;"")="",0,SUMPRODUCT((파견수련계획!$Q$4:$Q$83=TRIM($J295&amp;""))*(파견수련계획!$S$4:$S$83="서울병원")*파견수련계획!$W$4:$W$83))+IF($AG295="서울병원",MAX(0,DAY(EOMONTH(요약!$B$3,0))-N($X295)),0))</f>
        <v/>
      </c>
      <c r="AI295" s="17">
        <f>IF($B295="","",IF(TRIM($J295&amp;"")="",0,SUMPRODUCT((파견수련계획!$Q$4:$Q$83=TRIM($J295&amp;""))*(파견수련계획!$S$4:$S$83="구리병원")*파견수련계획!$W$4:$W$83))+IF($AG295="구리병원",MAX(0,DAY(EOMONTH(요약!$B$3,0))-N($X295)),0))</f>
        <v/>
      </c>
      <c r="AJ295" s="10">
        <f>IF(OR($B295="",TRIM($J295&amp;"")=""),"",IFERROR(MATCH(TRIM($J295&amp;"")&amp;"|월",파견수련계획!$Z$4:$Z$83,0),""))</f>
        <v/>
      </c>
      <c r="AK295" s="10">
        <f>IF(OR($B295="",TRIM($J295&amp;"")=""),"",IFERROR(MATCH(TRIM($J295&amp;"")&amp;"|다기관",파견수련계획!$AE$4:$AE$83,0),""))</f>
        <v/>
      </c>
      <c r="AL295" s="10">
        <f>IF($AK295="","","다기관 "&amp;TEXT(INDEX(파견수련계획!$AB$4:$AB$83,$AK295),"yyyy-mm-dd")&amp;"~"&amp;IF(ISNUMBER(INDEX(파견수련계획!$AC$4:$AC$83,$AK295)),TEXT(INDEX(파견수련계획!$AC$4:$AC$83,$AK295),"yyyy-mm-dd"),""))</f>
        <v/>
      </c>
    </row>
    <row r="296">
      <c r="A296" s="10">
        <f>IF(B296="","",ROW()-1)</f>
        <v/>
      </c>
      <c r="B296" s="18" t="n"/>
      <c r="C296" s="10">
        <f>IF($AB296="","",IF(INDEX(기본자료!$C$2:$C$1001,$AB296)="","",INDEX(기본자료!$C$2:$C$1001,$AB296)))</f>
        <v/>
      </c>
      <c r="D296" s="10">
        <f>IF($AB296="","",IF(INDEX(기본자료!$J$2:$J$1001,$AB296)="","",INDEX(기본자료!$J$2:$J$1001,$AB296)))</f>
        <v/>
      </c>
      <c r="E296" s="11">
        <f>IF($AB296="","",IF(INDEX(기본자료!$K$2:$K$1001,$AB296)="","",IF(NOT(ISNUMBER(INDEX(기본자료!$K$2:$K$1001,$AB296))),INDEX(기본자료!$K$2:$K$1001,$AB296),IF(INDEX(기본자료!$K$2:$K$1001,$AB296)&lt;1000000,INDEX(기본자료!$K$2:$K$1001,$AB296),IF(AND(INDEX(기본자료!$K$2:$K$1001,$AB296)&gt;=10000101,INT(MOD(INDEX(기본자료!$K$2:$K$1001,$AB296),10000)/100)&gt;=1,INT(MOD(INDEX(기본자료!$K$2:$K$1001,$AB296),10000)/100)&lt;=12,MOD(INDEX(기본자료!$K$2:$K$1001,$AB296),100)&gt;=1,MOD(INDEX(기본자료!$K$2:$K$1001,$AB296),100)&lt;=31),DATE(INT(INDEX(기본자료!$K$2:$K$1001,$AB296)/10000),INT(MOD(INDEX(기본자료!$K$2:$K$1001,$AB296),10000)/100),MOD(INDEX(기본자료!$K$2:$K$1001,$AB296),100)),INDEX(기본자료!$K$2:$K$1001,$AB296)&amp;"")))))</f>
        <v/>
      </c>
      <c r="F296" s="10">
        <f>IF($AB296="","",IF(INDEX(기본자료!$D$2:$D$1001,$AB296)="","",INDEX(기본자료!$D$2:$D$1001,$AB296)))</f>
        <v/>
      </c>
      <c r="G296" s="10">
        <f>IF($AB296="","",IF(INDEX(기본자료!$E$2:$E$1001,$AB296)="","",INDEX(기본자료!$E$2:$E$1001,$AB296)))</f>
        <v/>
      </c>
      <c r="H296" s="10">
        <f>IF($AB296="","",IF(INDEX(기본자료!$F$2:$F$1001,$AB296)="","",INDEX(기본자료!$F$2:$F$1001,$AB296)))</f>
        <v/>
      </c>
      <c r="I296" s="11">
        <f>IF($AB296="","",IF(INDEX(기본자료!$G$2:$G$1001,$AB296)="","",IF(NOT(ISNUMBER(INDEX(기본자료!$G$2:$G$1001,$AB296))),INDEX(기본자료!$G$2:$G$1001,$AB296),IF(INDEX(기본자료!$G$2:$G$1001,$AB296)&lt;1000000,INDEX(기본자료!$G$2:$G$1001,$AB296),IF(AND(INDEX(기본자료!$G$2:$G$1001,$AB296)&gt;=10000101,INT(MOD(INDEX(기본자료!$G$2:$G$1001,$AB296),10000)/100)&gt;=1,INT(MOD(INDEX(기본자료!$G$2:$G$1001,$AB296),10000)/100)&lt;=12,MOD(INDEX(기본자료!$G$2:$G$1001,$AB296),100)&gt;=1,MOD(INDEX(기본자료!$G$2:$G$1001,$AB296),100)&lt;=31),DATE(INT(INDEX(기본자료!$G$2:$G$1001,$AB296)/10000),INT(MOD(INDEX(기본자료!$G$2:$G$1001,$AB296),10000)/100),MOD(INDEX(기본자료!$G$2:$G$1001,$AB296),100)),INDEX(기본자료!$G$2:$G$1001,$AB296)&amp;"")))))</f>
        <v/>
      </c>
      <c r="J296" s="10">
        <f>IF($AB296="","",IF(INDEX(기본자료!$H$2:$H$1001,$AB296)="","",INDEX(기본자료!$H$2:$H$1001,$AB296)))</f>
        <v/>
      </c>
      <c r="K296" s="10">
        <f>IF($AB296="","",IF(INDEX(기본자료!$I$2:$I$1001,$AB296)="","",INDEX(기본자료!$I$2:$I$1001,$AB296)))</f>
        <v/>
      </c>
      <c r="L296" s="10">
        <f>IF($AB296="","",IF(INDEX(기본자료!$A$2:$A$1001,$AB296)="","",INDEX(기본자료!$A$2:$A$1001,$AB296)))</f>
        <v/>
      </c>
      <c r="M296" s="15" t="n"/>
      <c r="N296" s="10">
        <f>IF($B296="","",IF(AND($U296="파견중",$Q296&lt;&gt;""),$Q296,IF(AND($AD296&lt;&gt;"",LEFT($AD296,1)&lt;&gt;"⚠"),LEFT($AD296,FIND(" ",$AD296)-1),IF($H296="","",IF(RIGHT($H296,2)="병원",$H296,$H296&amp;"병원")))))</f>
        <v/>
      </c>
      <c r="O296" s="10">
        <f>IF($B296="","",IF(AND($U296="파견중",$Q296&lt;&gt;""),IF($R296&lt;&gt;"",$R296,"파견과 미입력"),IF(AND($AD296&lt;&gt;"",LEFT($AD296,1)&lt;&gt;"⚠"),MID($AD296,FIND(" ",$AD296)+1,60),IF($F296="","",IF($F296="인턴","수련교육부(인턴)",$F296)))))</f>
        <v/>
      </c>
      <c r="P296" s="10">
        <f>IF($B296="","",IF($AK296&lt;&gt;"",IF(AND(TODAY()&gt;=INDEX(파견수련계획!$AB$4:$AB$83,$AK296),OR(NOT(ISNUMBER(INDEX(파견수련계획!$AC$4:$AC$83,$AK296))),TODAY()&lt;=INDEX(파견수련계획!$AC$4:$AC$83,$AK296))),"다기관",IF($AF296="","",INDEX(파견수련계획!$T$4:$T$83,$AF296))),IF($AF296="","",INDEX(파견수련계획!$T$4:$T$83,$AF296))))</f>
        <v/>
      </c>
      <c r="Q296" s="10">
        <f>IF($AF296="","",INDEX(파견수련계획!$S$4:$S$83,$AF296))</f>
        <v/>
      </c>
      <c r="R296" s="10">
        <f>IF($AF296="","",INDEX(파견수련계획!$U$4:$U$83,$AF296))</f>
        <v/>
      </c>
      <c r="S296" s="11">
        <f>IF($AF296="","",IF(INDEX(파견수련계획!$H$4:$H$83,$AF296)="","",INDEX(파견수련계획!$H$4:$H$83,$AF296)))</f>
        <v/>
      </c>
      <c r="T296" s="11">
        <f>IF($AF296="","",IF(INDEX(파견수련계획!$I$4:$I$83,$AF296)="","",INDEX(파견수련계획!$I$4:$I$83,$AF296)))</f>
        <v/>
      </c>
      <c r="U296" s="10">
        <f>IF($AF296="","",INDEX(파견수련계획!$X$4:$X$83,$AF296))</f>
        <v/>
      </c>
      <c r="V296" s="17">
        <f>IF($AF296="","",INDEX(파견수련계획!$V$4:$V$83,$AF296))</f>
        <v/>
      </c>
      <c r="W296" s="17">
        <f>IF(AND($U296="파견중",$T296&lt;&gt;""),$T296-TODAY(),"")</f>
        <v/>
      </c>
      <c r="X296" s="17">
        <f>IF(OR($B296="",TRIM($J296&amp;"")=""),"",SUMPRODUCT((파견수련계획!$Q$4:$Q$83=TRIM($J296&amp;""))*파견수련계획!$W$4:$W$83))</f>
        <v/>
      </c>
      <c r="Y296" s="10">
        <f>IF($B296="","",IF($AG296="","",IF(IF(TRIM($J296&amp;"")="",0,SUMPRODUCT((파견수련계획!$Q$4:$Q$83=TRIM($J296&amp;""))*파견수련계획!$AD$4:$AD$83))&gt;0,$AE296,IF(N($X296)&lt;=0,$AG296,IF($AH296+$AI296=DAY(EOMONTH(요약!$B$3,0)),IF(AND($AH296&gt;=요약!$E$3,$AI296&lt;요약!$E$3),"서울병원",IF(AND($AI296&gt;=요약!$E$3,$AH296&lt;요약!$E$3),"구리병원","⚠15일 판정불가(서울 "&amp;$AH296&amp;"일/구리 "&amp;$AI296&amp;"일)")),IF($AJ296="",$AE296,IF(INDEX(파견수련계획!$T$4:$T$83,$AJ296)="통합수련",INDEX(파견수련계획!$S$4:$S$83,$AJ296),$AE296)))))))</f>
        <v/>
      </c>
      <c r="Z296" s="19">
        <f>IF($B296="","",IF($AB296="","기본자료에 없는 사번",IF(COUNTIF($B$2:$B$401,$B296)&gt;1,"중복 사번",IF($AE296="","소속(입사장소) 입력",IF(IF(TRIM($J296&amp;"")="",0,SUMPRODUCT((파견수련계획!$Q$4:$Q$83=TRIM($J296&amp;""))*(파견수련계획!$AA$4:$AA$83&lt;&gt;"")))&gt;0,"파견수련계획 입력오류 확인",IF(LEFT($Y296,1)="⚠","서울·구리 15일 판정 불가(양쪽 모두 이상/미만)",IF(IF($AC296="",0,N(INDEX(인턴근무계획!$T$3:$T$62,$AC296)))&gt;0,"인턴계획 입력오류 확인",IF(AND($AC296&lt;&gt;"",$U296&lt;&gt;"파견중",$N296&lt;&gt;$AE296),"인턴 타지역 근무: 파견 여부 확인","정상"))))))))</f>
        <v/>
      </c>
      <c r="AA296" s="5" t="n"/>
      <c r="AB296" s="10">
        <f>IF($B296="","",IFERROR(MATCH($B296,기본자료!$B$2:$B$1001,0),IFERROR(MATCH($B296&amp;"",기본자료!$B$2:$B$1001,0),IFERROR(MATCH(VALUE($B296),기본자료!$B$2:$B$1001,0),""))))</f>
        <v/>
      </c>
      <c r="AC296" s="10">
        <f>IF($B296="","",IFERROR(MATCH($B296,인턴근무계획!$D$3:$D$62,0),IFERROR(MATCH($B296&amp;"",인턴근무계획!$D$3:$D$62,0),IFERROR(MATCH(VALUE($B296),인턴근무계획!$D$3:$D$62,0),""))))</f>
        <v/>
      </c>
      <c r="AD296" s="10">
        <f>IF(OR($AC296="",인턴현황!$G$3=""),"",INDEX(인턴근무계획!$M$3:$R$62,$AC296,인턴현황!$G$3)&amp;"")</f>
        <v/>
      </c>
      <c r="AE296" s="10">
        <f>IF($B296="","",IF($M296&lt;&gt;"",$M296,IF($AF296&lt;&gt;"",IF(LEFT(INDEX(파견수련계획!$R$4:$R$83,$AF296),1)&lt;&gt;"⚠",INDEX(파견수련계획!$R$4:$R$83,$AF296),IF($H296="","",IF(RIGHT($H296,2)="병원",$H296,$H296&amp;"병원"))),IF($H296="","",IF(RIGHT($H296,2)="병원",$H296,$H296&amp;"병원")))))</f>
        <v/>
      </c>
      <c r="AF296" s="10">
        <f>IF(OR($B296="",TRIM($J296&amp;"")=""),"",IFERROR(MATCH(TRIM($J296&amp;"")&amp;"|파견중",파견수련계획!$Y$4:$Y$83,0),IFERROR(MATCH(TRIM($J296&amp;"")&amp;"|파견예정",파견수련계획!$Y$4:$Y$83,0),IFERROR(MATCH(TRIM($J296&amp;"")&amp;"|파견종료",파견수련계획!$Y$4:$Y$83,0),""))))</f>
        <v/>
      </c>
      <c r="AG296" s="10">
        <f>IF($B296="","",IF(AND(IF(OR($AC296="",인턴현황!$K$2=""),"",INDEX(인턴근무계획!$M$3:$R$62,$AC296,인턴현황!$K$2)&amp;"")&lt;&gt;"",LEFT(IF(OR($AC296="",인턴현황!$K$2=""),"",INDEX(인턴근무계획!$M$3:$R$62,$AC296,인턴현황!$K$2)&amp;""),1)&lt;&gt;"⚠"),LEFT(IF(OR($AC296="",인턴현황!$K$2=""),"",INDEX(인턴근무계획!$M$3:$R$62,$AC296,인턴현황!$K$2)&amp;""),FIND(" ",IF(OR($AC296="",인턴현황!$K$2=""),"",INDEX(인턴근무계획!$M$3:$R$62,$AC296,인턴현황!$K$2)&amp;""))-1),$AE296))</f>
        <v/>
      </c>
      <c r="AH296" s="17">
        <f>IF($B296="","",IF(TRIM($J296&amp;"")="",0,SUMPRODUCT((파견수련계획!$Q$4:$Q$83=TRIM($J296&amp;""))*(파견수련계획!$S$4:$S$83="서울병원")*파견수련계획!$W$4:$W$83))+IF($AG296="서울병원",MAX(0,DAY(EOMONTH(요약!$B$3,0))-N($X296)),0))</f>
        <v/>
      </c>
      <c r="AI296" s="17">
        <f>IF($B296="","",IF(TRIM($J296&amp;"")="",0,SUMPRODUCT((파견수련계획!$Q$4:$Q$83=TRIM($J296&amp;""))*(파견수련계획!$S$4:$S$83="구리병원")*파견수련계획!$W$4:$W$83))+IF($AG296="구리병원",MAX(0,DAY(EOMONTH(요약!$B$3,0))-N($X296)),0))</f>
        <v/>
      </c>
      <c r="AJ296" s="10">
        <f>IF(OR($B296="",TRIM($J296&amp;"")=""),"",IFERROR(MATCH(TRIM($J296&amp;"")&amp;"|월",파견수련계획!$Z$4:$Z$83,0),""))</f>
        <v/>
      </c>
      <c r="AK296" s="10">
        <f>IF(OR($B296="",TRIM($J296&amp;"")=""),"",IFERROR(MATCH(TRIM($J296&amp;"")&amp;"|다기관",파견수련계획!$AE$4:$AE$83,0),""))</f>
        <v/>
      </c>
      <c r="AL296" s="10">
        <f>IF($AK296="","","다기관 "&amp;TEXT(INDEX(파견수련계획!$AB$4:$AB$83,$AK296),"yyyy-mm-dd")&amp;"~"&amp;IF(ISNUMBER(INDEX(파견수련계획!$AC$4:$AC$83,$AK296)),TEXT(INDEX(파견수련계획!$AC$4:$AC$83,$AK296),"yyyy-mm-dd"),""))</f>
        <v/>
      </c>
    </row>
    <row r="297">
      <c r="A297" s="10">
        <f>IF(B297="","",ROW()-1)</f>
        <v/>
      </c>
      <c r="B297" s="18" t="n"/>
      <c r="C297" s="10">
        <f>IF($AB297="","",IF(INDEX(기본자료!$C$2:$C$1001,$AB297)="","",INDEX(기본자료!$C$2:$C$1001,$AB297)))</f>
        <v/>
      </c>
      <c r="D297" s="10">
        <f>IF($AB297="","",IF(INDEX(기본자료!$J$2:$J$1001,$AB297)="","",INDEX(기본자료!$J$2:$J$1001,$AB297)))</f>
        <v/>
      </c>
      <c r="E297" s="11">
        <f>IF($AB297="","",IF(INDEX(기본자료!$K$2:$K$1001,$AB297)="","",IF(NOT(ISNUMBER(INDEX(기본자료!$K$2:$K$1001,$AB297))),INDEX(기본자료!$K$2:$K$1001,$AB297),IF(INDEX(기본자료!$K$2:$K$1001,$AB297)&lt;1000000,INDEX(기본자료!$K$2:$K$1001,$AB297),IF(AND(INDEX(기본자료!$K$2:$K$1001,$AB297)&gt;=10000101,INT(MOD(INDEX(기본자료!$K$2:$K$1001,$AB297),10000)/100)&gt;=1,INT(MOD(INDEX(기본자료!$K$2:$K$1001,$AB297),10000)/100)&lt;=12,MOD(INDEX(기본자료!$K$2:$K$1001,$AB297),100)&gt;=1,MOD(INDEX(기본자료!$K$2:$K$1001,$AB297),100)&lt;=31),DATE(INT(INDEX(기본자료!$K$2:$K$1001,$AB297)/10000),INT(MOD(INDEX(기본자료!$K$2:$K$1001,$AB297),10000)/100),MOD(INDEX(기본자료!$K$2:$K$1001,$AB297),100)),INDEX(기본자료!$K$2:$K$1001,$AB297)&amp;"")))))</f>
        <v/>
      </c>
      <c r="F297" s="10">
        <f>IF($AB297="","",IF(INDEX(기본자료!$D$2:$D$1001,$AB297)="","",INDEX(기본자료!$D$2:$D$1001,$AB297)))</f>
        <v/>
      </c>
      <c r="G297" s="10">
        <f>IF($AB297="","",IF(INDEX(기본자료!$E$2:$E$1001,$AB297)="","",INDEX(기본자료!$E$2:$E$1001,$AB297)))</f>
        <v/>
      </c>
      <c r="H297" s="10">
        <f>IF($AB297="","",IF(INDEX(기본자료!$F$2:$F$1001,$AB297)="","",INDEX(기본자료!$F$2:$F$1001,$AB297)))</f>
        <v/>
      </c>
      <c r="I297" s="11">
        <f>IF($AB297="","",IF(INDEX(기본자료!$G$2:$G$1001,$AB297)="","",IF(NOT(ISNUMBER(INDEX(기본자료!$G$2:$G$1001,$AB297))),INDEX(기본자료!$G$2:$G$1001,$AB297),IF(INDEX(기본자료!$G$2:$G$1001,$AB297)&lt;1000000,INDEX(기본자료!$G$2:$G$1001,$AB297),IF(AND(INDEX(기본자료!$G$2:$G$1001,$AB297)&gt;=10000101,INT(MOD(INDEX(기본자료!$G$2:$G$1001,$AB297),10000)/100)&gt;=1,INT(MOD(INDEX(기본자료!$G$2:$G$1001,$AB297),10000)/100)&lt;=12,MOD(INDEX(기본자료!$G$2:$G$1001,$AB297),100)&gt;=1,MOD(INDEX(기본자료!$G$2:$G$1001,$AB297),100)&lt;=31),DATE(INT(INDEX(기본자료!$G$2:$G$1001,$AB297)/10000),INT(MOD(INDEX(기본자료!$G$2:$G$1001,$AB297),10000)/100),MOD(INDEX(기본자료!$G$2:$G$1001,$AB297),100)),INDEX(기본자료!$G$2:$G$1001,$AB297)&amp;"")))))</f>
        <v/>
      </c>
      <c r="J297" s="10">
        <f>IF($AB297="","",IF(INDEX(기본자료!$H$2:$H$1001,$AB297)="","",INDEX(기본자료!$H$2:$H$1001,$AB297)))</f>
        <v/>
      </c>
      <c r="K297" s="10">
        <f>IF($AB297="","",IF(INDEX(기본자료!$I$2:$I$1001,$AB297)="","",INDEX(기본자료!$I$2:$I$1001,$AB297)))</f>
        <v/>
      </c>
      <c r="L297" s="10">
        <f>IF($AB297="","",IF(INDEX(기본자료!$A$2:$A$1001,$AB297)="","",INDEX(기본자료!$A$2:$A$1001,$AB297)))</f>
        <v/>
      </c>
      <c r="M297" s="15" t="n"/>
      <c r="N297" s="10">
        <f>IF($B297="","",IF(AND($U297="파견중",$Q297&lt;&gt;""),$Q297,IF(AND($AD297&lt;&gt;"",LEFT($AD297,1)&lt;&gt;"⚠"),LEFT($AD297,FIND(" ",$AD297)-1),IF($H297="","",IF(RIGHT($H297,2)="병원",$H297,$H297&amp;"병원")))))</f>
        <v/>
      </c>
      <c r="O297" s="10">
        <f>IF($B297="","",IF(AND($U297="파견중",$Q297&lt;&gt;""),IF($R297&lt;&gt;"",$R297,"파견과 미입력"),IF(AND($AD297&lt;&gt;"",LEFT($AD297,1)&lt;&gt;"⚠"),MID($AD297,FIND(" ",$AD297)+1,60),IF($F297="","",IF($F297="인턴","수련교육부(인턴)",$F297)))))</f>
        <v/>
      </c>
      <c r="P297" s="10">
        <f>IF($B297="","",IF($AK297&lt;&gt;"",IF(AND(TODAY()&gt;=INDEX(파견수련계획!$AB$4:$AB$83,$AK297),OR(NOT(ISNUMBER(INDEX(파견수련계획!$AC$4:$AC$83,$AK297))),TODAY()&lt;=INDEX(파견수련계획!$AC$4:$AC$83,$AK297))),"다기관",IF($AF297="","",INDEX(파견수련계획!$T$4:$T$83,$AF297))),IF($AF297="","",INDEX(파견수련계획!$T$4:$T$83,$AF297))))</f>
        <v/>
      </c>
      <c r="Q297" s="10">
        <f>IF($AF297="","",INDEX(파견수련계획!$S$4:$S$83,$AF297))</f>
        <v/>
      </c>
      <c r="R297" s="10">
        <f>IF($AF297="","",INDEX(파견수련계획!$U$4:$U$83,$AF297))</f>
        <v/>
      </c>
      <c r="S297" s="11">
        <f>IF($AF297="","",IF(INDEX(파견수련계획!$H$4:$H$83,$AF297)="","",INDEX(파견수련계획!$H$4:$H$83,$AF297)))</f>
        <v/>
      </c>
      <c r="T297" s="11">
        <f>IF($AF297="","",IF(INDEX(파견수련계획!$I$4:$I$83,$AF297)="","",INDEX(파견수련계획!$I$4:$I$83,$AF297)))</f>
        <v/>
      </c>
      <c r="U297" s="10">
        <f>IF($AF297="","",INDEX(파견수련계획!$X$4:$X$83,$AF297))</f>
        <v/>
      </c>
      <c r="V297" s="17">
        <f>IF($AF297="","",INDEX(파견수련계획!$V$4:$V$83,$AF297))</f>
        <v/>
      </c>
      <c r="W297" s="17">
        <f>IF(AND($U297="파견중",$T297&lt;&gt;""),$T297-TODAY(),"")</f>
        <v/>
      </c>
      <c r="X297" s="17">
        <f>IF(OR($B297="",TRIM($J297&amp;"")=""),"",SUMPRODUCT((파견수련계획!$Q$4:$Q$83=TRIM($J297&amp;""))*파견수련계획!$W$4:$W$83))</f>
        <v/>
      </c>
      <c r="Y297" s="10">
        <f>IF($B297="","",IF($AG297="","",IF(IF(TRIM($J297&amp;"")="",0,SUMPRODUCT((파견수련계획!$Q$4:$Q$83=TRIM($J297&amp;""))*파견수련계획!$AD$4:$AD$83))&gt;0,$AE297,IF(N($X297)&lt;=0,$AG297,IF($AH297+$AI297=DAY(EOMONTH(요약!$B$3,0)),IF(AND($AH297&gt;=요약!$E$3,$AI297&lt;요약!$E$3),"서울병원",IF(AND($AI297&gt;=요약!$E$3,$AH297&lt;요약!$E$3),"구리병원","⚠15일 판정불가(서울 "&amp;$AH297&amp;"일/구리 "&amp;$AI297&amp;"일)")),IF($AJ297="",$AE297,IF(INDEX(파견수련계획!$T$4:$T$83,$AJ297)="통합수련",INDEX(파견수련계획!$S$4:$S$83,$AJ297),$AE297)))))))</f>
        <v/>
      </c>
      <c r="Z297" s="19">
        <f>IF($B297="","",IF($AB297="","기본자료에 없는 사번",IF(COUNTIF($B$2:$B$401,$B297)&gt;1,"중복 사번",IF($AE297="","소속(입사장소) 입력",IF(IF(TRIM($J297&amp;"")="",0,SUMPRODUCT((파견수련계획!$Q$4:$Q$83=TRIM($J297&amp;""))*(파견수련계획!$AA$4:$AA$83&lt;&gt;"")))&gt;0,"파견수련계획 입력오류 확인",IF(LEFT($Y297,1)="⚠","서울·구리 15일 판정 불가(양쪽 모두 이상/미만)",IF(IF($AC297="",0,N(INDEX(인턴근무계획!$T$3:$T$62,$AC297)))&gt;0,"인턴계획 입력오류 확인",IF(AND($AC297&lt;&gt;"",$U297&lt;&gt;"파견중",$N297&lt;&gt;$AE297),"인턴 타지역 근무: 파견 여부 확인","정상"))))))))</f>
        <v/>
      </c>
      <c r="AA297" s="5" t="n"/>
      <c r="AB297" s="10">
        <f>IF($B297="","",IFERROR(MATCH($B297,기본자료!$B$2:$B$1001,0),IFERROR(MATCH($B297&amp;"",기본자료!$B$2:$B$1001,0),IFERROR(MATCH(VALUE($B297),기본자료!$B$2:$B$1001,0),""))))</f>
        <v/>
      </c>
      <c r="AC297" s="10">
        <f>IF($B297="","",IFERROR(MATCH($B297,인턴근무계획!$D$3:$D$62,0),IFERROR(MATCH($B297&amp;"",인턴근무계획!$D$3:$D$62,0),IFERROR(MATCH(VALUE($B297),인턴근무계획!$D$3:$D$62,0),""))))</f>
        <v/>
      </c>
      <c r="AD297" s="10">
        <f>IF(OR($AC297="",인턴현황!$G$3=""),"",INDEX(인턴근무계획!$M$3:$R$62,$AC297,인턴현황!$G$3)&amp;"")</f>
        <v/>
      </c>
      <c r="AE297" s="10">
        <f>IF($B297="","",IF($M297&lt;&gt;"",$M297,IF($AF297&lt;&gt;"",IF(LEFT(INDEX(파견수련계획!$R$4:$R$83,$AF297),1)&lt;&gt;"⚠",INDEX(파견수련계획!$R$4:$R$83,$AF297),IF($H297="","",IF(RIGHT($H297,2)="병원",$H297,$H297&amp;"병원"))),IF($H297="","",IF(RIGHT($H297,2)="병원",$H297,$H297&amp;"병원")))))</f>
        <v/>
      </c>
      <c r="AF297" s="10">
        <f>IF(OR($B297="",TRIM($J297&amp;"")=""),"",IFERROR(MATCH(TRIM($J297&amp;"")&amp;"|파견중",파견수련계획!$Y$4:$Y$83,0),IFERROR(MATCH(TRIM($J297&amp;"")&amp;"|파견예정",파견수련계획!$Y$4:$Y$83,0),IFERROR(MATCH(TRIM($J297&amp;"")&amp;"|파견종료",파견수련계획!$Y$4:$Y$83,0),""))))</f>
        <v/>
      </c>
      <c r="AG297" s="10">
        <f>IF($B297="","",IF(AND(IF(OR($AC297="",인턴현황!$K$2=""),"",INDEX(인턴근무계획!$M$3:$R$62,$AC297,인턴현황!$K$2)&amp;"")&lt;&gt;"",LEFT(IF(OR($AC297="",인턴현황!$K$2=""),"",INDEX(인턴근무계획!$M$3:$R$62,$AC297,인턴현황!$K$2)&amp;""),1)&lt;&gt;"⚠"),LEFT(IF(OR($AC297="",인턴현황!$K$2=""),"",INDEX(인턴근무계획!$M$3:$R$62,$AC297,인턴현황!$K$2)&amp;""),FIND(" ",IF(OR($AC297="",인턴현황!$K$2=""),"",INDEX(인턴근무계획!$M$3:$R$62,$AC297,인턴현황!$K$2)&amp;""))-1),$AE297))</f>
        <v/>
      </c>
      <c r="AH297" s="17">
        <f>IF($B297="","",IF(TRIM($J297&amp;"")="",0,SUMPRODUCT((파견수련계획!$Q$4:$Q$83=TRIM($J297&amp;""))*(파견수련계획!$S$4:$S$83="서울병원")*파견수련계획!$W$4:$W$83))+IF($AG297="서울병원",MAX(0,DAY(EOMONTH(요약!$B$3,0))-N($X297)),0))</f>
        <v/>
      </c>
      <c r="AI297" s="17">
        <f>IF($B297="","",IF(TRIM($J297&amp;"")="",0,SUMPRODUCT((파견수련계획!$Q$4:$Q$83=TRIM($J297&amp;""))*(파견수련계획!$S$4:$S$83="구리병원")*파견수련계획!$W$4:$W$83))+IF($AG297="구리병원",MAX(0,DAY(EOMONTH(요약!$B$3,0))-N($X297)),0))</f>
        <v/>
      </c>
      <c r="AJ297" s="10">
        <f>IF(OR($B297="",TRIM($J297&amp;"")=""),"",IFERROR(MATCH(TRIM($J297&amp;"")&amp;"|월",파견수련계획!$Z$4:$Z$83,0),""))</f>
        <v/>
      </c>
      <c r="AK297" s="10">
        <f>IF(OR($B297="",TRIM($J297&amp;"")=""),"",IFERROR(MATCH(TRIM($J297&amp;"")&amp;"|다기관",파견수련계획!$AE$4:$AE$83,0),""))</f>
        <v/>
      </c>
      <c r="AL297" s="10">
        <f>IF($AK297="","","다기관 "&amp;TEXT(INDEX(파견수련계획!$AB$4:$AB$83,$AK297),"yyyy-mm-dd")&amp;"~"&amp;IF(ISNUMBER(INDEX(파견수련계획!$AC$4:$AC$83,$AK297)),TEXT(INDEX(파견수련계획!$AC$4:$AC$83,$AK297),"yyyy-mm-dd"),""))</f>
        <v/>
      </c>
    </row>
    <row r="298">
      <c r="A298" s="10">
        <f>IF(B298="","",ROW()-1)</f>
        <v/>
      </c>
      <c r="B298" s="18" t="n"/>
      <c r="C298" s="10">
        <f>IF($AB298="","",IF(INDEX(기본자료!$C$2:$C$1001,$AB298)="","",INDEX(기본자료!$C$2:$C$1001,$AB298)))</f>
        <v/>
      </c>
      <c r="D298" s="10">
        <f>IF($AB298="","",IF(INDEX(기본자료!$J$2:$J$1001,$AB298)="","",INDEX(기본자료!$J$2:$J$1001,$AB298)))</f>
        <v/>
      </c>
      <c r="E298" s="11">
        <f>IF($AB298="","",IF(INDEX(기본자료!$K$2:$K$1001,$AB298)="","",IF(NOT(ISNUMBER(INDEX(기본자료!$K$2:$K$1001,$AB298))),INDEX(기본자료!$K$2:$K$1001,$AB298),IF(INDEX(기본자료!$K$2:$K$1001,$AB298)&lt;1000000,INDEX(기본자료!$K$2:$K$1001,$AB298),IF(AND(INDEX(기본자료!$K$2:$K$1001,$AB298)&gt;=10000101,INT(MOD(INDEX(기본자료!$K$2:$K$1001,$AB298),10000)/100)&gt;=1,INT(MOD(INDEX(기본자료!$K$2:$K$1001,$AB298),10000)/100)&lt;=12,MOD(INDEX(기본자료!$K$2:$K$1001,$AB298),100)&gt;=1,MOD(INDEX(기본자료!$K$2:$K$1001,$AB298),100)&lt;=31),DATE(INT(INDEX(기본자료!$K$2:$K$1001,$AB298)/10000),INT(MOD(INDEX(기본자료!$K$2:$K$1001,$AB298),10000)/100),MOD(INDEX(기본자료!$K$2:$K$1001,$AB298),100)),INDEX(기본자료!$K$2:$K$1001,$AB298)&amp;"")))))</f>
        <v/>
      </c>
      <c r="F298" s="10">
        <f>IF($AB298="","",IF(INDEX(기본자료!$D$2:$D$1001,$AB298)="","",INDEX(기본자료!$D$2:$D$1001,$AB298)))</f>
        <v/>
      </c>
      <c r="G298" s="10">
        <f>IF($AB298="","",IF(INDEX(기본자료!$E$2:$E$1001,$AB298)="","",INDEX(기본자료!$E$2:$E$1001,$AB298)))</f>
        <v/>
      </c>
      <c r="H298" s="10">
        <f>IF($AB298="","",IF(INDEX(기본자료!$F$2:$F$1001,$AB298)="","",INDEX(기본자료!$F$2:$F$1001,$AB298)))</f>
        <v/>
      </c>
      <c r="I298" s="11">
        <f>IF($AB298="","",IF(INDEX(기본자료!$G$2:$G$1001,$AB298)="","",IF(NOT(ISNUMBER(INDEX(기본자료!$G$2:$G$1001,$AB298))),INDEX(기본자료!$G$2:$G$1001,$AB298),IF(INDEX(기본자료!$G$2:$G$1001,$AB298)&lt;1000000,INDEX(기본자료!$G$2:$G$1001,$AB298),IF(AND(INDEX(기본자료!$G$2:$G$1001,$AB298)&gt;=10000101,INT(MOD(INDEX(기본자료!$G$2:$G$1001,$AB298),10000)/100)&gt;=1,INT(MOD(INDEX(기본자료!$G$2:$G$1001,$AB298),10000)/100)&lt;=12,MOD(INDEX(기본자료!$G$2:$G$1001,$AB298),100)&gt;=1,MOD(INDEX(기본자료!$G$2:$G$1001,$AB298),100)&lt;=31),DATE(INT(INDEX(기본자료!$G$2:$G$1001,$AB298)/10000),INT(MOD(INDEX(기본자료!$G$2:$G$1001,$AB298),10000)/100),MOD(INDEX(기본자료!$G$2:$G$1001,$AB298),100)),INDEX(기본자료!$G$2:$G$1001,$AB298)&amp;"")))))</f>
        <v/>
      </c>
      <c r="J298" s="10">
        <f>IF($AB298="","",IF(INDEX(기본자료!$H$2:$H$1001,$AB298)="","",INDEX(기본자료!$H$2:$H$1001,$AB298)))</f>
        <v/>
      </c>
      <c r="K298" s="10">
        <f>IF($AB298="","",IF(INDEX(기본자료!$I$2:$I$1001,$AB298)="","",INDEX(기본자료!$I$2:$I$1001,$AB298)))</f>
        <v/>
      </c>
      <c r="L298" s="10">
        <f>IF($AB298="","",IF(INDEX(기본자료!$A$2:$A$1001,$AB298)="","",INDEX(기본자료!$A$2:$A$1001,$AB298)))</f>
        <v/>
      </c>
      <c r="M298" s="15" t="n"/>
      <c r="N298" s="10">
        <f>IF($B298="","",IF(AND($U298="파견중",$Q298&lt;&gt;""),$Q298,IF(AND($AD298&lt;&gt;"",LEFT($AD298,1)&lt;&gt;"⚠"),LEFT($AD298,FIND(" ",$AD298)-1),IF($H298="","",IF(RIGHT($H298,2)="병원",$H298,$H298&amp;"병원")))))</f>
        <v/>
      </c>
      <c r="O298" s="10">
        <f>IF($B298="","",IF(AND($U298="파견중",$Q298&lt;&gt;""),IF($R298&lt;&gt;"",$R298,"파견과 미입력"),IF(AND($AD298&lt;&gt;"",LEFT($AD298,1)&lt;&gt;"⚠"),MID($AD298,FIND(" ",$AD298)+1,60),IF($F298="","",IF($F298="인턴","수련교육부(인턴)",$F298)))))</f>
        <v/>
      </c>
      <c r="P298" s="10">
        <f>IF($B298="","",IF($AK298&lt;&gt;"",IF(AND(TODAY()&gt;=INDEX(파견수련계획!$AB$4:$AB$83,$AK298),OR(NOT(ISNUMBER(INDEX(파견수련계획!$AC$4:$AC$83,$AK298))),TODAY()&lt;=INDEX(파견수련계획!$AC$4:$AC$83,$AK298))),"다기관",IF($AF298="","",INDEX(파견수련계획!$T$4:$T$83,$AF298))),IF($AF298="","",INDEX(파견수련계획!$T$4:$T$83,$AF298))))</f>
        <v/>
      </c>
      <c r="Q298" s="10">
        <f>IF($AF298="","",INDEX(파견수련계획!$S$4:$S$83,$AF298))</f>
        <v/>
      </c>
      <c r="R298" s="10">
        <f>IF($AF298="","",INDEX(파견수련계획!$U$4:$U$83,$AF298))</f>
        <v/>
      </c>
      <c r="S298" s="11">
        <f>IF($AF298="","",IF(INDEX(파견수련계획!$H$4:$H$83,$AF298)="","",INDEX(파견수련계획!$H$4:$H$83,$AF298)))</f>
        <v/>
      </c>
      <c r="T298" s="11">
        <f>IF($AF298="","",IF(INDEX(파견수련계획!$I$4:$I$83,$AF298)="","",INDEX(파견수련계획!$I$4:$I$83,$AF298)))</f>
        <v/>
      </c>
      <c r="U298" s="10">
        <f>IF($AF298="","",INDEX(파견수련계획!$X$4:$X$83,$AF298))</f>
        <v/>
      </c>
      <c r="V298" s="17">
        <f>IF($AF298="","",INDEX(파견수련계획!$V$4:$V$83,$AF298))</f>
        <v/>
      </c>
      <c r="W298" s="17">
        <f>IF(AND($U298="파견중",$T298&lt;&gt;""),$T298-TODAY(),"")</f>
        <v/>
      </c>
      <c r="X298" s="17">
        <f>IF(OR($B298="",TRIM($J298&amp;"")=""),"",SUMPRODUCT((파견수련계획!$Q$4:$Q$83=TRIM($J298&amp;""))*파견수련계획!$W$4:$W$83))</f>
        <v/>
      </c>
      <c r="Y298" s="10">
        <f>IF($B298="","",IF($AG298="","",IF(IF(TRIM($J298&amp;"")="",0,SUMPRODUCT((파견수련계획!$Q$4:$Q$83=TRIM($J298&amp;""))*파견수련계획!$AD$4:$AD$83))&gt;0,$AE298,IF(N($X298)&lt;=0,$AG298,IF($AH298+$AI298=DAY(EOMONTH(요약!$B$3,0)),IF(AND($AH298&gt;=요약!$E$3,$AI298&lt;요약!$E$3),"서울병원",IF(AND($AI298&gt;=요약!$E$3,$AH298&lt;요약!$E$3),"구리병원","⚠15일 판정불가(서울 "&amp;$AH298&amp;"일/구리 "&amp;$AI298&amp;"일)")),IF($AJ298="",$AE298,IF(INDEX(파견수련계획!$T$4:$T$83,$AJ298)="통합수련",INDEX(파견수련계획!$S$4:$S$83,$AJ298),$AE298)))))))</f>
        <v/>
      </c>
      <c r="Z298" s="19">
        <f>IF($B298="","",IF($AB298="","기본자료에 없는 사번",IF(COUNTIF($B$2:$B$401,$B298)&gt;1,"중복 사번",IF($AE298="","소속(입사장소) 입력",IF(IF(TRIM($J298&amp;"")="",0,SUMPRODUCT((파견수련계획!$Q$4:$Q$83=TRIM($J298&amp;""))*(파견수련계획!$AA$4:$AA$83&lt;&gt;"")))&gt;0,"파견수련계획 입력오류 확인",IF(LEFT($Y298,1)="⚠","서울·구리 15일 판정 불가(양쪽 모두 이상/미만)",IF(IF($AC298="",0,N(INDEX(인턴근무계획!$T$3:$T$62,$AC298)))&gt;0,"인턴계획 입력오류 확인",IF(AND($AC298&lt;&gt;"",$U298&lt;&gt;"파견중",$N298&lt;&gt;$AE298),"인턴 타지역 근무: 파견 여부 확인","정상"))))))))</f>
        <v/>
      </c>
      <c r="AA298" s="5" t="n"/>
      <c r="AB298" s="10">
        <f>IF($B298="","",IFERROR(MATCH($B298,기본자료!$B$2:$B$1001,0),IFERROR(MATCH($B298&amp;"",기본자료!$B$2:$B$1001,0),IFERROR(MATCH(VALUE($B298),기본자료!$B$2:$B$1001,0),""))))</f>
        <v/>
      </c>
      <c r="AC298" s="10">
        <f>IF($B298="","",IFERROR(MATCH($B298,인턴근무계획!$D$3:$D$62,0),IFERROR(MATCH($B298&amp;"",인턴근무계획!$D$3:$D$62,0),IFERROR(MATCH(VALUE($B298),인턴근무계획!$D$3:$D$62,0),""))))</f>
        <v/>
      </c>
      <c r="AD298" s="10">
        <f>IF(OR($AC298="",인턴현황!$G$3=""),"",INDEX(인턴근무계획!$M$3:$R$62,$AC298,인턴현황!$G$3)&amp;"")</f>
        <v/>
      </c>
      <c r="AE298" s="10">
        <f>IF($B298="","",IF($M298&lt;&gt;"",$M298,IF($AF298&lt;&gt;"",IF(LEFT(INDEX(파견수련계획!$R$4:$R$83,$AF298),1)&lt;&gt;"⚠",INDEX(파견수련계획!$R$4:$R$83,$AF298),IF($H298="","",IF(RIGHT($H298,2)="병원",$H298,$H298&amp;"병원"))),IF($H298="","",IF(RIGHT($H298,2)="병원",$H298,$H298&amp;"병원")))))</f>
        <v/>
      </c>
      <c r="AF298" s="10">
        <f>IF(OR($B298="",TRIM($J298&amp;"")=""),"",IFERROR(MATCH(TRIM($J298&amp;"")&amp;"|파견중",파견수련계획!$Y$4:$Y$83,0),IFERROR(MATCH(TRIM($J298&amp;"")&amp;"|파견예정",파견수련계획!$Y$4:$Y$83,0),IFERROR(MATCH(TRIM($J298&amp;"")&amp;"|파견종료",파견수련계획!$Y$4:$Y$83,0),""))))</f>
        <v/>
      </c>
      <c r="AG298" s="10">
        <f>IF($B298="","",IF(AND(IF(OR($AC298="",인턴현황!$K$2=""),"",INDEX(인턴근무계획!$M$3:$R$62,$AC298,인턴현황!$K$2)&amp;"")&lt;&gt;"",LEFT(IF(OR($AC298="",인턴현황!$K$2=""),"",INDEX(인턴근무계획!$M$3:$R$62,$AC298,인턴현황!$K$2)&amp;""),1)&lt;&gt;"⚠"),LEFT(IF(OR($AC298="",인턴현황!$K$2=""),"",INDEX(인턴근무계획!$M$3:$R$62,$AC298,인턴현황!$K$2)&amp;""),FIND(" ",IF(OR($AC298="",인턴현황!$K$2=""),"",INDEX(인턴근무계획!$M$3:$R$62,$AC298,인턴현황!$K$2)&amp;""))-1),$AE298))</f>
        <v/>
      </c>
      <c r="AH298" s="17">
        <f>IF($B298="","",IF(TRIM($J298&amp;"")="",0,SUMPRODUCT((파견수련계획!$Q$4:$Q$83=TRIM($J298&amp;""))*(파견수련계획!$S$4:$S$83="서울병원")*파견수련계획!$W$4:$W$83))+IF($AG298="서울병원",MAX(0,DAY(EOMONTH(요약!$B$3,0))-N($X298)),0))</f>
        <v/>
      </c>
      <c r="AI298" s="17">
        <f>IF($B298="","",IF(TRIM($J298&amp;"")="",0,SUMPRODUCT((파견수련계획!$Q$4:$Q$83=TRIM($J298&amp;""))*(파견수련계획!$S$4:$S$83="구리병원")*파견수련계획!$W$4:$W$83))+IF($AG298="구리병원",MAX(0,DAY(EOMONTH(요약!$B$3,0))-N($X298)),0))</f>
        <v/>
      </c>
      <c r="AJ298" s="10">
        <f>IF(OR($B298="",TRIM($J298&amp;"")=""),"",IFERROR(MATCH(TRIM($J298&amp;"")&amp;"|월",파견수련계획!$Z$4:$Z$83,0),""))</f>
        <v/>
      </c>
      <c r="AK298" s="10">
        <f>IF(OR($B298="",TRIM($J298&amp;"")=""),"",IFERROR(MATCH(TRIM($J298&amp;"")&amp;"|다기관",파견수련계획!$AE$4:$AE$83,0),""))</f>
        <v/>
      </c>
      <c r="AL298" s="10">
        <f>IF($AK298="","","다기관 "&amp;TEXT(INDEX(파견수련계획!$AB$4:$AB$83,$AK298),"yyyy-mm-dd")&amp;"~"&amp;IF(ISNUMBER(INDEX(파견수련계획!$AC$4:$AC$83,$AK298)),TEXT(INDEX(파견수련계획!$AC$4:$AC$83,$AK298),"yyyy-mm-dd"),""))</f>
        <v/>
      </c>
    </row>
    <row r="299">
      <c r="A299" s="10">
        <f>IF(B299="","",ROW()-1)</f>
        <v/>
      </c>
      <c r="B299" s="18" t="n"/>
      <c r="C299" s="10">
        <f>IF($AB299="","",IF(INDEX(기본자료!$C$2:$C$1001,$AB299)="","",INDEX(기본자료!$C$2:$C$1001,$AB299)))</f>
        <v/>
      </c>
      <c r="D299" s="10">
        <f>IF($AB299="","",IF(INDEX(기본자료!$J$2:$J$1001,$AB299)="","",INDEX(기본자료!$J$2:$J$1001,$AB299)))</f>
        <v/>
      </c>
      <c r="E299" s="11">
        <f>IF($AB299="","",IF(INDEX(기본자료!$K$2:$K$1001,$AB299)="","",IF(NOT(ISNUMBER(INDEX(기본자료!$K$2:$K$1001,$AB299))),INDEX(기본자료!$K$2:$K$1001,$AB299),IF(INDEX(기본자료!$K$2:$K$1001,$AB299)&lt;1000000,INDEX(기본자료!$K$2:$K$1001,$AB299),IF(AND(INDEX(기본자료!$K$2:$K$1001,$AB299)&gt;=10000101,INT(MOD(INDEX(기본자료!$K$2:$K$1001,$AB299),10000)/100)&gt;=1,INT(MOD(INDEX(기본자료!$K$2:$K$1001,$AB299),10000)/100)&lt;=12,MOD(INDEX(기본자료!$K$2:$K$1001,$AB299),100)&gt;=1,MOD(INDEX(기본자료!$K$2:$K$1001,$AB299),100)&lt;=31),DATE(INT(INDEX(기본자료!$K$2:$K$1001,$AB299)/10000),INT(MOD(INDEX(기본자료!$K$2:$K$1001,$AB299),10000)/100),MOD(INDEX(기본자료!$K$2:$K$1001,$AB299),100)),INDEX(기본자료!$K$2:$K$1001,$AB299)&amp;"")))))</f>
        <v/>
      </c>
      <c r="F299" s="10">
        <f>IF($AB299="","",IF(INDEX(기본자료!$D$2:$D$1001,$AB299)="","",INDEX(기본자료!$D$2:$D$1001,$AB299)))</f>
        <v/>
      </c>
      <c r="G299" s="10">
        <f>IF($AB299="","",IF(INDEX(기본자료!$E$2:$E$1001,$AB299)="","",INDEX(기본자료!$E$2:$E$1001,$AB299)))</f>
        <v/>
      </c>
      <c r="H299" s="10">
        <f>IF($AB299="","",IF(INDEX(기본자료!$F$2:$F$1001,$AB299)="","",INDEX(기본자료!$F$2:$F$1001,$AB299)))</f>
        <v/>
      </c>
      <c r="I299" s="11">
        <f>IF($AB299="","",IF(INDEX(기본자료!$G$2:$G$1001,$AB299)="","",IF(NOT(ISNUMBER(INDEX(기본자료!$G$2:$G$1001,$AB299))),INDEX(기본자료!$G$2:$G$1001,$AB299),IF(INDEX(기본자료!$G$2:$G$1001,$AB299)&lt;1000000,INDEX(기본자료!$G$2:$G$1001,$AB299),IF(AND(INDEX(기본자료!$G$2:$G$1001,$AB299)&gt;=10000101,INT(MOD(INDEX(기본자료!$G$2:$G$1001,$AB299),10000)/100)&gt;=1,INT(MOD(INDEX(기본자료!$G$2:$G$1001,$AB299),10000)/100)&lt;=12,MOD(INDEX(기본자료!$G$2:$G$1001,$AB299),100)&gt;=1,MOD(INDEX(기본자료!$G$2:$G$1001,$AB299),100)&lt;=31),DATE(INT(INDEX(기본자료!$G$2:$G$1001,$AB299)/10000),INT(MOD(INDEX(기본자료!$G$2:$G$1001,$AB299),10000)/100),MOD(INDEX(기본자료!$G$2:$G$1001,$AB299),100)),INDEX(기본자료!$G$2:$G$1001,$AB299)&amp;"")))))</f>
        <v/>
      </c>
      <c r="J299" s="10">
        <f>IF($AB299="","",IF(INDEX(기본자료!$H$2:$H$1001,$AB299)="","",INDEX(기본자료!$H$2:$H$1001,$AB299)))</f>
        <v/>
      </c>
      <c r="K299" s="10">
        <f>IF($AB299="","",IF(INDEX(기본자료!$I$2:$I$1001,$AB299)="","",INDEX(기본자료!$I$2:$I$1001,$AB299)))</f>
        <v/>
      </c>
      <c r="L299" s="10">
        <f>IF($AB299="","",IF(INDEX(기본자료!$A$2:$A$1001,$AB299)="","",INDEX(기본자료!$A$2:$A$1001,$AB299)))</f>
        <v/>
      </c>
      <c r="M299" s="15" t="n"/>
      <c r="N299" s="10">
        <f>IF($B299="","",IF(AND($U299="파견중",$Q299&lt;&gt;""),$Q299,IF(AND($AD299&lt;&gt;"",LEFT($AD299,1)&lt;&gt;"⚠"),LEFT($AD299,FIND(" ",$AD299)-1),IF($H299="","",IF(RIGHT($H299,2)="병원",$H299,$H299&amp;"병원")))))</f>
        <v/>
      </c>
      <c r="O299" s="10">
        <f>IF($B299="","",IF(AND($U299="파견중",$Q299&lt;&gt;""),IF($R299&lt;&gt;"",$R299,"파견과 미입력"),IF(AND($AD299&lt;&gt;"",LEFT($AD299,1)&lt;&gt;"⚠"),MID($AD299,FIND(" ",$AD299)+1,60),IF($F299="","",IF($F299="인턴","수련교육부(인턴)",$F299)))))</f>
        <v/>
      </c>
      <c r="P299" s="10">
        <f>IF($B299="","",IF($AK299&lt;&gt;"",IF(AND(TODAY()&gt;=INDEX(파견수련계획!$AB$4:$AB$83,$AK299),OR(NOT(ISNUMBER(INDEX(파견수련계획!$AC$4:$AC$83,$AK299))),TODAY()&lt;=INDEX(파견수련계획!$AC$4:$AC$83,$AK299))),"다기관",IF($AF299="","",INDEX(파견수련계획!$T$4:$T$83,$AF299))),IF($AF299="","",INDEX(파견수련계획!$T$4:$T$83,$AF299))))</f>
        <v/>
      </c>
      <c r="Q299" s="10">
        <f>IF($AF299="","",INDEX(파견수련계획!$S$4:$S$83,$AF299))</f>
        <v/>
      </c>
      <c r="R299" s="10">
        <f>IF($AF299="","",INDEX(파견수련계획!$U$4:$U$83,$AF299))</f>
        <v/>
      </c>
      <c r="S299" s="11">
        <f>IF($AF299="","",IF(INDEX(파견수련계획!$H$4:$H$83,$AF299)="","",INDEX(파견수련계획!$H$4:$H$83,$AF299)))</f>
        <v/>
      </c>
      <c r="T299" s="11">
        <f>IF($AF299="","",IF(INDEX(파견수련계획!$I$4:$I$83,$AF299)="","",INDEX(파견수련계획!$I$4:$I$83,$AF299)))</f>
        <v/>
      </c>
      <c r="U299" s="10">
        <f>IF($AF299="","",INDEX(파견수련계획!$X$4:$X$83,$AF299))</f>
        <v/>
      </c>
      <c r="V299" s="17">
        <f>IF($AF299="","",INDEX(파견수련계획!$V$4:$V$83,$AF299))</f>
        <v/>
      </c>
      <c r="W299" s="17">
        <f>IF(AND($U299="파견중",$T299&lt;&gt;""),$T299-TODAY(),"")</f>
        <v/>
      </c>
      <c r="X299" s="17">
        <f>IF(OR($B299="",TRIM($J299&amp;"")=""),"",SUMPRODUCT((파견수련계획!$Q$4:$Q$83=TRIM($J299&amp;""))*파견수련계획!$W$4:$W$83))</f>
        <v/>
      </c>
      <c r="Y299" s="10">
        <f>IF($B299="","",IF($AG299="","",IF(IF(TRIM($J299&amp;"")="",0,SUMPRODUCT((파견수련계획!$Q$4:$Q$83=TRIM($J299&amp;""))*파견수련계획!$AD$4:$AD$83))&gt;0,$AE299,IF(N($X299)&lt;=0,$AG299,IF($AH299+$AI299=DAY(EOMONTH(요약!$B$3,0)),IF(AND($AH299&gt;=요약!$E$3,$AI299&lt;요약!$E$3),"서울병원",IF(AND($AI299&gt;=요약!$E$3,$AH299&lt;요약!$E$3),"구리병원","⚠15일 판정불가(서울 "&amp;$AH299&amp;"일/구리 "&amp;$AI299&amp;"일)")),IF($AJ299="",$AE299,IF(INDEX(파견수련계획!$T$4:$T$83,$AJ299)="통합수련",INDEX(파견수련계획!$S$4:$S$83,$AJ299),$AE299)))))))</f>
        <v/>
      </c>
      <c r="Z299" s="19">
        <f>IF($B299="","",IF($AB299="","기본자료에 없는 사번",IF(COUNTIF($B$2:$B$401,$B299)&gt;1,"중복 사번",IF($AE299="","소속(입사장소) 입력",IF(IF(TRIM($J299&amp;"")="",0,SUMPRODUCT((파견수련계획!$Q$4:$Q$83=TRIM($J299&amp;""))*(파견수련계획!$AA$4:$AA$83&lt;&gt;"")))&gt;0,"파견수련계획 입력오류 확인",IF(LEFT($Y299,1)="⚠","서울·구리 15일 판정 불가(양쪽 모두 이상/미만)",IF(IF($AC299="",0,N(INDEX(인턴근무계획!$T$3:$T$62,$AC299)))&gt;0,"인턴계획 입력오류 확인",IF(AND($AC299&lt;&gt;"",$U299&lt;&gt;"파견중",$N299&lt;&gt;$AE299),"인턴 타지역 근무: 파견 여부 확인","정상"))))))))</f>
        <v/>
      </c>
      <c r="AA299" s="5" t="n"/>
      <c r="AB299" s="10">
        <f>IF($B299="","",IFERROR(MATCH($B299,기본자료!$B$2:$B$1001,0),IFERROR(MATCH($B299&amp;"",기본자료!$B$2:$B$1001,0),IFERROR(MATCH(VALUE($B299),기본자료!$B$2:$B$1001,0),""))))</f>
        <v/>
      </c>
      <c r="AC299" s="10">
        <f>IF($B299="","",IFERROR(MATCH($B299,인턴근무계획!$D$3:$D$62,0),IFERROR(MATCH($B299&amp;"",인턴근무계획!$D$3:$D$62,0),IFERROR(MATCH(VALUE($B299),인턴근무계획!$D$3:$D$62,0),""))))</f>
        <v/>
      </c>
      <c r="AD299" s="10">
        <f>IF(OR($AC299="",인턴현황!$G$3=""),"",INDEX(인턴근무계획!$M$3:$R$62,$AC299,인턴현황!$G$3)&amp;"")</f>
        <v/>
      </c>
      <c r="AE299" s="10">
        <f>IF($B299="","",IF($M299&lt;&gt;"",$M299,IF($AF299&lt;&gt;"",IF(LEFT(INDEX(파견수련계획!$R$4:$R$83,$AF299),1)&lt;&gt;"⚠",INDEX(파견수련계획!$R$4:$R$83,$AF299),IF($H299="","",IF(RIGHT($H299,2)="병원",$H299,$H299&amp;"병원"))),IF($H299="","",IF(RIGHT($H299,2)="병원",$H299,$H299&amp;"병원")))))</f>
        <v/>
      </c>
      <c r="AF299" s="10">
        <f>IF(OR($B299="",TRIM($J299&amp;"")=""),"",IFERROR(MATCH(TRIM($J299&amp;"")&amp;"|파견중",파견수련계획!$Y$4:$Y$83,0),IFERROR(MATCH(TRIM($J299&amp;"")&amp;"|파견예정",파견수련계획!$Y$4:$Y$83,0),IFERROR(MATCH(TRIM($J299&amp;"")&amp;"|파견종료",파견수련계획!$Y$4:$Y$83,0),""))))</f>
        <v/>
      </c>
      <c r="AG299" s="10">
        <f>IF($B299="","",IF(AND(IF(OR($AC299="",인턴현황!$K$2=""),"",INDEX(인턴근무계획!$M$3:$R$62,$AC299,인턴현황!$K$2)&amp;"")&lt;&gt;"",LEFT(IF(OR($AC299="",인턴현황!$K$2=""),"",INDEX(인턴근무계획!$M$3:$R$62,$AC299,인턴현황!$K$2)&amp;""),1)&lt;&gt;"⚠"),LEFT(IF(OR($AC299="",인턴현황!$K$2=""),"",INDEX(인턴근무계획!$M$3:$R$62,$AC299,인턴현황!$K$2)&amp;""),FIND(" ",IF(OR($AC299="",인턴현황!$K$2=""),"",INDEX(인턴근무계획!$M$3:$R$62,$AC299,인턴현황!$K$2)&amp;""))-1),$AE299))</f>
        <v/>
      </c>
      <c r="AH299" s="17">
        <f>IF($B299="","",IF(TRIM($J299&amp;"")="",0,SUMPRODUCT((파견수련계획!$Q$4:$Q$83=TRIM($J299&amp;""))*(파견수련계획!$S$4:$S$83="서울병원")*파견수련계획!$W$4:$W$83))+IF($AG299="서울병원",MAX(0,DAY(EOMONTH(요약!$B$3,0))-N($X299)),0))</f>
        <v/>
      </c>
      <c r="AI299" s="17">
        <f>IF($B299="","",IF(TRIM($J299&amp;"")="",0,SUMPRODUCT((파견수련계획!$Q$4:$Q$83=TRIM($J299&amp;""))*(파견수련계획!$S$4:$S$83="구리병원")*파견수련계획!$W$4:$W$83))+IF($AG299="구리병원",MAX(0,DAY(EOMONTH(요약!$B$3,0))-N($X299)),0))</f>
        <v/>
      </c>
      <c r="AJ299" s="10">
        <f>IF(OR($B299="",TRIM($J299&amp;"")=""),"",IFERROR(MATCH(TRIM($J299&amp;"")&amp;"|월",파견수련계획!$Z$4:$Z$83,0),""))</f>
        <v/>
      </c>
      <c r="AK299" s="10">
        <f>IF(OR($B299="",TRIM($J299&amp;"")=""),"",IFERROR(MATCH(TRIM($J299&amp;"")&amp;"|다기관",파견수련계획!$AE$4:$AE$83,0),""))</f>
        <v/>
      </c>
      <c r="AL299" s="10">
        <f>IF($AK299="","","다기관 "&amp;TEXT(INDEX(파견수련계획!$AB$4:$AB$83,$AK299),"yyyy-mm-dd")&amp;"~"&amp;IF(ISNUMBER(INDEX(파견수련계획!$AC$4:$AC$83,$AK299)),TEXT(INDEX(파견수련계획!$AC$4:$AC$83,$AK299),"yyyy-mm-dd"),""))</f>
        <v/>
      </c>
    </row>
    <row r="300">
      <c r="A300" s="10">
        <f>IF(B300="","",ROW()-1)</f>
        <v/>
      </c>
      <c r="B300" s="18" t="n"/>
      <c r="C300" s="10">
        <f>IF($AB300="","",IF(INDEX(기본자료!$C$2:$C$1001,$AB300)="","",INDEX(기본자료!$C$2:$C$1001,$AB300)))</f>
        <v/>
      </c>
      <c r="D300" s="10">
        <f>IF($AB300="","",IF(INDEX(기본자료!$J$2:$J$1001,$AB300)="","",INDEX(기본자료!$J$2:$J$1001,$AB300)))</f>
        <v/>
      </c>
      <c r="E300" s="11">
        <f>IF($AB300="","",IF(INDEX(기본자료!$K$2:$K$1001,$AB300)="","",IF(NOT(ISNUMBER(INDEX(기본자료!$K$2:$K$1001,$AB300))),INDEX(기본자료!$K$2:$K$1001,$AB300),IF(INDEX(기본자료!$K$2:$K$1001,$AB300)&lt;1000000,INDEX(기본자료!$K$2:$K$1001,$AB300),IF(AND(INDEX(기본자료!$K$2:$K$1001,$AB300)&gt;=10000101,INT(MOD(INDEX(기본자료!$K$2:$K$1001,$AB300),10000)/100)&gt;=1,INT(MOD(INDEX(기본자료!$K$2:$K$1001,$AB300),10000)/100)&lt;=12,MOD(INDEX(기본자료!$K$2:$K$1001,$AB300),100)&gt;=1,MOD(INDEX(기본자료!$K$2:$K$1001,$AB300),100)&lt;=31),DATE(INT(INDEX(기본자료!$K$2:$K$1001,$AB300)/10000),INT(MOD(INDEX(기본자료!$K$2:$K$1001,$AB300),10000)/100),MOD(INDEX(기본자료!$K$2:$K$1001,$AB300),100)),INDEX(기본자료!$K$2:$K$1001,$AB300)&amp;"")))))</f>
        <v/>
      </c>
      <c r="F300" s="10">
        <f>IF($AB300="","",IF(INDEX(기본자료!$D$2:$D$1001,$AB300)="","",INDEX(기본자료!$D$2:$D$1001,$AB300)))</f>
        <v/>
      </c>
      <c r="G300" s="10">
        <f>IF($AB300="","",IF(INDEX(기본자료!$E$2:$E$1001,$AB300)="","",INDEX(기본자료!$E$2:$E$1001,$AB300)))</f>
        <v/>
      </c>
      <c r="H300" s="10">
        <f>IF($AB300="","",IF(INDEX(기본자료!$F$2:$F$1001,$AB300)="","",INDEX(기본자료!$F$2:$F$1001,$AB300)))</f>
        <v/>
      </c>
      <c r="I300" s="11">
        <f>IF($AB300="","",IF(INDEX(기본자료!$G$2:$G$1001,$AB300)="","",IF(NOT(ISNUMBER(INDEX(기본자료!$G$2:$G$1001,$AB300))),INDEX(기본자료!$G$2:$G$1001,$AB300),IF(INDEX(기본자료!$G$2:$G$1001,$AB300)&lt;1000000,INDEX(기본자료!$G$2:$G$1001,$AB300),IF(AND(INDEX(기본자료!$G$2:$G$1001,$AB300)&gt;=10000101,INT(MOD(INDEX(기본자료!$G$2:$G$1001,$AB300),10000)/100)&gt;=1,INT(MOD(INDEX(기본자료!$G$2:$G$1001,$AB300),10000)/100)&lt;=12,MOD(INDEX(기본자료!$G$2:$G$1001,$AB300),100)&gt;=1,MOD(INDEX(기본자료!$G$2:$G$1001,$AB300),100)&lt;=31),DATE(INT(INDEX(기본자료!$G$2:$G$1001,$AB300)/10000),INT(MOD(INDEX(기본자료!$G$2:$G$1001,$AB300),10000)/100),MOD(INDEX(기본자료!$G$2:$G$1001,$AB300),100)),INDEX(기본자료!$G$2:$G$1001,$AB300)&amp;"")))))</f>
        <v/>
      </c>
      <c r="J300" s="10">
        <f>IF($AB300="","",IF(INDEX(기본자료!$H$2:$H$1001,$AB300)="","",INDEX(기본자료!$H$2:$H$1001,$AB300)))</f>
        <v/>
      </c>
      <c r="K300" s="10">
        <f>IF($AB300="","",IF(INDEX(기본자료!$I$2:$I$1001,$AB300)="","",INDEX(기본자료!$I$2:$I$1001,$AB300)))</f>
        <v/>
      </c>
      <c r="L300" s="10">
        <f>IF($AB300="","",IF(INDEX(기본자료!$A$2:$A$1001,$AB300)="","",INDEX(기본자료!$A$2:$A$1001,$AB300)))</f>
        <v/>
      </c>
      <c r="M300" s="15" t="n"/>
      <c r="N300" s="10">
        <f>IF($B300="","",IF(AND($U300="파견중",$Q300&lt;&gt;""),$Q300,IF(AND($AD300&lt;&gt;"",LEFT($AD300,1)&lt;&gt;"⚠"),LEFT($AD300,FIND(" ",$AD300)-1),IF($H300="","",IF(RIGHT($H300,2)="병원",$H300,$H300&amp;"병원")))))</f>
        <v/>
      </c>
      <c r="O300" s="10">
        <f>IF($B300="","",IF(AND($U300="파견중",$Q300&lt;&gt;""),IF($R300&lt;&gt;"",$R300,"파견과 미입력"),IF(AND($AD300&lt;&gt;"",LEFT($AD300,1)&lt;&gt;"⚠"),MID($AD300,FIND(" ",$AD300)+1,60),IF($F300="","",IF($F300="인턴","수련교육부(인턴)",$F300)))))</f>
        <v/>
      </c>
      <c r="P300" s="10">
        <f>IF($B300="","",IF($AK300&lt;&gt;"",IF(AND(TODAY()&gt;=INDEX(파견수련계획!$AB$4:$AB$83,$AK300),OR(NOT(ISNUMBER(INDEX(파견수련계획!$AC$4:$AC$83,$AK300))),TODAY()&lt;=INDEX(파견수련계획!$AC$4:$AC$83,$AK300))),"다기관",IF($AF300="","",INDEX(파견수련계획!$T$4:$T$83,$AF300))),IF($AF300="","",INDEX(파견수련계획!$T$4:$T$83,$AF300))))</f>
        <v/>
      </c>
      <c r="Q300" s="10">
        <f>IF($AF300="","",INDEX(파견수련계획!$S$4:$S$83,$AF300))</f>
        <v/>
      </c>
      <c r="R300" s="10">
        <f>IF($AF300="","",INDEX(파견수련계획!$U$4:$U$83,$AF300))</f>
        <v/>
      </c>
      <c r="S300" s="11">
        <f>IF($AF300="","",IF(INDEX(파견수련계획!$H$4:$H$83,$AF300)="","",INDEX(파견수련계획!$H$4:$H$83,$AF300)))</f>
        <v/>
      </c>
      <c r="T300" s="11">
        <f>IF($AF300="","",IF(INDEX(파견수련계획!$I$4:$I$83,$AF300)="","",INDEX(파견수련계획!$I$4:$I$83,$AF300)))</f>
        <v/>
      </c>
      <c r="U300" s="10">
        <f>IF($AF300="","",INDEX(파견수련계획!$X$4:$X$83,$AF300))</f>
        <v/>
      </c>
      <c r="V300" s="17">
        <f>IF($AF300="","",INDEX(파견수련계획!$V$4:$V$83,$AF300))</f>
        <v/>
      </c>
      <c r="W300" s="17">
        <f>IF(AND($U300="파견중",$T300&lt;&gt;""),$T300-TODAY(),"")</f>
        <v/>
      </c>
      <c r="X300" s="17">
        <f>IF(OR($B300="",TRIM($J300&amp;"")=""),"",SUMPRODUCT((파견수련계획!$Q$4:$Q$83=TRIM($J300&amp;""))*파견수련계획!$W$4:$W$83))</f>
        <v/>
      </c>
      <c r="Y300" s="10">
        <f>IF($B300="","",IF($AG300="","",IF(IF(TRIM($J300&amp;"")="",0,SUMPRODUCT((파견수련계획!$Q$4:$Q$83=TRIM($J300&amp;""))*파견수련계획!$AD$4:$AD$83))&gt;0,$AE300,IF(N($X300)&lt;=0,$AG300,IF($AH300+$AI300=DAY(EOMONTH(요약!$B$3,0)),IF(AND($AH300&gt;=요약!$E$3,$AI300&lt;요약!$E$3),"서울병원",IF(AND($AI300&gt;=요약!$E$3,$AH300&lt;요약!$E$3),"구리병원","⚠15일 판정불가(서울 "&amp;$AH300&amp;"일/구리 "&amp;$AI300&amp;"일)")),IF($AJ300="",$AE300,IF(INDEX(파견수련계획!$T$4:$T$83,$AJ300)="통합수련",INDEX(파견수련계획!$S$4:$S$83,$AJ300),$AE300)))))))</f>
        <v/>
      </c>
      <c r="Z300" s="19">
        <f>IF($B300="","",IF($AB300="","기본자료에 없는 사번",IF(COUNTIF($B$2:$B$401,$B300)&gt;1,"중복 사번",IF($AE300="","소속(입사장소) 입력",IF(IF(TRIM($J300&amp;"")="",0,SUMPRODUCT((파견수련계획!$Q$4:$Q$83=TRIM($J300&amp;""))*(파견수련계획!$AA$4:$AA$83&lt;&gt;"")))&gt;0,"파견수련계획 입력오류 확인",IF(LEFT($Y300,1)="⚠","서울·구리 15일 판정 불가(양쪽 모두 이상/미만)",IF(IF($AC300="",0,N(INDEX(인턴근무계획!$T$3:$T$62,$AC300)))&gt;0,"인턴계획 입력오류 확인",IF(AND($AC300&lt;&gt;"",$U300&lt;&gt;"파견중",$N300&lt;&gt;$AE300),"인턴 타지역 근무: 파견 여부 확인","정상"))))))))</f>
        <v/>
      </c>
      <c r="AA300" s="5" t="n"/>
      <c r="AB300" s="10">
        <f>IF($B300="","",IFERROR(MATCH($B300,기본자료!$B$2:$B$1001,0),IFERROR(MATCH($B300&amp;"",기본자료!$B$2:$B$1001,0),IFERROR(MATCH(VALUE($B300),기본자료!$B$2:$B$1001,0),""))))</f>
        <v/>
      </c>
      <c r="AC300" s="10">
        <f>IF($B300="","",IFERROR(MATCH($B300,인턴근무계획!$D$3:$D$62,0),IFERROR(MATCH($B300&amp;"",인턴근무계획!$D$3:$D$62,0),IFERROR(MATCH(VALUE($B300),인턴근무계획!$D$3:$D$62,0),""))))</f>
        <v/>
      </c>
      <c r="AD300" s="10">
        <f>IF(OR($AC300="",인턴현황!$G$3=""),"",INDEX(인턴근무계획!$M$3:$R$62,$AC300,인턴현황!$G$3)&amp;"")</f>
        <v/>
      </c>
      <c r="AE300" s="10">
        <f>IF($B300="","",IF($M300&lt;&gt;"",$M300,IF($AF300&lt;&gt;"",IF(LEFT(INDEX(파견수련계획!$R$4:$R$83,$AF300),1)&lt;&gt;"⚠",INDEX(파견수련계획!$R$4:$R$83,$AF300),IF($H300="","",IF(RIGHT($H300,2)="병원",$H300,$H300&amp;"병원"))),IF($H300="","",IF(RIGHT($H300,2)="병원",$H300,$H300&amp;"병원")))))</f>
        <v/>
      </c>
      <c r="AF300" s="10">
        <f>IF(OR($B300="",TRIM($J300&amp;"")=""),"",IFERROR(MATCH(TRIM($J300&amp;"")&amp;"|파견중",파견수련계획!$Y$4:$Y$83,0),IFERROR(MATCH(TRIM($J300&amp;"")&amp;"|파견예정",파견수련계획!$Y$4:$Y$83,0),IFERROR(MATCH(TRIM($J300&amp;"")&amp;"|파견종료",파견수련계획!$Y$4:$Y$83,0),""))))</f>
        <v/>
      </c>
      <c r="AG300" s="10">
        <f>IF($B300="","",IF(AND(IF(OR($AC300="",인턴현황!$K$2=""),"",INDEX(인턴근무계획!$M$3:$R$62,$AC300,인턴현황!$K$2)&amp;"")&lt;&gt;"",LEFT(IF(OR($AC300="",인턴현황!$K$2=""),"",INDEX(인턴근무계획!$M$3:$R$62,$AC300,인턴현황!$K$2)&amp;""),1)&lt;&gt;"⚠"),LEFT(IF(OR($AC300="",인턴현황!$K$2=""),"",INDEX(인턴근무계획!$M$3:$R$62,$AC300,인턴현황!$K$2)&amp;""),FIND(" ",IF(OR($AC300="",인턴현황!$K$2=""),"",INDEX(인턴근무계획!$M$3:$R$62,$AC300,인턴현황!$K$2)&amp;""))-1),$AE300))</f>
        <v/>
      </c>
      <c r="AH300" s="17">
        <f>IF($B300="","",IF(TRIM($J300&amp;"")="",0,SUMPRODUCT((파견수련계획!$Q$4:$Q$83=TRIM($J300&amp;""))*(파견수련계획!$S$4:$S$83="서울병원")*파견수련계획!$W$4:$W$83))+IF($AG300="서울병원",MAX(0,DAY(EOMONTH(요약!$B$3,0))-N($X300)),0))</f>
        <v/>
      </c>
      <c r="AI300" s="17">
        <f>IF($B300="","",IF(TRIM($J300&amp;"")="",0,SUMPRODUCT((파견수련계획!$Q$4:$Q$83=TRIM($J300&amp;""))*(파견수련계획!$S$4:$S$83="구리병원")*파견수련계획!$W$4:$W$83))+IF($AG300="구리병원",MAX(0,DAY(EOMONTH(요약!$B$3,0))-N($X300)),0))</f>
        <v/>
      </c>
      <c r="AJ300" s="10">
        <f>IF(OR($B300="",TRIM($J300&amp;"")=""),"",IFERROR(MATCH(TRIM($J300&amp;"")&amp;"|월",파견수련계획!$Z$4:$Z$83,0),""))</f>
        <v/>
      </c>
      <c r="AK300" s="10">
        <f>IF(OR($B300="",TRIM($J300&amp;"")=""),"",IFERROR(MATCH(TRIM($J300&amp;"")&amp;"|다기관",파견수련계획!$AE$4:$AE$83,0),""))</f>
        <v/>
      </c>
      <c r="AL300" s="10">
        <f>IF($AK300="","","다기관 "&amp;TEXT(INDEX(파견수련계획!$AB$4:$AB$83,$AK300),"yyyy-mm-dd")&amp;"~"&amp;IF(ISNUMBER(INDEX(파견수련계획!$AC$4:$AC$83,$AK300)),TEXT(INDEX(파견수련계획!$AC$4:$AC$83,$AK300),"yyyy-mm-dd"),""))</f>
        <v/>
      </c>
    </row>
    <row r="301">
      <c r="A301" s="10">
        <f>IF(B301="","",ROW()-1)</f>
        <v/>
      </c>
      <c r="B301" s="18" t="n"/>
      <c r="C301" s="10">
        <f>IF($AB301="","",IF(INDEX(기본자료!$C$2:$C$1001,$AB301)="","",INDEX(기본자료!$C$2:$C$1001,$AB301)))</f>
        <v/>
      </c>
      <c r="D301" s="10">
        <f>IF($AB301="","",IF(INDEX(기본자료!$J$2:$J$1001,$AB301)="","",INDEX(기본자료!$J$2:$J$1001,$AB301)))</f>
        <v/>
      </c>
      <c r="E301" s="11">
        <f>IF($AB301="","",IF(INDEX(기본자료!$K$2:$K$1001,$AB301)="","",IF(NOT(ISNUMBER(INDEX(기본자료!$K$2:$K$1001,$AB301))),INDEX(기본자료!$K$2:$K$1001,$AB301),IF(INDEX(기본자료!$K$2:$K$1001,$AB301)&lt;1000000,INDEX(기본자료!$K$2:$K$1001,$AB301),IF(AND(INDEX(기본자료!$K$2:$K$1001,$AB301)&gt;=10000101,INT(MOD(INDEX(기본자료!$K$2:$K$1001,$AB301),10000)/100)&gt;=1,INT(MOD(INDEX(기본자료!$K$2:$K$1001,$AB301),10000)/100)&lt;=12,MOD(INDEX(기본자료!$K$2:$K$1001,$AB301),100)&gt;=1,MOD(INDEX(기본자료!$K$2:$K$1001,$AB301),100)&lt;=31),DATE(INT(INDEX(기본자료!$K$2:$K$1001,$AB301)/10000),INT(MOD(INDEX(기본자료!$K$2:$K$1001,$AB301),10000)/100),MOD(INDEX(기본자료!$K$2:$K$1001,$AB301),100)),INDEX(기본자료!$K$2:$K$1001,$AB301)&amp;"")))))</f>
        <v/>
      </c>
      <c r="F301" s="10">
        <f>IF($AB301="","",IF(INDEX(기본자료!$D$2:$D$1001,$AB301)="","",INDEX(기본자료!$D$2:$D$1001,$AB301)))</f>
        <v/>
      </c>
      <c r="G301" s="10">
        <f>IF($AB301="","",IF(INDEX(기본자료!$E$2:$E$1001,$AB301)="","",INDEX(기본자료!$E$2:$E$1001,$AB301)))</f>
        <v/>
      </c>
      <c r="H301" s="10">
        <f>IF($AB301="","",IF(INDEX(기본자료!$F$2:$F$1001,$AB301)="","",INDEX(기본자료!$F$2:$F$1001,$AB301)))</f>
        <v/>
      </c>
      <c r="I301" s="11">
        <f>IF($AB301="","",IF(INDEX(기본자료!$G$2:$G$1001,$AB301)="","",IF(NOT(ISNUMBER(INDEX(기본자료!$G$2:$G$1001,$AB301))),INDEX(기본자료!$G$2:$G$1001,$AB301),IF(INDEX(기본자료!$G$2:$G$1001,$AB301)&lt;1000000,INDEX(기본자료!$G$2:$G$1001,$AB301),IF(AND(INDEX(기본자료!$G$2:$G$1001,$AB301)&gt;=10000101,INT(MOD(INDEX(기본자료!$G$2:$G$1001,$AB301),10000)/100)&gt;=1,INT(MOD(INDEX(기본자료!$G$2:$G$1001,$AB301),10000)/100)&lt;=12,MOD(INDEX(기본자료!$G$2:$G$1001,$AB301),100)&gt;=1,MOD(INDEX(기본자료!$G$2:$G$1001,$AB301),100)&lt;=31),DATE(INT(INDEX(기본자료!$G$2:$G$1001,$AB301)/10000),INT(MOD(INDEX(기본자료!$G$2:$G$1001,$AB301),10000)/100),MOD(INDEX(기본자료!$G$2:$G$1001,$AB301),100)),INDEX(기본자료!$G$2:$G$1001,$AB301)&amp;"")))))</f>
        <v/>
      </c>
      <c r="J301" s="10">
        <f>IF($AB301="","",IF(INDEX(기본자료!$H$2:$H$1001,$AB301)="","",INDEX(기본자료!$H$2:$H$1001,$AB301)))</f>
        <v/>
      </c>
      <c r="K301" s="10">
        <f>IF($AB301="","",IF(INDEX(기본자료!$I$2:$I$1001,$AB301)="","",INDEX(기본자료!$I$2:$I$1001,$AB301)))</f>
        <v/>
      </c>
      <c r="L301" s="10">
        <f>IF($AB301="","",IF(INDEX(기본자료!$A$2:$A$1001,$AB301)="","",INDEX(기본자료!$A$2:$A$1001,$AB301)))</f>
        <v/>
      </c>
      <c r="M301" s="15" t="n"/>
      <c r="N301" s="10">
        <f>IF($B301="","",IF(AND($U301="파견중",$Q301&lt;&gt;""),$Q301,IF(AND($AD301&lt;&gt;"",LEFT($AD301,1)&lt;&gt;"⚠"),LEFT($AD301,FIND(" ",$AD301)-1),IF($H301="","",IF(RIGHT($H301,2)="병원",$H301,$H301&amp;"병원")))))</f>
        <v/>
      </c>
      <c r="O301" s="10">
        <f>IF($B301="","",IF(AND($U301="파견중",$Q301&lt;&gt;""),IF($R301&lt;&gt;"",$R301,"파견과 미입력"),IF(AND($AD301&lt;&gt;"",LEFT($AD301,1)&lt;&gt;"⚠"),MID($AD301,FIND(" ",$AD301)+1,60),IF($F301="","",IF($F301="인턴","수련교육부(인턴)",$F301)))))</f>
        <v/>
      </c>
      <c r="P301" s="10">
        <f>IF($B301="","",IF($AK301&lt;&gt;"",IF(AND(TODAY()&gt;=INDEX(파견수련계획!$AB$4:$AB$83,$AK301),OR(NOT(ISNUMBER(INDEX(파견수련계획!$AC$4:$AC$83,$AK301))),TODAY()&lt;=INDEX(파견수련계획!$AC$4:$AC$83,$AK301))),"다기관",IF($AF301="","",INDEX(파견수련계획!$T$4:$T$83,$AF301))),IF($AF301="","",INDEX(파견수련계획!$T$4:$T$83,$AF301))))</f>
        <v/>
      </c>
      <c r="Q301" s="10">
        <f>IF($AF301="","",INDEX(파견수련계획!$S$4:$S$83,$AF301))</f>
        <v/>
      </c>
      <c r="R301" s="10">
        <f>IF($AF301="","",INDEX(파견수련계획!$U$4:$U$83,$AF301))</f>
        <v/>
      </c>
      <c r="S301" s="11">
        <f>IF($AF301="","",IF(INDEX(파견수련계획!$H$4:$H$83,$AF301)="","",INDEX(파견수련계획!$H$4:$H$83,$AF301)))</f>
        <v/>
      </c>
      <c r="T301" s="11">
        <f>IF($AF301="","",IF(INDEX(파견수련계획!$I$4:$I$83,$AF301)="","",INDEX(파견수련계획!$I$4:$I$83,$AF301)))</f>
        <v/>
      </c>
      <c r="U301" s="10">
        <f>IF($AF301="","",INDEX(파견수련계획!$X$4:$X$83,$AF301))</f>
        <v/>
      </c>
      <c r="V301" s="17">
        <f>IF($AF301="","",INDEX(파견수련계획!$V$4:$V$83,$AF301))</f>
        <v/>
      </c>
      <c r="W301" s="17">
        <f>IF(AND($U301="파견중",$T301&lt;&gt;""),$T301-TODAY(),"")</f>
        <v/>
      </c>
      <c r="X301" s="17">
        <f>IF(OR($B301="",TRIM($J301&amp;"")=""),"",SUMPRODUCT((파견수련계획!$Q$4:$Q$83=TRIM($J301&amp;""))*파견수련계획!$W$4:$W$83))</f>
        <v/>
      </c>
      <c r="Y301" s="10">
        <f>IF($B301="","",IF($AG301="","",IF(IF(TRIM($J301&amp;"")="",0,SUMPRODUCT((파견수련계획!$Q$4:$Q$83=TRIM($J301&amp;""))*파견수련계획!$AD$4:$AD$83))&gt;0,$AE301,IF(N($X301)&lt;=0,$AG301,IF($AH301+$AI301=DAY(EOMONTH(요약!$B$3,0)),IF(AND($AH301&gt;=요약!$E$3,$AI301&lt;요약!$E$3),"서울병원",IF(AND($AI301&gt;=요약!$E$3,$AH301&lt;요약!$E$3),"구리병원","⚠15일 판정불가(서울 "&amp;$AH301&amp;"일/구리 "&amp;$AI301&amp;"일)")),IF($AJ301="",$AE301,IF(INDEX(파견수련계획!$T$4:$T$83,$AJ301)="통합수련",INDEX(파견수련계획!$S$4:$S$83,$AJ301),$AE301)))))))</f>
        <v/>
      </c>
      <c r="Z301" s="19">
        <f>IF($B301="","",IF($AB301="","기본자료에 없는 사번",IF(COUNTIF($B$2:$B$401,$B301)&gt;1,"중복 사번",IF($AE301="","소속(입사장소) 입력",IF(IF(TRIM($J301&amp;"")="",0,SUMPRODUCT((파견수련계획!$Q$4:$Q$83=TRIM($J301&amp;""))*(파견수련계획!$AA$4:$AA$83&lt;&gt;"")))&gt;0,"파견수련계획 입력오류 확인",IF(LEFT($Y301,1)="⚠","서울·구리 15일 판정 불가(양쪽 모두 이상/미만)",IF(IF($AC301="",0,N(INDEX(인턴근무계획!$T$3:$T$62,$AC301)))&gt;0,"인턴계획 입력오류 확인",IF(AND($AC301&lt;&gt;"",$U301&lt;&gt;"파견중",$N301&lt;&gt;$AE301),"인턴 타지역 근무: 파견 여부 확인","정상"))))))))</f>
        <v/>
      </c>
      <c r="AA301" s="5" t="n"/>
      <c r="AB301" s="10">
        <f>IF($B301="","",IFERROR(MATCH($B301,기본자료!$B$2:$B$1001,0),IFERROR(MATCH($B301&amp;"",기본자료!$B$2:$B$1001,0),IFERROR(MATCH(VALUE($B301),기본자료!$B$2:$B$1001,0),""))))</f>
        <v/>
      </c>
      <c r="AC301" s="10">
        <f>IF($B301="","",IFERROR(MATCH($B301,인턴근무계획!$D$3:$D$62,0),IFERROR(MATCH($B301&amp;"",인턴근무계획!$D$3:$D$62,0),IFERROR(MATCH(VALUE($B301),인턴근무계획!$D$3:$D$62,0),""))))</f>
        <v/>
      </c>
      <c r="AD301" s="10">
        <f>IF(OR($AC301="",인턴현황!$G$3=""),"",INDEX(인턴근무계획!$M$3:$R$62,$AC301,인턴현황!$G$3)&amp;"")</f>
        <v/>
      </c>
      <c r="AE301" s="10">
        <f>IF($B301="","",IF($M301&lt;&gt;"",$M301,IF($AF301&lt;&gt;"",IF(LEFT(INDEX(파견수련계획!$R$4:$R$83,$AF301),1)&lt;&gt;"⚠",INDEX(파견수련계획!$R$4:$R$83,$AF301),IF($H301="","",IF(RIGHT($H301,2)="병원",$H301,$H301&amp;"병원"))),IF($H301="","",IF(RIGHT($H301,2)="병원",$H301,$H301&amp;"병원")))))</f>
        <v/>
      </c>
      <c r="AF301" s="10">
        <f>IF(OR($B301="",TRIM($J301&amp;"")=""),"",IFERROR(MATCH(TRIM($J301&amp;"")&amp;"|파견중",파견수련계획!$Y$4:$Y$83,0),IFERROR(MATCH(TRIM($J301&amp;"")&amp;"|파견예정",파견수련계획!$Y$4:$Y$83,0),IFERROR(MATCH(TRIM($J301&amp;"")&amp;"|파견종료",파견수련계획!$Y$4:$Y$83,0),""))))</f>
        <v/>
      </c>
      <c r="AG301" s="10">
        <f>IF($B301="","",IF(AND(IF(OR($AC301="",인턴현황!$K$2=""),"",INDEX(인턴근무계획!$M$3:$R$62,$AC301,인턴현황!$K$2)&amp;"")&lt;&gt;"",LEFT(IF(OR($AC301="",인턴현황!$K$2=""),"",INDEX(인턴근무계획!$M$3:$R$62,$AC301,인턴현황!$K$2)&amp;""),1)&lt;&gt;"⚠"),LEFT(IF(OR($AC301="",인턴현황!$K$2=""),"",INDEX(인턴근무계획!$M$3:$R$62,$AC301,인턴현황!$K$2)&amp;""),FIND(" ",IF(OR($AC301="",인턴현황!$K$2=""),"",INDEX(인턴근무계획!$M$3:$R$62,$AC301,인턴현황!$K$2)&amp;""))-1),$AE301))</f>
        <v/>
      </c>
      <c r="AH301" s="17">
        <f>IF($B301="","",IF(TRIM($J301&amp;"")="",0,SUMPRODUCT((파견수련계획!$Q$4:$Q$83=TRIM($J301&amp;""))*(파견수련계획!$S$4:$S$83="서울병원")*파견수련계획!$W$4:$W$83))+IF($AG301="서울병원",MAX(0,DAY(EOMONTH(요약!$B$3,0))-N($X301)),0))</f>
        <v/>
      </c>
      <c r="AI301" s="17">
        <f>IF($B301="","",IF(TRIM($J301&amp;"")="",0,SUMPRODUCT((파견수련계획!$Q$4:$Q$83=TRIM($J301&amp;""))*(파견수련계획!$S$4:$S$83="구리병원")*파견수련계획!$W$4:$W$83))+IF($AG301="구리병원",MAX(0,DAY(EOMONTH(요약!$B$3,0))-N($X301)),0))</f>
        <v/>
      </c>
      <c r="AJ301" s="10">
        <f>IF(OR($B301="",TRIM($J301&amp;"")=""),"",IFERROR(MATCH(TRIM($J301&amp;"")&amp;"|월",파견수련계획!$Z$4:$Z$83,0),""))</f>
        <v/>
      </c>
      <c r="AK301" s="10">
        <f>IF(OR($B301="",TRIM($J301&amp;"")=""),"",IFERROR(MATCH(TRIM($J301&amp;"")&amp;"|다기관",파견수련계획!$AE$4:$AE$83,0),""))</f>
        <v/>
      </c>
      <c r="AL301" s="10">
        <f>IF($AK301="","","다기관 "&amp;TEXT(INDEX(파견수련계획!$AB$4:$AB$83,$AK301),"yyyy-mm-dd")&amp;"~"&amp;IF(ISNUMBER(INDEX(파견수련계획!$AC$4:$AC$83,$AK301)),TEXT(INDEX(파견수련계획!$AC$4:$AC$83,$AK301),"yyyy-mm-dd"),""))</f>
        <v/>
      </c>
    </row>
    <row r="302">
      <c r="A302" s="10">
        <f>IF(B302="","",ROW()-1)</f>
        <v/>
      </c>
      <c r="B302" s="18" t="n"/>
      <c r="C302" s="10">
        <f>IF($AB302="","",IF(INDEX(기본자료!$C$2:$C$1001,$AB302)="","",INDEX(기본자료!$C$2:$C$1001,$AB302)))</f>
        <v/>
      </c>
      <c r="D302" s="10">
        <f>IF($AB302="","",IF(INDEX(기본자료!$J$2:$J$1001,$AB302)="","",INDEX(기본자료!$J$2:$J$1001,$AB302)))</f>
        <v/>
      </c>
      <c r="E302" s="11">
        <f>IF($AB302="","",IF(INDEX(기본자료!$K$2:$K$1001,$AB302)="","",IF(NOT(ISNUMBER(INDEX(기본자료!$K$2:$K$1001,$AB302))),INDEX(기본자료!$K$2:$K$1001,$AB302),IF(INDEX(기본자료!$K$2:$K$1001,$AB302)&lt;1000000,INDEX(기본자료!$K$2:$K$1001,$AB302),IF(AND(INDEX(기본자료!$K$2:$K$1001,$AB302)&gt;=10000101,INT(MOD(INDEX(기본자료!$K$2:$K$1001,$AB302),10000)/100)&gt;=1,INT(MOD(INDEX(기본자료!$K$2:$K$1001,$AB302),10000)/100)&lt;=12,MOD(INDEX(기본자료!$K$2:$K$1001,$AB302),100)&gt;=1,MOD(INDEX(기본자료!$K$2:$K$1001,$AB302),100)&lt;=31),DATE(INT(INDEX(기본자료!$K$2:$K$1001,$AB302)/10000),INT(MOD(INDEX(기본자료!$K$2:$K$1001,$AB302),10000)/100),MOD(INDEX(기본자료!$K$2:$K$1001,$AB302),100)),INDEX(기본자료!$K$2:$K$1001,$AB302)&amp;"")))))</f>
        <v/>
      </c>
      <c r="F302" s="10">
        <f>IF($AB302="","",IF(INDEX(기본자료!$D$2:$D$1001,$AB302)="","",INDEX(기본자료!$D$2:$D$1001,$AB302)))</f>
        <v/>
      </c>
      <c r="G302" s="10">
        <f>IF($AB302="","",IF(INDEX(기본자료!$E$2:$E$1001,$AB302)="","",INDEX(기본자료!$E$2:$E$1001,$AB302)))</f>
        <v/>
      </c>
      <c r="H302" s="10">
        <f>IF($AB302="","",IF(INDEX(기본자료!$F$2:$F$1001,$AB302)="","",INDEX(기본자료!$F$2:$F$1001,$AB302)))</f>
        <v/>
      </c>
      <c r="I302" s="11">
        <f>IF($AB302="","",IF(INDEX(기본자료!$G$2:$G$1001,$AB302)="","",IF(NOT(ISNUMBER(INDEX(기본자료!$G$2:$G$1001,$AB302))),INDEX(기본자료!$G$2:$G$1001,$AB302),IF(INDEX(기본자료!$G$2:$G$1001,$AB302)&lt;1000000,INDEX(기본자료!$G$2:$G$1001,$AB302),IF(AND(INDEX(기본자료!$G$2:$G$1001,$AB302)&gt;=10000101,INT(MOD(INDEX(기본자료!$G$2:$G$1001,$AB302),10000)/100)&gt;=1,INT(MOD(INDEX(기본자료!$G$2:$G$1001,$AB302),10000)/100)&lt;=12,MOD(INDEX(기본자료!$G$2:$G$1001,$AB302),100)&gt;=1,MOD(INDEX(기본자료!$G$2:$G$1001,$AB302),100)&lt;=31),DATE(INT(INDEX(기본자료!$G$2:$G$1001,$AB302)/10000),INT(MOD(INDEX(기본자료!$G$2:$G$1001,$AB302),10000)/100),MOD(INDEX(기본자료!$G$2:$G$1001,$AB302),100)),INDEX(기본자료!$G$2:$G$1001,$AB302)&amp;"")))))</f>
        <v/>
      </c>
      <c r="J302" s="10">
        <f>IF($AB302="","",IF(INDEX(기본자료!$H$2:$H$1001,$AB302)="","",INDEX(기본자료!$H$2:$H$1001,$AB302)))</f>
        <v/>
      </c>
      <c r="K302" s="10">
        <f>IF($AB302="","",IF(INDEX(기본자료!$I$2:$I$1001,$AB302)="","",INDEX(기본자료!$I$2:$I$1001,$AB302)))</f>
        <v/>
      </c>
      <c r="L302" s="10">
        <f>IF($AB302="","",IF(INDEX(기본자료!$A$2:$A$1001,$AB302)="","",INDEX(기본자료!$A$2:$A$1001,$AB302)))</f>
        <v/>
      </c>
      <c r="M302" s="15" t="n"/>
      <c r="N302" s="10">
        <f>IF($B302="","",IF(AND($U302="파견중",$Q302&lt;&gt;""),$Q302,IF(AND($AD302&lt;&gt;"",LEFT($AD302,1)&lt;&gt;"⚠"),LEFT($AD302,FIND(" ",$AD302)-1),IF($H302="","",IF(RIGHT($H302,2)="병원",$H302,$H302&amp;"병원")))))</f>
        <v/>
      </c>
      <c r="O302" s="10">
        <f>IF($B302="","",IF(AND($U302="파견중",$Q302&lt;&gt;""),IF($R302&lt;&gt;"",$R302,"파견과 미입력"),IF(AND($AD302&lt;&gt;"",LEFT($AD302,1)&lt;&gt;"⚠"),MID($AD302,FIND(" ",$AD302)+1,60),IF($F302="","",IF($F302="인턴","수련교육부(인턴)",$F302)))))</f>
        <v/>
      </c>
      <c r="P302" s="10">
        <f>IF($B302="","",IF($AK302&lt;&gt;"",IF(AND(TODAY()&gt;=INDEX(파견수련계획!$AB$4:$AB$83,$AK302),OR(NOT(ISNUMBER(INDEX(파견수련계획!$AC$4:$AC$83,$AK302))),TODAY()&lt;=INDEX(파견수련계획!$AC$4:$AC$83,$AK302))),"다기관",IF($AF302="","",INDEX(파견수련계획!$T$4:$T$83,$AF302))),IF($AF302="","",INDEX(파견수련계획!$T$4:$T$83,$AF302))))</f>
        <v/>
      </c>
      <c r="Q302" s="10">
        <f>IF($AF302="","",INDEX(파견수련계획!$S$4:$S$83,$AF302))</f>
        <v/>
      </c>
      <c r="R302" s="10">
        <f>IF($AF302="","",INDEX(파견수련계획!$U$4:$U$83,$AF302))</f>
        <v/>
      </c>
      <c r="S302" s="11">
        <f>IF($AF302="","",IF(INDEX(파견수련계획!$H$4:$H$83,$AF302)="","",INDEX(파견수련계획!$H$4:$H$83,$AF302)))</f>
        <v/>
      </c>
      <c r="T302" s="11">
        <f>IF($AF302="","",IF(INDEX(파견수련계획!$I$4:$I$83,$AF302)="","",INDEX(파견수련계획!$I$4:$I$83,$AF302)))</f>
        <v/>
      </c>
      <c r="U302" s="10">
        <f>IF($AF302="","",INDEX(파견수련계획!$X$4:$X$83,$AF302))</f>
        <v/>
      </c>
      <c r="V302" s="17">
        <f>IF($AF302="","",INDEX(파견수련계획!$V$4:$V$83,$AF302))</f>
        <v/>
      </c>
      <c r="W302" s="17">
        <f>IF(AND($U302="파견중",$T302&lt;&gt;""),$T302-TODAY(),"")</f>
        <v/>
      </c>
      <c r="X302" s="17">
        <f>IF(OR($B302="",TRIM($J302&amp;"")=""),"",SUMPRODUCT((파견수련계획!$Q$4:$Q$83=TRIM($J302&amp;""))*파견수련계획!$W$4:$W$83))</f>
        <v/>
      </c>
      <c r="Y302" s="10">
        <f>IF($B302="","",IF($AG302="","",IF(IF(TRIM($J302&amp;"")="",0,SUMPRODUCT((파견수련계획!$Q$4:$Q$83=TRIM($J302&amp;""))*파견수련계획!$AD$4:$AD$83))&gt;0,$AE302,IF(N($X302)&lt;=0,$AG302,IF($AH302+$AI302=DAY(EOMONTH(요약!$B$3,0)),IF(AND($AH302&gt;=요약!$E$3,$AI302&lt;요약!$E$3),"서울병원",IF(AND($AI302&gt;=요약!$E$3,$AH302&lt;요약!$E$3),"구리병원","⚠15일 판정불가(서울 "&amp;$AH302&amp;"일/구리 "&amp;$AI302&amp;"일)")),IF($AJ302="",$AE302,IF(INDEX(파견수련계획!$T$4:$T$83,$AJ302)="통합수련",INDEX(파견수련계획!$S$4:$S$83,$AJ302),$AE302)))))))</f>
        <v/>
      </c>
      <c r="Z302" s="19">
        <f>IF($B302="","",IF($AB302="","기본자료에 없는 사번",IF(COUNTIF($B$2:$B$401,$B302)&gt;1,"중복 사번",IF($AE302="","소속(입사장소) 입력",IF(IF(TRIM($J302&amp;"")="",0,SUMPRODUCT((파견수련계획!$Q$4:$Q$83=TRIM($J302&amp;""))*(파견수련계획!$AA$4:$AA$83&lt;&gt;"")))&gt;0,"파견수련계획 입력오류 확인",IF(LEFT($Y302,1)="⚠","서울·구리 15일 판정 불가(양쪽 모두 이상/미만)",IF(IF($AC302="",0,N(INDEX(인턴근무계획!$T$3:$T$62,$AC302)))&gt;0,"인턴계획 입력오류 확인",IF(AND($AC302&lt;&gt;"",$U302&lt;&gt;"파견중",$N302&lt;&gt;$AE302),"인턴 타지역 근무: 파견 여부 확인","정상"))))))))</f>
        <v/>
      </c>
      <c r="AA302" s="5" t="n"/>
      <c r="AB302" s="10">
        <f>IF($B302="","",IFERROR(MATCH($B302,기본자료!$B$2:$B$1001,0),IFERROR(MATCH($B302&amp;"",기본자료!$B$2:$B$1001,0),IFERROR(MATCH(VALUE($B302),기본자료!$B$2:$B$1001,0),""))))</f>
        <v/>
      </c>
      <c r="AC302" s="10">
        <f>IF($B302="","",IFERROR(MATCH($B302,인턴근무계획!$D$3:$D$62,0),IFERROR(MATCH($B302&amp;"",인턴근무계획!$D$3:$D$62,0),IFERROR(MATCH(VALUE($B302),인턴근무계획!$D$3:$D$62,0),""))))</f>
        <v/>
      </c>
      <c r="AD302" s="10">
        <f>IF(OR($AC302="",인턴현황!$G$3=""),"",INDEX(인턴근무계획!$M$3:$R$62,$AC302,인턴현황!$G$3)&amp;"")</f>
        <v/>
      </c>
      <c r="AE302" s="10">
        <f>IF($B302="","",IF($M302&lt;&gt;"",$M302,IF($AF302&lt;&gt;"",IF(LEFT(INDEX(파견수련계획!$R$4:$R$83,$AF302),1)&lt;&gt;"⚠",INDEX(파견수련계획!$R$4:$R$83,$AF302),IF($H302="","",IF(RIGHT($H302,2)="병원",$H302,$H302&amp;"병원"))),IF($H302="","",IF(RIGHT($H302,2)="병원",$H302,$H302&amp;"병원")))))</f>
        <v/>
      </c>
      <c r="AF302" s="10">
        <f>IF(OR($B302="",TRIM($J302&amp;"")=""),"",IFERROR(MATCH(TRIM($J302&amp;"")&amp;"|파견중",파견수련계획!$Y$4:$Y$83,0),IFERROR(MATCH(TRIM($J302&amp;"")&amp;"|파견예정",파견수련계획!$Y$4:$Y$83,0),IFERROR(MATCH(TRIM($J302&amp;"")&amp;"|파견종료",파견수련계획!$Y$4:$Y$83,0),""))))</f>
        <v/>
      </c>
      <c r="AG302" s="10">
        <f>IF($B302="","",IF(AND(IF(OR($AC302="",인턴현황!$K$2=""),"",INDEX(인턴근무계획!$M$3:$R$62,$AC302,인턴현황!$K$2)&amp;"")&lt;&gt;"",LEFT(IF(OR($AC302="",인턴현황!$K$2=""),"",INDEX(인턴근무계획!$M$3:$R$62,$AC302,인턴현황!$K$2)&amp;""),1)&lt;&gt;"⚠"),LEFT(IF(OR($AC302="",인턴현황!$K$2=""),"",INDEX(인턴근무계획!$M$3:$R$62,$AC302,인턴현황!$K$2)&amp;""),FIND(" ",IF(OR($AC302="",인턴현황!$K$2=""),"",INDEX(인턴근무계획!$M$3:$R$62,$AC302,인턴현황!$K$2)&amp;""))-1),$AE302))</f>
        <v/>
      </c>
      <c r="AH302" s="17">
        <f>IF($B302="","",IF(TRIM($J302&amp;"")="",0,SUMPRODUCT((파견수련계획!$Q$4:$Q$83=TRIM($J302&amp;""))*(파견수련계획!$S$4:$S$83="서울병원")*파견수련계획!$W$4:$W$83))+IF($AG302="서울병원",MAX(0,DAY(EOMONTH(요약!$B$3,0))-N($X302)),0))</f>
        <v/>
      </c>
      <c r="AI302" s="17">
        <f>IF($B302="","",IF(TRIM($J302&amp;"")="",0,SUMPRODUCT((파견수련계획!$Q$4:$Q$83=TRIM($J302&amp;""))*(파견수련계획!$S$4:$S$83="구리병원")*파견수련계획!$W$4:$W$83))+IF($AG302="구리병원",MAX(0,DAY(EOMONTH(요약!$B$3,0))-N($X302)),0))</f>
        <v/>
      </c>
      <c r="AJ302" s="10">
        <f>IF(OR($B302="",TRIM($J302&amp;"")=""),"",IFERROR(MATCH(TRIM($J302&amp;"")&amp;"|월",파견수련계획!$Z$4:$Z$83,0),""))</f>
        <v/>
      </c>
      <c r="AK302" s="10">
        <f>IF(OR($B302="",TRIM($J302&amp;"")=""),"",IFERROR(MATCH(TRIM($J302&amp;"")&amp;"|다기관",파견수련계획!$AE$4:$AE$83,0),""))</f>
        <v/>
      </c>
      <c r="AL302" s="10">
        <f>IF($AK302="","","다기관 "&amp;TEXT(INDEX(파견수련계획!$AB$4:$AB$83,$AK302),"yyyy-mm-dd")&amp;"~"&amp;IF(ISNUMBER(INDEX(파견수련계획!$AC$4:$AC$83,$AK302)),TEXT(INDEX(파견수련계획!$AC$4:$AC$83,$AK302),"yyyy-mm-dd"),""))</f>
        <v/>
      </c>
    </row>
    <row r="303">
      <c r="A303" s="10">
        <f>IF(B303="","",ROW()-1)</f>
        <v/>
      </c>
      <c r="B303" s="18" t="n"/>
      <c r="C303" s="10">
        <f>IF($AB303="","",IF(INDEX(기본자료!$C$2:$C$1001,$AB303)="","",INDEX(기본자료!$C$2:$C$1001,$AB303)))</f>
        <v/>
      </c>
      <c r="D303" s="10">
        <f>IF($AB303="","",IF(INDEX(기본자료!$J$2:$J$1001,$AB303)="","",INDEX(기본자료!$J$2:$J$1001,$AB303)))</f>
        <v/>
      </c>
      <c r="E303" s="11">
        <f>IF($AB303="","",IF(INDEX(기본자료!$K$2:$K$1001,$AB303)="","",IF(NOT(ISNUMBER(INDEX(기본자료!$K$2:$K$1001,$AB303))),INDEX(기본자료!$K$2:$K$1001,$AB303),IF(INDEX(기본자료!$K$2:$K$1001,$AB303)&lt;1000000,INDEX(기본자료!$K$2:$K$1001,$AB303),IF(AND(INDEX(기본자료!$K$2:$K$1001,$AB303)&gt;=10000101,INT(MOD(INDEX(기본자료!$K$2:$K$1001,$AB303),10000)/100)&gt;=1,INT(MOD(INDEX(기본자료!$K$2:$K$1001,$AB303),10000)/100)&lt;=12,MOD(INDEX(기본자료!$K$2:$K$1001,$AB303),100)&gt;=1,MOD(INDEX(기본자료!$K$2:$K$1001,$AB303),100)&lt;=31),DATE(INT(INDEX(기본자료!$K$2:$K$1001,$AB303)/10000),INT(MOD(INDEX(기본자료!$K$2:$K$1001,$AB303),10000)/100),MOD(INDEX(기본자료!$K$2:$K$1001,$AB303),100)),INDEX(기본자료!$K$2:$K$1001,$AB303)&amp;"")))))</f>
        <v/>
      </c>
      <c r="F303" s="10">
        <f>IF($AB303="","",IF(INDEX(기본자료!$D$2:$D$1001,$AB303)="","",INDEX(기본자료!$D$2:$D$1001,$AB303)))</f>
        <v/>
      </c>
      <c r="G303" s="10">
        <f>IF($AB303="","",IF(INDEX(기본자료!$E$2:$E$1001,$AB303)="","",INDEX(기본자료!$E$2:$E$1001,$AB303)))</f>
        <v/>
      </c>
      <c r="H303" s="10">
        <f>IF($AB303="","",IF(INDEX(기본자료!$F$2:$F$1001,$AB303)="","",INDEX(기본자료!$F$2:$F$1001,$AB303)))</f>
        <v/>
      </c>
      <c r="I303" s="11">
        <f>IF($AB303="","",IF(INDEX(기본자료!$G$2:$G$1001,$AB303)="","",IF(NOT(ISNUMBER(INDEX(기본자료!$G$2:$G$1001,$AB303))),INDEX(기본자료!$G$2:$G$1001,$AB303),IF(INDEX(기본자료!$G$2:$G$1001,$AB303)&lt;1000000,INDEX(기본자료!$G$2:$G$1001,$AB303),IF(AND(INDEX(기본자료!$G$2:$G$1001,$AB303)&gt;=10000101,INT(MOD(INDEX(기본자료!$G$2:$G$1001,$AB303),10000)/100)&gt;=1,INT(MOD(INDEX(기본자료!$G$2:$G$1001,$AB303),10000)/100)&lt;=12,MOD(INDEX(기본자료!$G$2:$G$1001,$AB303),100)&gt;=1,MOD(INDEX(기본자료!$G$2:$G$1001,$AB303),100)&lt;=31),DATE(INT(INDEX(기본자료!$G$2:$G$1001,$AB303)/10000),INT(MOD(INDEX(기본자료!$G$2:$G$1001,$AB303),10000)/100),MOD(INDEX(기본자료!$G$2:$G$1001,$AB303),100)),INDEX(기본자료!$G$2:$G$1001,$AB303)&amp;"")))))</f>
        <v/>
      </c>
      <c r="J303" s="10">
        <f>IF($AB303="","",IF(INDEX(기본자료!$H$2:$H$1001,$AB303)="","",INDEX(기본자료!$H$2:$H$1001,$AB303)))</f>
        <v/>
      </c>
      <c r="K303" s="10">
        <f>IF($AB303="","",IF(INDEX(기본자료!$I$2:$I$1001,$AB303)="","",INDEX(기본자료!$I$2:$I$1001,$AB303)))</f>
        <v/>
      </c>
      <c r="L303" s="10">
        <f>IF($AB303="","",IF(INDEX(기본자료!$A$2:$A$1001,$AB303)="","",INDEX(기본자료!$A$2:$A$1001,$AB303)))</f>
        <v/>
      </c>
      <c r="M303" s="15" t="n"/>
      <c r="N303" s="10">
        <f>IF($B303="","",IF(AND($U303="파견중",$Q303&lt;&gt;""),$Q303,IF(AND($AD303&lt;&gt;"",LEFT($AD303,1)&lt;&gt;"⚠"),LEFT($AD303,FIND(" ",$AD303)-1),IF($H303="","",IF(RIGHT($H303,2)="병원",$H303,$H303&amp;"병원")))))</f>
        <v/>
      </c>
      <c r="O303" s="10">
        <f>IF($B303="","",IF(AND($U303="파견중",$Q303&lt;&gt;""),IF($R303&lt;&gt;"",$R303,"파견과 미입력"),IF(AND($AD303&lt;&gt;"",LEFT($AD303,1)&lt;&gt;"⚠"),MID($AD303,FIND(" ",$AD303)+1,60),IF($F303="","",IF($F303="인턴","수련교육부(인턴)",$F303)))))</f>
        <v/>
      </c>
      <c r="P303" s="10">
        <f>IF($B303="","",IF($AK303&lt;&gt;"",IF(AND(TODAY()&gt;=INDEX(파견수련계획!$AB$4:$AB$83,$AK303),OR(NOT(ISNUMBER(INDEX(파견수련계획!$AC$4:$AC$83,$AK303))),TODAY()&lt;=INDEX(파견수련계획!$AC$4:$AC$83,$AK303))),"다기관",IF($AF303="","",INDEX(파견수련계획!$T$4:$T$83,$AF303))),IF($AF303="","",INDEX(파견수련계획!$T$4:$T$83,$AF303))))</f>
        <v/>
      </c>
      <c r="Q303" s="10">
        <f>IF($AF303="","",INDEX(파견수련계획!$S$4:$S$83,$AF303))</f>
        <v/>
      </c>
      <c r="R303" s="10">
        <f>IF($AF303="","",INDEX(파견수련계획!$U$4:$U$83,$AF303))</f>
        <v/>
      </c>
      <c r="S303" s="11">
        <f>IF($AF303="","",IF(INDEX(파견수련계획!$H$4:$H$83,$AF303)="","",INDEX(파견수련계획!$H$4:$H$83,$AF303)))</f>
        <v/>
      </c>
      <c r="T303" s="11">
        <f>IF($AF303="","",IF(INDEX(파견수련계획!$I$4:$I$83,$AF303)="","",INDEX(파견수련계획!$I$4:$I$83,$AF303)))</f>
        <v/>
      </c>
      <c r="U303" s="10">
        <f>IF($AF303="","",INDEX(파견수련계획!$X$4:$X$83,$AF303))</f>
        <v/>
      </c>
      <c r="V303" s="17">
        <f>IF($AF303="","",INDEX(파견수련계획!$V$4:$V$83,$AF303))</f>
        <v/>
      </c>
      <c r="W303" s="17">
        <f>IF(AND($U303="파견중",$T303&lt;&gt;""),$T303-TODAY(),"")</f>
        <v/>
      </c>
      <c r="X303" s="17">
        <f>IF(OR($B303="",TRIM($J303&amp;"")=""),"",SUMPRODUCT((파견수련계획!$Q$4:$Q$83=TRIM($J303&amp;""))*파견수련계획!$W$4:$W$83))</f>
        <v/>
      </c>
      <c r="Y303" s="10">
        <f>IF($B303="","",IF($AG303="","",IF(IF(TRIM($J303&amp;"")="",0,SUMPRODUCT((파견수련계획!$Q$4:$Q$83=TRIM($J303&amp;""))*파견수련계획!$AD$4:$AD$83))&gt;0,$AE303,IF(N($X303)&lt;=0,$AG303,IF($AH303+$AI303=DAY(EOMONTH(요약!$B$3,0)),IF(AND($AH303&gt;=요약!$E$3,$AI303&lt;요약!$E$3),"서울병원",IF(AND($AI303&gt;=요약!$E$3,$AH303&lt;요약!$E$3),"구리병원","⚠15일 판정불가(서울 "&amp;$AH303&amp;"일/구리 "&amp;$AI303&amp;"일)")),IF($AJ303="",$AE303,IF(INDEX(파견수련계획!$T$4:$T$83,$AJ303)="통합수련",INDEX(파견수련계획!$S$4:$S$83,$AJ303),$AE303)))))))</f>
        <v/>
      </c>
      <c r="Z303" s="19">
        <f>IF($B303="","",IF($AB303="","기본자료에 없는 사번",IF(COUNTIF($B$2:$B$401,$B303)&gt;1,"중복 사번",IF($AE303="","소속(입사장소) 입력",IF(IF(TRIM($J303&amp;"")="",0,SUMPRODUCT((파견수련계획!$Q$4:$Q$83=TRIM($J303&amp;""))*(파견수련계획!$AA$4:$AA$83&lt;&gt;"")))&gt;0,"파견수련계획 입력오류 확인",IF(LEFT($Y303,1)="⚠","서울·구리 15일 판정 불가(양쪽 모두 이상/미만)",IF(IF($AC303="",0,N(INDEX(인턴근무계획!$T$3:$T$62,$AC303)))&gt;0,"인턴계획 입력오류 확인",IF(AND($AC303&lt;&gt;"",$U303&lt;&gt;"파견중",$N303&lt;&gt;$AE303),"인턴 타지역 근무: 파견 여부 확인","정상"))))))))</f>
        <v/>
      </c>
      <c r="AA303" s="5" t="n"/>
      <c r="AB303" s="10">
        <f>IF($B303="","",IFERROR(MATCH($B303,기본자료!$B$2:$B$1001,0),IFERROR(MATCH($B303&amp;"",기본자료!$B$2:$B$1001,0),IFERROR(MATCH(VALUE($B303),기본자료!$B$2:$B$1001,0),""))))</f>
        <v/>
      </c>
      <c r="AC303" s="10">
        <f>IF($B303="","",IFERROR(MATCH($B303,인턴근무계획!$D$3:$D$62,0),IFERROR(MATCH($B303&amp;"",인턴근무계획!$D$3:$D$62,0),IFERROR(MATCH(VALUE($B303),인턴근무계획!$D$3:$D$62,0),""))))</f>
        <v/>
      </c>
      <c r="AD303" s="10">
        <f>IF(OR($AC303="",인턴현황!$G$3=""),"",INDEX(인턴근무계획!$M$3:$R$62,$AC303,인턴현황!$G$3)&amp;"")</f>
        <v/>
      </c>
      <c r="AE303" s="10">
        <f>IF($B303="","",IF($M303&lt;&gt;"",$M303,IF($AF303&lt;&gt;"",IF(LEFT(INDEX(파견수련계획!$R$4:$R$83,$AF303),1)&lt;&gt;"⚠",INDEX(파견수련계획!$R$4:$R$83,$AF303),IF($H303="","",IF(RIGHT($H303,2)="병원",$H303,$H303&amp;"병원"))),IF($H303="","",IF(RIGHT($H303,2)="병원",$H303,$H303&amp;"병원")))))</f>
        <v/>
      </c>
      <c r="AF303" s="10">
        <f>IF(OR($B303="",TRIM($J303&amp;"")=""),"",IFERROR(MATCH(TRIM($J303&amp;"")&amp;"|파견중",파견수련계획!$Y$4:$Y$83,0),IFERROR(MATCH(TRIM($J303&amp;"")&amp;"|파견예정",파견수련계획!$Y$4:$Y$83,0),IFERROR(MATCH(TRIM($J303&amp;"")&amp;"|파견종료",파견수련계획!$Y$4:$Y$83,0),""))))</f>
        <v/>
      </c>
      <c r="AG303" s="10">
        <f>IF($B303="","",IF(AND(IF(OR($AC303="",인턴현황!$K$2=""),"",INDEX(인턴근무계획!$M$3:$R$62,$AC303,인턴현황!$K$2)&amp;"")&lt;&gt;"",LEFT(IF(OR($AC303="",인턴현황!$K$2=""),"",INDEX(인턴근무계획!$M$3:$R$62,$AC303,인턴현황!$K$2)&amp;""),1)&lt;&gt;"⚠"),LEFT(IF(OR($AC303="",인턴현황!$K$2=""),"",INDEX(인턴근무계획!$M$3:$R$62,$AC303,인턴현황!$K$2)&amp;""),FIND(" ",IF(OR($AC303="",인턴현황!$K$2=""),"",INDEX(인턴근무계획!$M$3:$R$62,$AC303,인턴현황!$K$2)&amp;""))-1),$AE303))</f>
        <v/>
      </c>
      <c r="AH303" s="17">
        <f>IF($B303="","",IF(TRIM($J303&amp;"")="",0,SUMPRODUCT((파견수련계획!$Q$4:$Q$83=TRIM($J303&amp;""))*(파견수련계획!$S$4:$S$83="서울병원")*파견수련계획!$W$4:$W$83))+IF($AG303="서울병원",MAX(0,DAY(EOMONTH(요약!$B$3,0))-N($X303)),0))</f>
        <v/>
      </c>
      <c r="AI303" s="17">
        <f>IF($B303="","",IF(TRIM($J303&amp;"")="",0,SUMPRODUCT((파견수련계획!$Q$4:$Q$83=TRIM($J303&amp;""))*(파견수련계획!$S$4:$S$83="구리병원")*파견수련계획!$W$4:$W$83))+IF($AG303="구리병원",MAX(0,DAY(EOMONTH(요약!$B$3,0))-N($X303)),0))</f>
        <v/>
      </c>
      <c r="AJ303" s="10">
        <f>IF(OR($B303="",TRIM($J303&amp;"")=""),"",IFERROR(MATCH(TRIM($J303&amp;"")&amp;"|월",파견수련계획!$Z$4:$Z$83,0),""))</f>
        <v/>
      </c>
      <c r="AK303" s="10">
        <f>IF(OR($B303="",TRIM($J303&amp;"")=""),"",IFERROR(MATCH(TRIM($J303&amp;"")&amp;"|다기관",파견수련계획!$AE$4:$AE$83,0),""))</f>
        <v/>
      </c>
      <c r="AL303" s="10">
        <f>IF($AK303="","","다기관 "&amp;TEXT(INDEX(파견수련계획!$AB$4:$AB$83,$AK303),"yyyy-mm-dd")&amp;"~"&amp;IF(ISNUMBER(INDEX(파견수련계획!$AC$4:$AC$83,$AK303)),TEXT(INDEX(파견수련계획!$AC$4:$AC$83,$AK303),"yyyy-mm-dd"),""))</f>
        <v/>
      </c>
    </row>
    <row r="304">
      <c r="A304" s="10">
        <f>IF(B304="","",ROW()-1)</f>
        <v/>
      </c>
      <c r="B304" s="18" t="n"/>
      <c r="C304" s="10">
        <f>IF($AB304="","",IF(INDEX(기본자료!$C$2:$C$1001,$AB304)="","",INDEX(기본자료!$C$2:$C$1001,$AB304)))</f>
        <v/>
      </c>
      <c r="D304" s="10">
        <f>IF($AB304="","",IF(INDEX(기본자료!$J$2:$J$1001,$AB304)="","",INDEX(기본자료!$J$2:$J$1001,$AB304)))</f>
        <v/>
      </c>
      <c r="E304" s="11">
        <f>IF($AB304="","",IF(INDEX(기본자료!$K$2:$K$1001,$AB304)="","",IF(NOT(ISNUMBER(INDEX(기본자료!$K$2:$K$1001,$AB304))),INDEX(기본자료!$K$2:$K$1001,$AB304),IF(INDEX(기본자료!$K$2:$K$1001,$AB304)&lt;1000000,INDEX(기본자료!$K$2:$K$1001,$AB304),IF(AND(INDEX(기본자료!$K$2:$K$1001,$AB304)&gt;=10000101,INT(MOD(INDEX(기본자료!$K$2:$K$1001,$AB304),10000)/100)&gt;=1,INT(MOD(INDEX(기본자료!$K$2:$K$1001,$AB304),10000)/100)&lt;=12,MOD(INDEX(기본자료!$K$2:$K$1001,$AB304),100)&gt;=1,MOD(INDEX(기본자료!$K$2:$K$1001,$AB304),100)&lt;=31),DATE(INT(INDEX(기본자료!$K$2:$K$1001,$AB304)/10000),INT(MOD(INDEX(기본자료!$K$2:$K$1001,$AB304),10000)/100),MOD(INDEX(기본자료!$K$2:$K$1001,$AB304),100)),INDEX(기본자료!$K$2:$K$1001,$AB304)&amp;"")))))</f>
        <v/>
      </c>
      <c r="F304" s="10">
        <f>IF($AB304="","",IF(INDEX(기본자료!$D$2:$D$1001,$AB304)="","",INDEX(기본자료!$D$2:$D$1001,$AB304)))</f>
        <v/>
      </c>
      <c r="G304" s="10">
        <f>IF($AB304="","",IF(INDEX(기본자료!$E$2:$E$1001,$AB304)="","",INDEX(기본자료!$E$2:$E$1001,$AB304)))</f>
        <v/>
      </c>
      <c r="H304" s="10">
        <f>IF($AB304="","",IF(INDEX(기본자료!$F$2:$F$1001,$AB304)="","",INDEX(기본자료!$F$2:$F$1001,$AB304)))</f>
        <v/>
      </c>
      <c r="I304" s="11">
        <f>IF($AB304="","",IF(INDEX(기본자료!$G$2:$G$1001,$AB304)="","",IF(NOT(ISNUMBER(INDEX(기본자료!$G$2:$G$1001,$AB304))),INDEX(기본자료!$G$2:$G$1001,$AB304),IF(INDEX(기본자료!$G$2:$G$1001,$AB304)&lt;1000000,INDEX(기본자료!$G$2:$G$1001,$AB304),IF(AND(INDEX(기본자료!$G$2:$G$1001,$AB304)&gt;=10000101,INT(MOD(INDEX(기본자료!$G$2:$G$1001,$AB304),10000)/100)&gt;=1,INT(MOD(INDEX(기본자료!$G$2:$G$1001,$AB304),10000)/100)&lt;=12,MOD(INDEX(기본자료!$G$2:$G$1001,$AB304),100)&gt;=1,MOD(INDEX(기본자료!$G$2:$G$1001,$AB304),100)&lt;=31),DATE(INT(INDEX(기본자료!$G$2:$G$1001,$AB304)/10000),INT(MOD(INDEX(기본자료!$G$2:$G$1001,$AB304),10000)/100),MOD(INDEX(기본자료!$G$2:$G$1001,$AB304),100)),INDEX(기본자료!$G$2:$G$1001,$AB304)&amp;"")))))</f>
        <v/>
      </c>
      <c r="J304" s="10">
        <f>IF($AB304="","",IF(INDEX(기본자료!$H$2:$H$1001,$AB304)="","",INDEX(기본자료!$H$2:$H$1001,$AB304)))</f>
        <v/>
      </c>
      <c r="K304" s="10">
        <f>IF($AB304="","",IF(INDEX(기본자료!$I$2:$I$1001,$AB304)="","",INDEX(기본자료!$I$2:$I$1001,$AB304)))</f>
        <v/>
      </c>
      <c r="L304" s="10">
        <f>IF($AB304="","",IF(INDEX(기본자료!$A$2:$A$1001,$AB304)="","",INDEX(기본자료!$A$2:$A$1001,$AB304)))</f>
        <v/>
      </c>
      <c r="M304" s="15" t="n"/>
      <c r="N304" s="10">
        <f>IF($B304="","",IF(AND($U304="파견중",$Q304&lt;&gt;""),$Q304,IF(AND($AD304&lt;&gt;"",LEFT($AD304,1)&lt;&gt;"⚠"),LEFT($AD304,FIND(" ",$AD304)-1),IF($H304="","",IF(RIGHT($H304,2)="병원",$H304,$H304&amp;"병원")))))</f>
        <v/>
      </c>
      <c r="O304" s="10">
        <f>IF($B304="","",IF(AND($U304="파견중",$Q304&lt;&gt;""),IF($R304&lt;&gt;"",$R304,"파견과 미입력"),IF(AND($AD304&lt;&gt;"",LEFT($AD304,1)&lt;&gt;"⚠"),MID($AD304,FIND(" ",$AD304)+1,60),IF($F304="","",IF($F304="인턴","수련교육부(인턴)",$F304)))))</f>
        <v/>
      </c>
      <c r="P304" s="10">
        <f>IF($B304="","",IF($AK304&lt;&gt;"",IF(AND(TODAY()&gt;=INDEX(파견수련계획!$AB$4:$AB$83,$AK304),OR(NOT(ISNUMBER(INDEX(파견수련계획!$AC$4:$AC$83,$AK304))),TODAY()&lt;=INDEX(파견수련계획!$AC$4:$AC$83,$AK304))),"다기관",IF($AF304="","",INDEX(파견수련계획!$T$4:$T$83,$AF304))),IF($AF304="","",INDEX(파견수련계획!$T$4:$T$83,$AF304))))</f>
        <v/>
      </c>
      <c r="Q304" s="10">
        <f>IF($AF304="","",INDEX(파견수련계획!$S$4:$S$83,$AF304))</f>
        <v/>
      </c>
      <c r="R304" s="10">
        <f>IF($AF304="","",INDEX(파견수련계획!$U$4:$U$83,$AF304))</f>
        <v/>
      </c>
      <c r="S304" s="11">
        <f>IF($AF304="","",IF(INDEX(파견수련계획!$H$4:$H$83,$AF304)="","",INDEX(파견수련계획!$H$4:$H$83,$AF304)))</f>
        <v/>
      </c>
      <c r="T304" s="11">
        <f>IF($AF304="","",IF(INDEX(파견수련계획!$I$4:$I$83,$AF304)="","",INDEX(파견수련계획!$I$4:$I$83,$AF304)))</f>
        <v/>
      </c>
      <c r="U304" s="10">
        <f>IF($AF304="","",INDEX(파견수련계획!$X$4:$X$83,$AF304))</f>
        <v/>
      </c>
      <c r="V304" s="17">
        <f>IF($AF304="","",INDEX(파견수련계획!$V$4:$V$83,$AF304))</f>
        <v/>
      </c>
      <c r="W304" s="17">
        <f>IF(AND($U304="파견중",$T304&lt;&gt;""),$T304-TODAY(),"")</f>
        <v/>
      </c>
      <c r="X304" s="17">
        <f>IF(OR($B304="",TRIM($J304&amp;"")=""),"",SUMPRODUCT((파견수련계획!$Q$4:$Q$83=TRIM($J304&amp;""))*파견수련계획!$W$4:$W$83))</f>
        <v/>
      </c>
      <c r="Y304" s="10">
        <f>IF($B304="","",IF($AG304="","",IF(IF(TRIM($J304&amp;"")="",0,SUMPRODUCT((파견수련계획!$Q$4:$Q$83=TRIM($J304&amp;""))*파견수련계획!$AD$4:$AD$83))&gt;0,$AE304,IF(N($X304)&lt;=0,$AG304,IF($AH304+$AI304=DAY(EOMONTH(요약!$B$3,0)),IF(AND($AH304&gt;=요약!$E$3,$AI304&lt;요약!$E$3),"서울병원",IF(AND($AI304&gt;=요약!$E$3,$AH304&lt;요약!$E$3),"구리병원","⚠15일 판정불가(서울 "&amp;$AH304&amp;"일/구리 "&amp;$AI304&amp;"일)")),IF($AJ304="",$AE304,IF(INDEX(파견수련계획!$T$4:$T$83,$AJ304)="통합수련",INDEX(파견수련계획!$S$4:$S$83,$AJ304),$AE304)))))))</f>
        <v/>
      </c>
      <c r="Z304" s="19">
        <f>IF($B304="","",IF($AB304="","기본자료에 없는 사번",IF(COUNTIF($B$2:$B$401,$B304)&gt;1,"중복 사번",IF($AE304="","소속(입사장소) 입력",IF(IF(TRIM($J304&amp;"")="",0,SUMPRODUCT((파견수련계획!$Q$4:$Q$83=TRIM($J304&amp;""))*(파견수련계획!$AA$4:$AA$83&lt;&gt;"")))&gt;0,"파견수련계획 입력오류 확인",IF(LEFT($Y304,1)="⚠","서울·구리 15일 판정 불가(양쪽 모두 이상/미만)",IF(IF($AC304="",0,N(INDEX(인턴근무계획!$T$3:$T$62,$AC304)))&gt;0,"인턴계획 입력오류 확인",IF(AND($AC304&lt;&gt;"",$U304&lt;&gt;"파견중",$N304&lt;&gt;$AE304),"인턴 타지역 근무: 파견 여부 확인","정상"))))))))</f>
        <v/>
      </c>
      <c r="AA304" s="5" t="n"/>
      <c r="AB304" s="10">
        <f>IF($B304="","",IFERROR(MATCH($B304,기본자료!$B$2:$B$1001,0),IFERROR(MATCH($B304&amp;"",기본자료!$B$2:$B$1001,0),IFERROR(MATCH(VALUE($B304),기본자료!$B$2:$B$1001,0),""))))</f>
        <v/>
      </c>
      <c r="AC304" s="10">
        <f>IF($B304="","",IFERROR(MATCH($B304,인턴근무계획!$D$3:$D$62,0),IFERROR(MATCH($B304&amp;"",인턴근무계획!$D$3:$D$62,0),IFERROR(MATCH(VALUE($B304),인턴근무계획!$D$3:$D$62,0),""))))</f>
        <v/>
      </c>
      <c r="AD304" s="10">
        <f>IF(OR($AC304="",인턴현황!$G$3=""),"",INDEX(인턴근무계획!$M$3:$R$62,$AC304,인턴현황!$G$3)&amp;"")</f>
        <v/>
      </c>
      <c r="AE304" s="10">
        <f>IF($B304="","",IF($M304&lt;&gt;"",$M304,IF($AF304&lt;&gt;"",IF(LEFT(INDEX(파견수련계획!$R$4:$R$83,$AF304),1)&lt;&gt;"⚠",INDEX(파견수련계획!$R$4:$R$83,$AF304),IF($H304="","",IF(RIGHT($H304,2)="병원",$H304,$H304&amp;"병원"))),IF($H304="","",IF(RIGHT($H304,2)="병원",$H304,$H304&amp;"병원")))))</f>
        <v/>
      </c>
      <c r="AF304" s="10">
        <f>IF(OR($B304="",TRIM($J304&amp;"")=""),"",IFERROR(MATCH(TRIM($J304&amp;"")&amp;"|파견중",파견수련계획!$Y$4:$Y$83,0),IFERROR(MATCH(TRIM($J304&amp;"")&amp;"|파견예정",파견수련계획!$Y$4:$Y$83,0),IFERROR(MATCH(TRIM($J304&amp;"")&amp;"|파견종료",파견수련계획!$Y$4:$Y$83,0),""))))</f>
        <v/>
      </c>
      <c r="AG304" s="10">
        <f>IF($B304="","",IF(AND(IF(OR($AC304="",인턴현황!$K$2=""),"",INDEX(인턴근무계획!$M$3:$R$62,$AC304,인턴현황!$K$2)&amp;"")&lt;&gt;"",LEFT(IF(OR($AC304="",인턴현황!$K$2=""),"",INDEX(인턴근무계획!$M$3:$R$62,$AC304,인턴현황!$K$2)&amp;""),1)&lt;&gt;"⚠"),LEFT(IF(OR($AC304="",인턴현황!$K$2=""),"",INDEX(인턴근무계획!$M$3:$R$62,$AC304,인턴현황!$K$2)&amp;""),FIND(" ",IF(OR($AC304="",인턴현황!$K$2=""),"",INDEX(인턴근무계획!$M$3:$R$62,$AC304,인턴현황!$K$2)&amp;""))-1),$AE304))</f>
        <v/>
      </c>
      <c r="AH304" s="17">
        <f>IF($B304="","",IF(TRIM($J304&amp;"")="",0,SUMPRODUCT((파견수련계획!$Q$4:$Q$83=TRIM($J304&amp;""))*(파견수련계획!$S$4:$S$83="서울병원")*파견수련계획!$W$4:$W$83))+IF($AG304="서울병원",MAX(0,DAY(EOMONTH(요약!$B$3,0))-N($X304)),0))</f>
        <v/>
      </c>
      <c r="AI304" s="17">
        <f>IF($B304="","",IF(TRIM($J304&amp;"")="",0,SUMPRODUCT((파견수련계획!$Q$4:$Q$83=TRIM($J304&amp;""))*(파견수련계획!$S$4:$S$83="구리병원")*파견수련계획!$W$4:$W$83))+IF($AG304="구리병원",MAX(0,DAY(EOMONTH(요약!$B$3,0))-N($X304)),0))</f>
        <v/>
      </c>
      <c r="AJ304" s="10">
        <f>IF(OR($B304="",TRIM($J304&amp;"")=""),"",IFERROR(MATCH(TRIM($J304&amp;"")&amp;"|월",파견수련계획!$Z$4:$Z$83,0),""))</f>
        <v/>
      </c>
      <c r="AK304" s="10">
        <f>IF(OR($B304="",TRIM($J304&amp;"")=""),"",IFERROR(MATCH(TRIM($J304&amp;"")&amp;"|다기관",파견수련계획!$AE$4:$AE$83,0),""))</f>
        <v/>
      </c>
      <c r="AL304" s="10">
        <f>IF($AK304="","","다기관 "&amp;TEXT(INDEX(파견수련계획!$AB$4:$AB$83,$AK304),"yyyy-mm-dd")&amp;"~"&amp;IF(ISNUMBER(INDEX(파견수련계획!$AC$4:$AC$83,$AK304)),TEXT(INDEX(파견수련계획!$AC$4:$AC$83,$AK304),"yyyy-mm-dd"),""))</f>
        <v/>
      </c>
    </row>
    <row r="305">
      <c r="A305" s="10">
        <f>IF(B305="","",ROW()-1)</f>
        <v/>
      </c>
      <c r="B305" s="18" t="n"/>
      <c r="C305" s="10">
        <f>IF($AB305="","",IF(INDEX(기본자료!$C$2:$C$1001,$AB305)="","",INDEX(기본자료!$C$2:$C$1001,$AB305)))</f>
        <v/>
      </c>
      <c r="D305" s="10">
        <f>IF($AB305="","",IF(INDEX(기본자료!$J$2:$J$1001,$AB305)="","",INDEX(기본자료!$J$2:$J$1001,$AB305)))</f>
        <v/>
      </c>
      <c r="E305" s="11">
        <f>IF($AB305="","",IF(INDEX(기본자료!$K$2:$K$1001,$AB305)="","",IF(NOT(ISNUMBER(INDEX(기본자료!$K$2:$K$1001,$AB305))),INDEX(기본자료!$K$2:$K$1001,$AB305),IF(INDEX(기본자료!$K$2:$K$1001,$AB305)&lt;1000000,INDEX(기본자료!$K$2:$K$1001,$AB305),IF(AND(INDEX(기본자료!$K$2:$K$1001,$AB305)&gt;=10000101,INT(MOD(INDEX(기본자료!$K$2:$K$1001,$AB305),10000)/100)&gt;=1,INT(MOD(INDEX(기본자료!$K$2:$K$1001,$AB305),10000)/100)&lt;=12,MOD(INDEX(기본자료!$K$2:$K$1001,$AB305),100)&gt;=1,MOD(INDEX(기본자료!$K$2:$K$1001,$AB305),100)&lt;=31),DATE(INT(INDEX(기본자료!$K$2:$K$1001,$AB305)/10000),INT(MOD(INDEX(기본자료!$K$2:$K$1001,$AB305),10000)/100),MOD(INDEX(기본자료!$K$2:$K$1001,$AB305),100)),INDEX(기본자료!$K$2:$K$1001,$AB305)&amp;"")))))</f>
        <v/>
      </c>
      <c r="F305" s="10">
        <f>IF($AB305="","",IF(INDEX(기본자료!$D$2:$D$1001,$AB305)="","",INDEX(기본자료!$D$2:$D$1001,$AB305)))</f>
        <v/>
      </c>
      <c r="G305" s="10">
        <f>IF($AB305="","",IF(INDEX(기본자료!$E$2:$E$1001,$AB305)="","",INDEX(기본자료!$E$2:$E$1001,$AB305)))</f>
        <v/>
      </c>
      <c r="H305" s="10">
        <f>IF($AB305="","",IF(INDEX(기본자료!$F$2:$F$1001,$AB305)="","",INDEX(기본자료!$F$2:$F$1001,$AB305)))</f>
        <v/>
      </c>
      <c r="I305" s="11">
        <f>IF($AB305="","",IF(INDEX(기본자료!$G$2:$G$1001,$AB305)="","",IF(NOT(ISNUMBER(INDEX(기본자료!$G$2:$G$1001,$AB305))),INDEX(기본자료!$G$2:$G$1001,$AB305),IF(INDEX(기본자료!$G$2:$G$1001,$AB305)&lt;1000000,INDEX(기본자료!$G$2:$G$1001,$AB305),IF(AND(INDEX(기본자료!$G$2:$G$1001,$AB305)&gt;=10000101,INT(MOD(INDEX(기본자료!$G$2:$G$1001,$AB305),10000)/100)&gt;=1,INT(MOD(INDEX(기본자료!$G$2:$G$1001,$AB305),10000)/100)&lt;=12,MOD(INDEX(기본자료!$G$2:$G$1001,$AB305),100)&gt;=1,MOD(INDEX(기본자료!$G$2:$G$1001,$AB305),100)&lt;=31),DATE(INT(INDEX(기본자료!$G$2:$G$1001,$AB305)/10000),INT(MOD(INDEX(기본자료!$G$2:$G$1001,$AB305),10000)/100),MOD(INDEX(기본자료!$G$2:$G$1001,$AB305),100)),INDEX(기본자료!$G$2:$G$1001,$AB305)&amp;"")))))</f>
        <v/>
      </c>
      <c r="J305" s="10">
        <f>IF($AB305="","",IF(INDEX(기본자료!$H$2:$H$1001,$AB305)="","",INDEX(기본자료!$H$2:$H$1001,$AB305)))</f>
        <v/>
      </c>
      <c r="K305" s="10">
        <f>IF($AB305="","",IF(INDEX(기본자료!$I$2:$I$1001,$AB305)="","",INDEX(기본자료!$I$2:$I$1001,$AB305)))</f>
        <v/>
      </c>
      <c r="L305" s="10">
        <f>IF($AB305="","",IF(INDEX(기본자료!$A$2:$A$1001,$AB305)="","",INDEX(기본자료!$A$2:$A$1001,$AB305)))</f>
        <v/>
      </c>
      <c r="M305" s="15" t="n"/>
      <c r="N305" s="10">
        <f>IF($B305="","",IF(AND($U305="파견중",$Q305&lt;&gt;""),$Q305,IF(AND($AD305&lt;&gt;"",LEFT($AD305,1)&lt;&gt;"⚠"),LEFT($AD305,FIND(" ",$AD305)-1),IF($H305="","",IF(RIGHT($H305,2)="병원",$H305,$H305&amp;"병원")))))</f>
        <v/>
      </c>
      <c r="O305" s="10">
        <f>IF($B305="","",IF(AND($U305="파견중",$Q305&lt;&gt;""),IF($R305&lt;&gt;"",$R305,"파견과 미입력"),IF(AND($AD305&lt;&gt;"",LEFT($AD305,1)&lt;&gt;"⚠"),MID($AD305,FIND(" ",$AD305)+1,60),IF($F305="","",IF($F305="인턴","수련교육부(인턴)",$F305)))))</f>
        <v/>
      </c>
      <c r="P305" s="10">
        <f>IF($B305="","",IF($AK305&lt;&gt;"",IF(AND(TODAY()&gt;=INDEX(파견수련계획!$AB$4:$AB$83,$AK305),OR(NOT(ISNUMBER(INDEX(파견수련계획!$AC$4:$AC$83,$AK305))),TODAY()&lt;=INDEX(파견수련계획!$AC$4:$AC$83,$AK305))),"다기관",IF($AF305="","",INDEX(파견수련계획!$T$4:$T$83,$AF305))),IF($AF305="","",INDEX(파견수련계획!$T$4:$T$83,$AF305))))</f>
        <v/>
      </c>
      <c r="Q305" s="10">
        <f>IF($AF305="","",INDEX(파견수련계획!$S$4:$S$83,$AF305))</f>
        <v/>
      </c>
      <c r="R305" s="10">
        <f>IF($AF305="","",INDEX(파견수련계획!$U$4:$U$83,$AF305))</f>
        <v/>
      </c>
      <c r="S305" s="11">
        <f>IF($AF305="","",IF(INDEX(파견수련계획!$H$4:$H$83,$AF305)="","",INDEX(파견수련계획!$H$4:$H$83,$AF305)))</f>
        <v/>
      </c>
      <c r="T305" s="11">
        <f>IF($AF305="","",IF(INDEX(파견수련계획!$I$4:$I$83,$AF305)="","",INDEX(파견수련계획!$I$4:$I$83,$AF305)))</f>
        <v/>
      </c>
      <c r="U305" s="10">
        <f>IF($AF305="","",INDEX(파견수련계획!$X$4:$X$83,$AF305))</f>
        <v/>
      </c>
      <c r="V305" s="17">
        <f>IF($AF305="","",INDEX(파견수련계획!$V$4:$V$83,$AF305))</f>
        <v/>
      </c>
      <c r="W305" s="17">
        <f>IF(AND($U305="파견중",$T305&lt;&gt;""),$T305-TODAY(),"")</f>
        <v/>
      </c>
      <c r="X305" s="17">
        <f>IF(OR($B305="",TRIM($J305&amp;"")=""),"",SUMPRODUCT((파견수련계획!$Q$4:$Q$83=TRIM($J305&amp;""))*파견수련계획!$W$4:$W$83))</f>
        <v/>
      </c>
      <c r="Y305" s="10">
        <f>IF($B305="","",IF($AG305="","",IF(IF(TRIM($J305&amp;"")="",0,SUMPRODUCT((파견수련계획!$Q$4:$Q$83=TRIM($J305&amp;""))*파견수련계획!$AD$4:$AD$83))&gt;0,$AE305,IF(N($X305)&lt;=0,$AG305,IF($AH305+$AI305=DAY(EOMONTH(요약!$B$3,0)),IF(AND($AH305&gt;=요약!$E$3,$AI305&lt;요약!$E$3),"서울병원",IF(AND($AI305&gt;=요약!$E$3,$AH305&lt;요약!$E$3),"구리병원","⚠15일 판정불가(서울 "&amp;$AH305&amp;"일/구리 "&amp;$AI305&amp;"일)")),IF($AJ305="",$AE305,IF(INDEX(파견수련계획!$T$4:$T$83,$AJ305)="통합수련",INDEX(파견수련계획!$S$4:$S$83,$AJ305),$AE305)))))))</f>
        <v/>
      </c>
      <c r="Z305" s="19">
        <f>IF($B305="","",IF($AB305="","기본자료에 없는 사번",IF(COUNTIF($B$2:$B$401,$B305)&gt;1,"중복 사번",IF($AE305="","소속(입사장소) 입력",IF(IF(TRIM($J305&amp;"")="",0,SUMPRODUCT((파견수련계획!$Q$4:$Q$83=TRIM($J305&amp;""))*(파견수련계획!$AA$4:$AA$83&lt;&gt;"")))&gt;0,"파견수련계획 입력오류 확인",IF(LEFT($Y305,1)="⚠","서울·구리 15일 판정 불가(양쪽 모두 이상/미만)",IF(IF($AC305="",0,N(INDEX(인턴근무계획!$T$3:$T$62,$AC305)))&gt;0,"인턴계획 입력오류 확인",IF(AND($AC305&lt;&gt;"",$U305&lt;&gt;"파견중",$N305&lt;&gt;$AE305),"인턴 타지역 근무: 파견 여부 확인","정상"))))))))</f>
        <v/>
      </c>
      <c r="AA305" s="5" t="n"/>
      <c r="AB305" s="10">
        <f>IF($B305="","",IFERROR(MATCH($B305,기본자료!$B$2:$B$1001,0),IFERROR(MATCH($B305&amp;"",기본자료!$B$2:$B$1001,0),IFERROR(MATCH(VALUE($B305),기본자료!$B$2:$B$1001,0),""))))</f>
        <v/>
      </c>
      <c r="AC305" s="10">
        <f>IF($B305="","",IFERROR(MATCH($B305,인턴근무계획!$D$3:$D$62,0),IFERROR(MATCH($B305&amp;"",인턴근무계획!$D$3:$D$62,0),IFERROR(MATCH(VALUE($B305),인턴근무계획!$D$3:$D$62,0),""))))</f>
        <v/>
      </c>
      <c r="AD305" s="10">
        <f>IF(OR($AC305="",인턴현황!$G$3=""),"",INDEX(인턴근무계획!$M$3:$R$62,$AC305,인턴현황!$G$3)&amp;"")</f>
        <v/>
      </c>
      <c r="AE305" s="10">
        <f>IF($B305="","",IF($M305&lt;&gt;"",$M305,IF($AF305&lt;&gt;"",IF(LEFT(INDEX(파견수련계획!$R$4:$R$83,$AF305),1)&lt;&gt;"⚠",INDEX(파견수련계획!$R$4:$R$83,$AF305),IF($H305="","",IF(RIGHT($H305,2)="병원",$H305,$H305&amp;"병원"))),IF($H305="","",IF(RIGHT($H305,2)="병원",$H305,$H305&amp;"병원")))))</f>
        <v/>
      </c>
      <c r="AF305" s="10">
        <f>IF(OR($B305="",TRIM($J305&amp;"")=""),"",IFERROR(MATCH(TRIM($J305&amp;"")&amp;"|파견중",파견수련계획!$Y$4:$Y$83,0),IFERROR(MATCH(TRIM($J305&amp;"")&amp;"|파견예정",파견수련계획!$Y$4:$Y$83,0),IFERROR(MATCH(TRIM($J305&amp;"")&amp;"|파견종료",파견수련계획!$Y$4:$Y$83,0),""))))</f>
        <v/>
      </c>
      <c r="AG305" s="10">
        <f>IF($B305="","",IF(AND(IF(OR($AC305="",인턴현황!$K$2=""),"",INDEX(인턴근무계획!$M$3:$R$62,$AC305,인턴현황!$K$2)&amp;"")&lt;&gt;"",LEFT(IF(OR($AC305="",인턴현황!$K$2=""),"",INDEX(인턴근무계획!$M$3:$R$62,$AC305,인턴현황!$K$2)&amp;""),1)&lt;&gt;"⚠"),LEFT(IF(OR($AC305="",인턴현황!$K$2=""),"",INDEX(인턴근무계획!$M$3:$R$62,$AC305,인턴현황!$K$2)&amp;""),FIND(" ",IF(OR($AC305="",인턴현황!$K$2=""),"",INDEX(인턴근무계획!$M$3:$R$62,$AC305,인턴현황!$K$2)&amp;""))-1),$AE305))</f>
        <v/>
      </c>
      <c r="AH305" s="17">
        <f>IF($B305="","",IF(TRIM($J305&amp;"")="",0,SUMPRODUCT((파견수련계획!$Q$4:$Q$83=TRIM($J305&amp;""))*(파견수련계획!$S$4:$S$83="서울병원")*파견수련계획!$W$4:$W$83))+IF($AG305="서울병원",MAX(0,DAY(EOMONTH(요약!$B$3,0))-N($X305)),0))</f>
        <v/>
      </c>
      <c r="AI305" s="17">
        <f>IF($B305="","",IF(TRIM($J305&amp;"")="",0,SUMPRODUCT((파견수련계획!$Q$4:$Q$83=TRIM($J305&amp;""))*(파견수련계획!$S$4:$S$83="구리병원")*파견수련계획!$W$4:$W$83))+IF($AG305="구리병원",MAX(0,DAY(EOMONTH(요약!$B$3,0))-N($X305)),0))</f>
        <v/>
      </c>
      <c r="AJ305" s="10">
        <f>IF(OR($B305="",TRIM($J305&amp;"")=""),"",IFERROR(MATCH(TRIM($J305&amp;"")&amp;"|월",파견수련계획!$Z$4:$Z$83,0),""))</f>
        <v/>
      </c>
      <c r="AK305" s="10">
        <f>IF(OR($B305="",TRIM($J305&amp;"")=""),"",IFERROR(MATCH(TRIM($J305&amp;"")&amp;"|다기관",파견수련계획!$AE$4:$AE$83,0),""))</f>
        <v/>
      </c>
      <c r="AL305" s="10">
        <f>IF($AK305="","","다기관 "&amp;TEXT(INDEX(파견수련계획!$AB$4:$AB$83,$AK305),"yyyy-mm-dd")&amp;"~"&amp;IF(ISNUMBER(INDEX(파견수련계획!$AC$4:$AC$83,$AK305)),TEXT(INDEX(파견수련계획!$AC$4:$AC$83,$AK305),"yyyy-mm-dd"),""))</f>
        <v/>
      </c>
    </row>
    <row r="306">
      <c r="A306" s="10">
        <f>IF(B306="","",ROW()-1)</f>
        <v/>
      </c>
      <c r="B306" s="18" t="n"/>
      <c r="C306" s="10">
        <f>IF($AB306="","",IF(INDEX(기본자료!$C$2:$C$1001,$AB306)="","",INDEX(기본자료!$C$2:$C$1001,$AB306)))</f>
        <v/>
      </c>
      <c r="D306" s="10">
        <f>IF($AB306="","",IF(INDEX(기본자료!$J$2:$J$1001,$AB306)="","",INDEX(기본자료!$J$2:$J$1001,$AB306)))</f>
        <v/>
      </c>
      <c r="E306" s="11">
        <f>IF($AB306="","",IF(INDEX(기본자료!$K$2:$K$1001,$AB306)="","",IF(NOT(ISNUMBER(INDEX(기본자료!$K$2:$K$1001,$AB306))),INDEX(기본자료!$K$2:$K$1001,$AB306),IF(INDEX(기본자료!$K$2:$K$1001,$AB306)&lt;1000000,INDEX(기본자료!$K$2:$K$1001,$AB306),IF(AND(INDEX(기본자료!$K$2:$K$1001,$AB306)&gt;=10000101,INT(MOD(INDEX(기본자료!$K$2:$K$1001,$AB306),10000)/100)&gt;=1,INT(MOD(INDEX(기본자료!$K$2:$K$1001,$AB306),10000)/100)&lt;=12,MOD(INDEX(기본자료!$K$2:$K$1001,$AB306),100)&gt;=1,MOD(INDEX(기본자료!$K$2:$K$1001,$AB306),100)&lt;=31),DATE(INT(INDEX(기본자료!$K$2:$K$1001,$AB306)/10000),INT(MOD(INDEX(기본자료!$K$2:$K$1001,$AB306),10000)/100),MOD(INDEX(기본자료!$K$2:$K$1001,$AB306),100)),INDEX(기본자료!$K$2:$K$1001,$AB306)&amp;"")))))</f>
        <v/>
      </c>
      <c r="F306" s="10">
        <f>IF($AB306="","",IF(INDEX(기본자료!$D$2:$D$1001,$AB306)="","",INDEX(기본자료!$D$2:$D$1001,$AB306)))</f>
        <v/>
      </c>
      <c r="G306" s="10">
        <f>IF($AB306="","",IF(INDEX(기본자료!$E$2:$E$1001,$AB306)="","",INDEX(기본자료!$E$2:$E$1001,$AB306)))</f>
        <v/>
      </c>
      <c r="H306" s="10">
        <f>IF($AB306="","",IF(INDEX(기본자료!$F$2:$F$1001,$AB306)="","",INDEX(기본자료!$F$2:$F$1001,$AB306)))</f>
        <v/>
      </c>
      <c r="I306" s="11">
        <f>IF($AB306="","",IF(INDEX(기본자료!$G$2:$G$1001,$AB306)="","",IF(NOT(ISNUMBER(INDEX(기본자료!$G$2:$G$1001,$AB306))),INDEX(기본자료!$G$2:$G$1001,$AB306),IF(INDEX(기본자료!$G$2:$G$1001,$AB306)&lt;1000000,INDEX(기본자료!$G$2:$G$1001,$AB306),IF(AND(INDEX(기본자료!$G$2:$G$1001,$AB306)&gt;=10000101,INT(MOD(INDEX(기본자료!$G$2:$G$1001,$AB306),10000)/100)&gt;=1,INT(MOD(INDEX(기본자료!$G$2:$G$1001,$AB306),10000)/100)&lt;=12,MOD(INDEX(기본자료!$G$2:$G$1001,$AB306),100)&gt;=1,MOD(INDEX(기본자료!$G$2:$G$1001,$AB306),100)&lt;=31),DATE(INT(INDEX(기본자료!$G$2:$G$1001,$AB306)/10000),INT(MOD(INDEX(기본자료!$G$2:$G$1001,$AB306),10000)/100),MOD(INDEX(기본자료!$G$2:$G$1001,$AB306),100)),INDEX(기본자료!$G$2:$G$1001,$AB306)&amp;"")))))</f>
        <v/>
      </c>
      <c r="J306" s="10">
        <f>IF($AB306="","",IF(INDEX(기본자료!$H$2:$H$1001,$AB306)="","",INDEX(기본자료!$H$2:$H$1001,$AB306)))</f>
        <v/>
      </c>
      <c r="K306" s="10">
        <f>IF($AB306="","",IF(INDEX(기본자료!$I$2:$I$1001,$AB306)="","",INDEX(기본자료!$I$2:$I$1001,$AB306)))</f>
        <v/>
      </c>
      <c r="L306" s="10">
        <f>IF($AB306="","",IF(INDEX(기본자료!$A$2:$A$1001,$AB306)="","",INDEX(기본자료!$A$2:$A$1001,$AB306)))</f>
        <v/>
      </c>
      <c r="M306" s="15" t="n"/>
      <c r="N306" s="10">
        <f>IF($B306="","",IF(AND($U306="파견중",$Q306&lt;&gt;""),$Q306,IF(AND($AD306&lt;&gt;"",LEFT($AD306,1)&lt;&gt;"⚠"),LEFT($AD306,FIND(" ",$AD306)-1),IF($H306="","",IF(RIGHT($H306,2)="병원",$H306,$H306&amp;"병원")))))</f>
        <v/>
      </c>
      <c r="O306" s="10">
        <f>IF($B306="","",IF(AND($U306="파견중",$Q306&lt;&gt;""),IF($R306&lt;&gt;"",$R306,"파견과 미입력"),IF(AND($AD306&lt;&gt;"",LEFT($AD306,1)&lt;&gt;"⚠"),MID($AD306,FIND(" ",$AD306)+1,60),IF($F306="","",IF($F306="인턴","수련교육부(인턴)",$F306)))))</f>
        <v/>
      </c>
      <c r="P306" s="10">
        <f>IF($B306="","",IF($AK306&lt;&gt;"",IF(AND(TODAY()&gt;=INDEX(파견수련계획!$AB$4:$AB$83,$AK306),OR(NOT(ISNUMBER(INDEX(파견수련계획!$AC$4:$AC$83,$AK306))),TODAY()&lt;=INDEX(파견수련계획!$AC$4:$AC$83,$AK306))),"다기관",IF($AF306="","",INDEX(파견수련계획!$T$4:$T$83,$AF306))),IF($AF306="","",INDEX(파견수련계획!$T$4:$T$83,$AF306))))</f>
        <v/>
      </c>
      <c r="Q306" s="10">
        <f>IF($AF306="","",INDEX(파견수련계획!$S$4:$S$83,$AF306))</f>
        <v/>
      </c>
      <c r="R306" s="10">
        <f>IF($AF306="","",INDEX(파견수련계획!$U$4:$U$83,$AF306))</f>
        <v/>
      </c>
      <c r="S306" s="11">
        <f>IF($AF306="","",IF(INDEX(파견수련계획!$H$4:$H$83,$AF306)="","",INDEX(파견수련계획!$H$4:$H$83,$AF306)))</f>
        <v/>
      </c>
      <c r="T306" s="11">
        <f>IF($AF306="","",IF(INDEX(파견수련계획!$I$4:$I$83,$AF306)="","",INDEX(파견수련계획!$I$4:$I$83,$AF306)))</f>
        <v/>
      </c>
      <c r="U306" s="10">
        <f>IF($AF306="","",INDEX(파견수련계획!$X$4:$X$83,$AF306))</f>
        <v/>
      </c>
      <c r="V306" s="17">
        <f>IF($AF306="","",INDEX(파견수련계획!$V$4:$V$83,$AF306))</f>
        <v/>
      </c>
      <c r="W306" s="17">
        <f>IF(AND($U306="파견중",$T306&lt;&gt;""),$T306-TODAY(),"")</f>
        <v/>
      </c>
      <c r="X306" s="17">
        <f>IF(OR($B306="",TRIM($J306&amp;"")=""),"",SUMPRODUCT((파견수련계획!$Q$4:$Q$83=TRIM($J306&amp;""))*파견수련계획!$W$4:$W$83))</f>
        <v/>
      </c>
      <c r="Y306" s="10">
        <f>IF($B306="","",IF($AG306="","",IF(IF(TRIM($J306&amp;"")="",0,SUMPRODUCT((파견수련계획!$Q$4:$Q$83=TRIM($J306&amp;""))*파견수련계획!$AD$4:$AD$83))&gt;0,$AE306,IF(N($X306)&lt;=0,$AG306,IF($AH306+$AI306=DAY(EOMONTH(요약!$B$3,0)),IF(AND($AH306&gt;=요약!$E$3,$AI306&lt;요약!$E$3),"서울병원",IF(AND($AI306&gt;=요약!$E$3,$AH306&lt;요약!$E$3),"구리병원","⚠15일 판정불가(서울 "&amp;$AH306&amp;"일/구리 "&amp;$AI306&amp;"일)")),IF($AJ306="",$AE306,IF(INDEX(파견수련계획!$T$4:$T$83,$AJ306)="통합수련",INDEX(파견수련계획!$S$4:$S$83,$AJ306),$AE306)))))))</f>
        <v/>
      </c>
      <c r="Z306" s="19">
        <f>IF($B306="","",IF($AB306="","기본자료에 없는 사번",IF(COUNTIF($B$2:$B$401,$B306)&gt;1,"중복 사번",IF($AE306="","소속(입사장소) 입력",IF(IF(TRIM($J306&amp;"")="",0,SUMPRODUCT((파견수련계획!$Q$4:$Q$83=TRIM($J306&amp;""))*(파견수련계획!$AA$4:$AA$83&lt;&gt;"")))&gt;0,"파견수련계획 입력오류 확인",IF(LEFT($Y306,1)="⚠","서울·구리 15일 판정 불가(양쪽 모두 이상/미만)",IF(IF($AC306="",0,N(INDEX(인턴근무계획!$T$3:$T$62,$AC306)))&gt;0,"인턴계획 입력오류 확인",IF(AND($AC306&lt;&gt;"",$U306&lt;&gt;"파견중",$N306&lt;&gt;$AE306),"인턴 타지역 근무: 파견 여부 확인","정상"))))))))</f>
        <v/>
      </c>
      <c r="AA306" s="5" t="n"/>
      <c r="AB306" s="10">
        <f>IF($B306="","",IFERROR(MATCH($B306,기본자료!$B$2:$B$1001,0),IFERROR(MATCH($B306&amp;"",기본자료!$B$2:$B$1001,0),IFERROR(MATCH(VALUE($B306),기본자료!$B$2:$B$1001,0),""))))</f>
        <v/>
      </c>
      <c r="AC306" s="10">
        <f>IF($B306="","",IFERROR(MATCH($B306,인턴근무계획!$D$3:$D$62,0),IFERROR(MATCH($B306&amp;"",인턴근무계획!$D$3:$D$62,0),IFERROR(MATCH(VALUE($B306),인턴근무계획!$D$3:$D$62,0),""))))</f>
        <v/>
      </c>
      <c r="AD306" s="10">
        <f>IF(OR($AC306="",인턴현황!$G$3=""),"",INDEX(인턴근무계획!$M$3:$R$62,$AC306,인턴현황!$G$3)&amp;"")</f>
        <v/>
      </c>
      <c r="AE306" s="10">
        <f>IF($B306="","",IF($M306&lt;&gt;"",$M306,IF($AF306&lt;&gt;"",IF(LEFT(INDEX(파견수련계획!$R$4:$R$83,$AF306),1)&lt;&gt;"⚠",INDEX(파견수련계획!$R$4:$R$83,$AF306),IF($H306="","",IF(RIGHT($H306,2)="병원",$H306,$H306&amp;"병원"))),IF($H306="","",IF(RIGHT($H306,2)="병원",$H306,$H306&amp;"병원")))))</f>
        <v/>
      </c>
      <c r="AF306" s="10">
        <f>IF(OR($B306="",TRIM($J306&amp;"")=""),"",IFERROR(MATCH(TRIM($J306&amp;"")&amp;"|파견중",파견수련계획!$Y$4:$Y$83,0),IFERROR(MATCH(TRIM($J306&amp;"")&amp;"|파견예정",파견수련계획!$Y$4:$Y$83,0),IFERROR(MATCH(TRIM($J306&amp;"")&amp;"|파견종료",파견수련계획!$Y$4:$Y$83,0),""))))</f>
        <v/>
      </c>
      <c r="AG306" s="10">
        <f>IF($B306="","",IF(AND(IF(OR($AC306="",인턴현황!$K$2=""),"",INDEX(인턴근무계획!$M$3:$R$62,$AC306,인턴현황!$K$2)&amp;"")&lt;&gt;"",LEFT(IF(OR($AC306="",인턴현황!$K$2=""),"",INDEX(인턴근무계획!$M$3:$R$62,$AC306,인턴현황!$K$2)&amp;""),1)&lt;&gt;"⚠"),LEFT(IF(OR($AC306="",인턴현황!$K$2=""),"",INDEX(인턴근무계획!$M$3:$R$62,$AC306,인턴현황!$K$2)&amp;""),FIND(" ",IF(OR($AC306="",인턴현황!$K$2=""),"",INDEX(인턴근무계획!$M$3:$R$62,$AC306,인턴현황!$K$2)&amp;""))-1),$AE306))</f>
        <v/>
      </c>
      <c r="AH306" s="17">
        <f>IF($B306="","",IF(TRIM($J306&amp;"")="",0,SUMPRODUCT((파견수련계획!$Q$4:$Q$83=TRIM($J306&amp;""))*(파견수련계획!$S$4:$S$83="서울병원")*파견수련계획!$W$4:$W$83))+IF($AG306="서울병원",MAX(0,DAY(EOMONTH(요약!$B$3,0))-N($X306)),0))</f>
        <v/>
      </c>
      <c r="AI306" s="17">
        <f>IF($B306="","",IF(TRIM($J306&amp;"")="",0,SUMPRODUCT((파견수련계획!$Q$4:$Q$83=TRIM($J306&amp;""))*(파견수련계획!$S$4:$S$83="구리병원")*파견수련계획!$W$4:$W$83))+IF($AG306="구리병원",MAX(0,DAY(EOMONTH(요약!$B$3,0))-N($X306)),0))</f>
        <v/>
      </c>
      <c r="AJ306" s="10">
        <f>IF(OR($B306="",TRIM($J306&amp;"")=""),"",IFERROR(MATCH(TRIM($J306&amp;"")&amp;"|월",파견수련계획!$Z$4:$Z$83,0),""))</f>
        <v/>
      </c>
      <c r="AK306" s="10">
        <f>IF(OR($B306="",TRIM($J306&amp;"")=""),"",IFERROR(MATCH(TRIM($J306&amp;"")&amp;"|다기관",파견수련계획!$AE$4:$AE$83,0),""))</f>
        <v/>
      </c>
      <c r="AL306" s="10">
        <f>IF($AK306="","","다기관 "&amp;TEXT(INDEX(파견수련계획!$AB$4:$AB$83,$AK306),"yyyy-mm-dd")&amp;"~"&amp;IF(ISNUMBER(INDEX(파견수련계획!$AC$4:$AC$83,$AK306)),TEXT(INDEX(파견수련계획!$AC$4:$AC$83,$AK306),"yyyy-mm-dd"),""))</f>
        <v/>
      </c>
    </row>
    <row r="307">
      <c r="A307" s="10">
        <f>IF(B307="","",ROW()-1)</f>
        <v/>
      </c>
      <c r="B307" s="18" t="n"/>
      <c r="C307" s="10">
        <f>IF($AB307="","",IF(INDEX(기본자료!$C$2:$C$1001,$AB307)="","",INDEX(기본자료!$C$2:$C$1001,$AB307)))</f>
        <v/>
      </c>
      <c r="D307" s="10">
        <f>IF($AB307="","",IF(INDEX(기본자료!$J$2:$J$1001,$AB307)="","",INDEX(기본자료!$J$2:$J$1001,$AB307)))</f>
        <v/>
      </c>
      <c r="E307" s="11">
        <f>IF($AB307="","",IF(INDEX(기본자료!$K$2:$K$1001,$AB307)="","",IF(NOT(ISNUMBER(INDEX(기본자료!$K$2:$K$1001,$AB307))),INDEX(기본자료!$K$2:$K$1001,$AB307),IF(INDEX(기본자료!$K$2:$K$1001,$AB307)&lt;1000000,INDEX(기본자료!$K$2:$K$1001,$AB307),IF(AND(INDEX(기본자료!$K$2:$K$1001,$AB307)&gt;=10000101,INT(MOD(INDEX(기본자료!$K$2:$K$1001,$AB307),10000)/100)&gt;=1,INT(MOD(INDEX(기본자료!$K$2:$K$1001,$AB307),10000)/100)&lt;=12,MOD(INDEX(기본자료!$K$2:$K$1001,$AB307),100)&gt;=1,MOD(INDEX(기본자료!$K$2:$K$1001,$AB307),100)&lt;=31),DATE(INT(INDEX(기본자료!$K$2:$K$1001,$AB307)/10000),INT(MOD(INDEX(기본자료!$K$2:$K$1001,$AB307),10000)/100),MOD(INDEX(기본자료!$K$2:$K$1001,$AB307),100)),INDEX(기본자료!$K$2:$K$1001,$AB307)&amp;"")))))</f>
        <v/>
      </c>
      <c r="F307" s="10">
        <f>IF($AB307="","",IF(INDEX(기본자료!$D$2:$D$1001,$AB307)="","",INDEX(기본자료!$D$2:$D$1001,$AB307)))</f>
        <v/>
      </c>
      <c r="G307" s="10">
        <f>IF($AB307="","",IF(INDEX(기본자료!$E$2:$E$1001,$AB307)="","",INDEX(기본자료!$E$2:$E$1001,$AB307)))</f>
        <v/>
      </c>
      <c r="H307" s="10">
        <f>IF($AB307="","",IF(INDEX(기본자료!$F$2:$F$1001,$AB307)="","",INDEX(기본자료!$F$2:$F$1001,$AB307)))</f>
        <v/>
      </c>
      <c r="I307" s="11">
        <f>IF($AB307="","",IF(INDEX(기본자료!$G$2:$G$1001,$AB307)="","",IF(NOT(ISNUMBER(INDEX(기본자료!$G$2:$G$1001,$AB307))),INDEX(기본자료!$G$2:$G$1001,$AB307),IF(INDEX(기본자료!$G$2:$G$1001,$AB307)&lt;1000000,INDEX(기본자료!$G$2:$G$1001,$AB307),IF(AND(INDEX(기본자료!$G$2:$G$1001,$AB307)&gt;=10000101,INT(MOD(INDEX(기본자료!$G$2:$G$1001,$AB307),10000)/100)&gt;=1,INT(MOD(INDEX(기본자료!$G$2:$G$1001,$AB307),10000)/100)&lt;=12,MOD(INDEX(기본자료!$G$2:$G$1001,$AB307),100)&gt;=1,MOD(INDEX(기본자료!$G$2:$G$1001,$AB307),100)&lt;=31),DATE(INT(INDEX(기본자료!$G$2:$G$1001,$AB307)/10000),INT(MOD(INDEX(기본자료!$G$2:$G$1001,$AB307),10000)/100),MOD(INDEX(기본자료!$G$2:$G$1001,$AB307),100)),INDEX(기본자료!$G$2:$G$1001,$AB307)&amp;"")))))</f>
        <v/>
      </c>
      <c r="J307" s="10">
        <f>IF($AB307="","",IF(INDEX(기본자료!$H$2:$H$1001,$AB307)="","",INDEX(기본자료!$H$2:$H$1001,$AB307)))</f>
        <v/>
      </c>
      <c r="K307" s="10">
        <f>IF($AB307="","",IF(INDEX(기본자료!$I$2:$I$1001,$AB307)="","",INDEX(기본자료!$I$2:$I$1001,$AB307)))</f>
        <v/>
      </c>
      <c r="L307" s="10">
        <f>IF($AB307="","",IF(INDEX(기본자료!$A$2:$A$1001,$AB307)="","",INDEX(기본자료!$A$2:$A$1001,$AB307)))</f>
        <v/>
      </c>
      <c r="M307" s="15" t="n"/>
      <c r="N307" s="10">
        <f>IF($B307="","",IF(AND($U307="파견중",$Q307&lt;&gt;""),$Q307,IF(AND($AD307&lt;&gt;"",LEFT($AD307,1)&lt;&gt;"⚠"),LEFT($AD307,FIND(" ",$AD307)-1),IF($H307="","",IF(RIGHT($H307,2)="병원",$H307,$H307&amp;"병원")))))</f>
        <v/>
      </c>
      <c r="O307" s="10">
        <f>IF($B307="","",IF(AND($U307="파견중",$Q307&lt;&gt;""),IF($R307&lt;&gt;"",$R307,"파견과 미입력"),IF(AND($AD307&lt;&gt;"",LEFT($AD307,1)&lt;&gt;"⚠"),MID($AD307,FIND(" ",$AD307)+1,60),IF($F307="","",IF($F307="인턴","수련교육부(인턴)",$F307)))))</f>
        <v/>
      </c>
      <c r="P307" s="10">
        <f>IF($B307="","",IF($AK307&lt;&gt;"",IF(AND(TODAY()&gt;=INDEX(파견수련계획!$AB$4:$AB$83,$AK307),OR(NOT(ISNUMBER(INDEX(파견수련계획!$AC$4:$AC$83,$AK307))),TODAY()&lt;=INDEX(파견수련계획!$AC$4:$AC$83,$AK307))),"다기관",IF($AF307="","",INDEX(파견수련계획!$T$4:$T$83,$AF307))),IF($AF307="","",INDEX(파견수련계획!$T$4:$T$83,$AF307))))</f>
        <v/>
      </c>
      <c r="Q307" s="10">
        <f>IF($AF307="","",INDEX(파견수련계획!$S$4:$S$83,$AF307))</f>
        <v/>
      </c>
      <c r="R307" s="10">
        <f>IF($AF307="","",INDEX(파견수련계획!$U$4:$U$83,$AF307))</f>
        <v/>
      </c>
      <c r="S307" s="11">
        <f>IF($AF307="","",IF(INDEX(파견수련계획!$H$4:$H$83,$AF307)="","",INDEX(파견수련계획!$H$4:$H$83,$AF307)))</f>
        <v/>
      </c>
      <c r="T307" s="11">
        <f>IF($AF307="","",IF(INDEX(파견수련계획!$I$4:$I$83,$AF307)="","",INDEX(파견수련계획!$I$4:$I$83,$AF307)))</f>
        <v/>
      </c>
      <c r="U307" s="10">
        <f>IF($AF307="","",INDEX(파견수련계획!$X$4:$X$83,$AF307))</f>
        <v/>
      </c>
      <c r="V307" s="17">
        <f>IF($AF307="","",INDEX(파견수련계획!$V$4:$V$83,$AF307))</f>
        <v/>
      </c>
      <c r="W307" s="17">
        <f>IF(AND($U307="파견중",$T307&lt;&gt;""),$T307-TODAY(),"")</f>
        <v/>
      </c>
      <c r="X307" s="17">
        <f>IF(OR($B307="",TRIM($J307&amp;"")=""),"",SUMPRODUCT((파견수련계획!$Q$4:$Q$83=TRIM($J307&amp;""))*파견수련계획!$W$4:$W$83))</f>
        <v/>
      </c>
      <c r="Y307" s="10">
        <f>IF($B307="","",IF($AG307="","",IF(IF(TRIM($J307&amp;"")="",0,SUMPRODUCT((파견수련계획!$Q$4:$Q$83=TRIM($J307&amp;""))*파견수련계획!$AD$4:$AD$83))&gt;0,$AE307,IF(N($X307)&lt;=0,$AG307,IF($AH307+$AI307=DAY(EOMONTH(요약!$B$3,0)),IF(AND($AH307&gt;=요약!$E$3,$AI307&lt;요약!$E$3),"서울병원",IF(AND($AI307&gt;=요약!$E$3,$AH307&lt;요약!$E$3),"구리병원","⚠15일 판정불가(서울 "&amp;$AH307&amp;"일/구리 "&amp;$AI307&amp;"일)")),IF($AJ307="",$AE307,IF(INDEX(파견수련계획!$T$4:$T$83,$AJ307)="통합수련",INDEX(파견수련계획!$S$4:$S$83,$AJ307),$AE307)))))))</f>
        <v/>
      </c>
      <c r="Z307" s="19">
        <f>IF($B307="","",IF($AB307="","기본자료에 없는 사번",IF(COUNTIF($B$2:$B$401,$B307)&gt;1,"중복 사번",IF($AE307="","소속(입사장소) 입력",IF(IF(TRIM($J307&amp;"")="",0,SUMPRODUCT((파견수련계획!$Q$4:$Q$83=TRIM($J307&amp;""))*(파견수련계획!$AA$4:$AA$83&lt;&gt;"")))&gt;0,"파견수련계획 입력오류 확인",IF(LEFT($Y307,1)="⚠","서울·구리 15일 판정 불가(양쪽 모두 이상/미만)",IF(IF($AC307="",0,N(INDEX(인턴근무계획!$T$3:$T$62,$AC307)))&gt;0,"인턴계획 입력오류 확인",IF(AND($AC307&lt;&gt;"",$U307&lt;&gt;"파견중",$N307&lt;&gt;$AE307),"인턴 타지역 근무: 파견 여부 확인","정상"))))))))</f>
        <v/>
      </c>
      <c r="AA307" s="5" t="n"/>
      <c r="AB307" s="10">
        <f>IF($B307="","",IFERROR(MATCH($B307,기본자료!$B$2:$B$1001,0),IFERROR(MATCH($B307&amp;"",기본자료!$B$2:$B$1001,0),IFERROR(MATCH(VALUE($B307),기본자료!$B$2:$B$1001,0),""))))</f>
        <v/>
      </c>
      <c r="AC307" s="10">
        <f>IF($B307="","",IFERROR(MATCH($B307,인턴근무계획!$D$3:$D$62,0),IFERROR(MATCH($B307&amp;"",인턴근무계획!$D$3:$D$62,0),IFERROR(MATCH(VALUE($B307),인턴근무계획!$D$3:$D$62,0),""))))</f>
        <v/>
      </c>
      <c r="AD307" s="10">
        <f>IF(OR($AC307="",인턴현황!$G$3=""),"",INDEX(인턴근무계획!$M$3:$R$62,$AC307,인턴현황!$G$3)&amp;"")</f>
        <v/>
      </c>
      <c r="AE307" s="10">
        <f>IF($B307="","",IF($M307&lt;&gt;"",$M307,IF($AF307&lt;&gt;"",IF(LEFT(INDEX(파견수련계획!$R$4:$R$83,$AF307),1)&lt;&gt;"⚠",INDEX(파견수련계획!$R$4:$R$83,$AF307),IF($H307="","",IF(RIGHT($H307,2)="병원",$H307,$H307&amp;"병원"))),IF($H307="","",IF(RIGHT($H307,2)="병원",$H307,$H307&amp;"병원")))))</f>
        <v/>
      </c>
      <c r="AF307" s="10">
        <f>IF(OR($B307="",TRIM($J307&amp;"")=""),"",IFERROR(MATCH(TRIM($J307&amp;"")&amp;"|파견중",파견수련계획!$Y$4:$Y$83,0),IFERROR(MATCH(TRIM($J307&amp;"")&amp;"|파견예정",파견수련계획!$Y$4:$Y$83,0),IFERROR(MATCH(TRIM($J307&amp;"")&amp;"|파견종료",파견수련계획!$Y$4:$Y$83,0),""))))</f>
        <v/>
      </c>
      <c r="AG307" s="10">
        <f>IF($B307="","",IF(AND(IF(OR($AC307="",인턴현황!$K$2=""),"",INDEX(인턴근무계획!$M$3:$R$62,$AC307,인턴현황!$K$2)&amp;"")&lt;&gt;"",LEFT(IF(OR($AC307="",인턴현황!$K$2=""),"",INDEX(인턴근무계획!$M$3:$R$62,$AC307,인턴현황!$K$2)&amp;""),1)&lt;&gt;"⚠"),LEFT(IF(OR($AC307="",인턴현황!$K$2=""),"",INDEX(인턴근무계획!$M$3:$R$62,$AC307,인턴현황!$K$2)&amp;""),FIND(" ",IF(OR($AC307="",인턴현황!$K$2=""),"",INDEX(인턴근무계획!$M$3:$R$62,$AC307,인턴현황!$K$2)&amp;""))-1),$AE307))</f>
        <v/>
      </c>
      <c r="AH307" s="17">
        <f>IF($B307="","",IF(TRIM($J307&amp;"")="",0,SUMPRODUCT((파견수련계획!$Q$4:$Q$83=TRIM($J307&amp;""))*(파견수련계획!$S$4:$S$83="서울병원")*파견수련계획!$W$4:$W$83))+IF($AG307="서울병원",MAX(0,DAY(EOMONTH(요약!$B$3,0))-N($X307)),0))</f>
        <v/>
      </c>
      <c r="AI307" s="17">
        <f>IF($B307="","",IF(TRIM($J307&amp;"")="",0,SUMPRODUCT((파견수련계획!$Q$4:$Q$83=TRIM($J307&amp;""))*(파견수련계획!$S$4:$S$83="구리병원")*파견수련계획!$W$4:$W$83))+IF($AG307="구리병원",MAX(0,DAY(EOMONTH(요약!$B$3,0))-N($X307)),0))</f>
        <v/>
      </c>
      <c r="AJ307" s="10">
        <f>IF(OR($B307="",TRIM($J307&amp;"")=""),"",IFERROR(MATCH(TRIM($J307&amp;"")&amp;"|월",파견수련계획!$Z$4:$Z$83,0),""))</f>
        <v/>
      </c>
      <c r="AK307" s="10">
        <f>IF(OR($B307="",TRIM($J307&amp;"")=""),"",IFERROR(MATCH(TRIM($J307&amp;"")&amp;"|다기관",파견수련계획!$AE$4:$AE$83,0),""))</f>
        <v/>
      </c>
      <c r="AL307" s="10">
        <f>IF($AK307="","","다기관 "&amp;TEXT(INDEX(파견수련계획!$AB$4:$AB$83,$AK307),"yyyy-mm-dd")&amp;"~"&amp;IF(ISNUMBER(INDEX(파견수련계획!$AC$4:$AC$83,$AK307)),TEXT(INDEX(파견수련계획!$AC$4:$AC$83,$AK307),"yyyy-mm-dd"),""))</f>
        <v/>
      </c>
    </row>
    <row r="308">
      <c r="A308" s="10">
        <f>IF(B308="","",ROW()-1)</f>
        <v/>
      </c>
      <c r="B308" s="18" t="n"/>
      <c r="C308" s="10">
        <f>IF($AB308="","",IF(INDEX(기본자료!$C$2:$C$1001,$AB308)="","",INDEX(기본자료!$C$2:$C$1001,$AB308)))</f>
        <v/>
      </c>
      <c r="D308" s="10">
        <f>IF($AB308="","",IF(INDEX(기본자료!$J$2:$J$1001,$AB308)="","",INDEX(기본자료!$J$2:$J$1001,$AB308)))</f>
        <v/>
      </c>
      <c r="E308" s="11">
        <f>IF($AB308="","",IF(INDEX(기본자료!$K$2:$K$1001,$AB308)="","",IF(NOT(ISNUMBER(INDEX(기본자료!$K$2:$K$1001,$AB308))),INDEX(기본자료!$K$2:$K$1001,$AB308),IF(INDEX(기본자료!$K$2:$K$1001,$AB308)&lt;1000000,INDEX(기본자료!$K$2:$K$1001,$AB308),IF(AND(INDEX(기본자료!$K$2:$K$1001,$AB308)&gt;=10000101,INT(MOD(INDEX(기본자료!$K$2:$K$1001,$AB308),10000)/100)&gt;=1,INT(MOD(INDEX(기본자료!$K$2:$K$1001,$AB308),10000)/100)&lt;=12,MOD(INDEX(기본자료!$K$2:$K$1001,$AB308),100)&gt;=1,MOD(INDEX(기본자료!$K$2:$K$1001,$AB308),100)&lt;=31),DATE(INT(INDEX(기본자료!$K$2:$K$1001,$AB308)/10000),INT(MOD(INDEX(기본자료!$K$2:$K$1001,$AB308),10000)/100),MOD(INDEX(기본자료!$K$2:$K$1001,$AB308),100)),INDEX(기본자료!$K$2:$K$1001,$AB308)&amp;"")))))</f>
        <v/>
      </c>
      <c r="F308" s="10">
        <f>IF($AB308="","",IF(INDEX(기본자료!$D$2:$D$1001,$AB308)="","",INDEX(기본자료!$D$2:$D$1001,$AB308)))</f>
        <v/>
      </c>
      <c r="G308" s="10">
        <f>IF($AB308="","",IF(INDEX(기본자료!$E$2:$E$1001,$AB308)="","",INDEX(기본자료!$E$2:$E$1001,$AB308)))</f>
        <v/>
      </c>
      <c r="H308" s="10">
        <f>IF($AB308="","",IF(INDEX(기본자료!$F$2:$F$1001,$AB308)="","",INDEX(기본자료!$F$2:$F$1001,$AB308)))</f>
        <v/>
      </c>
      <c r="I308" s="11">
        <f>IF($AB308="","",IF(INDEX(기본자료!$G$2:$G$1001,$AB308)="","",IF(NOT(ISNUMBER(INDEX(기본자료!$G$2:$G$1001,$AB308))),INDEX(기본자료!$G$2:$G$1001,$AB308),IF(INDEX(기본자료!$G$2:$G$1001,$AB308)&lt;1000000,INDEX(기본자료!$G$2:$G$1001,$AB308),IF(AND(INDEX(기본자료!$G$2:$G$1001,$AB308)&gt;=10000101,INT(MOD(INDEX(기본자료!$G$2:$G$1001,$AB308),10000)/100)&gt;=1,INT(MOD(INDEX(기본자료!$G$2:$G$1001,$AB308),10000)/100)&lt;=12,MOD(INDEX(기본자료!$G$2:$G$1001,$AB308),100)&gt;=1,MOD(INDEX(기본자료!$G$2:$G$1001,$AB308),100)&lt;=31),DATE(INT(INDEX(기본자료!$G$2:$G$1001,$AB308)/10000),INT(MOD(INDEX(기본자료!$G$2:$G$1001,$AB308),10000)/100),MOD(INDEX(기본자료!$G$2:$G$1001,$AB308),100)),INDEX(기본자료!$G$2:$G$1001,$AB308)&amp;"")))))</f>
        <v/>
      </c>
      <c r="J308" s="10">
        <f>IF($AB308="","",IF(INDEX(기본자료!$H$2:$H$1001,$AB308)="","",INDEX(기본자료!$H$2:$H$1001,$AB308)))</f>
        <v/>
      </c>
      <c r="K308" s="10">
        <f>IF($AB308="","",IF(INDEX(기본자료!$I$2:$I$1001,$AB308)="","",INDEX(기본자료!$I$2:$I$1001,$AB308)))</f>
        <v/>
      </c>
      <c r="L308" s="10">
        <f>IF($AB308="","",IF(INDEX(기본자료!$A$2:$A$1001,$AB308)="","",INDEX(기본자료!$A$2:$A$1001,$AB308)))</f>
        <v/>
      </c>
      <c r="M308" s="15" t="n"/>
      <c r="N308" s="10">
        <f>IF($B308="","",IF(AND($U308="파견중",$Q308&lt;&gt;""),$Q308,IF(AND($AD308&lt;&gt;"",LEFT($AD308,1)&lt;&gt;"⚠"),LEFT($AD308,FIND(" ",$AD308)-1),IF($H308="","",IF(RIGHT($H308,2)="병원",$H308,$H308&amp;"병원")))))</f>
        <v/>
      </c>
      <c r="O308" s="10">
        <f>IF($B308="","",IF(AND($U308="파견중",$Q308&lt;&gt;""),IF($R308&lt;&gt;"",$R308,"파견과 미입력"),IF(AND($AD308&lt;&gt;"",LEFT($AD308,1)&lt;&gt;"⚠"),MID($AD308,FIND(" ",$AD308)+1,60),IF($F308="","",IF($F308="인턴","수련교육부(인턴)",$F308)))))</f>
        <v/>
      </c>
      <c r="P308" s="10">
        <f>IF($B308="","",IF($AK308&lt;&gt;"",IF(AND(TODAY()&gt;=INDEX(파견수련계획!$AB$4:$AB$83,$AK308),OR(NOT(ISNUMBER(INDEX(파견수련계획!$AC$4:$AC$83,$AK308))),TODAY()&lt;=INDEX(파견수련계획!$AC$4:$AC$83,$AK308))),"다기관",IF($AF308="","",INDEX(파견수련계획!$T$4:$T$83,$AF308))),IF($AF308="","",INDEX(파견수련계획!$T$4:$T$83,$AF308))))</f>
        <v/>
      </c>
      <c r="Q308" s="10">
        <f>IF($AF308="","",INDEX(파견수련계획!$S$4:$S$83,$AF308))</f>
        <v/>
      </c>
      <c r="R308" s="10">
        <f>IF($AF308="","",INDEX(파견수련계획!$U$4:$U$83,$AF308))</f>
        <v/>
      </c>
      <c r="S308" s="11">
        <f>IF($AF308="","",IF(INDEX(파견수련계획!$H$4:$H$83,$AF308)="","",INDEX(파견수련계획!$H$4:$H$83,$AF308)))</f>
        <v/>
      </c>
      <c r="T308" s="11">
        <f>IF($AF308="","",IF(INDEX(파견수련계획!$I$4:$I$83,$AF308)="","",INDEX(파견수련계획!$I$4:$I$83,$AF308)))</f>
        <v/>
      </c>
      <c r="U308" s="10">
        <f>IF($AF308="","",INDEX(파견수련계획!$X$4:$X$83,$AF308))</f>
        <v/>
      </c>
      <c r="V308" s="17">
        <f>IF($AF308="","",INDEX(파견수련계획!$V$4:$V$83,$AF308))</f>
        <v/>
      </c>
      <c r="W308" s="17">
        <f>IF(AND($U308="파견중",$T308&lt;&gt;""),$T308-TODAY(),"")</f>
        <v/>
      </c>
      <c r="X308" s="17">
        <f>IF(OR($B308="",TRIM($J308&amp;"")=""),"",SUMPRODUCT((파견수련계획!$Q$4:$Q$83=TRIM($J308&amp;""))*파견수련계획!$W$4:$W$83))</f>
        <v/>
      </c>
      <c r="Y308" s="10">
        <f>IF($B308="","",IF($AG308="","",IF(IF(TRIM($J308&amp;"")="",0,SUMPRODUCT((파견수련계획!$Q$4:$Q$83=TRIM($J308&amp;""))*파견수련계획!$AD$4:$AD$83))&gt;0,$AE308,IF(N($X308)&lt;=0,$AG308,IF($AH308+$AI308=DAY(EOMONTH(요약!$B$3,0)),IF(AND($AH308&gt;=요약!$E$3,$AI308&lt;요약!$E$3),"서울병원",IF(AND($AI308&gt;=요약!$E$3,$AH308&lt;요약!$E$3),"구리병원","⚠15일 판정불가(서울 "&amp;$AH308&amp;"일/구리 "&amp;$AI308&amp;"일)")),IF($AJ308="",$AE308,IF(INDEX(파견수련계획!$T$4:$T$83,$AJ308)="통합수련",INDEX(파견수련계획!$S$4:$S$83,$AJ308),$AE308)))))))</f>
        <v/>
      </c>
      <c r="Z308" s="19">
        <f>IF($B308="","",IF($AB308="","기본자료에 없는 사번",IF(COUNTIF($B$2:$B$401,$B308)&gt;1,"중복 사번",IF($AE308="","소속(입사장소) 입력",IF(IF(TRIM($J308&amp;"")="",0,SUMPRODUCT((파견수련계획!$Q$4:$Q$83=TRIM($J308&amp;""))*(파견수련계획!$AA$4:$AA$83&lt;&gt;"")))&gt;0,"파견수련계획 입력오류 확인",IF(LEFT($Y308,1)="⚠","서울·구리 15일 판정 불가(양쪽 모두 이상/미만)",IF(IF($AC308="",0,N(INDEX(인턴근무계획!$T$3:$T$62,$AC308)))&gt;0,"인턴계획 입력오류 확인",IF(AND($AC308&lt;&gt;"",$U308&lt;&gt;"파견중",$N308&lt;&gt;$AE308),"인턴 타지역 근무: 파견 여부 확인","정상"))))))))</f>
        <v/>
      </c>
      <c r="AA308" s="5" t="n"/>
      <c r="AB308" s="10">
        <f>IF($B308="","",IFERROR(MATCH($B308,기본자료!$B$2:$B$1001,0),IFERROR(MATCH($B308&amp;"",기본자료!$B$2:$B$1001,0),IFERROR(MATCH(VALUE($B308),기본자료!$B$2:$B$1001,0),""))))</f>
        <v/>
      </c>
      <c r="AC308" s="10">
        <f>IF($B308="","",IFERROR(MATCH($B308,인턴근무계획!$D$3:$D$62,0),IFERROR(MATCH($B308&amp;"",인턴근무계획!$D$3:$D$62,0),IFERROR(MATCH(VALUE($B308),인턴근무계획!$D$3:$D$62,0),""))))</f>
        <v/>
      </c>
      <c r="AD308" s="10">
        <f>IF(OR($AC308="",인턴현황!$G$3=""),"",INDEX(인턴근무계획!$M$3:$R$62,$AC308,인턴현황!$G$3)&amp;"")</f>
        <v/>
      </c>
      <c r="AE308" s="10">
        <f>IF($B308="","",IF($M308&lt;&gt;"",$M308,IF($AF308&lt;&gt;"",IF(LEFT(INDEX(파견수련계획!$R$4:$R$83,$AF308),1)&lt;&gt;"⚠",INDEX(파견수련계획!$R$4:$R$83,$AF308),IF($H308="","",IF(RIGHT($H308,2)="병원",$H308,$H308&amp;"병원"))),IF($H308="","",IF(RIGHT($H308,2)="병원",$H308,$H308&amp;"병원")))))</f>
        <v/>
      </c>
      <c r="AF308" s="10">
        <f>IF(OR($B308="",TRIM($J308&amp;"")=""),"",IFERROR(MATCH(TRIM($J308&amp;"")&amp;"|파견중",파견수련계획!$Y$4:$Y$83,0),IFERROR(MATCH(TRIM($J308&amp;"")&amp;"|파견예정",파견수련계획!$Y$4:$Y$83,0),IFERROR(MATCH(TRIM($J308&amp;"")&amp;"|파견종료",파견수련계획!$Y$4:$Y$83,0),""))))</f>
        <v/>
      </c>
      <c r="AG308" s="10">
        <f>IF($B308="","",IF(AND(IF(OR($AC308="",인턴현황!$K$2=""),"",INDEX(인턴근무계획!$M$3:$R$62,$AC308,인턴현황!$K$2)&amp;"")&lt;&gt;"",LEFT(IF(OR($AC308="",인턴현황!$K$2=""),"",INDEX(인턴근무계획!$M$3:$R$62,$AC308,인턴현황!$K$2)&amp;""),1)&lt;&gt;"⚠"),LEFT(IF(OR($AC308="",인턴현황!$K$2=""),"",INDEX(인턴근무계획!$M$3:$R$62,$AC308,인턴현황!$K$2)&amp;""),FIND(" ",IF(OR($AC308="",인턴현황!$K$2=""),"",INDEX(인턴근무계획!$M$3:$R$62,$AC308,인턴현황!$K$2)&amp;""))-1),$AE308))</f>
        <v/>
      </c>
      <c r="AH308" s="17">
        <f>IF($B308="","",IF(TRIM($J308&amp;"")="",0,SUMPRODUCT((파견수련계획!$Q$4:$Q$83=TRIM($J308&amp;""))*(파견수련계획!$S$4:$S$83="서울병원")*파견수련계획!$W$4:$W$83))+IF($AG308="서울병원",MAX(0,DAY(EOMONTH(요약!$B$3,0))-N($X308)),0))</f>
        <v/>
      </c>
      <c r="AI308" s="17">
        <f>IF($B308="","",IF(TRIM($J308&amp;"")="",0,SUMPRODUCT((파견수련계획!$Q$4:$Q$83=TRIM($J308&amp;""))*(파견수련계획!$S$4:$S$83="구리병원")*파견수련계획!$W$4:$W$83))+IF($AG308="구리병원",MAX(0,DAY(EOMONTH(요약!$B$3,0))-N($X308)),0))</f>
        <v/>
      </c>
      <c r="AJ308" s="10">
        <f>IF(OR($B308="",TRIM($J308&amp;"")=""),"",IFERROR(MATCH(TRIM($J308&amp;"")&amp;"|월",파견수련계획!$Z$4:$Z$83,0),""))</f>
        <v/>
      </c>
      <c r="AK308" s="10">
        <f>IF(OR($B308="",TRIM($J308&amp;"")=""),"",IFERROR(MATCH(TRIM($J308&amp;"")&amp;"|다기관",파견수련계획!$AE$4:$AE$83,0),""))</f>
        <v/>
      </c>
      <c r="AL308" s="10">
        <f>IF($AK308="","","다기관 "&amp;TEXT(INDEX(파견수련계획!$AB$4:$AB$83,$AK308),"yyyy-mm-dd")&amp;"~"&amp;IF(ISNUMBER(INDEX(파견수련계획!$AC$4:$AC$83,$AK308)),TEXT(INDEX(파견수련계획!$AC$4:$AC$83,$AK308),"yyyy-mm-dd"),""))</f>
        <v/>
      </c>
    </row>
    <row r="309">
      <c r="A309" s="10">
        <f>IF(B309="","",ROW()-1)</f>
        <v/>
      </c>
      <c r="B309" s="18" t="n"/>
      <c r="C309" s="10">
        <f>IF($AB309="","",IF(INDEX(기본자료!$C$2:$C$1001,$AB309)="","",INDEX(기본자료!$C$2:$C$1001,$AB309)))</f>
        <v/>
      </c>
      <c r="D309" s="10">
        <f>IF($AB309="","",IF(INDEX(기본자료!$J$2:$J$1001,$AB309)="","",INDEX(기본자료!$J$2:$J$1001,$AB309)))</f>
        <v/>
      </c>
      <c r="E309" s="11">
        <f>IF($AB309="","",IF(INDEX(기본자료!$K$2:$K$1001,$AB309)="","",IF(NOT(ISNUMBER(INDEX(기본자료!$K$2:$K$1001,$AB309))),INDEX(기본자료!$K$2:$K$1001,$AB309),IF(INDEX(기본자료!$K$2:$K$1001,$AB309)&lt;1000000,INDEX(기본자료!$K$2:$K$1001,$AB309),IF(AND(INDEX(기본자료!$K$2:$K$1001,$AB309)&gt;=10000101,INT(MOD(INDEX(기본자료!$K$2:$K$1001,$AB309),10000)/100)&gt;=1,INT(MOD(INDEX(기본자료!$K$2:$K$1001,$AB309),10000)/100)&lt;=12,MOD(INDEX(기본자료!$K$2:$K$1001,$AB309),100)&gt;=1,MOD(INDEX(기본자료!$K$2:$K$1001,$AB309),100)&lt;=31),DATE(INT(INDEX(기본자료!$K$2:$K$1001,$AB309)/10000),INT(MOD(INDEX(기본자료!$K$2:$K$1001,$AB309),10000)/100),MOD(INDEX(기본자료!$K$2:$K$1001,$AB309),100)),INDEX(기본자료!$K$2:$K$1001,$AB309)&amp;"")))))</f>
        <v/>
      </c>
      <c r="F309" s="10">
        <f>IF($AB309="","",IF(INDEX(기본자료!$D$2:$D$1001,$AB309)="","",INDEX(기본자료!$D$2:$D$1001,$AB309)))</f>
        <v/>
      </c>
      <c r="G309" s="10">
        <f>IF($AB309="","",IF(INDEX(기본자료!$E$2:$E$1001,$AB309)="","",INDEX(기본자료!$E$2:$E$1001,$AB309)))</f>
        <v/>
      </c>
      <c r="H309" s="10">
        <f>IF($AB309="","",IF(INDEX(기본자료!$F$2:$F$1001,$AB309)="","",INDEX(기본자료!$F$2:$F$1001,$AB309)))</f>
        <v/>
      </c>
      <c r="I309" s="11">
        <f>IF($AB309="","",IF(INDEX(기본자료!$G$2:$G$1001,$AB309)="","",IF(NOT(ISNUMBER(INDEX(기본자료!$G$2:$G$1001,$AB309))),INDEX(기본자료!$G$2:$G$1001,$AB309),IF(INDEX(기본자료!$G$2:$G$1001,$AB309)&lt;1000000,INDEX(기본자료!$G$2:$G$1001,$AB309),IF(AND(INDEX(기본자료!$G$2:$G$1001,$AB309)&gt;=10000101,INT(MOD(INDEX(기본자료!$G$2:$G$1001,$AB309),10000)/100)&gt;=1,INT(MOD(INDEX(기본자료!$G$2:$G$1001,$AB309),10000)/100)&lt;=12,MOD(INDEX(기본자료!$G$2:$G$1001,$AB309),100)&gt;=1,MOD(INDEX(기본자료!$G$2:$G$1001,$AB309),100)&lt;=31),DATE(INT(INDEX(기본자료!$G$2:$G$1001,$AB309)/10000),INT(MOD(INDEX(기본자료!$G$2:$G$1001,$AB309),10000)/100),MOD(INDEX(기본자료!$G$2:$G$1001,$AB309),100)),INDEX(기본자료!$G$2:$G$1001,$AB309)&amp;"")))))</f>
        <v/>
      </c>
      <c r="J309" s="10">
        <f>IF($AB309="","",IF(INDEX(기본자료!$H$2:$H$1001,$AB309)="","",INDEX(기본자료!$H$2:$H$1001,$AB309)))</f>
        <v/>
      </c>
      <c r="K309" s="10">
        <f>IF($AB309="","",IF(INDEX(기본자료!$I$2:$I$1001,$AB309)="","",INDEX(기본자료!$I$2:$I$1001,$AB309)))</f>
        <v/>
      </c>
      <c r="L309" s="10">
        <f>IF($AB309="","",IF(INDEX(기본자료!$A$2:$A$1001,$AB309)="","",INDEX(기본자료!$A$2:$A$1001,$AB309)))</f>
        <v/>
      </c>
      <c r="M309" s="15" t="n"/>
      <c r="N309" s="10">
        <f>IF($B309="","",IF(AND($U309="파견중",$Q309&lt;&gt;""),$Q309,IF(AND($AD309&lt;&gt;"",LEFT($AD309,1)&lt;&gt;"⚠"),LEFT($AD309,FIND(" ",$AD309)-1),IF($H309="","",IF(RIGHT($H309,2)="병원",$H309,$H309&amp;"병원")))))</f>
        <v/>
      </c>
      <c r="O309" s="10">
        <f>IF($B309="","",IF(AND($U309="파견중",$Q309&lt;&gt;""),IF($R309&lt;&gt;"",$R309,"파견과 미입력"),IF(AND($AD309&lt;&gt;"",LEFT($AD309,1)&lt;&gt;"⚠"),MID($AD309,FIND(" ",$AD309)+1,60),IF($F309="","",IF($F309="인턴","수련교육부(인턴)",$F309)))))</f>
        <v/>
      </c>
      <c r="P309" s="10">
        <f>IF($B309="","",IF($AK309&lt;&gt;"",IF(AND(TODAY()&gt;=INDEX(파견수련계획!$AB$4:$AB$83,$AK309),OR(NOT(ISNUMBER(INDEX(파견수련계획!$AC$4:$AC$83,$AK309))),TODAY()&lt;=INDEX(파견수련계획!$AC$4:$AC$83,$AK309))),"다기관",IF($AF309="","",INDEX(파견수련계획!$T$4:$T$83,$AF309))),IF($AF309="","",INDEX(파견수련계획!$T$4:$T$83,$AF309))))</f>
        <v/>
      </c>
      <c r="Q309" s="10">
        <f>IF($AF309="","",INDEX(파견수련계획!$S$4:$S$83,$AF309))</f>
        <v/>
      </c>
      <c r="R309" s="10">
        <f>IF($AF309="","",INDEX(파견수련계획!$U$4:$U$83,$AF309))</f>
        <v/>
      </c>
      <c r="S309" s="11">
        <f>IF($AF309="","",IF(INDEX(파견수련계획!$H$4:$H$83,$AF309)="","",INDEX(파견수련계획!$H$4:$H$83,$AF309)))</f>
        <v/>
      </c>
      <c r="T309" s="11">
        <f>IF($AF309="","",IF(INDEX(파견수련계획!$I$4:$I$83,$AF309)="","",INDEX(파견수련계획!$I$4:$I$83,$AF309)))</f>
        <v/>
      </c>
      <c r="U309" s="10">
        <f>IF($AF309="","",INDEX(파견수련계획!$X$4:$X$83,$AF309))</f>
        <v/>
      </c>
      <c r="V309" s="17">
        <f>IF($AF309="","",INDEX(파견수련계획!$V$4:$V$83,$AF309))</f>
        <v/>
      </c>
      <c r="W309" s="17">
        <f>IF(AND($U309="파견중",$T309&lt;&gt;""),$T309-TODAY(),"")</f>
        <v/>
      </c>
      <c r="X309" s="17">
        <f>IF(OR($B309="",TRIM($J309&amp;"")=""),"",SUMPRODUCT((파견수련계획!$Q$4:$Q$83=TRIM($J309&amp;""))*파견수련계획!$W$4:$W$83))</f>
        <v/>
      </c>
      <c r="Y309" s="10">
        <f>IF($B309="","",IF($AG309="","",IF(IF(TRIM($J309&amp;"")="",0,SUMPRODUCT((파견수련계획!$Q$4:$Q$83=TRIM($J309&amp;""))*파견수련계획!$AD$4:$AD$83))&gt;0,$AE309,IF(N($X309)&lt;=0,$AG309,IF($AH309+$AI309=DAY(EOMONTH(요약!$B$3,0)),IF(AND($AH309&gt;=요약!$E$3,$AI309&lt;요약!$E$3),"서울병원",IF(AND($AI309&gt;=요약!$E$3,$AH309&lt;요약!$E$3),"구리병원","⚠15일 판정불가(서울 "&amp;$AH309&amp;"일/구리 "&amp;$AI309&amp;"일)")),IF($AJ309="",$AE309,IF(INDEX(파견수련계획!$T$4:$T$83,$AJ309)="통합수련",INDEX(파견수련계획!$S$4:$S$83,$AJ309),$AE309)))))))</f>
        <v/>
      </c>
      <c r="Z309" s="19">
        <f>IF($B309="","",IF($AB309="","기본자료에 없는 사번",IF(COUNTIF($B$2:$B$401,$B309)&gt;1,"중복 사번",IF($AE309="","소속(입사장소) 입력",IF(IF(TRIM($J309&amp;"")="",0,SUMPRODUCT((파견수련계획!$Q$4:$Q$83=TRIM($J309&amp;""))*(파견수련계획!$AA$4:$AA$83&lt;&gt;"")))&gt;0,"파견수련계획 입력오류 확인",IF(LEFT($Y309,1)="⚠","서울·구리 15일 판정 불가(양쪽 모두 이상/미만)",IF(IF($AC309="",0,N(INDEX(인턴근무계획!$T$3:$T$62,$AC309)))&gt;0,"인턴계획 입력오류 확인",IF(AND($AC309&lt;&gt;"",$U309&lt;&gt;"파견중",$N309&lt;&gt;$AE309),"인턴 타지역 근무: 파견 여부 확인","정상"))))))))</f>
        <v/>
      </c>
      <c r="AA309" s="5" t="n"/>
      <c r="AB309" s="10">
        <f>IF($B309="","",IFERROR(MATCH($B309,기본자료!$B$2:$B$1001,0),IFERROR(MATCH($B309&amp;"",기본자료!$B$2:$B$1001,0),IFERROR(MATCH(VALUE($B309),기본자료!$B$2:$B$1001,0),""))))</f>
        <v/>
      </c>
      <c r="AC309" s="10">
        <f>IF($B309="","",IFERROR(MATCH($B309,인턴근무계획!$D$3:$D$62,0),IFERROR(MATCH($B309&amp;"",인턴근무계획!$D$3:$D$62,0),IFERROR(MATCH(VALUE($B309),인턴근무계획!$D$3:$D$62,0),""))))</f>
        <v/>
      </c>
      <c r="AD309" s="10">
        <f>IF(OR($AC309="",인턴현황!$G$3=""),"",INDEX(인턴근무계획!$M$3:$R$62,$AC309,인턴현황!$G$3)&amp;"")</f>
        <v/>
      </c>
      <c r="AE309" s="10">
        <f>IF($B309="","",IF($M309&lt;&gt;"",$M309,IF($AF309&lt;&gt;"",IF(LEFT(INDEX(파견수련계획!$R$4:$R$83,$AF309),1)&lt;&gt;"⚠",INDEX(파견수련계획!$R$4:$R$83,$AF309),IF($H309="","",IF(RIGHT($H309,2)="병원",$H309,$H309&amp;"병원"))),IF($H309="","",IF(RIGHT($H309,2)="병원",$H309,$H309&amp;"병원")))))</f>
        <v/>
      </c>
      <c r="AF309" s="10">
        <f>IF(OR($B309="",TRIM($J309&amp;"")=""),"",IFERROR(MATCH(TRIM($J309&amp;"")&amp;"|파견중",파견수련계획!$Y$4:$Y$83,0),IFERROR(MATCH(TRIM($J309&amp;"")&amp;"|파견예정",파견수련계획!$Y$4:$Y$83,0),IFERROR(MATCH(TRIM($J309&amp;"")&amp;"|파견종료",파견수련계획!$Y$4:$Y$83,0),""))))</f>
        <v/>
      </c>
      <c r="AG309" s="10">
        <f>IF($B309="","",IF(AND(IF(OR($AC309="",인턴현황!$K$2=""),"",INDEX(인턴근무계획!$M$3:$R$62,$AC309,인턴현황!$K$2)&amp;"")&lt;&gt;"",LEFT(IF(OR($AC309="",인턴현황!$K$2=""),"",INDEX(인턴근무계획!$M$3:$R$62,$AC309,인턴현황!$K$2)&amp;""),1)&lt;&gt;"⚠"),LEFT(IF(OR($AC309="",인턴현황!$K$2=""),"",INDEX(인턴근무계획!$M$3:$R$62,$AC309,인턴현황!$K$2)&amp;""),FIND(" ",IF(OR($AC309="",인턴현황!$K$2=""),"",INDEX(인턴근무계획!$M$3:$R$62,$AC309,인턴현황!$K$2)&amp;""))-1),$AE309))</f>
        <v/>
      </c>
      <c r="AH309" s="17">
        <f>IF($B309="","",IF(TRIM($J309&amp;"")="",0,SUMPRODUCT((파견수련계획!$Q$4:$Q$83=TRIM($J309&amp;""))*(파견수련계획!$S$4:$S$83="서울병원")*파견수련계획!$W$4:$W$83))+IF($AG309="서울병원",MAX(0,DAY(EOMONTH(요약!$B$3,0))-N($X309)),0))</f>
        <v/>
      </c>
      <c r="AI309" s="17">
        <f>IF($B309="","",IF(TRIM($J309&amp;"")="",0,SUMPRODUCT((파견수련계획!$Q$4:$Q$83=TRIM($J309&amp;""))*(파견수련계획!$S$4:$S$83="구리병원")*파견수련계획!$W$4:$W$83))+IF($AG309="구리병원",MAX(0,DAY(EOMONTH(요약!$B$3,0))-N($X309)),0))</f>
        <v/>
      </c>
      <c r="AJ309" s="10">
        <f>IF(OR($B309="",TRIM($J309&amp;"")=""),"",IFERROR(MATCH(TRIM($J309&amp;"")&amp;"|월",파견수련계획!$Z$4:$Z$83,0),""))</f>
        <v/>
      </c>
      <c r="AK309" s="10">
        <f>IF(OR($B309="",TRIM($J309&amp;"")=""),"",IFERROR(MATCH(TRIM($J309&amp;"")&amp;"|다기관",파견수련계획!$AE$4:$AE$83,0),""))</f>
        <v/>
      </c>
      <c r="AL309" s="10">
        <f>IF($AK309="","","다기관 "&amp;TEXT(INDEX(파견수련계획!$AB$4:$AB$83,$AK309),"yyyy-mm-dd")&amp;"~"&amp;IF(ISNUMBER(INDEX(파견수련계획!$AC$4:$AC$83,$AK309)),TEXT(INDEX(파견수련계획!$AC$4:$AC$83,$AK309),"yyyy-mm-dd"),""))</f>
        <v/>
      </c>
    </row>
    <row r="310">
      <c r="A310" s="10">
        <f>IF(B310="","",ROW()-1)</f>
        <v/>
      </c>
      <c r="B310" s="18" t="n"/>
      <c r="C310" s="10">
        <f>IF($AB310="","",IF(INDEX(기본자료!$C$2:$C$1001,$AB310)="","",INDEX(기본자료!$C$2:$C$1001,$AB310)))</f>
        <v/>
      </c>
      <c r="D310" s="10">
        <f>IF($AB310="","",IF(INDEX(기본자료!$J$2:$J$1001,$AB310)="","",INDEX(기본자료!$J$2:$J$1001,$AB310)))</f>
        <v/>
      </c>
      <c r="E310" s="11">
        <f>IF($AB310="","",IF(INDEX(기본자료!$K$2:$K$1001,$AB310)="","",IF(NOT(ISNUMBER(INDEX(기본자료!$K$2:$K$1001,$AB310))),INDEX(기본자료!$K$2:$K$1001,$AB310),IF(INDEX(기본자료!$K$2:$K$1001,$AB310)&lt;1000000,INDEX(기본자료!$K$2:$K$1001,$AB310),IF(AND(INDEX(기본자료!$K$2:$K$1001,$AB310)&gt;=10000101,INT(MOD(INDEX(기본자료!$K$2:$K$1001,$AB310),10000)/100)&gt;=1,INT(MOD(INDEX(기본자료!$K$2:$K$1001,$AB310),10000)/100)&lt;=12,MOD(INDEX(기본자료!$K$2:$K$1001,$AB310),100)&gt;=1,MOD(INDEX(기본자료!$K$2:$K$1001,$AB310),100)&lt;=31),DATE(INT(INDEX(기본자료!$K$2:$K$1001,$AB310)/10000),INT(MOD(INDEX(기본자료!$K$2:$K$1001,$AB310),10000)/100),MOD(INDEX(기본자료!$K$2:$K$1001,$AB310),100)),INDEX(기본자료!$K$2:$K$1001,$AB310)&amp;"")))))</f>
        <v/>
      </c>
      <c r="F310" s="10">
        <f>IF($AB310="","",IF(INDEX(기본자료!$D$2:$D$1001,$AB310)="","",INDEX(기본자료!$D$2:$D$1001,$AB310)))</f>
        <v/>
      </c>
      <c r="G310" s="10">
        <f>IF($AB310="","",IF(INDEX(기본자료!$E$2:$E$1001,$AB310)="","",INDEX(기본자료!$E$2:$E$1001,$AB310)))</f>
        <v/>
      </c>
      <c r="H310" s="10">
        <f>IF($AB310="","",IF(INDEX(기본자료!$F$2:$F$1001,$AB310)="","",INDEX(기본자료!$F$2:$F$1001,$AB310)))</f>
        <v/>
      </c>
      <c r="I310" s="11">
        <f>IF($AB310="","",IF(INDEX(기본자료!$G$2:$G$1001,$AB310)="","",IF(NOT(ISNUMBER(INDEX(기본자료!$G$2:$G$1001,$AB310))),INDEX(기본자료!$G$2:$G$1001,$AB310),IF(INDEX(기본자료!$G$2:$G$1001,$AB310)&lt;1000000,INDEX(기본자료!$G$2:$G$1001,$AB310),IF(AND(INDEX(기본자료!$G$2:$G$1001,$AB310)&gt;=10000101,INT(MOD(INDEX(기본자료!$G$2:$G$1001,$AB310),10000)/100)&gt;=1,INT(MOD(INDEX(기본자료!$G$2:$G$1001,$AB310),10000)/100)&lt;=12,MOD(INDEX(기본자료!$G$2:$G$1001,$AB310),100)&gt;=1,MOD(INDEX(기본자료!$G$2:$G$1001,$AB310),100)&lt;=31),DATE(INT(INDEX(기본자료!$G$2:$G$1001,$AB310)/10000),INT(MOD(INDEX(기본자료!$G$2:$G$1001,$AB310),10000)/100),MOD(INDEX(기본자료!$G$2:$G$1001,$AB310),100)),INDEX(기본자료!$G$2:$G$1001,$AB310)&amp;"")))))</f>
        <v/>
      </c>
      <c r="J310" s="10">
        <f>IF($AB310="","",IF(INDEX(기본자료!$H$2:$H$1001,$AB310)="","",INDEX(기본자료!$H$2:$H$1001,$AB310)))</f>
        <v/>
      </c>
      <c r="K310" s="10">
        <f>IF($AB310="","",IF(INDEX(기본자료!$I$2:$I$1001,$AB310)="","",INDEX(기본자료!$I$2:$I$1001,$AB310)))</f>
        <v/>
      </c>
      <c r="L310" s="10">
        <f>IF($AB310="","",IF(INDEX(기본자료!$A$2:$A$1001,$AB310)="","",INDEX(기본자료!$A$2:$A$1001,$AB310)))</f>
        <v/>
      </c>
      <c r="M310" s="15" t="n"/>
      <c r="N310" s="10">
        <f>IF($B310="","",IF(AND($U310="파견중",$Q310&lt;&gt;""),$Q310,IF(AND($AD310&lt;&gt;"",LEFT($AD310,1)&lt;&gt;"⚠"),LEFT($AD310,FIND(" ",$AD310)-1),IF($H310="","",IF(RIGHT($H310,2)="병원",$H310,$H310&amp;"병원")))))</f>
        <v/>
      </c>
      <c r="O310" s="10">
        <f>IF($B310="","",IF(AND($U310="파견중",$Q310&lt;&gt;""),IF($R310&lt;&gt;"",$R310,"파견과 미입력"),IF(AND($AD310&lt;&gt;"",LEFT($AD310,1)&lt;&gt;"⚠"),MID($AD310,FIND(" ",$AD310)+1,60),IF($F310="","",IF($F310="인턴","수련교육부(인턴)",$F310)))))</f>
        <v/>
      </c>
      <c r="P310" s="10">
        <f>IF($B310="","",IF($AK310&lt;&gt;"",IF(AND(TODAY()&gt;=INDEX(파견수련계획!$AB$4:$AB$83,$AK310),OR(NOT(ISNUMBER(INDEX(파견수련계획!$AC$4:$AC$83,$AK310))),TODAY()&lt;=INDEX(파견수련계획!$AC$4:$AC$83,$AK310))),"다기관",IF($AF310="","",INDEX(파견수련계획!$T$4:$T$83,$AF310))),IF($AF310="","",INDEX(파견수련계획!$T$4:$T$83,$AF310))))</f>
        <v/>
      </c>
      <c r="Q310" s="10">
        <f>IF($AF310="","",INDEX(파견수련계획!$S$4:$S$83,$AF310))</f>
        <v/>
      </c>
      <c r="R310" s="10">
        <f>IF($AF310="","",INDEX(파견수련계획!$U$4:$U$83,$AF310))</f>
        <v/>
      </c>
      <c r="S310" s="11">
        <f>IF($AF310="","",IF(INDEX(파견수련계획!$H$4:$H$83,$AF310)="","",INDEX(파견수련계획!$H$4:$H$83,$AF310)))</f>
        <v/>
      </c>
      <c r="T310" s="11">
        <f>IF($AF310="","",IF(INDEX(파견수련계획!$I$4:$I$83,$AF310)="","",INDEX(파견수련계획!$I$4:$I$83,$AF310)))</f>
        <v/>
      </c>
      <c r="U310" s="10">
        <f>IF($AF310="","",INDEX(파견수련계획!$X$4:$X$83,$AF310))</f>
        <v/>
      </c>
      <c r="V310" s="17">
        <f>IF($AF310="","",INDEX(파견수련계획!$V$4:$V$83,$AF310))</f>
        <v/>
      </c>
      <c r="W310" s="17">
        <f>IF(AND($U310="파견중",$T310&lt;&gt;""),$T310-TODAY(),"")</f>
        <v/>
      </c>
      <c r="X310" s="17">
        <f>IF(OR($B310="",TRIM($J310&amp;"")=""),"",SUMPRODUCT((파견수련계획!$Q$4:$Q$83=TRIM($J310&amp;""))*파견수련계획!$W$4:$W$83))</f>
        <v/>
      </c>
      <c r="Y310" s="10">
        <f>IF($B310="","",IF($AG310="","",IF(IF(TRIM($J310&amp;"")="",0,SUMPRODUCT((파견수련계획!$Q$4:$Q$83=TRIM($J310&amp;""))*파견수련계획!$AD$4:$AD$83))&gt;0,$AE310,IF(N($X310)&lt;=0,$AG310,IF($AH310+$AI310=DAY(EOMONTH(요약!$B$3,0)),IF(AND($AH310&gt;=요약!$E$3,$AI310&lt;요약!$E$3),"서울병원",IF(AND($AI310&gt;=요약!$E$3,$AH310&lt;요약!$E$3),"구리병원","⚠15일 판정불가(서울 "&amp;$AH310&amp;"일/구리 "&amp;$AI310&amp;"일)")),IF($AJ310="",$AE310,IF(INDEX(파견수련계획!$T$4:$T$83,$AJ310)="통합수련",INDEX(파견수련계획!$S$4:$S$83,$AJ310),$AE310)))))))</f>
        <v/>
      </c>
      <c r="Z310" s="19">
        <f>IF($B310="","",IF($AB310="","기본자료에 없는 사번",IF(COUNTIF($B$2:$B$401,$B310)&gt;1,"중복 사번",IF($AE310="","소속(입사장소) 입력",IF(IF(TRIM($J310&amp;"")="",0,SUMPRODUCT((파견수련계획!$Q$4:$Q$83=TRIM($J310&amp;""))*(파견수련계획!$AA$4:$AA$83&lt;&gt;"")))&gt;0,"파견수련계획 입력오류 확인",IF(LEFT($Y310,1)="⚠","서울·구리 15일 판정 불가(양쪽 모두 이상/미만)",IF(IF($AC310="",0,N(INDEX(인턴근무계획!$T$3:$T$62,$AC310)))&gt;0,"인턴계획 입력오류 확인",IF(AND($AC310&lt;&gt;"",$U310&lt;&gt;"파견중",$N310&lt;&gt;$AE310),"인턴 타지역 근무: 파견 여부 확인","정상"))))))))</f>
        <v/>
      </c>
      <c r="AA310" s="5" t="n"/>
      <c r="AB310" s="10">
        <f>IF($B310="","",IFERROR(MATCH($B310,기본자료!$B$2:$B$1001,0),IFERROR(MATCH($B310&amp;"",기본자료!$B$2:$B$1001,0),IFERROR(MATCH(VALUE($B310),기본자료!$B$2:$B$1001,0),""))))</f>
        <v/>
      </c>
      <c r="AC310" s="10">
        <f>IF($B310="","",IFERROR(MATCH($B310,인턴근무계획!$D$3:$D$62,0),IFERROR(MATCH($B310&amp;"",인턴근무계획!$D$3:$D$62,0),IFERROR(MATCH(VALUE($B310),인턴근무계획!$D$3:$D$62,0),""))))</f>
        <v/>
      </c>
      <c r="AD310" s="10">
        <f>IF(OR($AC310="",인턴현황!$G$3=""),"",INDEX(인턴근무계획!$M$3:$R$62,$AC310,인턴현황!$G$3)&amp;"")</f>
        <v/>
      </c>
      <c r="AE310" s="10">
        <f>IF($B310="","",IF($M310&lt;&gt;"",$M310,IF($AF310&lt;&gt;"",IF(LEFT(INDEX(파견수련계획!$R$4:$R$83,$AF310),1)&lt;&gt;"⚠",INDEX(파견수련계획!$R$4:$R$83,$AF310),IF($H310="","",IF(RIGHT($H310,2)="병원",$H310,$H310&amp;"병원"))),IF($H310="","",IF(RIGHT($H310,2)="병원",$H310,$H310&amp;"병원")))))</f>
        <v/>
      </c>
      <c r="AF310" s="10">
        <f>IF(OR($B310="",TRIM($J310&amp;"")=""),"",IFERROR(MATCH(TRIM($J310&amp;"")&amp;"|파견중",파견수련계획!$Y$4:$Y$83,0),IFERROR(MATCH(TRIM($J310&amp;"")&amp;"|파견예정",파견수련계획!$Y$4:$Y$83,0),IFERROR(MATCH(TRIM($J310&amp;"")&amp;"|파견종료",파견수련계획!$Y$4:$Y$83,0),""))))</f>
        <v/>
      </c>
      <c r="AG310" s="10">
        <f>IF($B310="","",IF(AND(IF(OR($AC310="",인턴현황!$K$2=""),"",INDEX(인턴근무계획!$M$3:$R$62,$AC310,인턴현황!$K$2)&amp;"")&lt;&gt;"",LEFT(IF(OR($AC310="",인턴현황!$K$2=""),"",INDEX(인턴근무계획!$M$3:$R$62,$AC310,인턴현황!$K$2)&amp;""),1)&lt;&gt;"⚠"),LEFT(IF(OR($AC310="",인턴현황!$K$2=""),"",INDEX(인턴근무계획!$M$3:$R$62,$AC310,인턴현황!$K$2)&amp;""),FIND(" ",IF(OR($AC310="",인턴현황!$K$2=""),"",INDEX(인턴근무계획!$M$3:$R$62,$AC310,인턴현황!$K$2)&amp;""))-1),$AE310))</f>
        <v/>
      </c>
      <c r="AH310" s="17">
        <f>IF($B310="","",IF(TRIM($J310&amp;"")="",0,SUMPRODUCT((파견수련계획!$Q$4:$Q$83=TRIM($J310&amp;""))*(파견수련계획!$S$4:$S$83="서울병원")*파견수련계획!$W$4:$W$83))+IF($AG310="서울병원",MAX(0,DAY(EOMONTH(요약!$B$3,0))-N($X310)),0))</f>
        <v/>
      </c>
      <c r="AI310" s="17">
        <f>IF($B310="","",IF(TRIM($J310&amp;"")="",0,SUMPRODUCT((파견수련계획!$Q$4:$Q$83=TRIM($J310&amp;""))*(파견수련계획!$S$4:$S$83="구리병원")*파견수련계획!$W$4:$W$83))+IF($AG310="구리병원",MAX(0,DAY(EOMONTH(요약!$B$3,0))-N($X310)),0))</f>
        <v/>
      </c>
      <c r="AJ310" s="10">
        <f>IF(OR($B310="",TRIM($J310&amp;"")=""),"",IFERROR(MATCH(TRIM($J310&amp;"")&amp;"|월",파견수련계획!$Z$4:$Z$83,0),""))</f>
        <v/>
      </c>
      <c r="AK310" s="10">
        <f>IF(OR($B310="",TRIM($J310&amp;"")=""),"",IFERROR(MATCH(TRIM($J310&amp;"")&amp;"|다기관",파견수련계획!$AE$4:$AE$83,0),""))</f>
        <v/>
      </c>
      <c r="AL310" s="10">
        <f>IF($AK310="","","다기관 "&amp;TEXT(INDEX(파견수련계획!$AB$4:$AB$83,$AK310),"yyyy-mm-dd")&amp;"~"&amp;IF(ISNUMBER(INDEX(파견수련계획!$AC$4:$AC$83,$AK310)),TEXT(INDEX(파견수련계획!$AC$4:$AC$83,$AK310),"yyyy-mm-dd"),""))</f>
        <v/>
      </c>
    </row>
    <row r="311">
      <c r="A311" s="10">
        <f>IF(B311="","",ROW()-1)</f>
        <v/>
      </c>
      <c r="B311" s="18" t="n"/>
      <c r="C311" s="10">
        <f>IF($AB311="","",IF(INDEX(기본자료!$C$2:$C$1001,$AB311)="","",INDEX(기본자료!$C$2:$C$1001,$AB311)))</f>
        <v/>
      </c>
      <c r="D311" s="10">
        <f>IF($AB311="","",IF(INDEX(기본자료!$J$2:$J$1001,$AB311)="","",INDEX(기본자료!$J$2:$J$1001,$AB311)))</f>
        <v/>
      </c>
      <c r="E311" s="11">
        <f>IF($AB311="","",IF(INDEX(기본자료!$K$2:$K$1001,$AB311)="","",IF(NOT(ISNUMBER(INDEX(기본자료!$K$2:$K$1001,$AB311))),INDEX(기본자료!$K$2:$K$1001,$AB311),IF(INDEX(기본자료!$K$2:$K$1001,$AB311)&lt;1000000,INDEX(기본자료!$K$2:$K$1001,$AB311),IF(AND(INDEX(기본자료!$K$2:$K$1001,$AB311)&gt;=10000101,INT(MOD(INDEX(기본자료!$K$2:$K$1001,$AB311),10000)/100)&gt;=1,INT(MOD(INDEX(기본자료!$K$2:$K$1001,$AB311),10000)/100)&lt;=12,MOD(INDEX(기본자료!$K$2:$K$1001,$AB311),100)&gt;=1,MOD(INDEX(기본자료!$K$2:$K$1001,$AB311),100)&lt;=31),DATE(INT(INDEX(기본자료!$K$2:$K$1001,$AB311)/10000),INT(MOD(INDEX(기본자료!$K$2:$K$1001,$AB311),10000)/100),MOD(INDEX(기본자료!$K$2:$K$1001,$AB311),100)),INDEX(기본자료!$K$2:$K$1001,$AB311)&amp;"")))))</f>
        <v/>
      </c>
      <c r="F311" s="10">
        <f>IF($AB311="","",IF(INDEX(기본자료!$D$2:$D$1001,$AB311)="","",INDEX(기본자료!$D$2:$D$1001,$AB311)))</f>
        <v/>
      </c>
      <c r="G311" s="10">
        <f>IF($AB311="","",IF(INDEX(기본자료!$E$2:$E$1001,$AB311)="","",INDEX(기본자료!$E$2:$E$1001,$AB311)))</f>
        <v/>
      </c>
      <c r="H311" s="10">
        <f>IF($AB311="","",IF(INDEX(기본자료!$F$2:$F$1001,$AB311)="","",INDEX(기본자료!$F$2:$F$1001,$AB311)))</f>
        <v/>
      </c>
      <c r="I311" s="11">
        <f>IF($AB311="","",IF(INDEX(기본자료!$G$2:$G$1001,$AB311)="","",IF(NOT(ISNUMBER(INDEX(기본자료!$G$2:$G$1001,$AB311))),INDEX(기본자료!$G$2:$G$1001,$AB311),IF(INDEX(기본자료!$G$2:$G$1001,$AB311)&lt;1000000,INDEX(기본자료!$G$2:$G$1001,$AB311),IF(AND(INDEX(기본자료!$G$2:$G$1001,$AB311)&gt;=10000101,INT(MOD(INDEX(기본자료!$G$2:$G$1001,$AB311),10000)/100)&gt;=1,INT(MOD(INDEX(기본자료!$G$2:$G$1001,$AB311),10000)/100)&lt;=12,MOD(INDEX(기본자료!$G$2:$G$1001,$AB311),100)&gt;=1,MOD(INDEX(기본자료!$G$2:$G$1001,$AB311),100)&lt;=31),DATE(INT(INDEX(기본자료!$G$2:$G$1001,$AB311)/10000),INT(MOD(INDEX(기본자료!$G$2:$G$1001,$AB311),10000)/100),MOD(INDEX(기본자료!$G$2:$G$1001,$AB311),100)),INDEX(기본자료!$G$2:$G$1001,$AB311)&amp;"")))))</f>
        <v/>
      </c>
      <c r="J311" s="10">
        <f>IF($AB311="","",IF(INDEX(기본자료!$H$2:$H$1001,$AB311)="","",INDEX(기본자료!$H$2:$H$1001,$AB311)))</f>
        <v/>
      </c>
      <c r="K311" s="10">
        <f>IF($AB311="","",IF(INDEX(기본자료!$I$2:$I$1001,$AB311)="","",INDEX(기본자료!$I$2:$I$1001,$AB311)))</f>
        <v/>
      </c>
      <c r="L311" s="10">
        <f>IF($AB311="","",IF(INDEX(기본자료!$A$2:$A$1001,$AB311)="","",INDEX(기본자료!$A$2:$A$1001,$AB311)))</f>
        <v/>
      </c>
      <c r="M311" s="15" t="n"/>
      <c r="N311" s="10">
        <f>IF($B311="","",IF(AND($U311="파견중",$Q311&lt;&gt;""),$Q311,IF(AND($AD311&lt;&gt;"",LEFT($AD311,1)&lt;&gt;"⚠"),LEFT($AD311,FIND(" ",$AD311)-1),IF($H311="","",IF(RIGHT($H311,2)="병원",$H311,$H311&amp;"병원")))))</f>
        <v/>
      </c>
      <c r="O311" s="10">
        <f>IF($B311="","",IF(AND($U311="파견중",$Q311&lt;&gt;""),IF($R311&lt;&gt;"",$R311,"파견과 미입력"),IF(AND($AD311&lt;&gt;"",LEFT($AD311,1)&lt;&gt;"⚠"),MID($AD311,FIND(" ",$AD311)+1,60),IF($F311="","",IF($F311="인턴","수련교육부(인턴)",$F311)))))</f>
        <v/>
      </c>
      <c r="P311" s="10">
        <f>IF($B311="","",IF($AK311&lt;&gt;"",IF(AND(TODAY()&gt;=INDEX(파견수련계획!$AB$4:$AB$83,$AK311),OR(NOT(ISNUMBER(INDEX(파견수련계획!$AC$4:$AC$83,$AK311))),TODAY()&lt;=INDEX(파견수련계획!$AC$4:$AC$83,$AK311))),"다기관",IF($AF311="","",INDEX(파견수련계획!$T$4:$T$83,$AF311))),IF($AF311="","",INDEX(파견수련계획!$T$4:$T$83,$AF311))))</f>
        <v/>
      </c>
      <c r="Q311" s="10">
        <f>IF($AF311="","",INDEX(파견수련계획!$S$4:$S$83,$AF311))</f>
        <v/>
      </c>
      <c r="R311" s="10">
        <f>IF($AF311="","",INDEX(파견수련계획!$U$4:$U$83,$AF311))</f>
        <v/>
      </c>
      <c r="S311" s="11">
        <f>IF($AF311="","",IF(INDEX(파견수련계획!$H$4:$H$83,$AF311)="","",INDEX(파견수련계획!$H$4:$H$83,$AF311)))</f>
        <v/>
      </c>
      <c r="T311" s="11">
        <f>IF($AF311="","",IF(INDEX(파견수련계획!$I$4:$I$83,$AF311)="","",INDEX(파견수련계획!$I$4:$I$83,$AF311)))</f>
        <v/>
      </c>
      <c r="U311" s="10">
        <f>IF($AF311="","",INDEX(파견수련계획!$X$4:$X$83,$AF311))</f>
        <v/>
      </c>
      <c r="V311" s="17">
        <f>IF($AF311="","",INDEX(파견수련계획!$V$4:$V$83,$AF311))</f>
        <v/>
      </c>
      <c r="W311" s="17">
        <f>IF(AND($U311="파견중",$T311&lt;&gt;""),$T311-TODAY(),"")</f>
        <v/>
      </c>
      <c r="X311" s="17">
        <f>IF(OR($B311="",TRIM($J311&amp;"")=""),"",SUMPRODUCT((파견수련계획!$Q$4:$Q$83=TRIM($J311&amp;""))*파견수련계획!$W$4:$W$83))</f>
        <v/>
      </c>
      <c r="Y311" s="10">
        <f>IF($B311="","",IF($AG311="","",IF(IF(TRIM($J311&amp;"")="",0,SUMPRODUCT((파견수련계획!$Q$4:$Q$83=TRIM($J311&amp;""))*파견수련계획!$AD$4:$AD$83))&gt;0,$AE311,IF(N($X311)&lt;=0,$AG311,IF($AH311+$AI311=DAY(EOMONTH(요약!$B$3,0)),IF(AND($AH311&gt;=요약!$E$3,$AI311&lt;요약!$E$3),"서울병원",IF(AND($AI311&gt;=요약!$E$3,$AH311&lt;요약!$E$3),"구리병원","⚠15일 판정불가(서울 "&amp;$AH311&amp;"일/구리 "&amp;$AI311&amp;"일)")),IF($AJ311="",$AE311,IF(INDEX(파견수련계획!$T$4:$T$83,$AJ311)="통합수련",INDEX(파견수련계획!$S$4:$S$83,$AJ311),$AE311)))))))</f>
        <v/>
      </c>
      <c r="Z311" s="19">
        <f>IF($B311="","",IF($AB311="","기본자료에 없는 사번",IF(COUNTIF($B$2:$B$401,$B311)&gt;1,"중복 사번",IF($AE311="","소속(입사장소) 입력",IF(IF(TRIM($J311&amp;"")="",0,SUMPRODUCT((파견수련계획!$Q$4:$Q$83=TRIM($J311&amp;""))*(파견수련계획!$AA$4:$AA$83&lt;&gt;"")))&gt;0,"파견수련계획 입력오류 확인",IF(LEFT($Y311,1)="⚠","서울·구리 15일 판정 불가(양쪽 모두 이상/미만)",IF(IF($AC311="",0,N(INDEX(인턴근무계획!$T$3:$T$62,$AC311)))&gt;0,"인턴계획 입력오류 확인",IF(AND($AC311&lt;&gt;"",$U311&lt;&gt;"파견중",$N311&lt;&gt;$AE311),"인턴 타지역 근무: 파견 여부 확인","정상"))))))))</f>
        <v/>
      </c>
      <c r="AA311" s="5" t="n"/>
      <c r="AB311" s="10">
        <f>IF($B311="","",IFERROR(MATCH($B311,기본자료!$B$2:$B$1001,0),IFERROR(MATCH($B311&amp;"",기본자료!$B$2:$B$1001,0),IFERROR(MATCH(VALUE($B311),기본자료!$B$2:$B$1001,0),""))))</f>
        <v/>
      </c>
      <c r="AC311" s="10">
        <f>IF($B311="","",IFERROR(MATCH($B311,인턴근무계획!$D$3:$D$62,0),IFERROR(MATCH($B311&amp;"",인턴근무계획!$D$3:$D$62,0),IFERROR(MATCH(VALUE($B311),인턴근무계획!$D$3:$D$62,0),""))))</f>
        <v/>
      </c>
      <c r="AD311" s="10">
        <f>IF(OR($AC311="",인턴현황!$G$3=""),"",INDEX(인턴근무계획!$M$3:$R$62,$AC311,인턴현황!$G$3)&amp;"")</f>
        <v/>
      </c>
      <c r="AE311" s="10">
        <f>IF($B311="","",IF($M311&lt;&gt;"",$M311,IF($AF311&lt;&gt;"",IF(LEFT(INDEX(파견수련계획!$R$4:$R$83,$AF311),1)&lt;&gt;"⚠",INDEX(파견수련계획!$R$4:$R$83,$AF311),IF($H311="","",IF(RIGHT($H311,2)="병원",$H311,$H311&amp;"병원"))),IF($H311="","",IF(RIGHT($H311,2)="병원",$H311,$H311&amp;"병원")))))</f>
        <v/>
      </c>
      <c r="AF311" s="10">
        <f>IF(OR($B311="",TRIM($J311&amp;"")=""),"",IFERROR(MATCH(TRIM($J311&amp;"")&amp;"|파견중",파견수련계획!$Y$4:$Y$83,0),IFERROR(MATCH(TRIM($J311&amp;"")&amp;"|파견예정",파견수련계획!$Y$4:$Y$83,0),IFERROR(MATCH(TRIM($J311&amp;"")&amp;"|파견종료",파견수련계획!$Y$4:$Y$83,0),""))))</f>
        <v/>
      </c>
      <c r="AG311" s="10">
        <f>IF($B311="","",IF(AND(IF(OR($AC311="",인턴현황!$K$2=""),"",INDEX(인턴근무계획!$M$3:$R$62,$AC311,인턴현황!$K$2)&amp;"")&lt;&gt;"",LEFT(IF(OR($AC311="",인턴현황!$K$2=""),"",INDEX(인턴근무계획!$M$3:$R$62,$AC311,인턴현황!$K$2)&amp;""),1)&lt;&gt;"⚠"),LEFT(IF(OR($AC311="",인턴현황!$K$2=""),"",INDEX(인턴근무계획!$M$3:$R$62,$AC311,인턴현황!$K$2)&amp;""),FIND(" ",IF(OR($AC311="",인턴현황!$K$2=""),"",INDEX(인턴근무계획!$M$3:$R$62,$AC311,인턴현황!$K$2)&amp;""))-1),$AE311))</f>
        <v/>
      </c>
      <c r="AH311" s="17">
        <f>IF($B311="","",IF(TRIM($J311&amp;"")="",0,SUMPRODUCT((파견수련계획!$Q$4:$Q$83=TRIM($J311&amp;""))*(파견수련계획!$S$4:$S$83="서울병원")*파견수련계획!$W$4:$W$83))+IF($AG311="서울병원",MAX(0,DAY(EOMONTH(요약!$B$3,0))-N($X311)),0))</f>
        <v/>
      </c>
      <c r="AI311" s="17">
        <f>IF($B311="","",IF(TRIM($J311&amp;"")="",0,SUMPRODUCT((파견수련계획!$Q$4:$Q$83=TRIM($J311&amp;""))*(파견수련계획!$S$4:$S$83="구리병원")*파견수련계획!$W$4:$W$83))+IF($AG311="구리병원",MAX(0,DAY(EOMONTH(요약!$B$3,0))-N($X311)),0))</f>
        <v/>
      </c>
      <c r="AJ311" s="10">
        <f>IF(OR($B311="",TRIM($J311&amp;"")=""),"",IFERROR(MATCH(TRIM($J311&amp;"")&amp;"|월",파견수련계획!$Z$4:$Z$83,0),""))</f>
        <v/>
      </c>
      <c r="AK311" s="10">
        <f>IF(OR($B311="",TRIM($J311&amp;"")=""),"",IFERROR(MATCH(TRIM($J311&amp;"")&amp;"|다기관",파견수련계획!$AE$4:$AE$83,0),""))</f>
        <v/>
      </c>
      <c r="AL311" s="10">
        <f>IF($AK311="","","다기관 "&amp;TEXT(INDEX(파견수련계획!$AB$4:$AB$83,$AK311),"yyyy-mm-dd")&amp;"~"&amp;IF(ISNUMBER(INDEX(파견수련계획!$AC$4:$AC$83,$AK311)),TEXT(INDEX(파견수련계획!$AC$4:$AC$83,$AK311),"yyyy-mm-dd"),""))</f>
        <v/>
      </c>
    </row>
    <row r="312">
      <c r="A312" s="10">
        <f>IF(B312="","",ROW()-1)</f>
        <v/>
      </c>
      <c r="B312" s="18" t="n"/>
      <c r="C312" s="10">
        <f>IF($AB312="","",IF(INDEX(기본자료!$C$2:$C$1001,$AB312)="","",INDEX(기본자료!$C$2:$C$1001,$AB312)))</f>
        <v/>
      </c>
      <c r="D312" s="10">
        <f>IF($AB312="","",IF(INDEX(기본자료!$J$2:$J$1001,$AB312)="","",INDEX(기본자료!$J$2:$J$1001,$AB312)))</f>
        <v/>
      </c>
      <c r="E312" s="11">
        <f>IF($AB312="","",IF(INDEX(기본자료!$K$2:$K$1001,$AB312)="","",IF(NOT(ISNUMBER(INDEX(기본자료!$K$2:$K$1001,$AB312))),INDEX(기본자료!$K$2:$K$1001,$AB312),IF(INDEX(기본자료!$K$2:$K$1001,$AB312)&lt;1000000,INDEX(기본자료!$K$2:$K$1001,$AB312),IF(AND(INDEX(기본자료!$K$2:$K$1001,$AB312)&gt;=10000101,INT(MOD(INDEX(기본자료!$K$2:$K$1001,$AB312),10000)/100)&gt;=1,INT(MOD(INDEX(기본자료!$K$2:$K$1001,$AB312),10000)/100)&lt;=12,MOD(INDEX(기본자료!$K$2:$K$1001,$AB312),100)&gt;=1,MOD(INDEX(기본자료!$K$2:$K$1001,$AB312),100)&lt;=31),DATE(INT(INDEX(기본자료!$K$2:$K$1001,$AB312)/10000),INT(MOD(INDEX(기본자료!$K$2:$K$1001,$AB312),10000)/100),MOD(INDEX(기본자료!$K$2:$K$1001,$AB312),100)),INDEX(기본자료!$K$2:$K$1001,$AB312)&amp;"")))))</f>
        <v/>
      </c>
      <c r="F312" s="10">
        <f>IF($AB312="","",IF(INDEX(기본자료!$D$2:$D$1001,$AB312)="","",INDEX(기본자료!$D$2:$D$1001,$AB312)))</f>
        <v/>
      </c>
      <c r="G312" s="10">
        <f>IF($AB312="","",IF(INDEX(기본자료!$E$2:$E$1001,$AB312)="","",INDEX(기본자료!$E$2:$E$1001,$AB312)))</f>
        <v/>
      </c>
      <c r="H312" s="10">
        <f>IF($AB312="","",IF(INDEX(기본자료!$F$2:$F$1001,$AB312)="","",INDEX(기본자료!$F$2:$F$1001,$AB312)))</f>
        <v/>
      </c>
      <c r="I312" s="11">
        <f>IF($AB312="","",IF(INDEX(기본자료!$G$2:$G$1001,$AB312)="","",IF(NOT(ISNUMBER(INDEX(기본자료!$G$2:$G$1001,$AB312))),INDEX(기본자료!$G$2:$G$1001,$AB312),IF(INDEX(기본자료!$G$2:$G$1001,$AB312)&lt;1000000,INDEX(기본자료!$G$2:$G$1001,$AB312),IF(AND(INDEX(기본자료!$G$2:$G$1001,$AB312)&gt;=10000101,INT(MOD(INDEX(기본자료!$G$2:$G$1001,$AB312),10000)/100)&gt;=1,INT(MOD(INDEX(기본자료!$G$2:$G$1001,$AB312),10000)/100)&lt;=12,MOD(INDEX(기본자료!$G$2:$G$1001,$AB312),100)&gt;=1,MOD(INDEX(기본자료!$G$2:$G$1001,$AB312),100)&lt;=31),DATE(INT(INDEX(기본자료!$G$2:$G$1001,$AB312)/10000),INT(MOD(INDEX(기본자료!$G$2:$G$1001,$AB312),10000)/100),MOD(INDEX(기본자료!$G$2:$G$1001,$AB312),100)),INDEX(기본자료!$G$2:$G$1001,$AB312)&amp;"")))))</f>
        <v/>
      </c>
      <c r="J312" s="10">
        <f>IF($AB312="","",IF(INDEX(기본자료!$H$2:$H$1001,$AB312)="","",INDEX(기본자료!$H$2:$H$1001,$AB312)))</f>
        <v/>
      </c>
      <c r="K312" s="10">
        <f>IF($AB312="","",IF(INDEX(기본자료!$I$2:$I$1001,$AB312)="","",INDEX(기본자료!$I$2:$I$1001,$AB312)))</f>
        <v/>
      </c>
      <c r="L312" s="10">
        <f>IF($AB312="","",IF(INDEX(기본자료!$A$2:$A$1001,$AB312)="","",INDEX(기본자료!$A$2:$A$1001,$AB312)))</f>
        <v/>
      </c>
      <c r="M312" s="15" t="n"/>
      <c r="N312" s="10">
        <f>IF($B312="","",IF(AND($U312="파견중",$Q312&lt;&gt;""),$Q312,IF(AND($AD312&lt;&gt;"",LEFT($AD312,1)&lt;&gt;"⚠"),LEFT($AD312,FIND(" ",$AD312)-1),IF($H312="","",IF(RIGHT($H312,2)="병원",$H312,$H312&amp;"병원")))))</f>
        <v/>
      </c>
      <c r="O312" s="10">
        <f>IF($B312="","",IF(AND($U312="파견중",$Q312&lt;&gt;""),IF($R312&lt;&gt;"",$R312,"파견과 미입력"),IF(AND($AD312&lt;&gt;"",LEFT($AD312,1)&lt;&gt;"⚠"),MID($AD312,FIND(" ",$AD312)+1,60),IF($F312="","",IF($F312="인턴","수련교육부(인턴)",$F312)))))</f>
        <v/>
      </c>
      <c r="P312" s="10">
        <f>IF($B312="","",IF($AK312&lt;&gt;"",IF(AND(TODAY()&gt;=INDEX(파견수련계획!$AB$4:$AB$83,$AK312),OR(NOT(ISNUMBER(INDEX(파견수련계획!$AC$4:$AC$83,$AK312))),TODAY()&lt;=INDEX(파견수련계획!$AC$4:$AC$83,$AK312))),"다기관",IF($AF312="","",INDEX(파견수련계획!$T$4:$T$83,$AF312))),IF($AF312="","",INDEX(파견수련계획!$T$4:$T$83,$AF312))))</f>
        <v/>
      </c>
      <c r="Q312" s="10">
        <f>IF($AF312="","",INDEX(파견수련계획!$S$4:$S$83,$AF312))</f>
        <v/>
      </c>
      <c r="R312" s="10">
        <f>IF($AF312="","",INDEX(파견수련계획!$U$4:$U$83,$AF312))</f>
        <v/>
      </c>
      <c r="S312" s="11">
        <f>IF($AF312="","",IF(INDEX(파견수련계획!$H$4:$H$83,$AF312)="","",INDEX(파견수련계획!$H$4:$H$83,$AF312)))</f>
        <v/>
      </c>
      <c r="T312" s="11">
        <f>IF($AF312="","",IF(INDEX(파견수련계획!$I$4:$I$83,$AF312)="","",INDEX(파견수련계획!$I$4:$I$83,$AF312)))</f>
        <v/>
      </c>
      <c r="U312" s="10">
        <f>IF($AF312="","",INDEX(파견수련계획!$X$4:$X$83,$AF312))</f>
        <v/>
      </c>
      <c r="V312" s="17">
        <f>IF($AF312="","",INDEX(파견수련계획!$V$4:$V$83,$AF312))</f>
        <v/>
      </c>
      <c r="W312" s="17">
        <f>IF(AND($U312="파견중",$T312&lt;&gt;""),$T312-TODAY(),"")</f>
        <v/>
      </c>
      <c r="X312" s="17">
        <f>IF(OR($B312="",TRIM($J312&amp;"")=""),"",SUMPRODUCT((파견수련계획!$Q$4:$Q$83=TRIM($J312&amp;""))*파견수련계획!$W$4:$W$83))</f>
        <v/>
      </c>
      <c r="Y312" s="10">
        <f>IF($B312="","",IF($AG312="","",IF(IF(TRIM($J312&amp;"")="",0,SUMPRODUCT((파견수련계획!$Q$4:$Q$83=TRIM($J312&amp;""))*파견수련계획!$AD$4:$AD$83))&gt;0,$AE312,IF(N($X312)&lt;=0,$AG312,IF($AH312+$AI312=DAY(EOMONTH(요약!$B$3,0)),IF(AND($AH312&gt;=요약!$E$3,$AI312&lt;요약!$E$3),"서울병원",IF(AND($AI312&gt;=요약!$E$3,$AH312&lt;요약!$E$3),"구리병원","⚠15일 판정불가(서울 "&amp;$AH312&amp;"일/구리 "&amp;$AI312&amp;"일)")),IF($AJ312="",$AE312,IF(INDEX(파견수련계획!$T$4:$T$83,$AJ312)="통합수련",INDEX(파견수련계획!$S$4:$S$83,$AJ312),$AE312)))))))</f>
        <v/>
      </c>
      <c r="Z312" s="19">
        <f>IF($B312="","",IF($AB312="","기본자료에 없는 사번",IF(COUNTIF($B$2:$B$401,$B312)&gt;1,"중복 사번",IF($AE312="","소속(입사장소) 입력",IF(IF(TRIM($J312&amp;"")="",0,SUMPRODUCT((파견수련계획!$Q$4:$Q$83=TRIM($J312&amp;""))*(파견수련계획!$AA$4:$AA$83&lt;&gt;"")))&gt;0,"파견수련계획 입력오류 확인",IF(LEFT($Y312,1)="⚠","서울·구리 15일 판정 불가(양쪽 모두 이상/미만)",IF(IF($AC312="",0,N(INDEX(인턴근무계획!$T$3:$T$62,$AC312)))&gt;0,"인턴계획 입력오류 확인",IF(AND($AC312&lt;&gt;"",$U312&lt;&gt;"파견중",$N312&lt;&gt;$AE312),"인턴 타지역 근무: 파견 여부 확인","정상"))))))))</f>
        <v/>
      </c>
      <c r="AA312" s="5" t="n"/>
      <c r="AB312" s="10">
        <f>IF($B312="","",IFERROR(MATCH($B312,기본자료!$B$2:$B$1001,0),IFERROR(MATCH($B312&amp;"",기본자료!$B$2:$B$1001,0),IFERROR(MATCH(VALUE($B312),기본자료!$B$2:$B$1001,0),""))))</f>
        <v/>
      </c>
      <c r="AC312" s="10">
        <f>IF($B312="","",IFERROR(MATCH($B312,인턴근무계획!$D$3:$D$62,0),IFERROR(MATCH($B312&amp;"",인턴근무계획!$D$3:$D$62,0),IFERROR(MATCH(VALUE($B312),인턴근무계획!$D$3:$D$62,0),""))))</f>
        <v/>
      </c>
      <c r="AD312" s="10">
        <f>IF(OR($AC312="",인턴현황!$G$3=""),"",INDEX(인턴근무계획!$M$3:$R$62,$AC312,인턴현황!$G$3)&amp;"")</f>
        <v/>
      </c>
      <c r="AE312" s="10">
        <f>IF($B312="","",IF($M312&lt;&gt;"",$M312,IF($AF312&lt;&gt;"",IF(LEFT(INDEX(파견수련계획!$R$4:$R$83,$AF312),1)&lt;&gt;"⚠",INDEX(파견수련계획!$R$4:$R$83,$AF312),IF($H312="","",IF(RIGHT($H312,2)="병원",$H312,$H312&amp;"병원"))),IF($H312="","",IF(RIGHT($H312,2)="병원",$H312,$H312&amp;"병원")))))</f>
        <v/>
      </c>
      <c r="AF312" s="10">
        <f>IF(OR($B312="",TRIM($J312&amp;"")=""),"",IFERROR(MATCH(TRIM($J312&amp;"")&amp;"|파견중",파견수련계획!$Y$4:$Y$83,0),IFERROR(MATCH(TRIM($J312&amp;"")&amp;"|파견예정",파견수련계획!$Y$4:$Y$83,0),IFERROR(MATCH(TRIM($J312&amp;"")&amp;"|파견종료",파견수련계획!$Y$4:$Y$83,0),""))))</f>
        <v/>
      </c>
      <c r="AG312" s="10">
        <f>IF($B312="","",IF(AND(IF(OR($AC312="",인턴현황!$K$2=""),"",INDEX(인턴근무계획!$M$3:$R$62,$AC312,인턴현황!$K$2)&amp;"")&lt;&gt;"",LEFT(IF(OR($AC312="",인턴현황!$K$2=""),"",INDEX(인턴근무계획!$M$3:$R$62,$AC312,인턴현황!$K$2)&amp;""),1)&lt;&gt;"⚠"),LEFT(IF(OR($AC312="",인턴현황!$K$2=""),"",INDEX(인턴근무계획!$M$3:$R$62,$AC312,인턴현황!$K$2)&amp;""),FIND(" ",IF(OR($AC312="",인턴현황!$K$2=""),"",INDEX(인턴근무계획!$M$3:$R$62,$AC312,인턴현황!$K$2)&amp;""))-1),$AE312))</f>
        <v/>
      </c>
      <c r="AH312" s="17">
        <f>IF($B312="","",IF(TRIM($J312&amp;"")="",0,SUMPRODUCT((파견수련계획!$Q$4:$Q$83=TRIM($J312&amp;""))*(파견수련계획!$S$4:$S$83="서울병원")*파견수련계획!$W$4:$W$83))+IF($AG312="서울병원",MAX(0,DAY(EOMONTH(요약!$B$3,0))-N($X312)),0))</f>
        <v/>
      </c>
      <c r="AI312" s="17">
        <f>IF($B312="","",IF(TRIM($J312&amp;"")="",0,SUMPRODUCT((파견수련계획!$Q$4:$Q$83=TRIM($J312&amp;""))*(파견수련계획!$S$4:$S$83="구리병원")*파견수련계획!$W$4:$W$83))+IF($AG312="구리병원",MAX(0,DAY(EOMONTH(요약!$B$3,0))-N($X312)),0))</f>
        <v/>
      </c>
      <c r="AJ312" s="10">
        <f>IF(OR($B312="",TRIM($J312&amp;"")=""),"",IFERROR(MATCH(TRIM($J312&amp;"")&amp;"|월",파견수련계획!$Z$4:$Z$83,0),""))</f>
        <v/>
      </c>
      <c r="AK312" s="10">
        <f>IF(OR($B312="",TRIM($J312&amp;"")=""),"",IFERROR(MATCH(TRIM($J312&amp;"")&amp;"|다기관",파견수련계획!$AE$4:$AE$83,0),""))</f>
        <v/>
      </c>
      <c r="AL312" s="10">
        <f>IF($AK312="","","다기관 "&amp;TEXT(INDEX(파견수련계획!$AB$4:$AB$83,$AK312),"yyyy-mm-dd")&amp;"~"&amp;IF(ISNUMBER(INDEX(파견수련계획!$AC$4:$AC$83,$AK312)),TEXT(INDEX(파견수련계획!$AC$4:$AC$83,$AK312),"yyyy-mm-dd"),""))</f>
        <v/>
      </c>
    </row>
    <row r="313">
      <c r="A313" s="10">
        <f>IF(B313="","",ROW()-1)</f>
        <v/>
      </c>
      <c r="B313" s="18" t="n"/>
      <c r="C313" s="10">
        <f>IF($AB313="","",IF(INDEX(기본자료!$C$2:$C$1001,$AB313)="","",INDEX(기본자료!$C$2:$C$1001,$AB313)))</f>
        <v/>
      </c>
      <c r="D313" s="10">
        <f>IF($AB313="","",IF(INDEX(기본자료!$J$2:$J$1001,$AB313)="","",INDEX(기본자료!$J$2:$J$1001,$AB313)))</f>
        <v/>
      </c>
      <c r="E313" s="11">
        <f>IF($AB313="","",IF(INDEX(기본자료!$K$2:$K$1001,$AB313)="","",IF(NOT(ISNUMBER(INDEX(기본자료!$K$2:$K$1001,$AB313))),INDEX(기본자료!$K$2:$K$1001,$AB313),IF(INDEX(기본자료!$K$2:$K$1001,$AB313)&lt;1000000,INDEX(기본자료!$K$2:$K$1001,$AB313),IF(AND(INDEX(기본자료!$K$2:$K$1001,$AB313)&gt;=10000101,INT(MOD(INDEX(기본자료!$K$2:$K$1001,$AB313),10000)/100)&gt;=1,INT(MOD(INDEX(기본자료!$K$2:$K$1001,$AB313),10000)/100)&lt;=12,MOD(INDEX(기본자료!$K$2:$K$1001,$AB313),100)&gt;=1,MOD(INDEX(기본자료!$K$2:$K$1001,$AB313),100)&lt;=31),DATE(INT(INDEX(기본자료!$K$2:$K$1001,$AB313)/10000),INT(MOD(INDEX(기본자료!$K$2:$K$1001,$AB313),10000)/100),MOD(INDEX(기본자료!$K$2:$K$1001,$AB313),100)),INDEX(기본자료!$K$2:$K$1001,$AB313)&amp;"")))))</f>
        <v/>
      </c>
      <c r="F313" s="10">
        <f>IF($AB313="","",IF(INDEX(기본자료!$D$2:$D$1001,$AB313)="","",INDEX(기본자료!$D$2:$D$1001,$AB313)))</f>
        <v/>
      </c>
      <c r="G313" s="10">
        <f>IF($AB313="","",IF(INDEX(기본자료!$E$2:$E$1001,$AB313)="","",INDEX(기본자료!$E$2:$E$1001,$AB313)))</f>
        <v/>
      </c>
      <c r="H313" s="10">
        <f>IF($AB313="","",IF(INDEX(기본자료!$F$2:$F$1001,$AB313)="","",INDEX(기본자료!$F$2:$F$1001,$AB313)))</f>
        <v/>
      </c>
      <c r="I313" s="11">
        <f>IF($AB313="","",IF(INDEX(기본자료!$G$2:$G$1001,$AB313)="","",IF(NOT(ISNUMBER(INDEX(기본자료!$G$2:$G$1001,$AB313))),INDEX(기본자료!$G$2:$G$1001,$AB313),IF(INDEX(기본자료!$G$2:$G$1001,$AB313)&lt;1000000,INDEX(기본자료!$G$2:$G$1001,$AB313),IF(AND(INDEX(기본자료!$G$2:$G$1001,$AB313)&gt;=10000101,INT(MOD(INDEX(기본자료!$G$2:$G$1001,$AB313),10000)/100)&gt;=1,INT(MOD(INDEX(기본자료!$G$2:$G$1001,$AB313),10000)/100)&lt;=12,MOD(INDEX(기본자료!$G$2:$G$1001,$AB313),100)&gt;=1,MOD(INDEX(기본자료!$G$2:$G$1001,$AB313),100)&lt;=31),DATE(INT(INDEX(기본자료!$G$2:$G$1001,$AB313)/10000),INT(MOD(INDEX(기본자료!$G$2:$G$1001,$AB313),10000)/100),MOD(INDEX(기본자료!$G$2:$G$1001,$AB313),100)),INDEX(기본자료!$G$2:$G$1001,$AB313)&amp;"")))))</f>
        <v/>
      </c>
      <c r="J313" s="10">
        <f>IF($AB313="","",IF(INDEX(기본자료!$H$2:$H$1001,$AB313)="","",INDEX(기본자료!$H$2:$H$1001,$AB313)))</f>
        <v/>
      </c>
      <c r="K313" s="10">
        <f>IF($AB313="","",IF(INDEX(기본자료!$I$2:$I$1001,$AB313)="","",INDEX(기본자료!$I$2:$I$1001,$AB313)))</f>
        <v/>
      </c>
      <c r="L313" s="10">
        <f>IF($AB313="","",IF(INDEX(기본자료!$A$2:$A$1001,$AB313)="","",INDEX(기본자료!$A$2:$A$1001,$AB313)))</f>
        <v/>
      </c>
      <c r="M313" s="15" t="n"/>
      <c r="N313" s="10">
        <f>IF($B313="","",IF(AND($U313="파견중",$Q313&lt;&gt;""),$Q313,IF(AND($AD313&lt;&gt;"",LEFT($AD313,1)&lt;&gt;"⚠"),LEFT($AD313,FIND(" ",$AD313)-1),IF($H313="","",IF(RIGHT($H313,2)="병원",$H313,$H313&amp;"병원")))))</f>
        <v/>
      </c>
      <c r="O313" s="10">
        <f>IF($B313="","",IF(AND($U313="파견중",$Q313&lt;&gt;""),IF($R313&lt;&gt;"",$R313,"파견과 미입력"),IF(AND($AD313&lt;&gt;"",LEFT($AD313,1)&lt;&gt;"⚠"),MID($AD313,FIND(" ",$AD313)+1,60),IF($F313="","",IF($F313="인턴","수련교육부(인턴)",$F313)))))</f>
        <v/>
      </c>
      <c r="P313" s="10">
        <f>IF($B313="","",IF($AK313&lt;&gt;"",IF(AND(TODAY()&gt;=INDEX(파견수련계획!$AB$4:$AB$83,$AK313),OR(NOT(ISNUMBER(INDEX(파견수련계획!$AC$4:$AC$83,$AK313))),TODAY()&lt;=INDEX(파견수련계획!$AC$4:$AC$83,$AK313))),"다기관",IF($AF313="","",INDEX(파견수련계획!$T$4:$T$83,$AF313))),IF($AF313="","",INDEX(파견수련계획!$T$4:$T$83,$AF313))))</f>
        <v/>
      </c>
      <c r="Q313" s="10">
        <f>IF($AF313="","",INDEX(파견수련계획!$S$4:$S$83,$AF313))</f>
        <v/>
      </c>
      <c r="R313" s="10">
        <f>IF($AF313="","",INDEX(파견수련계획!$U$4:$U$83,$AF313))</f>
        <v/>
      </c>
      <c r="S313" s="11">
        <f>IF($AF313="","",IF(INDEX(파견수련계획!$H$4:$H$83,$AF313)="","",INDEX(파견수련계획!$H$4:$H$83,$AF313)))</f>
        <v/>
      </c>
      <c r="T313" s="11">
        <f>IF($AF313="","",IF(INDEX(파견수련계획!$I$4:$I$83,$AF313)="","",INDEX(파견수련계획!$I$4:$I$83,$AF313)))</f>
        <v/>
      </c>
      <c r="U313" s="10">
        <f>IF($AF313="","",INDEX(파견수련계획!$X$4:$X$83,$AF313))</f>
        <v/>
      </c>
      <c r="V313" s="17">
        <f>IF($AF313="","",INDEX(파견수련계획!$V$4:$V$83,$AF313))</f>
        <v/>
      </c>
      <c r="W313" s="17">
        <f>IF(AND($U313="파견중",$T313&lt;&gt;""),$T313-TODAY(),"")</f>
        <v/>
      </c>
      <c r="X313" s="17">
        <f>IF(OR($B313="",TRIM($J313&amp;"")=""),"",SUMPRODUCT((파견수련계획!$Q$4:$Q$83=TRIM($J313&amp;""))*파견수련계획!$W$4:$W$83))</f>
        <v/>
      </c>
      <c r="Y313" s="10">
        <f>IF($B313="","",IF($AG313="","",IF(IF(TRIM($J313&amp;"")="",0,SUMPRODUCT((파견수련계획!$Q$4:$Q$83=TRIM($J313&amp;""))*파견수련계획!$AD$4:$AD$83))&gt;0,$AE313,IF(N($X313)&lt;=0,$AG313,IF($AH313+$AI313=DAY(EOMONTH(요약!$B$3,0)),IF(AND($AH313&gt;=요약!$E$3,$AI313&lt;요약!$E$3),"서울병원",IF(AND($AI313&gt;=요약!$E$3,$AH313&lt;요약!$E$3),"구리병원","⚠15일 판정불가(서울 "&amp;$AH313&amp;"일/구리 "&amp;$AI313&amp;"일)")),IF($AJ313="",$AE313,IF(INDEX(파견수련계획!$T$4:$T$83,$AJ313)="통합수련",INDEX(파견수련계획!$S$4:$S$83,$AJ313),$AE313)))))))</f>
        <v/>
      </c>
      <c r="Z313" s="19">
        <f>IF($B313="","",IF($AB313="","기본자료에 없는 사번",IF(COUNTIF($B$2:$B$401,$B313)&gt;1,"중복 사번",IF($AE313="","소속(입사장소) 입력",IF(IF(TRIM($J313&amp;"")="",0,SUMPRODUCT((파견수련계획!$Q$4:$Q$83=TRIM($J313&amp;""))*(파견수련계획!$AA$4:$AA$83&lt;&gt;"")))&gt;0,"파견수련계획 입력오류 확인",IF(LEFT($Y313,1)="⚠","서울·구리 15일 판정 불가(양쪽 모두 이상/미만)",IF(IF($AC313="",0,N(INDEX(인턴근무계획!$T$3:$T$62,$AC313)))&gt;0,"인턴계획 입력오류 확인",IF(AND($AC313&lt;&gt;"",$U313&lt;&gt;"파견중",$N313&lt;&gt;$AE313),"인턴 타지역 근무: 파견 여부 확인","정상"))))))))</f>
        <v/>
      </c>
      <c r="AA313" s="5" t="n"/>
      <c r="AB313" s="10">
        <f>IF($B313="","",IFERROR(MATCH($B313,기본자료!$B$2:$B$1001,0),IFERROR(MATCH($B313&amp;"",기본자료!$B$2:$B$1001,0),IFERROR(MATCH(VALUE($B313),기본자료!$B$2:$B$1001,0),""))))</f>
        <v/>
      </c>
      <c r="AC313" s="10">
        <f>IF($B313="","",IFERROR(MATCH($B313,인턴근무계획!$D$3:$D$62,0),IFERROR(MATCH($B313&amp;"",인턴근무계획!$D$3:$D$62,0),IFERROR(MATCH(VALUE($B313),인턴근무계획!$D$3:$D$62,0),""))))</f>
        <v/>
      </c>
      <c r="AD313" s="10">
        <f>IF(OR($AC313="",인턴현황!$G$3=""),"",INDEX(인턴근무계획!$M$3:$R$62,$AC313,인턴현황!$G$3)&amp;"")</f>
        <v/>
      </c>
      <c r="AE313" s="10">
        <f>IF($B313="","",IF($M313&lt;&gt;"",$M313,IF($AF313&lt;&gt;"",IF(LEFT(INDEX(파견수련계획!$R$4:$R$83,$AF313),1)&lt;&gt;"⚠",INDEX(파견수련계획!$R$4:$R$83,$AF313),IF($H313="","",IF(RIGHT($H313,2)="병원",$H313,$H313&amp;"병원"))),IF($H313="","",IF(RIGHT($H313,2)="병원",$H313,$H313&amp;"병원")))))</f>
        <v/>
      </c>
      <c r="AF313" s="10">
        <f>IF(OR($B313="",TRIM($J313&amp;"")=""),"",IFERROR(MATCH(TRIM($J313&amp;"")&amp;"|파견중",파견수련계획!$Y$4:$Y$83,0),IFERROR(MATCH(TRIM($J313&amp;"")&amp;"|파견예정",파견수련계획!$Y$4:$Y$83,0),IFERROR(MATCH(TRIM($J313&amp;"")&amp;"|파견종료",파견수련계획!$Y$4:$Y$83,0),""))))</f>
        <v/>
      </c>
      <c r="AG313" s="10">
        <f>IF($B313="","",IF(AND(IF(OR($AC313="",인턴현황!$K$2=""),"",INDEX(인턴근무계획!$M$3:$R$62,$AC313,인턴현황!$K$2)&amp;"")&lt;&gt;"",LEFT(IF(OR($AC313="",인턴현황!$K$2=""),"",INDEX(인턴근무계획!$M$3:$R$62,$AC313,인턴현황!$K$2)&amp;""),1)&lt;&gt;"⚠"),LEFT(IF(OR($AC313="",인턴현황!$K$2=""),"",INDEX(인턴근무계획!$M$3:$R$62,$AC313,인턴현황!$K$2)&amp;""),FIND(" ",IF(OR($AC313="",인턴현황!$K$2=""),"",INDEX(인턴근무계획!$M$3:$R$62,$AC313,인턴현황!$K$2)&amp;""))-1),$AE313))</f>
        <v/>
      </c>
      <c r="AH313" s="17">
        <f>IF($B313="","",IF(TRIM($J313&amp;"")="",0,SUMPRODUCT((파견수련계획!$Q$4:$Q$83=TRIM($J313&amp;""))*(파견수련계획!$S$4:$S$83="서울병원")*파견수련계획!$W$4:$W$83))+IF($AG313="서울병원",MAX(0,DAY(EOMONTH(요약!$B$3,0))-N($X313)),0))</f>
        <v/>
      </c>
      <c r="AI313" s="17">
        <f>IF($B313="","",IF(TRIM($J313&amp;"")="",0,SUMPRODUCT((파견수련계획!$Q$4:$Q$83=TRIM($J313&amp;""))*(파견수련계획!$S$4:$S$83="구리병원")*파견수련계획!$W$4:$W$83))+IF($AG313="구리병원",MAX(0,DAY(EOMONTH(요약!$B$3,0))-N($X313)),0))</f>
        <v/>
      </c>
      <c r="AJ313" s="10">
        <f>IF(OR($B313="",TRIM($J313&amp;"")=""),"",IFERROR(MATCH(TRIM($J313&amp;"")&amp;"|월",파견수련계획!$Z$4:$Z$83,0),""))</f>
        <v/>
      </c>
      <c r="AK313" s="10">
        <f>IF(OR($B313="",TRIM($J313&amp;"")=""),"",IFERROR(MATCH(TRIM($J313&amp;"")&amp;"|다기관",파견수련계획!$AE$4:$AE$83,0),""))</f>
        <v/>
      </c>
      <c r="AL313" s="10">
        <f>IF($AK313="","","다기관 "&amp;TEXT(INDEX(파견수련계획!$AB$4:$AB$83,$AK313),"yyyy-mm-dd")&amp;"~"&amp;IF(ISNUMBER(INDEX(파견수련계획!$AC$4:$AC$83,$AK313)),TEXT(INDEX(파견수련계획!$AC$4:$AC$83,$AK313),"yyyy-mm-dd"),""))</f>
        <v/>
      </c>
    </row>
    <row r="314">
      <c r="A314" s="10">
        <f>IF(B314="","",ROW()-1)</f>
        <v/>
      </c>
      <c r="B314" s="18" t="n"/>
      <c r="C314" s="10">
        <f>IF($AB314="","",IF(INDEX(기본자료!$C$2:$C$1001,$AB314)="","",INDEX(기본자료!$C$2:$C$1001,$AB314)))</f>
        <v/>
      </c>
      <c r="D314" s="10">
        <f>IF($AB314="","",IF(INDEX(기본자료!$J$2:$J$1001,$AB314)="","",INDEX(기본자료!$J$2:$J$1001,$AB314)))</f>
        <v/>
      </c>
      <c r="E314" s="11">
        <f>IF($AB314="","",IF(INDEX(기본자료!$K$2:$K$1001,$AB314)="","",IF(NOT(ISNUMBER(INDEX(기본자료!$K$2:$K$1001,$AB314))),INDEX(기본자료!$K$2:$K$1001,$AB314),IF(INDEX(기본자료!$K$2:$K$1001,$AB314)&lt;1000000,INDEX(기본자료!$K$2:$K$1001,$AB314),IF(AND(INDEX(기본자료!$K$2:$K$1001,$AB314)&gt;=10000101,INT(MOD(INDEX(기본자료!$K$2:$K$1001,$AB314),10000)/100)&gt;=1,INT(MOD(INDEX(기본자료!$K$2:$K$1001,$AB314),10000)/100)&lt;=12,MOD(INDEX(기본자료!$K$2:$K$1001,$AB314),100)&gt;=1,MOD(INDEX(기본자료!$K$2:$K$1001,$AB314),100)&lt;=31),DATE(INT(INDEX(기본자료!$K$2:$K$1001,$AB314)/10000),INT(MOD(INDEX(기본자료!$K$2:$K$1001,$AB314),10000)/100),MOD(INDEX(기본자료!$K$2:$K$1001,$AB314),100)),INDEX(기본자료!$K$2:$K$1001,$AB314)&amp;"")))))</f>
        <v/>
      </c>
      <c r="F314" s="10">
        <f>IF($AB314="","",IF(INDEX(기본자료!$D$2:$D$1001,$AB314)="","",INDEX(기본자료!$D$2:$D$1001,$AB314)))</f>
        <v/>
      </c>
      <c r="G314" s="10">
        <f>IF($AB314="","",IF(INDEX(기본자료!$E$2:$E$1001,$AB314)="","",INDEX(기본자료!$E$2:$E$1001,$AB314)))</f>
        <v/>
      </c>
      <c r="H314" s="10">
        <f>IF($AB314="","",IF(INDEX(기본자료!$F$2:$F$1001,$AB314)="","",INDEX(기본자료!$F$2:$F$1001,$AB314)))</f>
        <v/>
      </c>
      <c r="I314" s="11">
        <f>IF($AB314="","",IF(INDEX(기본자료!$G$2:$G$1001,$AB314)="","",IF(NOT(ISNUMBER(INDEX(기본자료!$G$2:$G$1001,$AB314))),INDEX(기본자료!$G$2:$G$1001,$AB314),IF(INDEX(기본자료!$G$2:$G$1001,$AB314)&lt;1000000,INDEX(기본자료!$G$2:$G$1001,$AB314),IF(AND(INDEX(기본자료!$G$2:$G$1001,$AB314)&gt;=10000101,INT(MOD(INDEX(기본자료!$G$2:$G$1001,$AB314),10000)/100)&gt;=1,INT(MOD(INDEX(기본자료!$G$2:$G$1001,$AB314),10000)/100)&lt;=12,MOD(INDEX(기본자료!$G$2:$G$1001,$AB314),100)&gt;=1,MOD(INDEX(기본자료!$G$2:$G$1001,$AB314),100)&lt;=31),DATE(INT(INDEX(기본자료!$G$2:$G$1001,$AB314)/10000),INT(MOD(INDEX(기본자료!$G$2:$G$1001,$AB314),10000)/100),MOD(INDEX(기본자료!$G$2:$G$1001,$AB314),100)),INDEX(기본자료!$G$2:$G$1001,$AB314)&amp;"")))))</f>
        <v/>
      </c>
      <c r="J314" s="10">
        <f>IF($AB314="","",IF(INDEX(기본자료!$H$2:$H$1001,$AB314)="","",INDEX(기본자료!$H$2:$H$1001,$AB314)))</f>
        <v/>
      </c>
      <c r="K314" s="10">
        <f>IF($AB314="","",IF(INDEX(기본자료!$I$2:$I$1001,$AB314)="","",INDEX(기본자료!$I$2:$I$1001,$AB314)))</f>
        <v/>
      </c>
      <c r="L314" s="10">
        <f>IF($AB314="","",IF(INDEX(기본자료!$A$2:$A$1001,$AB314)="","",INDEX(기본자료!$A$2:$A$1001,$AB314)))</f>
        <v/>
      </c>
      <c r="M314" s="15" t="n"/>
      <c r="N314" s="10">
        <f>IF($B314="","",IF(AND($U314="파견중",$Q314&lt;&gt;""),$Q314,IF(AND($AD314&lt;&gt;"",LEFT($AD314,1)&lt;&gt;"⚠"),LEFT($AD314,FIND(" ",$AD314)-1),IF($H314="","",IF(RIGHT($H314,2)="병원",$H314,$H314&amp;"병원")))))</f>
        <v/>
      </c>
      <c r="O314" s="10">
        <f>IF($B314="","",IF(AND($U314="파견중",$Q314&lt;&gt;""),IF($R314&lt;&gt;"",$R314,"파견과 미입력"),IF(AND($AD314&lt;&gt;"",LEFT($AD314,1)&lt;&gt;"⚠"),MID($AD314,FIND(" ",$AD314)+1,60),IF($F314="","",IF($F314="인턴","수련교육부(인턴)",$F314)))))</f>
        <v/>
      </c>
      <c r="P314" s="10">
        <f>IF($B314="","",IF($AK314&lt;&gt;"",IF(AND(TODAY()&gt;=INDEX(파견수련계획!$AB$4:$AB$83,$AK314),OR(NOT(ISNUMBER(INDEX(파견수련계획!$AC$4:$AC$83,$AK314))),TODAY()&lt;=INDEX(파견수련계획!$AC$4:$AC$83,$AK314))),"다기관",IF($AF314="","",INDEX(파견수련계획!$T$4:$T$83,$AF314))),IF($AF314="","",INDEX(파견수련계획!$T$4:$T$83,$AF314))))</f>
        <v/>
      </c>
      <c r="Q314" s="10">
        <f>IF($AF314="","",INDEX(파견수련계획!$S$4:$S$83,$AF314))</f>
        <v/>
      </c>
      <c r="R314" s="10">
        <f>IF($AF314="","",INDEX(파견수련계획!$U$4:$U$83,$AF314))</f>
        <v/>
      </c>
      <c r="S314" s="11">
        <f>IF($AF314="","",IF(INDEX(파견수련계획!$H$4:$H$83,$AF314)="","",INDEX(파견수련계획!$H$4:$H$83,$AF314)))</f>
        <v/>
      </c>
      <c r="T314" s="11">
        <f>IF($AF314="","",IF(INDEX(파견수련계획!$I$4:$I$83,$AF314)="","",INDEX(파견수련계획!$I$4:$I$83,$AF314)))</f>
        <v/>
      </c>
      <c r="U314" s="10">
        <f>IF($AF314="","",INDEX(파견수련계획!$X$4:$X$83,$AF314))</f>
        <v/>
      </c>
      <c r="V314" s="17">
        <f>IF($AF314="","",INDEX(파견수련계획!$V$4:$V$83,$AF314))</f>
        <v/>
      </c>
      <c r="W314" s="17">
        <f>IF(AND($U314="파견중",$T314&lt;&gt;""),$T314-TODAY(),"")</f>
        <v/>
      </c>
      <c r="X314" s="17">
        <f>IF(OR($B314="",TRIM($J314&amp;"")=""),"",SUMPRODUCT((파견수련계획!$Q$4:$Q$83=TRIM($J314&amp;""))*파견수련계획!$W$4:$W$83))</f>
        <v/>
      </c>
      <c r="Y314" s="10">
        <f>IF($B314="","",IF($AG314="","",IF(IF(TRIM($J314&amp;"")="",0,SUMPRODUCT((파견수련계획!$Q$4:$Q$83=TRIM($J314&amp;""))*파견수련계획!$AD$4:$AD$83))&gt;0,$AE314,IF(N($X314)&lt;=0,$AG314,IF($AH314+$AI314=DAY(EOMONTH(요약!$B$3,0)),IF(AND($AH314&gt;=요약!$E$3,$AI314&lt;요약!$E$3),"서울병원",IF(AND($AI314&gt;=요약!$E$3,$AH314&lt;요약!$E$3),"구리병원","⚠15일 판정불가(서울 "&amp;$AH314&amp;"일/구리 "&amp;$AI314&amp;"일)")),IF($AJ314="",$AE314,IF(INDEX(파견수련계획!$T$4:$T$83,$AJ314)="통합수련",INDEX(파견수련계획!$S$4:$S$83,$AJ314),$AE314)))))))</f>
        <v/>
      </c>
      <c r="Z314" s="19">
        <f>IF($B314="","",IF($AB314="","기본자료에 없는 사번",IF(COUNTIF($B$2:$B$401,$B314)&gt;1,"중복 사번",IF($AE314="","소속(입사장소) 입력",IF(IF(TRIM($J314&amp;"")="",0,SUMPRODUCT((파견수련계획!$Q$4:$Q$83=TRIM($J314&amp;""))*(파견수련계획!$AA$4:$AA$83&lt;&gt;"")))&gt;0,"파견수련계획 입력오류 확인",IF(LEFT($Y314,1)="⚠","서울·구리 15일 판정 불가(양쪽 모두 이상/미만)",IF(IF($AC314="",0,N(INDEX(인턴근무계획!$T$3:$T$62,$AC314)))&gt;0,"인턴계획 입력오류 확인",IF(AND($AC314&lt;&gt;"",$U314&lt;&gt;"파견중",$N314&lt;&gt;$AE314),"인턴 타지역 근무: 파견 여부 확인","정상"))))))))</f>
        <v/>
      </c>
      <c r="AA314" s="5" t="n"/>
      <c r="AB314" s="10">
        <f>IF($B314="","",IFERROR(MATCH($B314,기본자료!$B$2:$B$1001,0),IFERROR(MATCH($B314&amp;"",기본자료!$B$2:$B$1001,0),IFERROR(MATCH(VALUE($B314),기본자료!$B$2:$B$1001,0),""))))</f>
        <v/>
      </c>
      <c r="AC314" s="10">
        <f>IF($B314="","",IFERROR(MATCH($B314,인턴근무계획!$D$3:$D$62,0),IFERROR(MATCH($B314&amp;"",인턴근무계획!$D$3:$D$62,0),IFERROR(MATCH(VALUE($B314),인턴근무계획!$D$3:$D$62,0),""))))</f>
        <v/>
      </c>
      <c r="AD314" s="10">
        <f>IF(OR($AC314="",인턴현황!$G$3=""),"",INDEX(인턴근무계획!$M$3:$R$62,$AC314,인턴현황!$G$3)&amp;"")</f>
        <v/>
      </c>
      <c r="AE314" s="10">
        <f>IF($B314="","",IF($M314&lt;&gt;"",$M314,IF($AF314&lt;&gt;"",IF(LEFT(INDEX(파견수련계획!$R$4:$R$83,$AF314),1)&lt;&gt;"⚠",INDEX(파견수련계획!$R$4:$R$83,$AF314),IF($H314="","",IF(RIGHT($H314,2)="병원",$H314,$H314&amp;"병원"))),IF($H314="","",IF(RIGHT($H314,2)="병원",$H314,$H314&amp;"병원")))))</f>
        <v/>
      </c>
      <c r="AF314" s="10">
        <f>IF(OR($B314="",TRIM($J314&amp;"")=""),"",IFERROR(MATCH(TRIM($J314&amp;"")&amp;"|파견중",파견수련계획!$Y$4:$Y$83,0),IFERROR(MATCH(TRIM($J314&amp;"")&amp;"|파견예정",파견수련계획!$Y$4:$Y$83,0),IFERROR(MATCH(TRIM($J314&amp;"")&amp;"|파견종료",파견수련계획!$Y$4:$Y$83,0),""))))</f>
        <v/>
      </c>
      <c r="AG314" s="10">
        <f>IF($B314="","",IF(AND(IF(OR($AC314="",인턴현황!$K$2=""),"",INDEX(인턴근무계획!$M$3:$R$62,$AC314,인턴현황!$K$2)&amp;"")&lt;&gt;"",LEFT(IF(OR($AC314="",인턴현황!$K$2=""),"",INDEX(인턴근무계획!$M$3:$R$62,$AC314,인턴현황!$K$2)&amp;""),1)&lt;&gt;"⚠"),LEFT(IF(OR($AC314="",인턴현황!$K$2=""),"",INDEX(인턴근무계획!$M$3:$R$62,$AC314,인턴현황!$K$2)&amp;""),FIND(" ",IF(OR($AC314="",인턴현황!$K$2=""),"",INDEX(인턴근무계획!$M$3:$R$62,$AC314,인턴현황!$K$2)&amp;""))-1),$AE314))</f>
        <v/>
      </c>
      <c r="AH314" s="17">
        <f>IF($B314="","",IF(TRIM($J314&amp;"")="",0,SUMPRODUCT((파견수련계획!$Q$4:$Q$83=TRIM($J314&amp;""))*(파견수련계획!$S$4:$S$83="서울병원")*파견수련계획!$W$4:$W$83))+IF($AG314="서울병원",MAX(0,DAY(EOMONTH(요약!$B$3,0))-N($X314)),0))</f>
        <v/>
      </c>
      <c r="AI314" s="17">
        <f>IF($B314="","",IF(TRIM($J314&amp;"")="",0,SUMPRODUCT((파견수련계획!$Q$4:$Q$83=TRIM($J314&amp;""))*(파견수련계획!$S$4:$S$83="구리병원")*파견수련계획!$W$4:$W$83))+IF($AG314="구리병원",MAX(0,DAY(EOMONTH(요약!$B$3,0))-N($X314)),0))</f>
        <v/>
      </c>
      <c r="AJ314" s="10">
        <f>IF(OR($B314="",TRIM($J314&amp;"")=""),"",IFERROR(MATCH(TRIM($J314&amp;"")&amp;"|월",파견수련계획!$Z$4:$Z$83,0),""))</f>
        <v/>
      </c>
      <c r="AK314" s="10">
        <f>IF(OR($B314="",TRIM($J314&amp;"")=""),"",IFERROR(MATCH(TRIM($J314&amp;"")&amp;"|다기관",파견수련계획!$AE$4:$AE$83,0),""))</f>
        <v/>
      </c>
      <c r="AL314" s="10">
        <f>IF($AK314="","","다기관 "&amp;TEXT(INDEX(파견수련계획!$AB$4:$AB$83,$AK314),"yyyy-mm-dd")&amp;"~"&amp;IF(ISNUMBER(INDEX(파견수련계획!$AC$4:$AC$83,$AK314)),TEXT(INDEX(파견수련계획!$AC$4:$AC$83,$AK314),"yyyy-mm-dd"),""))</f>
        <v/>
      </c>
    </row>
    <row r="315">
      <c r="A315" s="10">
        <f>IF(B315="","",ROW()-1)</f>
        <v/>
      </c>
      <c r="B315" s="18" t="n"/>
      <c r="C315" s="10">
        <f>IF($AB315="","",IF(INDEX(기본자료!$C$2:$C$1001,$AB315)="","",INDEX(기본자료!$C$2:$C$1001,$AB315)))</f>
        <v/>
      </c>
      <c r="D315" s="10">
        <f>IF($AB315="","",IF(INDEX(기본자료!$J$2:$J$1001,$AB315)="","",INDEX(기본자료!$J$2:$J$1001,$AB315)))</f>
        <v/>
      </c>
      <c r="E315" s="11">
        <f>IF($AB315="","",IF(INDEX(기본자료!$K$2:$K$1001,$AB315)="","",IF(NOT(ISNUMBER(INDEX(기본자료!$K$2:$K$1001,$AB315))),INDEX(기본자료!$K$2:$K$1001,$AB315),IF(INDEX(기본자료!$K$2:$K$1001,$AB315)&lt;1000000,INDEX(기본자료!$K$2:$K$1001,$AB315),IF(AND(INDEX(기본자료!$K$2:$K$1001,$AB315)&gt;=10000101,INT(MOD(INDEX(기본자료!$K$2:$K$1001,$AB315),10000)/100)&gt;=1,INT(MOD(INDEX(기본자료!$K$2:$K$1001,$AB315),10000)/100)&lt;=12,MOD(INDEX(기본자료!$K$2:$K$1001,$AB315),100)&gt;=1,MOD(INDEX(기본자료!$K$2:$K$1001,$AB315),100)&lt;=31),DATE(INT(INDEX(기본자료!$K$2:$K$1001,$AB315)/10000),INT(MOD(INDEX(기본자료!$K$2:$K$1001,$AB315),10000)/100),MOD(INDEX(기본자료!$K$2:$K$1001,$AB315),100)),INDEX(기본자료!$K$2:$K$1001,$AB315)&amp;"")))))</f>
        <v/>
      </c>
      <c r="F315" s="10">
        <f>IF($AB315="","",IF(INDEX(기본자료!$D$2:$D$1001,$AB315)="","",INDEX(기본자료!$D$2:$D$1001,$AB315)))</f>
        <v/>
      </c>
      <c r="G315" s="10">
        <f>IF($AB315="","",IF(INDEX(기본자료!$E$2:$E$1001,$AB315)="","",INDEX(기본자료!$E$2:$E$1001,$AB315)))</f>
        <v/>
      </c>
      <c r="H315" s="10">
        <f>IF($AB315="","",IF(INDEX(기본자료!$F$2:$F$1001,$AB315)="","",INDEX(기본자료!$F$2:$F$1001,$AB315)))</f>
        <v/>
      </c>
      <c r="I315" s="11">
        <f>IF($AB315="","",IF(INDEX(기본자료!$G$2:$G$1001,$AB315)="","",IF(NOT(ISNUMBER(INDEX(기본자료!$G$2:$G$1001,$AB315))),INDEX(기본자료!$G$2:$G$1001,$AB315),IF(INDEX(기본자료!$G$2:$G$1001,$AB315)&lt;1000000,INDEX(기본자료!$G$2:$G$1001,$AB315),IF(AND(INDEX(기본자료!$G$2:$G$1001,$AB315)&gt;=10000101,INT(MOD(INDEX(기본자료!$G$2:$G$1001,$AB315),10000)/100)&gt;=1,INT(MOD(INDEX(기본자료!$G$2:$G$1001,$AB315),10000)/100)&lt;=12,MOD(INDEX(기본자료!$G$2:$G$1001,$AB315),100)&gt;=1,MOD(INDEX(기본자료!$G$2:$G$1001,$AB315),100)&lt;=31),DATE(INT(INDEX(기본자료!$G$2:$G$1001,$AB315)/10000),INT(MOD(INDEX(기본자료!$G$2:$G$1001,$AB315),10000)/100),MOD(INDEX(기본자료!$G$2:$G$1001,$AB315),100)),INDEX(기본자료!$G$2:$G$1001,$AB315)&amp;"")))))</f>
        <v/>
      </c>
      <c r="J315" s="10">
        <f>IF($AB315="","",IF(INDEX(기본자료!$H$2:$H$1001,$AB315)="","",INDEX(기본자료!$H$2:$H$1001,$AB315)))</f>
        <v/>
      </c>
      <c r="K315" s="10">
        <f>IF($AB315="","",IF(INDEX(기본자료!$I$2:$I$1001,$AB315)="","",INDEX(기본자료!$I$2:$I$1001,$AB315)))</f>
        <v/>
      </c>
      <c r="L315" s="10">
        <f>IF($AB315="","",IF(INDEX(기본자료!$A$2:$A$1001,$AB315)="","",INDEX(기본자료!$A$2:$A$1001,$AB315)))</f>
        <v/>
      </c>
      <c r="M315" s="15" t="n"/>
      <c r="N315" s="10">
        <f>IF($B315="","",IF(AND($U315="파견중",$Q315&lt;&gt;""),$Q315,IF(AND($AD315&lt;&gt;"",LEFT($AD315,1)&lt;&gt;"⚠"),LEFT($AD315,FIND(" ",$AD315)-1),IF($H315="","",IF(RIGHT($H315,2)="병원",$H315,$H315&amp;"병원")))))</f>
        <v/>
      </c>
      <c r="O315" s="10">
        <f>IF($B315="","",IF(AND($U315="파견중",$Q315&lt;&gt;""),IF($R315&lt;&gt;"",$R315,"파견과 미입력"),IF(AND($AD315&lt;&gt;"",LEFT($AD315,1)&lt;&gt;"⚠"),MID($AD315,FIND(" ",$AD315)+1,60),IF($F315="","",IF($F315="인턴","수련교육부(인턴)",$F315)))))</f>
        <v/>
      </c>
      <c r="P315" s="10">
        <f>IF($B315="","",IF($AK315&lt;&gt;"",IF(AND(TODAY()&gt;=INDEX(파견수련계획!$AB$4:$AB$83,$AK315),OR(NOT(ISNUMBER(INDEX(파견수련계획!$AC$4:$AC$83,$AK315))),TODAY()&lt;=INDEX(파견수련계획!$AC$4:$AC$83,$AK315))),"다기관",IF($AF315="","",INDEX(파견수련계획!$T$4:$T$83,$AF315))),IF($AF315="","",INDEX(파견수련계획!$T$4:$T$83,$AF315))))</f>
        <v/>
      </c>
      <c r="Q315" s="10">
        <f>IF($AF315="","",INDEX(파견수련계획!$S$4:$S$83,$AF315))</f>
        <v/>
      </c>
      <c r="R315" s="10">
        <f>IF($AF315="","",INDEX(파견수련계획!$U$4:$U$83,$AF315))</f>
        <v/>
      </c>
      <c r="S315" s="11">
        <f>IF($AF315="","",IF(INDEX(파견수련계획!$H$4:$H$83,$AF315)="","",INDEX(파견수련계획!$H$4:$H$83,$AF315)))</f>
        <v/>
      </c>
      <c r="T315" s="11">
        <f>IF($AF315="","",IF(INDEX(파견수련계획!$I$4:$I$83,$AF315)="","",INDEX(파견수련계획!$I$4:$I$83,$AF315)))</f>
        <v/>
      </c>
      <c r="U315" s="10">
        <f>IF($AF315="","",INDEX(파견수련계획!$X$4:$X$83,$AF315))</f>
        <v/>
      </c>
      <c r="V315" s="17">
        <f>IF($AF315="","",INDEX(파견수련계획!$V$4:$V$83,$AF315))</f>
        <v/>
      </c>
      <c r="W315" s="17">
        <f>IF(AND($U315="파견중",$T315&lt;&gt;""),$T315-TODAY(),"")</f>
        <v/>
      </c>
      <c r="X315" s="17">
        <f>IF(OR($B315="",TRIM($J315&amp;"")=""),"",SUMPRODUCT((파견수련계획!$Q$4:$Q$83=TRIM($J315&amp;""))*파견수련계획!$W$4:$W$83))</f>
        <v/>
      </c>
      <c r="Y315" s="10">
        <f>IF($B315="","",IF($AG315="","",IF(IF(TRIM($J315&amp;"")="",0,SUMPRODUCT((파견수련계획!$Q$4:$Q$83=TRIM($J315&amp;""))*파견수련계획!$AD$4:$AD$83))&gt;0,$AE315,IF(N($X315)&lt;=0,$AG315,IF($AH315+$AI315=DAY(EOMONTH(요약!$B$3,0)),IF(AND($AH315&gt;=요약!$E$3,$AI315&lt;요약!$E$3),"서울병원",IF(AND($AI315&gt;=요약!$E$3,$AH315&lt;요약!$E$3),"구리병원","⚠15일 판정불가(서울 "&amp;$AH315&amp;"일/구리 "&amp;$AI315&amp;"일)")),IF($AJ315="",$AE315,IF(INDEX(파견수련계획!$T$4:$T$83,$AJ315)="통합수련",INDEX(파견수련계획!$S$4:$S$83,$AJ315),$AE315)))))))</f>
        <v/>
      </c>
      <c r="Z315" s="19">
        <f>IF($B315="","",IF($AB315="","기본자료에 없는 사번",IF(COUNTIF($B$2:$B$401,$B315)&gt;1,"중복 사번",IF($AE315="","소속(입사장소) 입력",IF(IF(TRIM($J315&amp;"")="",0,SUMPRODUCT((파견수련계획!$Q$4:$Q$83=TRIM($J315&amp;""))*(파견수련계획!$AA$4:$AA$83&lt;&gt;"")))&gt;0,"파견수련계획 입력오류 확인",IF(LEFT($Y315,1)="⚠","서울·구리 15일 판정 불가(양쪽 모두 이상/미만)",IF(IF($AC315="",0,N(INDEX(인턴근무계획!$T$3:$T$62,$AC315)))&gt;0,"인턴계획 입력오류 확인",IF(AND($AC315&lt;&gt;"",$U315&lt;&gt;"파견중",$N315&lt;&gt;$AE315),"인턴 타지역 근무: 파견 여부 확인","정상"))))))))</f>
        <v/>
      </c>
      <c r="AA315" s="5" t="n"/>
      <c r="AB315" s="10">
        <f>IF($B315="","",IFERROR(MATCH($B315,기본자료!$B$2:$B$1001,0),IFERROR(MATCH($B315&amp;"",기본자료!$B$2:$B$1001,0),IFERROR(MATCH(VALUE($B315),기본자료!$B$2:$B$1001,0),""))))</f>
        <v/>
      </c>
      <c r="AC315" s="10">
        <f>IF($B315="","",IFERROR(MATCH($B315,인턴근무계획!$D$3:$D$62,0),IFERROR(MATCH($B315&amp;"",인턴근무계획!$D$3:$D$62,0),IFERROR(MATCH(VALUE($B315),인턴근무계획!$D$3:$D$62,0),""))))</f>
        <v/>
      </c>
      <c r="AD315" s="10">
        <f>IF(OR($AC315="",인턴현황!$G$3=""),"",INDEX(인턴근무계획!$M$3:$R$62,$AC315,인턴현황!$G$3)&amp;"")</f>
        <v/>
      </c>
      <c r="AE315" s="10">
        <f>IF($B315="","",IF($M315&lt;&gt;"",$M315,IF($AF315&lt;&gt;"",IF(LEFT(INDEX(파견수련계획!$R$4:$R$83,$AF315),1)&lt;&gt;"⚠",INDEX(파견수련계획!$R$4:$R$83,$AF315),IF($H315="","",IF(RIGHT($H315,2)="병원",$H315,$H315&amp;"병원"))),IF($H315="","",IF(RIGHT($H315,2)="병원",$H315,$H315&amp;"병원")))))</f>
        <v/>
      </c>
      <c r="AF315" s="10">
        <f>IF(OR($B315="",TRIM($J315&amp;"")=""),"",IFERROR(MATCH(TRIM($J315&amp;"")&amp;"|파견중",파견수련계획!$Y$4:$Y$83,0),IFERROR(MATCH(TRIM($J315&amp;"")&amp;"|파견예정",파견수련계획!$Y$4:$Y$83,0),IFERROR(MATCH(TRIM($J315&amp;"")&amp;"|파견종료",파견수련계획!$Y$4:$Y$83,0),""))))</f>
        <v/>
      </c>
      <c r="AG315" s="10">
        <f>IF($B315="","",IF(AND(IF(OR($AC315="",인턴현황!$K$2=""),"",INDEX(인턴근무계획!$M$3:$R$62,$AC315,인턴현황!$K$2)&amp;"")&lt;&gt;"",LEFT(IF(OR($AC315="",인턴현황!$K$2=""),"",INDEX(인턴근무계획!$M$3:$R$62,$AC315,인턴현황!$K$2)&amp;""),1)&lt;&gt;"⚠"),LEFT(IF(OR($AC315="",인턴현황!$K$2=""),"",INDEX(인턴근무계획!$M$3:$R$62,$AC315,인턴현황!$K$2)&amp;""),FIND(" ",IF(OR($AC315="",인턴현황!$K$2=""),"",INDEX(인턴근무계획!$M$3:$R$62,$AC315,인턴현황!$K$2)&amp;""))-1),$AE315))</f>
        <v/>
      </c>
      <c r="AH315" s="17">
        <f>IF($B315="","",IF(TRIM($J315&amp;"")="",0,SUMPRODUCT((파견수련계획!$Q$4:$Q$83=TRIM($J315&amp;""))*(파견수련계획!$S$4:$S$83="서울병원")*파견수련계획!$W$4:$W$83))+IF($AG315="서울병원",MAX(0,DAY(EOMONTH(요약!$B$3,0))-N($X315)),0))</f>
        <v/>
      </c>
      <c r="AI315" s="17">
        <f>IF($B315="","",IF(TRIM($J315&amp;"")="",0,SUMPRODUCT((파견수련계획!$Q$4:$Q$83=TRIM($J315&amp;""))*(파견수련계획!$S$4:$S$83="구리병원")*파견수련계획!$W$4:$W$83))+IF($AG315="구리병원",MAX(0,DAY(EOMONTH(요약!$B$3,0))-N($X315)),0))</f>
        <v/>
      </c>
      <c r="AJ315" s="10">
        <f>IF(OR($B315="",TRIM($J315&amp;"")=""),"",IFERROR(MATCH(TRIM($J315&amp;"")&amp;"|월",파견수련계획!$Z$4:$Z$83,0),""))</f>
        <v/>
      </c>
      <c r="AK315" s="10">
        <f>IF(OR($B315="",TRIM($J315&amp;"")=""),"",IFERROR(MATCH(TRIM($J315&amp;"")&amp;"|다기관",파견수련계획!$AE$4:$AE$83,0),""))</f>
        <v/>
      </c>
      <c r="AL315" s="10">
        <f>IF($AK315="","","다기관 "&amp;TEXT(INDEX(파견수련계획!$AB$4:$AB$83,$AK315),"yyyy-mm-dd")&amp;"~"&amp;IF(ISNUMBER(INDEX(파견수련계획!$AC$4:$AC$83,$AK315)),TEXT(INDEX(파견수련계획!$AC$4:$AC$83,$AK315),"yyyy-mm-dd"),""))</f>
        <v/>
      </c>
    </row>
    <row r="316">
      <c r="A316" s="10">
        <f>IF(B316="","",ROW()-1)</f>
        <v/>
      </c>
      <c r="B316" s="18" t="n"/>
      <c r="C316" s="10">
        <f>IF($AB316="","",IF(INDEX(기본자료!$C$2:$C$1001,$AB316)="","",INDEX(기본자료!$C$2:$C$1001,$AB316)))</f>
        <v/>
      </c>
      <c r="D316" s="10">
        <f>IF($AB316="","",IF(INDEX(기본자료!$J$2:$J$1001,$AB316)="","",INDEX(기본자료!$J$2:$J$1001,$AB316)))</f>
        <v/>
      </c>
      <c r="E316" s="11">
        <f>IF($AB316="","",IF(INDEX(기본자료!$K$2:$K$1001,$AB316)="","",IF(NOT(ISNUMBER(INDEX(기본자료!$K$2:$K$1001,$AB316))),INDEX(기본자료!$K$2:$K$1001,$AB316),IF(INDEX(기본자료!$K$2:$K$1001,$AB316)&lt;1000000,INDEX(기본자료!$K$2:$K$1001,$AB316),IF(AND(INDEX(기본자료!$K$2:$K$1001,$AB316)&gt;=10000101,INT(MOD(INDEX(기본자료!$K$2:$K$1001,$AB316),10000)/100)&gt;=1,INT(MOD(INDEX(기본자료!$K$2:$K$1001,$AB316),10000)/100)&lt;=12,MOD(INDEX(기본자료!$K$2:$K$1001,$AB316),100)&gt;=1,MOD(INDEX(기본자료!$K$2:$K$1001,$AB316),100)&lt;=31),DATE(INT(INDEX(기본자료!$K$2:$K$1001,$AB316)/10000),INT(MOD(INDEX(기본자료!$K$2:$K$1001,$AB316),10000)/100),MOD(INDEX(기본자료!$K$2:$K$1001,$AB316),100)),INDEX(기본자료!$K$2:$K$1001,$AB316)&amp;"")))))</f>
        <v/>
      </c>
      <c r="F316" s="10">
        <f>IF($AB316="","",IF(INDEX(기본자료!$D$2:$D$1001,$AB316)="","",INDEX(기본자료!$D$2:$D$1001,$AB316)))</f>
        <v/>
      </c>
      <c r="G316" s="10">
        <f>IF($AB316="","",IF(INDEX(기본자료!$E$2:$E$1001,$AB316)="","",INDEX(기본자료!$E$2:$E$1001,$AB316)))</f>
        <v/>
      </c>
      <c r="H316" s="10">
        <f>IF($AB316="","",IF(INDEX(기본자료!$F$2:$F$1001,$AB316)="","",INDEX(기본자료!$F$2:$F$1001,$AB316)))</f>
        <v/>
      </c>
      <c r="I316" s="11">
        <f>IF($AB316="","",IF(INDEX(기본자료!$G$2:$G$1001,$AB316)="","",IF(NOT(ISNUMBER(INDEX(기본자료!$G$2:$G$1001,$AB316))),INDEX(기본자료!$G$2:$G$1001,$AB316),IF(INDEX(기본자료!$G$2:$G$1001,$AB316)&lt;1000000,INDEX(기본자료!$G$2:$G$1001,$AB316),IF(AND(INDEX(기본자료!$G$2:$G$1001,$AB316)&gt;=10000101,INT(MOD(INDEX(기본자료!$G$2:$G$1001,$AB316),10000)/100)&gt;=1,INT(MOD(INDEX(기본자료!$G$2:$G$1001,$AB316),10000)/100)&lt;=12,MOD(INDEX(기본자료!$G$2:$G$1001,$AB316),100)&gt;=1,MOD(INDEX(기본자료!$G$2:$G$1001,$AB316),100)&lt;=31),DATE(INT(INDEX(기본자료!$G$2:$G$1001,$AB316)/10000),INT(MOD(INDEX(기본자료!$G$2:$G$1001,$AB316),10000)/100),MOD(INDEX(기본자료!$G$2:$G$1001,$AB316),100)),INDEX(기본자료!$G$2:$G$1001,$AB316)&amp;"")))))</f>
        <v/>
      </c>
      <c r="J316" s="10">
        <f>IF($AB316="","",IF(INDEX(기본자료!$H$2:$H$1001,$AB316)="","",INDEX(기본자료!$H$2:$H$1001,$AB316)))</f>
        <v/>
      </c>
      <c r="K316" s="10">
        <f>IF($AB316="","",IF(INDEX(기본자료!$I$2:$I$1001,$AB316)="","",INDEX(기본자료!$I$2:$I$1001,$AB316)))</f>
        <v/>
      </c>
      <c r="L316" s="10">
        <f>IF($AB316="","",IF(INDEX(기본자료!$A$2:$A$1001,$AB316)="","",INDEX(기본자료!$A$2:$A$1001,$AB316)))</f>
        <v/>
      </c>
      <c r="M316" s="15" t="n"/>
      <c r="N316" s="10">
        <f>IF($B316="","",IF(AND($U316="파견중",$Q316&lt;&gt;""),$Q316,IF(AND($AD316&lt;&gt;"",LEFT($AD316,1)&lt;&gt;"⚠"),LEFT($AD316,FIND(" ",$AD316)-1),IF($H316="","",IF(RIGHT($H316,2)="병원",$H316,$H316&amp;"병원")))))</f>
        <v/>
      </c>
      <c r="O316" s="10">
        <f>IF($B316="","",IF(AND($U316="파견중",$Q316&lt;&gt;""),IF($R316&lt;&gt;"",$R316,"파견과 미입력"),IF(AND($AD316&lt;&gt;"",LEFT($AD316,1)&lt;&gt;"⚠"),MID($AD316,FIND(" ",$AD316)+1,60),IF($F316="","",IF($F316="인턴","수련교육부(인턴)",$F316)))))</f>
        <v/>
      </c>
      <c r="P316" s="10">
        <f>IF($B316="","",IF($AK316&lt;&gt;"",IF(AND(TODAY()&gt;=INDEX(파견수련계획!$AB$4:$AB$83,$AK316),OR(NOT(ISNUMBER(INDEX(파견수련계획!$AC$4:$AC$83,$AK316))),TODAY()&lt;=INDEX(파견수련계획!$AC$4:$AC$83,$AK316))),"다기관",IF($AF316="","",INDEX(파견수련계획!$T$4:$T$83,$AF316))),IF($AF316="","",INDEX(파견수련계획!$T$4:$T$83,$AF316))))</f>
        <v/>
      </c>
      <c r="Q316" s="10">
        <f>IF($AF316="","",INDEX(파견수련계획!$S$4:$S$83,$AF316))</f>
        <v/>
      </c>
      <c r="R316" s="10">
        <f>IF($AF316="","",INDEX(파견수련계획!$U$4:$U$83,$AF316))</f>
        <v/>
      </c>
      <c r="S316" s="11">
        <f>IF($AF316="","",IF(INDEX(파견수련계획!$H$4:$H$83,$AF316)="","",INDEX(파견수련계획!$H$4:$H$83,$AF316)))</f>
        <v/>
      </c>
      <c r="T316" s="11">
        <f>IF($AF316="","",IF(INDEX(파견수련계획!$I$4:$I$83,$AF316)="","",INDEX(파견수련계획!$I$4:$I$83,$AF316)))</f>
        <v/>
      </c>
      <c r="U316" s="10">
        <f>IF($AF316="","",INDEX(파견수련계획!$X$4:$X$83,$AF316))</f>
        <v/>
      </c>
      <c r="V316" s="17">
        <f>IF($AF316="","",INDEX(파견수련계획!$V$4:$V$83,$AF316))</f>
        <v/>
      </c>
      <c r="W316" s="17">
        <f>IF(AND($U316="파견중",$T316&lt;&gt;""),$T316-TODAY(),"")</f>
        <v/>
      </c>
      <c r="X316" s="17">
        <f>IF(OR($B316="",TRIM($J316&amp;"")=""),"",SUMPRODUCT((파견수련계획!$Q$4:$Q$83=TRIM($J316&amp;""))*파견수련계획!$W$4:$W$83))</f>
        <v/>
      </c>
      <c r="Y316" s="10">
        <f>IF($B316="","",IF($AG316="","",IF(IF(TRIM($J316&amp;"")="",0,SUMPRODUCT((파견수련계획!$Q$4:$Q$83=TRIM($J316&amp;""))*파견수련계획!$AD$4:$AD$83))&gt;0,$AE316,IF(N($X316)&lt;=0,$AG316,IF($AH316+$AI316=DAY(EOMONTH(요약!$B$3,0)),IF(AND($AH316&gt;=요약!$E$3,$AI316&lt;요약!$E$3),"서울병원",IF(AND($AI316&gt;=요약!$E$3,$AH316&lt;요약!$E$3),"구리병원","⚠15일 판정불가(서울 "&amp;$AH316&amp;"일/구리 "&amp;$AI316&amp;"일)")),IF($AJ316="",$AE316,IF(INDEX(파견수련계획!$T$4:$T$83,$AJ316)="통합수련",INDEX(파견수련계획!$S$4:$S$83,$AJ316),$AE316)))))))</f>
        <v/>
      </c>
      <c r="Z316" s="19">
        <f>IF($B316="","",IF($AB316="","기본자료에 없는 사번",IF(COUNTIF($B$2:$B$401,$B316)&gt;1,"중복 사번",IF($AE316="","소속(입사장소) 입력",IF(IF(TRIM($J316&amp;"")="",0,SUMPRODUCT((파견수련계획!$Q$4:$Q$83=TRIM($J316&amp;""))*(파견수련계획!$AA$4:$AA$83&lt;&gt;"")))&gt;0,"파견수련계획 입력오류 확인",IF(LEFT($Y316,1)="⚠","서울·구리 15일 판정 불가(양쪽 모두 이상/미만)",IF(IF($AC316="",0,N(INDEX(인턴근무계획!$T$3:$T$62,$AC316)))&gt;0,"인턴계획 입력오류 확인",IF(AND($AC316&lt;&gt;"",$U316&lt;&gt;"파견중",$N316&lt;&gt;$AE316),"인턴 타지역 근무: 파견 여부 확인","정상"))))))))</f>
        <v/>
      </c>
      <c r="AA316" s="5" t="n"/>
      <c r="AB316" s="10">
        <f>IF($B316="","",IFERROR(MATCH($B316,기본자료!$B$2:$B$1001,0),IFERROR(MATCH($B316&amp;"",기본자료!$B$2:$B$1001,0),IFERROR(MATCH(VALUE($B316),기본자료!$B$2:$B$1001,0),""))))</f>
        <v/>
      </c>
      <c r="AC316" s="10">
        <f>IF($B316="","",IFERROR(MATCH($B316,인턴근무계획!$D$3:$D$62,0),IFERROR(MATCH($B316&amp;"",인턴근무계획!$D$3:$D$62,0),IFERROR(MATCH(VALUE($B316),인턴근무계획!$D$3:$D$62,0),""))))</f>
        <v/>
      </c>
      <c r="AD316" s="10">
        <f>IF(OR($AC316="",인턴현황!$G$3=""),"",INDEX(인턴근무계획!$M$3:$R$62,$AC316,인턴현황!$G$3)&amp;"")</f>
        <v/>
      </c>
      <c r="AE316" s="10">
        <f>IF($B316="","",IF($M316&lt;&gt;"",$M316,IF($AF316&lt;&gt;"",IF(LEFT(INDEX(파견수련계획!$R$4:$R$83,$AF316),1)&lt;&gt;"⚠",INDEX(파견수련계획!$R$4:$R$83,$AF316),IF($H316="","",IF(RIGHT($H316,2)="병원",$H316,$H316&amp;"병원"))),IF($H316="","",IF(RIGHT($H316,2)="병원",$H316,$H316&amp;"병원")))))</f>
        <v/>
      </c>
      <c r="AF316" s="10">
        <f>IF(OR($B316="",TRIM($J316&amp;"")=""),"",IFERROR(MATCH(TRIM($J316&amp;"")&amp;"|파견중",파견수련계획!$Y$4:$Y$83,0),IFERROR(MATCH(TRIM($J316&amp;"")&amp;"|파견예정",파견수련계획!$Y$4:$Y$83,0),IFERROR(MATCH(TRIM($J316&amp;"")&amp;"|파견종료",파견수련계획!$Y$4:$Y$83,0),""))))</f>
        <v/>
      </c>
      <c r="AG316" s="10">
        <f>IF($B316="","",IF(AND(IF(OR($AC316="",인턴현황!$K$2=""),"",INDEX(인턴근무계획!$M$3:$R$62,$AC316,인턴현황!$K$2)&amp;"")&lt;&gt;"",LEFT(IF(OR($AC316="",인턴현황!$K$2=""),"",INDEX(인턴근무계획!$M$3:$R$62,$AC316,인턴현황!$K$2)&amp;""),1)&lt;&gt;"⚠"),LEFT(IF(OR($AC316="",인턴현황!$K$2=""),"",INDEX(인턴근무계획!$M$3:$R$62,$AC316,인턴현황!$K$2)&amp;""),FIND(" ",IF(OR($AC316="",인턴현황!$K$2=""),"",INDEX(인턴근무계획!$M$3:$R$62,$AC316,인턴현황!$K$2)&amp;""))-1),$AE316))</f>
        <v/>
      </c>
      <c r="AH316" s="17">
        <f>IF($B316="","",IF(TRIM($J316&amp;"")="",0,SUMPRODUCT((파견수련계획!$Q$4:$Q$83=TRIM($J316&amp;""))*(파견수련계획!$S$4:$S$83="서울병원")*파견수련계획!$W$4:$W$83))+IF($AG316="서울병원",MAX(0,DAY(EOMONTH(요약!$B$3,0))-N($X316)),0))</f>
        <v/>
      </c>
      <c r="AI316" s="17">
        <f>IF($B316="","",IF(TRIM($J316&amp;"")="",0,SUMPRODUCT((파견수련계획!$Q$4:$Q$83=TRIM($J316&amp;""))*(파견수련계획!$S$4:$S$83="구리병원")*파견수련계획!$W$4:$W$83))+IF($AG316="구리병원",MAX(0,DAY(EOMONTH(요약!$B$3,0))-N($X316)),0))</f>
        <v/>
      </c>
      <c r="AJ316" s="10">
        <f>IF(OR($B316="",TRIM($J316&amp;"")=""),"",IFERROR(MATCH(TRIM($J316&amp;"")&amp;"|월",파견수련계획!$Z$4:$Z$83,0),""))</f>
        <v/>
      </c>
      <c r="AK316" s="10">
        <f>IF(OR($B316="",TRIM($J316&amp;"")=""),"",IFERROR(MATCH(TRIM($J316&amp;"")&amp;"|다기관",파견수련계획!$AE$4:$AE$83,0),""))</f>
        <v/>
      </c>
      <c r="AL316" s="10">
        <f>IF($AK316="","","다기관 "&amp;TEXT(INDEX(파견수련계획!$AB$4:$AB$83,$AK316),"yyyy-mm-dd")&amp;"~"&amp;IF(ISNUMBER(INDEX(파견수련계획!$AC$4:$AC$83,$AK316)),TEXT(INDEX(파견수련계획!$AC$4:$AC$83,$AK316),"yyyy-mm-dd"),""))</f>
        <v/>
      </c>
    </row>
    <row r="317">
      <c r="A317" s="10">
        <f>IF(B317="","",ROW()-1)</f>
        <v/>
      </c>
      <c r="B317" s="18" t="n"/>
      <c r="C317" s="10">
        <f>IF($AB317="","",IF(INDEX(기본자료!$C$2:$C$1001,$AB317)="","",INDEX(기본자료!$C$2:$C$1001,$AB317)))</f>
        <v/>
      </c>
      <c r="D317" s="10">
        <f>IF($AB317="","",IF(INDEX(기본자료!$J$2:$J$1001,$AB317)="","",INDEX(기본자료!$J$2:$J$1001,$AB317)))</f>
        <v/>
      </c>
      <c r="E317" s="11">
        <f>IF($AB317="","",IF(INDEX(기본자료!$K$2:$K$1001,$AB317)="","",IF(NOT(ISNUMBER(INDEX(기본자료!$K$2:$K$1001,$AB317))),INDEX(기본자료!$K$2:$K$1001,$AB317),IF(INDEX(기본자료!$K$2:$K$1001,$AB317)&lt;1000000,INDEX(기본자료!$K$2:$K$1001,$AB317),IF(AND(INDEX(기본자료!$K$2:$K$1001,$AB317)&gt;=10000101,INT(MOD(INDEX(기본자료!$K$2:$K$1001,$AB317),10000)/100)&gt;=1,INT(MOD(INDEX(기본자료!$K$2:$K$1001,$AB317),10000)/100)&lt;=12,MOD(INDEX(기본자료!$K$2:$K$1001,$AB317),100)&gt;=1,MOD(INDEX(기본자료!$K$2:$K$1001,$AB317),100)&lt;=31),DATE(INT(INDEX(기본자료!$K$2:$K$1001,$AB317)/10000),INT(MOD(INDEX(기본자료!$K$2:$K$1001,$AB317),10000)/100),MOD(INDEX(기본자료!$K$2:$K$1001,$AB317),100)),INDEX(기본자료!$K$2:$K$1001,$AB317)&amp;"")))))</f>
        <v/>
      </c>
      <c r="F317" s="10">
        <f>IF($AB317="","",IF(INDEX(기본자료!$D$2:$D$1001,$AB317)="","",INDEX(기본자료!$D$2:$D$1001,$AB317)))</f>
        <v/>
      </c>
      <c r="G317" s="10">
        <f>IF($AB317="","",IF(INDEX(기본자료!$E$2:$E$1001,$AB317)="","",INDEX(기본자료!$E$2:$E$1001,$AB317)))</f>
        <v/>
      </c>
      <c r="H317" s="10">
        <f>IF($AB317="","",IF(INDEX(기본자료!$F$2:$F$1001,$AB317)="","",INDEX(기본자료!$F$2:$F$1001,$AB317)))</f>
        <v/>
      </c>
      <c r="I317" s="11">
        <f>IF($AB317="","",IF(INDEX(기본자료!$G$2:$G$1001,$AB317)="","",IF(NOT(ISNUMBER(INDEX(기본자료!$G$2:$G$1001,$AB317))),INDEX(기본자료!$G$2:$G$1001,$AB317),IF(INDEX(기본자료!$G$2:$G$1001,$AB317)&lt;1000000,INDEX(기본자료!$G$2:$G$1001,$AB317),IF(AND(INDEX(기본자료!$G$2:$G$1001,$AB317)&gt;=10000101,INT(MOD(INDEX(기본자료!$G$2:$G$1001,$AB317),10000)/100)&gt;=1,INT(MOD(INDEX(기본자료!$G$2:$G$1001,$AB317),10000)/100)&lt;=12,MOD(INDEX(기본자료!$G$2:$G$1001,$AB317),100)&gt;=1,MOD(INDEX(기본자료!$G$2:$G$1001,$AB317),100)&lt;=31),DATE(INT(INDEX(기본자료!$G$2:$G$1001,$AB317)/10000),INT(MOD(INDEX(기본자료!$G$2:$G$1001,$AB317),10000)/100),MOD(INDEX(기본자료!$G$2:$G$1001,$AB317),100)),INDEX(기본자료!$G$2:$G$1001,$AB317)&amp;"")))))</f>
        <v/>
      </c>
      <c r="J317" s="10">
        <f>IF($AB317="","",IF(INDEX(기본자료!$H$2:$H$1001,$AB317)="","",INDEX(기본자료!$H$2:$H$1001,$AB317)))</f>
        <v/>
      </c>
      <c r="K317" s="10">
        <f>IF($AB317="","",IF(INDEX(기본자료!$I$2:$I$1001,$AB317)="","",INDEX(기본자료!$I$2:$I$1001,$AB317)))</f>
        <v/>
      </c>
      <c r="L317" s="10">
        <f>IF($AB317="","",IF(INDEX(기본자료!$A$2:$A$1001,$AB317)="","",INDEX(기본자료!$A$2:$A$1001,$AB317)))</f>
        <v/>
      </c>
      <c r="M317" s="15" t="n"/>
      <c r="N317" s="10">
        <f>IF($B317="","",IF(AND($U317="파견중",$Q317&lt;&gt;""),$Q317,IF(AND($AD317&lt;&gt;"",LEFT($AD317,1)&lt;&gt;"⚠"),LEFT($AD317,FIND(" ",$AD317)-1),IF($H317="","",IF(RIGHT($H317,2)="병원",$H317,$H317&amp;"병원")))))</f>
        <v/>
      </c>
      <c r="O317" s="10">
        <f>IF($B317="","",IF(AND($U317="파견중",$Q317&lt;&gt;""),IF($R317&lt;&gt;"",$R317,"파견과 미입력"),IF(AND($AD317&lt;&gt;"",LEFT($AD317,1)&lt;&gt;"⚠"),MID($AD317,FIND(" ",$AD317)+1,60),IF($F317="","",IF($F317="인턴","수련교육부(인턴)",$F317)))))</f>
        <v/>
      </c>
      <c r="P317" s="10">
        <f>IF($B317="","",IF($AK317&lt;&gt;"",IF(AND(TODAY()&gt;=INDEX(파견수련계획!$AB$4:$AB$83,$AK317),OR(NOT(ISNUMBER(INDEX(파견수련계획!$AC$4:$AC$83,$AK317))),TODAY()&lt;=INDEX(파견수련계획!$AC$4:$AC$83,$AK317))),"다기관",IF($AF317="","",INDEX(파견수련계획!$T$4:$T$83,$AF317))),IF($AF317="","",INDEX(파견수련계획!$T$4:$T$83,$AF317))))</f>
        <v/>
      </c>
      <c r="Q317" s="10">
        <f>IF($AF317="","",INDEX(파견수련계획!$S$4:$S$83,$AF317))</f>
        <v/>
      </c>
      <c r="R317" s="10">
        <f>IF($AF317="","",INDEX(파견수련계획!$U$4:$U$83,$AF317))</f>
        <v/>
      </c>
      <c r="S317" s="11">
        <f>IF($AF317="","",IF(INDEX(파견수련계획!$H$4:$H$83,$AF317)="","",INDEX(파견수련계획!$H$4:$H$83,$AF317)))</f>
        <v/>
      </c>
      <c r="T317" s="11">
        <f>IF($AF317="","",IF(INDEX(파견수련계획!$I$4:$I$83,$AF317)="","",INDEX(파견수련계획!$I$4:$I$83,$AF317)))</f>
        <v/>
      </c>
      <c r="U317" s="10">
        <f>IF($AF317="","",INDEX(파견수련계획!$X$4:$X$83,$AF317))</f>
        <v/>
      </c>
      <c r="V317" s="17">
        <f>IF($AF317="","",INDEX(파견수련계획!$V$4:$V$83,$AF317))</f>
        <v/>
      </c>
      <c r="W317" s="17">
        <f>IF(AND($U317="파견중",$T317&lt;&gt;""),$T317-TODAY(),"")</f>
        <v/>
      </c>
      <c r="X317" s="17">
        <f>IF(OR($B317="",TRIM($J317&amp;"")=""),"",SUMPRODUCT((파견수련계획!$Q$4:$Q$83=TRIM($J317&amp;""))*파견수련계획!$W$4:$W$83))</f>
        <v/>
      </c>
      <c r="Y317" s="10">
        <f>IF($B317="","",IF($AG317="","",IF(IF(TRIM($J317&amp;"")="",0,SUMPRODUCT((파견수련계획!$Q$4:$Q$83=TRIM($J317&amp;""))*파견수련계획!$AD$4:$AD$83))&gt;0,$AE317,IF(N($X317)&lt;=0,$AG317,IF($AH317+$AI317=DAY(EOMONTH(요약!$B$3,0)),IF(AND($AH317&gt;=요약!$E$3,$AI317&lt;요약!$E$3),"서울병원",IF(AND($AI317&gt;=요약!$E$3,$AH317&lt;요약!$E$3),"구리병원","⚠15일 판정불가(서울 "&amp;$AH317&amp;"일/구리 "&amp;$AI317&amp;"일)")),IF($AJ317="",$AE317,IF(INDEX(파견수련계획!$T$4:$T$83,$AJ317)="통합수련",INDEX(파견수련계획!$S$4:$S$83,$AJ317),$AE317)))))))</f>
        <v/>
      </c>
      <c r="Z317" s="19">
        <f>IF($B317="","",IF($AB317="","기본자료에 없는 사번",IF(COUNTIF($B$2:$B$401,$B317)&gt;1,"중복 사번",IF($AE317="","소속(입사장소) 입력",IF(IF(TRIM($J317&amp;"")="",0,SUMPRODUCT((파견수련계획!$Q$4:$Q$83=TRIM($J317&amp;""))*(파견수련계획!$AA$4:$AA$83&lt;&gt;"")))&gt;0,"파견수련계획 입력오류 확인",IF(LEFT($Y317,1)="⚠","서울·구리 15일 판정 불가(양쪽 모두 이상/미만)",IF(IF($AC317="",0,N(INDEX(인턴근무계획!$T$3:$T$62,$AC317)))&gt;0,"인턴계획 입력오류 확인",IF(AND($AC317&lt;&gt;"",$U317&lt;&gt;"파견중",$N317&lt;&gt;$AE317),"인턴 타지역 근무: 파견 여부 확인","정상"))))))))</f>
        <v/>
      </c>
      <c r="AA317" s="5" t="n"/>
      <c r="AB317" s="10">
        <f>IF($B317="","",IFERROR(MATCH($B317,기본자료!$B$2:$B$1001,0),IFERROR(MATCH($B317&amp;"",기본자료!$B$2:$B$1001,0),IFERROR(MATCH(VALUE($B317),기본자료!$B$2:$B$1001,0),""))))</f>
        <v/>
      </c>
      <c r="AC317" s="10">
        <f>IF($B317="","",IFERROR(MATCH($B317,인턴근무계획!$D$3:$D$62,0),IFERROR(MATCH($B317&amp;"",인턴근무계획!$D$3:$D$62,0),IFERROR(MATCH(VALUE($B317),인턴근무계획!$D$3:$D$62,0),""))))</f>
        <v/>
      </c>
      <c r="AD317" s="10">
        <f>IF(OR($AC317="",인턴현황!$G$3=""),"",INDEX(인턴근무계획!$M$3:$R$62,$AC317,인턴현황!$G$3)&amp;"")</f>
        <v/>
      </c>
      <c r="AE317" s="10">
        <f>IF($B317="","",IF($M317&lt;&gt;"",$M317,IF($AF317&lt;&gt;"",IF(LEFT(INDEX(파견수련계획!$R$4:$R$83,$AF317),1)&lt;&gt;"⚠",INDEX(파견수련계획!$R$4:$R$83,$AF317),IF($H317="","",IF(RIGHT($H317,2)="병원",$H317,$H317&amp;"병원"))),IF($H317="","",IF(RIGHT($H317,2)="병원",$H317,$H317&amp;"병원")))))</f>
        <v/>
      </c>
      <c r="AF317" s="10">
        <f>IF(OR($B317="",TRIM($J317&amp;"")=""),"",IFERROR(MATCH(TRIM($J317&amp;"")&amp;"|파견중",파견수련계획!$Y$4:$Y$83,0),IFERROR(MATCH(TRIM($J317&amp;"")&amp;"|파견예정",파견수련계획!$Y$4:$Y$83,0),IFERROR(MATCH(TRIM($J317&amp;"")&amp;"|파견종료",파견수련계획!$Y$4:$Y$83,0),""))))</f>
        <v/>
      </c>
      <c r="AG317" s="10">
        <f>IF($B317="","",IF(AND(IF(OR($AC317="",인턴현황!$K$2=""),"",INDEX(인턴근무계획!$M$3:$R$62,$AC317,인턴현황!$K$2)&amp;"")&lt;&gt;"",LEFT(IF(OR($AC317="",인턴현황!$K$2=""),"",INDEX(인턴근무계획!$M$3:$R$62,$AC317,인턴현황!$K$2)&amp;""),1)&lt;&gt;"⚠"),LEFT(IF(OR($AC317="",인턴현황!$K$2=""),"",INDEX(인턴근무계획!$M$3:$R$62,$AC317,인턴현황!$K$2)&amp;""),FIND(" ",IF(OR($AC317="",인턴현황!$K$2=""),"",INDEX(인턴근무계획!$M$3:$R$62,$AC317,인턴현황!$K$2)&amp;""))-1),$AE317))</f>
        <v/>
      </c>
      <c r="AH317" s="17">
        <f>IF($B317="","",IF(TRIM($J317&amp;"")="",0,SUMPRODUCT((파견수련계획!$Q$4:$Q$83=TRIM($J317&amp;""))*(파견수련계획!$S$4:$S$83="서울병원")*파견수련계획!$W$4:$W$83))+IF($AG317="서울병원",MAX(0,DAY(EOMONTH(요약!$B$3,0))-N($X317)),0))</f>
        <v/>
      </c>
      <c r="AI317" s="17">
        <f>IF($B317="","",IF(TRIM($J317&amp;"")="",0,SUMPRODUCT((파견수련계획!$Q$4:$Q$83=TRIM($J317&amp;""))*(파견수련계획!$S$4:$S$83="구리병원")*파견수련계획!$W$4:$W$83))+IF($AG317="구리병원",MAX(0,DAY(EOMONTH(요약!$B$3,0))-N($X317)),0))</f>
        <v/>
      </c>
      <c r="AJ317" s="10">
        <f>IF(OR($B317="",TRIM($J317&amp;"")=""),"",IFERROR(MATCH(TRIM($J317&amp;"")&amp;"|월",파견수련계획!$Z$4:$Z$83,0),""))</f>
        <v/>
      </c>
      <c r="AK317" s="10">
        <f>IF(OR($B317="",TRIM($J317&amp;"")=""),"",IFERROR(MATCH(TRIM($J317&amp;"")&amp;"|다기관",파견수련계획!$AE$4:$AE$83,0),""))</f>
        <v/>
      </c>
      <c r="AL317" s="10">
        <f>IF($AK317="","","다기관 "&amp;TEXT(INDEX(파견수련계획!$AB$4:$AB$83,$AK317),"yyyy-mm-dd")&amp;"~"&amp;IF(ISNUMBER(INDEX(파견수련계획!$AC$4:$AC$83,$AK317)),TEXT(INDEX(파견수련계획!$AC$4:$AC$83,$AK317),"yyyy-mm-dd"),""))</f>
        <v/>
      </c>
    </row>
    <row r="318">
      <c r="A318" s="10">
        <f>IF(B318="","",ROW()-1)</f>
        <v/>
      </c>
      <c r="B318" s="18" t="n"/>
      <c r="C318" s="10">
        <f>IF($AB318="","",IF(INDEX(기본자료!$C$2:$C$1001,$AB318)="","",INDEX(기본자료!$C$2:$C$1001,$AB318)))</f>
        <v/>
      </c>
      <c r="D318" s="10">
        <f>IF($AB318="","",IF(INDEX(기본자료!$J$2:$J$1001,$AB318)="","",INDEX(기본자료!$J$2:$J$1001,$AB318)))</f>
        <v/>
      </c>
      <c r="E318" s="11">
        <f>IF($AB318="","",IF(INDEX(기본자료!$K$2:$K$1001,$AB318)="","",IF(NOT(ISNUMBER(INDEX(기본자료!$K$2:$K$1001,$AB318))),INDEX(기본자료!$K$2:$K$1001,$AB318),IF(INDEX(기본자료!$K$2:$K$1001,$AB318)&lt;1000000,INDEX(기본자료!$K$2:$K$1001,$AB318),IF(AND(INDEX(기본자료!$K$2:$K$1001,$AB318)&gt;=10000101,INT(MOD(INDEX(기본자료!$K$2:$K$1001,$AB318),10000)/100)&gt;=1,INT(MOD(INDEX(기본자료!$K$2:$K$1001,$AB318),10000)/100)&lt;=12,MOD(INDEX(기본자료!$K$2:$K$1001,$AB318),100)&gt;=1,MOD(INDEX(기본자료!$K$2:$K$1001,$AB318),100)&lt;=31),DATE(INT(INDEX(기본자료!$K$2:$K$1001,$AB318)/10000),INT(MOD(INDEX(기본자료!$K$2:$K$1001,$AB318),10000)/100),MOD(INDEX(기본자료!$K$2:$K$1001,$AB318),100)),INDEX(기본자료!$K$2:$K$1001,$AB318)&amp;"")))))</f>
        <v/>
      </c>
      <c r="F318" s="10">
        <f>IF($AB318="","",IF(INDEX(기본자료!$D$2:$D$1001,$AB318)="","",INDEX(기본자료!$D$2:$D$1001,$AB318)))</f>
        <v/>
      </c>
      <c r="G318" s="10">
        <f>IF($AB318="","",IF(INDEX(기본자료!$E$2:$E$1001,$AB318)="","",INDEX(기본자료!$E$2:$E$1001,$AB318)))</f>
        <v/>
      </c>
      <c r="H318" s="10">
        <f>IF($AB318="","",IF(INDEX(기본자료!$F$2:$F$1001,$AB318)="","",INDEX(기본자료!$F$2:$F$1001,$AB318)))</f>
        <v/>
      </c>
      <c r="I318" s="11">
        <f>IF($AB318="","",IF(INDEX(기본자료!$G$2:$G$1001,$AB318)="","",IF(NOT(ISNUMBER(INDEX(기본자료!$G$2:$G$1001,$AB318))),INDEX(기본자료!$G$2:$G$1001,$AB318),IF(INDEX(기본자료!$G$2:$G$1001,$AB318)&lt;1000000,INDEX(기본자료!$G$2:$G$1001,$AB318),IF(AND(INDEX(기본자료!$G$2:$G$1001,$AB318)&gt;=10000101,INT(MOD(INDEX(기본자료!$G$2:$G$1001,$AB318),10000)/100)&gt;=1,INT(MOD(INDEX(기본자료!$G$2:$G$1001,$AB318),10000)/100)&lt;=12,MOD(INDEX(기본자료!$G$2:$G$1001,$AB318),100)&gt;=1,MOD(INDEX(기본자료!$G$2:$G$1001,$AB318),100)&lt;=31),DATE(INT(INDEX(기본자료!$G$2:$G$1001,$AB318)/10000),INT(MOD(INDEX(기본자료!$G$2:$G$1001,$AB318),10000)/100),MOD(INDEX(기본자료!$G$2:$G$1001,$AB318),100)),INDEX(기본자료!$G$2:$G$1001,$AB318)&amp;"")))))</f>
        <v/>
      </c>
      <c r="J318" s="10">
        <f>IF($AB318="","",IF(INDEX(기본자료!$H$2:$H$1001,$AB318)="","",INDEX(기본자료!$H$2:$H$1001,$AB318)))</f>
        <v/>
      </c>
      <c r="K318" s="10">
        <f>IF($AB318="","",IF(INDEX(기본자료!$I$2:$I$1001,$AB318)="","",INDEX(기본자료!$I$2:$I$1001,$AB318)))</f>
        <v/>
      </c>
      <c r="L318" s="10">
        <f>IF($AB318="","",IF(INDEX(기본자료!$A$2:$A$1001,$AB318)="","",INDEX(기본자료!$A$2:$A$1001,$AB318)))</f>
        <v/>
      </c>
      <c r="M318" s="15" t="n"/>
      <c r="N318" s="10">
        <f>IF($B318="","",IF(AND($U318="파견중",$Q318&lt;&gt;""),$Q318,IF(AND($AD318&lt;&gt;"",LEFT($AD318,1)&lt;&gt;"⚠"),LEFT($AD318,FIND(" ",$AD318)-1),IF($H318="","",IF(RIGHT($H318,2)="병원",$H318,$H318&amp;"병원")))))</f>
        <v/>
      </c>
      <c r="O318" s="10">
        <f>IF($B318="","",IF(AND($U318="파견중",$Q318&lt;&gt;""),IF($R318&lt;&gt;"",$R318,"파견과 미입력"),IF(AND($AD318&lt;&gt;"",LEFT($AD318,1)&lt;&gt;"⚠"),MID($AD318,FIND(" ",$AD318)+1,60),IF($F318="","",IF($F318="인턴","수련교육부(인턴)",$F318)))))</f>
        <v/>
      </c>
      <c r="P318" s="10">
        <f>IF($B318="","",IF($AK318&lt;&gt;"",IF(AND(TODAY()&gt;=INDEX(파견수련계획!$AB$4:$AB$83,$AK318),OR(NOT(ISNUMBER(INDEX(파견수련계획!$AC$4:$AC$83,$AK318))),TODAY()&lt;=INDEX(파견수련계획!$AC$4:$AC$83,$AK318))),"다기관",IF($AF318="","",INDEX(파견수련계획!$T$4:$T$83,$AF318))),IF($AF318="","",INDEX(파견수련계획!$T$4:$T$83,$AF318))))</f>
        <v/>
      </c>
      <c r="Q318" s="10">
        <f>IF($AF318="","",INDEX(파견수련계획!$S$4:$S$83,$AF318))</f>
        <v/>
      </c>
      <c r="R318" s="10">
        <f>IF($AF318="","",INDEX(파견수련계획!$U$4:$U$83,$AF318))</f>
        <v/>
      </c>
      <c r="S318" s="11">
        <f>IF($AF318="","",IF(INDEX(파견수련계획!$H$4:$H$83,$AF318)="","",INDEX(파견수련계획!$H$4:$H$83,$AF318)))</f>
        <v/>
      </c>
      <c r="T318" s="11">
        <f>IF($AF318="","",IF(INDEX(파견수련계획!$I$4:$I$83,$AF318)="","",INDEX(파견수련계획!$I$4:$I$83,$AF318)))</f>
        <v/>
      </c>
      <c r="U318" s="10">
        <f>IF($AF318="","",INDEX(파견수련계획!$X$4:$X$83,$AF318))</f>
        <v/>
      </c>
      <c r="V318" s="17">
        <f>IF($AF318="","",INDEX(파견수련계획!$V$4:$V$83,$AF318))</f>
        <v/>
      </c>
      <c r="W318" s="17">
        <f>IF(AND($U318="파견중",$T318&lt;&gt;""),$T318-TODAY(),"")</f>
        <v/>
      </c>
      <c r="X318" s="17">
        <f>IF(OR($B318="",TRIM($J318&amp;"")=""),"",SUMPRODUCT((파견수련계획!$Q$4:$Q$83=TRIM($J318&amp;""))*파견수련계획!$W$4:$W$83))</f>
        <v/>
      </c>
      <c r="Y318" s="10">
        <f>IF($B318="","",IF($AG318="","",IF(IF(TRIM($J318&amp;"")="",0,SUMPRODUCT((파견수련계획!$Q$4:$Q$83=TRIM($J318&amp;""))*파견수련계획!$AD$4:$AD$83))&gt;0,$AE318,IF(N($X318)&lt;=0,$AG318,IF($AH318+$AI318=DAY(EOMONTH(요약!$B$3,0)),IF(AND($AH318&gt;=요약!$E$3,$AI318&lt;요약!$E$3),"서울병원",IF(AND($AI318&gt;=요약!$E$3,$AH318&lt;요약!$E$3),"구리병원","⚠15일 판정불가(서울 "&amp;$AH318&amp;"일/구리 "&amp;$AI318&amp;"일)")),IF($AJ318="",$AE318,IF(INDEX(파견수련계획!$T$4:$T$83,$AJ318)="통합수련",INDEX(파견수련계획!$S$4:$S$83,$AJ318),$AE318)))))))</f>
        <v/>
      </c>
      <c r="Z318" s="19">
        <f>IF($B318="","",IF($AB318="","기본자료에 없는 사번",IF(COUNTIF($B$2:$B$401,$B318)&gt;1,"중복 사번",IF($AE318="","소속(입사장소) 입력",IF(IF(TRIM($J318&amp;"")="",0,SUMPRODUCT((파견수련계획!$Q$4:$Q$83=TRIM($J318&amp;""))*(파견수련계획!$AA$4:$AA$83&lt;&gt;"")))&gt;0,"파견수련계획 입력오류 확인",IF(LEFT($Y318,1)="⚠","서울·구리 15일 판정 불가(양쪽 모두 이상/미만)",IF(IF($AC318="",0,N(INDEX(인턴근무계획!$T$3:$T$62,$AC318)))&gt;0,"인턴계획 입력오류 확인",IF(AND($AC318&lt;&gt;"",$U318&lt;&gt;"파견중",$N318&lt;&gt;$AE318),"인턴 타지역 근무: 파견 여부 확인","정상"))))))))</f>
        <v/>
      </c>
      <c r="AA318" s="5" t="n"/>
      <c r="AB318" s="10">
        <f>IF($B318="","",IFERROR(MATCH($B318,기본자료!$B$2:$B$1001,0),IFERROR(MATCH($B318&amp;"",기본자료!$B$2:$B$1001,0),IFERROR(MATCH(VALUE($B318),기본자료!$B$2:$B$1001,0),""))))</f>
        <v/>
      </c>
      <c r="AC318" s="10">
        <f>IF($B318="","",IFERROR(MATCH($B318,인턴근무계획!$D$3:$D$62,0),IFERROR(MATCH($B318&amp;"",인턴근무계획!$D$3:$D$62,0),IFERROR(MATCH(VALUE($B318),인턴근무계획!$D$3:$D$62,0),""))))</f>
        <v/>
      </c>
      <c r="AD318" s="10">
        <f>IF(OR($AC318="",인턴현황!$G$3=""),"",INDEX(인턴근무계획!$M$3:$R$62,$AC318,인턴현황!$G$3)&amp;"")</f>
        <v/>
      </c>
      <c r="AE318" s="10">
        <f>IF($B318="","",IF($M318&lt;&gt;"",$M318,IF($AF318&lt;&gt;"",IF(LEFT(INDEX(파견수련계획!$R$4:$R$83,$AF318),1)&lt;&gt;"⚠",INDEX(파견수련계획!$R$4:$R$83,$AF318),IF($H318="","",IF(RIGHT($H318,2)="병원",$H318,$H318&amp;"병원"))),IF($H318="","",IF(RIGHT($H318,2)="병원",$H318,$H318&amp;"병원")))))</f>
        <v/>
      </c>
      <c r="AF318" s="10">
        <f>IF(OR($B318="",TRIM($J318&amp;"")=""),"",IFERROR(MATCH(TRIM($J318&amp;"")&amp;"|파견중",파견수련계획!$Y$4:$Y$83,0),IFERROR(MATCH(TRIM($J318&amp;"")&amp;"|파견예정",파견수련계획!$Y$4:$Y$83,0),IFERROR(MATCH(TRIM($J318&amp;"")&amp;"|파견종료",파견수련계획!$Y$4:$Y$83,0),""))))</f>
        <v/>
      </c>
      <c r="AG318" s="10">
        <f>IF($B318="","",IF(AND(IF(OR($AC318="",인턴현황!$K$2=""),"",INDEX(인턴근무계획!$M$3:$R$62,$AC318,인턴현황!$K$2)&amp;"")&lt;&gt;"",LEFT(IF(OR($AC318="",인턴현황!$K$2=""),"",INDEX(인턴근무계획!$M$3:$R$62,$AC318,인턴현황!$K$2)&amp;""),1)&lt;&gt;"⚠"),LEFT(IF(OR($AC318="",인턴현황!$K$2=""),"",INDEX(인턴근무계획!$M$3:$R$62,$AC318,인턴현황!$K$2)&amp;""),FIND(" ",IF(OR($AC318="",인턴현황!$K$2=""),"",INDEX(인턴근무계획!$M$3:$R$62,$AC318,인턴현황!$K$2)&amp;""))-1),$AE318))</f>
        <v/>
      </c>
      <c r="AH318" s="17">
        <f>IF($B318="","",IF(TRIM($J318&amp;"")="",0,SUMPRODUCT((파견수련계획!$Q$4:$Q$83=TRIM($J318&amp;""))*(파견수련계획!$S$4:$S$83="서울병원")*파견수련계획!$W$4:$W$83))+IF($AG318="서울병원",MAX(0,DAY(EOMONTH(요약!$B$3,0))-N($X318)),0))</f>
        <v/>
      </c>
      <c r="AI318" s="17">
        <f>IF($B318="","",IF(TRIM($J318&amp;"")="",0,SUMPRODUCT((파견수련계획!$Q$4:$Q$83=TRIM($J318&amp;""))*(파견수련계획!$S$4:$S$83="구리병원")*파견수련계획!$W$4:$W$83))+IF($AG318="구리병원",MAX(0,DAY(EOMONTH(요약!$B$3,0))-N($X318)),0))</f>
        <v/>
      </c>
      <c r="AJ318" s="10">
        <f>IF(OR($B318="",TRIM($J318&amp;"")=""),"",IFERROR(MATCH(TRIM($J318&amp;"")&amp;"|월",파견수련계획!$Z$4:$Z$83,0),""))</f>
        <v/>
      </c>
      <c r="AK318" s="10">
        <f>IF(OR($B318="",TRIM($J318&amp;"")=""),"",IFERROR(MATCH(TRIM($J318&amp;"")&amp;"|다기관",파견수련계획!$AE$4:$AE$83,0),""))</f>
        <v/>
      </c>
      <c r="AL318" s="10">
        <f>IF($AK318="","","다기관 "&amp;TEXT(INDEX(파견수련계획!$AB$4:$AB$83,$AK318),"yyyy-mm-dd")&amp;"~"&amp;IF(ISNUMBER(INDEX(파견수련계획!$AC$4:$AC$83,$AK318)),TEXT(INDEX(파견수련계획!$AC$4:$AC$83,$AK318),"yyyy-mm-dd"),""))</f>
        <v/>
      </c>
    </row>
    <row r="319">
      <c r="A319" s="10">
        <f>IF(B319="","",ROW()-1)</f>
        <v/>
      </c>
      <c r="B319" s="18" t="n"/>
      <c r="C319" s="10">
        <f>IF($AB319="","",IF(INDEX(기본자료!$C$2:$C$1001,$AB319)="","",INDEX(기본자료!$C$2:$C$1001,$AB319)))</f>
        <v/>
      </c>
      <c r="D319" s="10">
        <f>IF($AB319="","",IF(INDEX(기본자료!$J$2:$J$1001,$AB319)="","",INDEX(기본자료!$J$2:$J$1001,$AB319)))</f>
        <v/>
      </c>
      <c r="E319" s="11">
        <f>IF($AB319="","",IF(INDEX(기본자료!$K$2:$K$1001,$AB319)="","",IF(NOT(ISNUMBER(INDEX(기본자료!$K$2:$K$1001,$AB319))),INDEX(기본자료!$K$2:$K$1001,$AB319),IF(INDEX(기본자료!$K$2:$K$1001,$AB319)&lt;1000000,INDEX(기본자료!$K$2:$K$1001,$AB319),IF(AND(INDEX(기본자료!$K$2:$K$1001,$AB319)&gt;=10000101,INT(MOD(INDEX(기본자료!$K$2:$K$1001,$AB319),10000)/100)&gt;=1,INT(MOD(INDEX(기본자료!$K$2:$K$1001,$AB319),10000)/100)&lt;=12,MOD(INDEX(기본자료!$K$2:$K$1001,$AB319),100)&gt;=1,MOD(INDEX(기본자료!$K$2:$K$1001,$AB319),100)&lt;=31),DATE(INT(INDEX(기본자료!$K$2:$K$1001,$AB319)/10000),INT(MOD(INDEX(기본자료!$K$2:$K$1001,$AB319),10000)/100),MOD(INDEX(기본자료!$K$2:$K$1001,$AB319),100)),INDEX(기본자료!$K$2:$K$1001,$AB319)&amp;"")))))</f>
        <v/>
      </c>
      <c r="F319" s="10">
        <f>IF($AB319="","",IF(INDEX(기본자료!$D$2:$D$1001,$AB319)="","",INDEX(기본자료!$D$2:$D$1001,$AB319)))</f>
        <v/>
      </c>
      <c r="G319" s="10">
        <f>IF($AB319="","",IF(INDEX(기본자료!$E$2:$E$1001,$AB319)="","",INDEX(기본자료!$E$2:$E$1001,$AB319)))</f>
        <v/>
      </c>
      <c r="H319" s="10">
        <f>IF($AB319="","",IF(INDEX(기본자료!$F$2:$F$1001,$AB319)="","",INDEX(기본자료!$F$2:$F$1001,$AB319)))</f>
        <v/>
      </c>
      <c r="I319" s="11">
        <f>IF($AB319="","",IF(INDEX(기본자료!$G$2:$G$1001,$AB319)="","",IF(NOT(ISNUMBER(INDEX(기본자료!$G$2:$G$1001,$AB319))),INDEX(기본자료!$G$2:$G$1001,$AB319),IF(INDEX(기본자료!$G$2:$G$1001,$AB319)&lt;1000000,INDEX(기본자료!$G$2:$G$1001,$AB319),IF(AND(INDEX(기본자료!$G$2:$G$1001,$AB319)&gt;=10000101,INT(MOD(INDEX(기본자료!$G$2:$G$1001,$AB319),10000)/100)&gt;=1,INT(MOD(INDEX(기본자료!$G$2:$G$1001,$AB319),10000)/100)&lt;=12,MOD(INDEX(기본자료!$G$2:$G$1001,$AB319),100)&gt;=1,MOD(INDEX(기본자료!$G$2:$G$1001,$AB319),100)&lt;=31),DATE(INT(INDEX(기본자료!$G$2:$G$1001,$AB319)/10000),INT(MOD(INDEX(기본자료!$G$2:$G$1001,$AB319),10000)/100),MOD(INDEX(기본자료!$G$2:$G$1001,$AB319),100)),INDEX(기본자료!$G$2:$G$1001,$AB319)&amp;"")))))</f>
        <v/>
      </c>
      <c r="J319" s="10">
        <f>IF($AB319="","",IF(INDEX(기본자료!$H$2:$H$1001,$AB319)="","",INDEX(기본자료!$H$2:$H$1001,$AB319)))</f>
        <v/>
      </c>
      <c r="K319" s="10">
        <f>IF($AB319="","",IF(INDEX(기본자료!$I$2:$I$1001,$AB319)="","",INDEX(기본자료!$I$2:$I$1001,$AB319)))</f>
        <v/>
      </c>
      <c r="L319" s="10">
        <f>IF($AB319="","",IF(INDEX(기본자료!$A$2:$A$1001,$AB319)="","",INDEX(기본자료!$A$2:$A$1001,$AB319)))</f>
        <v/>
      </c>
      <c r="M319" s="15" t="n"/>
      <c r="N319" s="10">
        <f>IF($B319="","",IF(AND($U319="파견중",$Q319&lt;&gt;""),$Q319,IF(AND($AD319&lt;&gt;"",LEFT($AD319,1)&lt;&gt;"⚠"),LEFT($AD319,FIND(" ",$AD319)-1),IF($H319="","",IF(RIGHT($H319,2)="병원",$H319,$H319&amp;"병원")))))</f>
        <v/>
      </c>
      <c r="O319" s="10">
        <f>IF($B319="","",IF(AND($U319="파견중",$Q319&lt;&gt;""),IF($R319&lt;&gt;"",$R319,"파견과 미입력"),IF(AND($AD319&lt;&gt;"",LEFT($AD319,1)&lt;&gt;"⚠"),MID($AD319,FIND(" ",$AD319)+1,60),IF($F319="","",IF($F319="인턴","수련교육부(인턴)",$F319)))))</f>
        <v/>
      </c>
      <c r="P319" s="10">
        <f>IF($B319="","",IF($AK319&lt;&gt;"",IF(AND(TODAY()&gt;=INDEX(파견수련계획!$AB$4:$AB$83,$AK319),OR(NOT(ISNUMBER(INDEX(파견수련계획!$AC$4:$AC$83,$AK319))),TODAY()&lt;=INDEX(파견수련계획!$AC$4:$AC$83,$AK319))),"다기관",IF($AF319="","",INDEX(파견수련계획!$T$4:$T$83,$AF319))),IF($AF319="","",INDEX(파견수련계획!$T$4:$T$83,$AF319))))</f>
        <v/>
      </c>
      <c r="Q319" s="10">
        <f>IF($AF319="","",INDEX(파견수련계획!$S$4:$S$83,$AF319))</f>
        <v/>
      </c>
      <c r="R319" s="10">
        <f>IF($AF319="","",INDEX(파견수련계획!$U$4:$U$83,$AF319))</f>
        <v/>
      </c>
      <c r="S319" s="11">
        <f>IF($AF319="","",IF(INDEX(파견수련계획!$H$4:$H$83,$AF319)="","",INDEX(파견수련계획!$H$4:$H$83,$AF319)))</f>
        <v/>
      </c>
      <c r="T319" s="11">
        <f>IF($AF319="","",IF(INDEX(파견수련계획!$I$4:$I$83,$AF319)="","",INDEX(파견수련계획!$I$4:$I$83,$AF319)))</f>
        <v/>
      </c>
      <c r="U319" s="10">
        <f>IF($AF319="","",INDEX(파견수련계획!$X$4:$X$83,$AF319))</f>
        <v/>
      </c>
      <c r="V319" s="17">
        <f>IF($AF319="","",INDEX(파견수련계획!$V$4:$V$83,$AF319))</f>
        <v/>
      </c>
      <c r="W319" s="17">
        <f>IF(AND($U319="파견중",$T319&lt;&gt;""),$T319-TODAY(),"")</f>
        <v/>
      </c>
      <c r="X319" s="17">
        <f>IF(OR($B319="",TRIM($J319&amp;"")=""),"",SUMPRODUCT((파견수련계획!$Q$4:$Q$83=TRIM($J319&amp;""))*파견수련계획!$W$4:$W$83))</f>
        <v/>
      </c>
      <c r="Y319" s="10">
        <f>IF($B319="","",IF($AG319="","",IF(IF(TRIM($J319&amp;"")="",0,SUMPRODUCT((파견수련계획!$Q$4:$Q$83=TRIM($J319&amp;""))*파견수련계획!$AD$4:$AD$83))&gt;0,$AE319,IF(N($X319)&lt;=0,$AG319,IF($AH319+$AI319=DAY(EOMONTH(요약!$B$3,0)),IF(AND($AH319&gt;=요약!$E$3,$AI319&lt;요약!$E$3),"서울병원",IF(AND($AI319&gt;=요약!$E$3,$AH319&lt;요약!$E$3),"구리병원","⚠15일 판정불가(서울 "&amp;$AH319&amp;"일/구리 "&amp;$AI319&amp;"일)")),IF($AJ319="",$AE319,IF(INDEX(파견수련계획!$T$4:$T$83,$AJ319)="통합수련",INDEX(파견수련계획!$S$4:$S$83,$AJ319),$AE319)))))))</f>
        <v/>
      </c>
      <c r="Z319" s="19">
        <f>IF($B319="","",IF($AB319="","기본자료에 없는 사번",IF(COUNTIF($B$2:$B$401,$B319)&gt;1,"중복 사번",IF($AE319="","소속(입사장소) 입력",IF(IF(TRIM($J319&amp;"")="",0,SUMPRODUCT((파견수련계획!$Q$4:$Q$83=TRIM($J319&amp;""))*(파견수련계획!$AA$4:$AA$83&lt;&gt;"")))&gt;0,"파견수련계획 입력오류 확인",IF(LEFT($Y319,1)="⚠","서울·구리 15일 판정 불가(양쪽 모두 이상/미만)",IF(IF($AC319="",0,N(INDEX(인턴근무계획!$T$3:$T$62,$AC319)))&gt;0,"인턴계획 입력오류 확인",IF(AND($AC319&lt;&gt;"",$U319&lt;&gt;"파견중",$N319&lt;&gt;$AE319),"인턴 타지역 근무: 파견 여부 확인","정상"))))))))</f>
        <v/>
      </c>
      <c r="AA319" s="5" t="n"/>
      <c r="AB319" s="10">
        <f>IF($B319="","",IFERROR(MATCH($B319,기본자료!$B$2:$B$1001,0),IFERROR(MATCH($B319&amp;"",기본자료!$B$2:$B$1001,0),IFERROR(MATCH(VALUE($B319),기본자료!$B$2:$B$1001,0),""))))</f>
        <v/>
      </c>
      <c r="AC319" s="10">
        <f>IF($B319="","",IFERROR(MATCH($B319,인턴근무계획!$D$3:$D$62,0),IFERROR(MATCH($B319&amp;"",인턴근무계획!$D$3:$D$62,0),IFERROR(MATCH(VALUE($B319),인턴근무계획!$D$3:$D$62,0),""))))</f>
        <v/>
      </c>
      <c r="AD319" s="10">
        <f>IF(OR($AC319="",인턴현황!$G$3=""),"",INDEX(인턴근무계획!$M$3:$R$62,$AC319,인턴현황!$G$3)&amp;"")</f>
        <v/>
      </c>
      <c r="AE319" s="10">
        <f>IF($B319="","",IF($M319&lt;&gt;"",$M319,IF($AF319&lt;&gt;"",IF(LEFT(INDEX(파견수련계획!$R$4:$R$83,$AF319),1)&lt;&gt;"⚠",INDEX(파견수련계획!$R$4:$R$83,$AF319),IF($H319="","",IF(RIGHT($H319,2)="병원",$H319,$H319&amp;"병원"))),IF($H319="","",IF(RIGHT($H319,2)="병원",$H319,$H319&amp;"병원")))))</f>
        <v/>
      </c>
      <c r="AF319" s="10">
        <f>IF(OR($B319="",TRIM($J319&amp;"")=""),"",IFERROR(MATCH(TRIM($J319&amp;"")&amp;"|파견중",파견수련계획!$Y$4:$Y$83,0),IFERROR(MATCH(TRIM($J319&amp;"")&amp;"|파견예정",파견수련계획!$Y$4:$Y$83,0),IFERROR(MATCH(TRIM($J319&amp;"")&amp;"|파견종료",파견수련계획!$Y$4:$Y$83,0),""))))</f>
        <v/>
      </c>
      <c r="AG319" s="10">
        <f>IF($B319="","",IF(AND(IF(OR($AC319="",인턴현황!$K$2=""),"",INDEX(인턴근무계획!$M$3:$R$62,$AC319,인턴현황!$K$2)&amp;"")&lt;&gt;"",LEFT(IF(OR($AC319="",인턴현황!$K$2=""),"",INDEX(인턴근무계획!$M$3:$R$62,$AC319,인턴현황!$K$2)&amp;""),1)&lt;&gt;"⚠"),LEFT(IF(OR($AC319="",인턴현황!$K$2=""),"",INDEX(인턴근무계획!$M$3:$R$62,$AC319,인턴현황!$K$2)&amp;""),FIND(" ",IF(OR($AC319="",인턴현황!$K$2=""),"",INDEX(인턴근무계획!$M$3:$R$62,$AC319,인턴현황!$K$2)&amp;""))-1),$AE319))</f>
        <v/>
      </c>
      <c r="AH319" s="17">
        <f>IF($B319="","",IF(TRIM($J319&amp;"")="",0,SUMPRODUCT((파견수련계획!$Q$4:$Q$83=TRIM($J319&amp;""))*(파견수련계획!$S$4:$S$83="서울병원")*파견수련계획!$W$4:$W$83))+IF($AG319="서울병원",MAX(0,DAY(EOMONTH(요약!$B$3,0))-N($X319)),0))</f>
        <v/>
      </c>
      <c r="AI319" s="17">
        <f>IF($B319="","",IF(TRIM($J319&amp;"")="",0,SUMPRODUCT((파견수련계획!$Q$4:$Q$83=TRIM($J319&amp;""))*(파견수련계획!$S$4:$S$83="구리병원")*파견수련계획!$W$4:$W$83))+IF($AG319="구리병원",MAX(0,DAY(EOMONTH(요약!$B$3,0))-N($X319)),0))</f>
        <v/>
      </c>
      <c r="AJ319" s="10">
        <f>IF(OR($B319="",TRIM($J319&amp;"")=""),"",IFERROR(MATCH(TRIM($J319&amp;"")&amp;"|월",파견수련계획!$Z$4:$Z$83,0),""))</f>
        <v/>
      </c>
      <c r="AK319" s="10">
        <f>IF(OR($B319="",TRIM($J319&amp;"")=""),"",IFERROR(MATCH(TRIM($J319&amp;"")&amp;"|다기관",파견수련계획!$AE$4:$AE$83,0),""))</f>
        <v/>
      </c>
      <c r="AL319" s="10">
        <f>IF($AK319="","","다기관 "&amp;TEXT(INDEX(파견수련계획!$AB$4:$AB$83,$AK319),"yyyy-mm-dd")&amp;"~"&amp;IF(ISNUMBER(INDEX(파견수련계획!$AC$4:$AC$83,$AK319)),TEXT(INDEX(파견수련계획!$AC$4:$AC$83,$AK319),"yyyy-mm-dd"),""))</f>
        <v/>
      </c>
    </row>
    <row r="320">
      <c r="A320" s="10">
        <f>IF(B320="","",ROW()-1)</f>
        <v/>
      </c>
      <c r="B320" s="18" t="n"/>
      <c r="C320" s="10">
        <f>IF($AB320="","",IF(INDEX(기본자료!$C$2:$C$1001,$AB320)="","",INDEX(기본자료!$C$2:$C$1001,$AB320)))</f>
        <v/>
      </c>
      <c r="D320" s="10">
        <f>IF($AB320="","",IF(INDEX(기본자료!$J$2:$J$1001,$AB320)="","",INDEX(기본자료!$J$2:$J$1001,$AB320)))</f>
        <v/>
      </c>
      <c r="E320" s="11">
        <f>IF($AB320="","",IF(INDEX(기본자료!$K$2:$K$1001,$AB320)="","",IF(NOT(ISNUMBER(INDEX(기본자료!$K$2:$K$1001,$AB320))),INDEX(기본자료!$K$2:$K$1001,$AB320),IF(INDEX(기본자료!$K$2:$K$1001,$AB320)&lt;1000000,INDEX(기본자료!$K$2:$K$1001,$AB320),IF(AND(INDEX(기본자료!$K$2:$K$1001,$AB320)&gt;=10000101,INT(MOD(INDEX(기본자료!$K$2:$K$1001,$AB320),10000)/100)&gt;=1,INT(MOD(INDEX(기본자료!$K$2:$K$1001,$AB320),10000)/100)&lt;=12,MOD(INDEX(기본자료!$K$2:$K$1001,$AB320),100)&gt;=1,MOD(INDEX(기본자료!$K$2:$K$1001,$AB320),100)&lt;=31),DATE(INT(INDEX(기본자료!$K$2:$K$1001,$AB320)/10000),INT(MOD(INDEX(기본자료!$K$2:$K$1001,$AB320),10000)/100),MOD(INDEX(기본자료!$K$2:$K$1001,$AB320),100)),INDEX(기본자료!$K$2:$K$1001,$AB320)&amp;"")))))</f>
        <v/>
      </c>
      <c r="F320" s="10">
        <f>IF($AB320="","",IF(INDEX(기본자료!$D$2:$D$1001,$AB320)="","",INDEX(기본자료!$D$2:$D$1001,$AB320)))</f>
        <v/>
      </c>
      <c r="G320" s="10">
        <f>IF($AB320="","",IF(INDEX(기본자료!$E$2:$E$1001,$AB320)="","",INDEX(기본자료!$E$2:$E$1001,$AB320)))</f>
        <v/>
      </c>
      <c r="H320" s="10">
        <f>IF($AB320="","",IF(INDEX(기본자료!$F$2:$F$1001,$AB320)="","",INDEX(기본자료!$F$2:$F$1001,$AB320)))</f>
        <v/>
      </c>
      <c r="I320" s="11">
        <f>IF($AB320="","",IF(INDEX(기본자료!$G$2:$G$1001,$AB320)="","",IF(NOT(ISNUMBER(INDEX(기본자료!$G$2:$G$1001,$AB320))),INDEX(기본자료!$G$2:$G$1001,$AB320),IF(INDEX(기본자료!$G$2:$G$1001,$AB320)&lt;1000000,INDEX(기본자료!$G$2:$G$1001,$AB320),IF(AND(INDEX(기본자료!$G$2:$G$1001,$AB320)&gt;=10000101,INT(MOD(INDEX(기본자료!$G$2:$G$1001,$AB320),10000)/100)&gt;=1,INT(MOD(INDEX(기본자료!$G$2:$G$1001,$AB320),10000)/100)&lt;=12,MOD(INDEX(기본자료!$G$2:$G$1001,$AB320),100)&gt;=1,MOD(INDEX(기본자료!$G$2:$G$1001,$AB320),100)&lt;=31),DATE(INT(INDEX(기본자료!$G$2:$G$1001,$AB320)/10000),INT(MOD(INDEX(기본자료!$G$2:$G$1001,$AB320),10000)/100),MOD(INDEX(기본자료!$G$2:$G$1001,$AB320),100)),INDEX(기본자료!$G$2:$G$1001,$AB320)&amp;"")))))</f>
        <v/>
      </c>
      <c r="J320" s="10">
        <f>IF($AB320="","",IF(INDEX(기본자료!$H$2:$H$1001,$AB320)="","",INDEX(기본자료!$H$2:$H$1001,$AB320)))</f>
        <v/>
      </c>
      <c r="K320" s="10">
        <f>IF($AB320="","",IF(INDEX(기본자료!$I$2:$I$1001,$AB320)="","",INDEX(기본자료!$I$2:$I$1001,$AB320)))</f>
        <v/>
      </c>
      <c r="L320" s="10">
        <f>IF($AB320="","",IF(INDEX(기본자료!$A$2:$A$1001,$AB320)="","",INDEX(기본자료!$A$2:$A$1001,$AB320)))</f>
        <v/>
      </c>
      <c r="M320" s="15" t="n"/>
      <c r="N320" s="10">
        <f>IF($B320="","",IF(AND($U320="파견중",$Q320&lt;&gt;""),$Q320,IF(AND($AD320&lt;&gt;"",LEFT($AD320,1)&lt;&gt;"⚠"),LEFT($AD320,FIND(" ",$AD320)-1),IF($H320="","",IF(RIGHT($H320,2)="병원",$H320,$H320&amp;"병원")))))</f>
        <v/>
      </c>
      <c r="O320" s="10">
        <f>IF($B320="","",IF(AND($U320="파견중",$Q320&lt;&gt;""),IF($R320&lt;&gt;"",$R320,"파견과 미입력"),IF(AND($AD320&lt;&gt;"",LEFT($AD320,1)&lt;&gt;"⚠"),MID($AD320,FIND(" ",$AD320)+1,60),IF($F320="","",IF($F320="인턴","수련교육부(인턴)",$F320)))))</f>
        <v/>
      </c>
      <c r="P320" s="10">
        <f>IF($B320="","",IF($AK320&lt;&gt;"",IF(AND(TODAY()&gt;=INDEX(파견수련계획!$AB$4:$AB$83,$AK320),OR(NOT(ISNUMBER(INDEX(파견수련계획!$AC$4:$AC$83,$AK320))),TODAY()&lt;=INDEX(파견수련계획!$AC$4:$AC$83,$AK320))),"다기관",IF($AF320="","",INDEX(파견수련계획!$T$4:$T$83,$AF320))),IF($AF320="","",INDEX(파견수련계획!$T$4:$T$83,$AF320))))</f>
        <v/>
      </c>
      <c r="Q320" s="10">
        <f>IF($AF320="","",INDEX(파견수련계획!$S$4:$S$83,$AF320))</f>
        <v/>
      </c>
      <c r="R320" s="10">
        <f>IF($AF320="","",INDEX(파견수련계획!$U$4:$U$83,$AF320))</f>
        <v/>
      </c>
      <c r="S320" s="11">
        <f>IF($AF320="","",IF(INDEX(파견수련계획!$H$4:$H$83,$AF320)="","",INDEX(파견수련계획!$H$4:$H$83,$AF320)))</f>
        <v/>
      </c>
      <c r="T320" s="11">
        <f>IF($AF320="","",IF(INDEX(파견수련계획!$I$4:$I$83,$AF320)="","",INDEX(파견수련계획!$I$4:$I$83,$AF320)))</f>
        <v/>
      </c>
      <c r="U320" s="10">
        <f>IF($AF320="","",INDEX(파견수련계획!$X$4:$X$83,$AF320))</f>
        <v/>
      </c>
      <c r="V320" s="17">
        <f>IF($AF320="","",INDEX(파견수련계획!$V$4:$V$83,$AF320))</f>
        <v/>
      </c>
      <c r="W320" s="17">
        <f>IF(AND($U320="파견중",$T320&lt;&gt;""),$T320-TODAY(),"")</f>
        <v/>
      </c>
      <c r="X320" s="17">
        <f>IF(OR($B320="",TRIM($J320&amp;"")=""),"",SUMPRODUCT((파견수련계획!$Q$4:$Q$83=TRIM($J320&amp;""))*파견수련계획!$W$4:$W$83))</f>
        <v/>
      </c>
      <c r="Y320" s="10">
        <f>IF($B320="","",IF($AG320="","",IF(IF(TRIM($J320&amp;"")="",0,SUMPRODUCT((파견수련계획!$Q$4:$Q$83=TRIM($J320&amp;""))*파견수련계획!$AD$4:$AD$83))&gt;0,$AE320,IF(N($X320)&lt;=0,$AG320,IF($AH320+$AI320=DAY(EOMONTH(요약!$B$3,0)),IF(AND($AH320&gt;=요약!$E$3,$AI320&lt;요약!$E$3),"서울병원",IF(AND($AI320&gt;=요약!$E$3,$AH320&lt;요약!$E$3),"구리병원","⚠15일 판정불가(서울 "&amp;$AH320&amp;"일/구리 "&amp;$AI320&amp;"일)")),IF($AJ320="",$AE320,IF(INDEX(파견수련계획!$T$4:$T$83,$AJ320)="통합수련",INDEX(파견수련계획!$S$4:$S$83,$AJ320),$AE320)))))))</f>
        <v/>
      </c>
      <c r="Z320" s="19">
        <f>IF($B320="","",IF($AB320="","기본자료에 없는 사번",IF(COUNTIF($B$2:$B$401,$B320)&gt;1,"중복 사번",IF($AE320="","소속(입사장소) 입력",IF(IF(TRIM($J320&amp;"")="",0,SUMPRODUCT((파견수련계획!$Q$4:$Q$83=TRIM($J320&amp;""))*(파견수련계획!$AA$4:$AA$83&lt;&gt;"")))&gt;0,"파견수련계획 입력오류 확인",IF(LEFT($Y320,1)="⚠","서울·구리 15일 판정 불가(양쪽 모두 이상/미만)",IF(IF($AC320="",0,N(INDEX(인턴근무계획!$T$3:$T$62,$AC320)))&gt;0,"인턴계획 입력오류 확인",IF(AND($AC320&lt;&gt;"",$U320&lt;&gt;"파견중",$N320&lt;&gt;$AE320),"인턴 타지역 근무: 파견 여부 확인","정상"))))))))</f>
        <v/>
      </c>
      <c r="AA320" s="5" t="n"/>
      <c r="AB320" s="10">
        <f>IF($B320="","",IFERROR(MATCH($B320,기본자료!$B$2:$B$1001,0),IFERROR(MATCH($B320&amp;"",기본자료!$B$2:$B$1001,0),IFERROR(MATCH(VALUE($B320),기본자료!$B$2:$B$1001,0),""))))</f>
        <v/>
      </c>
      <c r="AC320" s="10">
        <f>IF($B320="","",IFERROR(MATCH($B320,인턴근무계획!$D$3:$D$62,0),IFERROR(MATCH($B320&amp;"",인턴근무계획!$D$3:$D$62,0),IFERROR(MATCH(VALUE($B320),인턴근무계획!$D$3:$D$62,0),""))))</f>
        <v/>
      </c>
      <c r="AD320" s="10">
        <f>IF(OR($AC320="",인턴현황!$G$3=""),"",INDEX(인턴근무계획!$M$3:$R$62,$AC320,인턴현황!$G$3)&amp;"")</f>
        <v/>
      </c>
      <c r="AE320" s="10">
        <f>IF($B320="","",IF($M320&lt;&gt;"",$M320,IF($AF320&lt;&gt;"",IF(LEFT(INDEX(파견수련계획!$R$4:$R$83,$AF320),1)&lt;&gt;"⚠",INDEX(파견수련계획!$R$4:$R$83,$AF320),IF($H320="","",IF(RIGHT($H320,2)="병원",$H320,$H320&amp;"병원"))),IF($H320="","",IF(RIGHT($H320,2)="병원",$H320,$H320&amp;"병원")))))</f>
        <v/>
      </c>
      <c r="AF320" s="10">
        <f>IF(OR($B320="",TRIM($J320&amp;"")=""),"",IFERROR(MATCH(TRIM($J320&amp;"")&amp;"|파견중",파견수련계획!$Y$4:$Y$83,0),IFERROR(MATCH(TRIM($J320&amp;"")&amp;"|파견예정",파견수련계획!$Y$4:$Y$83,0),IFERROR(MATCH(TRIM($J320&amp;"")&amp;"|파견종료",파견수련계획!$Y$4:$Y$83,0),""))))</f>
        <v/>
      </c>
      <c r="AG320" s="10">
        <f>IF($B320="","",IF(AND(IF(OR($AC320="",인턴현황!$K$2=""),"",INDEX(인턴근무계획!$M$3:$R$62,$AC320,인턴현황!$K$2)&amp;"")&lt;&gt;"",LEFT(IF(OR($AC320="",인턴현황!$K$2=""),"",INDEX(인턴근무계획!$M$3:$R$62,$AC320,인턴현황!$K$2)&amp;""),1)&lt;&gt;"⚠"),LEFT(IF(OR($AC320="",인턴현황!$K$2=""),"",INDEX(인턴근무계획!$M$3:$R$62,$AC320,인턴현황!$K$2)&amp;""),FIND(" ",IF(OR($AC320="",인턴현황!$K$2=""),"",INDEX(인턴근무계획!$M$3:$R$62,$AC320,인턴현황!$K$2)&amp;""))-1),$AE320))</f>
        <v/>
      </c>
      <c r="AH320" s="17">
        <f>IF($B320="","",IF(TRIM($J320&amp;"")="",0,SUMPRODUCT((파견수련계획!$Q$4:$Q$83=TRIM($J320&amp;""))*(파견수련계획!$S$4:$S$83="서울병원")*파견수련계획!$W$4:$W$83))+IF($AG320="서울병원",MAX(0,DAY(EOMONTH(요약!$B$3,0))-N($X320)),0))</f>
        <v/>
      </c>
      <c r="AI320" s="17">
        <f>IF($B320="","",IF(TRIM($J320&amp;"")="",0,SUMPRODUCT((파견수련계획!$Q$4:$Q$83=TRIM($J320&amp;""))*(파견수련계획!$S$4:$S$83="구리병원")*파견수련계획!$W$4:$W$83))+IF($AG320="구리병원",MAX(0,DAY(EOMONTH(요약!$B$3,0))-N($X320)),0))</f>
        <v/>
      </c>
      <c r="AJ320" s="10">
        <f>IF(OR($B320="",TRIM($J320&amp;"")=""),"",IFERROR(MATCH(TRIM($J320&amp;"")&amp;"|월",파견수련계획!$Z$4:$Z$83,0),""))</f>
        <v/>
      </c>
      <c r="AK320" s="10">
        <f>IF(OR($B320="",TRIM($J320&amp;"")=""),"",IFERROR(MATCH(TRIM($J320&amp;"")&amp;"|다기관",파견수련계획!$AE$4:$AE$83,0),""))</f>
        <v/>
      </c>
      <c r="AL320" s="10">
        <f>IF($AK320="","","다기관 "&amp;TEXT(INDEX(파견수련계획!$AB$4:$AB$83,$AK320),"yyyy-mm-dd")&amp;"~"&amp;IF(ISNUMBER(INDEX(파견수련계획!$AC$4:$AC$83,$AK320)),TEXT(INDEX(파견수련계획!$AC$4:$AC$83,$AK320),"yyyy-mm-dd"),""))</f>
        <v/>
      </c>
    </row>
    <row r="321">
      <c r="A321" s="10">
        <f>IF(B321="","",ROW()-1)</f>
        <v/>
      </c>
      <c r="B321" s="18" t="n"/>
      <c r="C321" s="10">
        <f>IF($AB321="","",IF(INDEX(기본자료!$C$2:$C$1001,$AB321)="","",INDEX(기본자료!$C$2:$C$1001,$AB321)))</f>
        <v/>
      </c>
      <c r="D321" s="10">
        <f>IF($AB321="","",IF(INDEX(기본자료!$J$2:$J$1001,$AB321)="","",INDEX(기본자료!$J$2:$J$1001,$AB321)))</f>
        <v/>
      </c>
      <c r="E321" s="11">
        <f>IF($AB321="","",IF(INDEX(기본자료!$K$2:$K$1001,$AB321)="","",IF(NOT(ISNUMBER(INDEX(기본자료!$K$2:$K$1001,$AB321))),INDEX(기본자료!$K$2:$K$1001,$AB321),IF(INDEX(기본자료!$K$2:$K$1001,$AB321)&lt;1000000,INDEX(기본자료!$K$2:$K$1001,$AB321),IF(AND(INDEX(기본자료!$K$2:$K$1001,$AB321)&gt;=10000101,INT(MOD(INDEX(기본자료!$K$2:$K$1001,$AB321),10000)/100)&gt;=1,INT(MOD(INDEX(기본자료!$K$2:$K$1001,$AB321),10000)/100)&lt;=12,MOD(INDEX(기본자료!$K$2:$K$1001,$AB321),100)&gt;=1,MOD(INDEX(기본자료!$K$2:$K$1001,$AB321),100)&lt;=31),DATE(INT(INDEX(기본자료!$K$2:$K$1001,$AB321)/10000),INT(MOD(INDEX(기본자료!$K$2:$K$1001,$AB321),10000)/100),MOD(INDEX(기본자료!$K$2:$K$1001,$AB321),100)),INDEX(기본자료!$K$2:$K$1001,$AB321)&amp;"")))))</f>
        <v/>
      </c>
      <c r="F321" s="10">
        <f>IF($AB321="","",IF(INDEX(기본자료!$D$2:$D$1001,$AB321)="","",INDEX(기본자료!$D$2:$D$1001,$AB321)))</f>
        <v/>
      </c>
      <c r="G321" s="10">
        <f>IF($AB321="","",IF(INDEX(기본자료!$E$2:$E$1001,$AB321)="","",INDEX(기본자료!$E$2:$E$1001,$AB321)))</f>
        <v/>
      </c>
      <c r="H321" s="10">
        <f>IF($AB321="","",IF(INDEX(기본자료!$F$2:$F$1001,$AB321)="","",INDEX(기본자료!$F$2:$F$1001,$AB321)))</f>
        <v/>
      </c>
      <c r="I321" s="11">
        <f>IF($AB321="","",IF(INDEX(기본자료!$G$2:$G$1001,$AB321)="","",IF(NOT(ISNUMBER(INDEX(기본자료!$G$2:$G$1001,$AB321))),INDEX(기본자료!$G$2:$G$1001,$AB321),IF(INDEX(기본자료!$G$2:$G$1001,$AB321)&lt;1000000,INDEX(기본자료!$G$2:$G$1001,$AB321),IF(AND(INDEX(기본자료!$G$2:$G$1001,$AB321)&gt;=10000101,INT(MOD(INDEX(기본자료!$G$2:$G$1001,$AB321),10000)/100)&gt;=1,INT(MOD(INDEX(기본자료!$G$2:$G$1001,$AB321),10000)/100)&lt;=12,MOD(INDEX(기본자료!$G$2:$G$1001,$AB321),100)&gt;=1,MOD(INDEX(기본자료!$G$2:$G$1001,$AB321),100)&lt;=31),DATE(INT(INDEX(기본자료!$G$2:$G$1001,$AB321)/10000),INT(MOD(INDEX(기본자료!$G$2:$G$1001,$AB321),10000)/100),MOD(INDEX(기본자료!$G$2:$G$1001,$AB321),100)),INDEX(기본자료!$G$2:$G$1001,$AB321)&amp;"")))))</f>
        <v/>
      </c>
      <c r="J321" s="10">
        <f>IF($AB321="","",IF(INDEX(기본자료!$H$2:$H$1001,$AB321)="","",INDEX(기본자료!$H$2:$H$1001,$AB321)))</f>
        <v/>
      </c>
      <c r="K321" s="10">
        <f>IF($AB321="","",IF(INDEX(기본자료!$I$2:$I$1001,$AB321)="","",INDEX(기본자료!$I$2:$I$1001,$AB321)))</f>
        <v/>
      </c>
      <c r="L321" s="10">
        <f>IF($AB321="","",IF(INDEX(기본자료!$A$2:$A$1001,$AB321)="","",INDEX(기본자료!$A$2:$A$1001,$AB321)))</f>
        <v/>
      </c>
      <c r="M321" s="15" t="n"/>
      <c r="N321" s="10">
        <f>IF($B321="","",IF(AND($U321="파견중",$Q321&lt;&gt;""),$Q321,IF(AND($AD321&lt;&gt;"",LEFT($AD321,1)&lt;&gt;"⚠"),LEFT($AD321,FIND(" ",$AD321)-1),IF($H321="","",IF(RIGHT($H321,2)="병원",$H321,$H321&amp;"병원")))))</f>
        <v/>
      </c>
      <c r="O321" s="10">
        <f>IF($B321="","",IF(AND($U321="파견중",$Q321&lt;&gt;""),IF($R321&lt;&gt;"",$R321,"파견과 미입력"),IF(AND($AD321&lt;&gt;"",LEFT($AD321,1)&lt;&gt;"⚠"),MID($AD321,FIND(" ",$AD321)+1,60),IF($F321="","",IF($F321="인턴","수련교육부(인턴)",$F321)))))</f>
        <v/>
      </c>
      <c r="P321" s="10">
        <f>IF($B321="","",IF($AK321&lt;&gt;"",IF(AND(TODAY()&gt;=INDEX(파견수련계획!$AB$4:$AB$83,$AK321),OR(NOT(ISNUMBER(INDEX(파견수련계획!$AC$4:$AC$83,$AK321))),TODAY()&lt;=INDEX(파견수련계획!$AC$4:$AC$83,$AK321))),"다기관",IF($AF321="","",INDEX(파견수련계획!$T$4:$T$83,$AF321))),IF($AF321="","",INDEX(파견수련계획!$T$4:$T$83,$AF321))))</f>
        <v/>
      </c>
      <c r="Q321" s="10">
        <f>IF($AF321="","",INDEX(파견수련계획!$S$4:$S$83,$AF321))</f>
        <v/>
      </c>
      <c r="R321" s="10">
        <f>IF($AF321="","",INDEX(파견수련계획!$U$4:$U$83,$AF321))</f>
        <v/>
      </c>
      <c r="S321" s="11">
        <f>IF($AF321="","",IF(INDEX(파견수련계획!$H$4:$H$83,$AF321)="","",INDEX(파견수련계획!$H$4:$H$83,$AF321)))</f>
        <v/>
      </c>
      <c r="T321" s="11">
        <f>IF($AF321="","",IF(INDEX(파견수련계획!$I$4:$I$83,$AF321)="","",INDEX(파견수련계획!$I$4:$I$83,$AF321)))</f>
        <v/>
      </c>
      <c r="U321" s="10">
        <f>IF($AF321="","",INDEX(파견수련계획!$X$4:$X$83,$AF321))</f>
        <v/>
      </c>
      <c r="V321" s="17">
        <f>IF($AF321="","",INDEX(파견수련계획!$V$4:$V$83,$AF321))</f>
        <v/>
      </c>
      <c r="W321" s="17">
        <f>IF(AND($U321="파견중",$T321&lt;&gt;""),$T321-TODAY(),"")</f>
        <v/>
      </c>
      <c r="X321" s="17">
        <f>IF(OR($B321="",TRIM($J321&amp;"")=""),"",SUMPRODUCT((파견수련계획!$Q$4:$Q$83=TRIM($J321&amp;""))*파견수련계획!$W$4:$W$83))</f>
        <v/>
      </c>
      <c r="Y321" s="10">
        <f>IF($B321="","",IF($AG321="","",IF(IF(TRIM($J321&amp;"")="",0,SUMPRODUCT((파견수련계획!$Q$4:$Q$83=TRIM($J321&amp;""))*파견수련계획!$AD$4:$AD$83))&gt;0,$AE321,IF(N($X321)&lt;=0,$AG321,IF($AH321+$AI321=DAY(EOMONTH(요약!$B$3,0)),IF(AND($AH321&gt;=요약!$E$3,$AI321&lt;요약!$E$3),"서울병원",IF(AND($AI321&gt;=요약!$E$3,$AH321&lt;요약!$E$3),"구리병원","⚠15일 판정불가(서울 "&amp;$AH321&amp;"일/구리 "&amp;$AI321&amp;"일)")),IF($AJ321="",$AE321,IF(INDEX(파견수련계획!$T$4:$T$83,$AJ321)="통합수련",INDEX(파견수련계획!$S$4:$S$83,$AJ321),$AE321)))))))</f>
        <v/>
      </c>
      <c r="Z321" s="19">
        <f>IF($B321="","",IF($AB321="","기본자료에 없는 사번",IF(COUNTIF($B$2:$B$401,$B321)&gt;1,"중복 사번",IF($AE321="","소속(입사장소) 입력",IF(IF(TRIM($J321&amp;"")="",0,SUMPRODUCT((파견수련계획!$Q$4:$Q$83=TRIM($J321&amp;""))*(파견수련계획!$AA$4:$AA$83&lt;&gt;"")))&gt;0,"파견수련계획 입력오류 확인",IF(LEFT($Y321,1)="⚠","서울·구리 15일 판정 불가(양쪽 모두 이상/미만)",IF(IF($AC321="",0,N(INDEX(인턴근무계획!$T$3:$T$62,$AC321)))&gt;0,"인턴계획 입력오류 확인",IF(AND($AC321&lt;&gt;"",$U321&lt;&gt;"파견중",$N321&lt;&gt;$AE321),"인턴 타지역 근무: 파견 여부 확인","정상"))))))))</f>
        <v/>
      </c>
      <c r="AA321" s="5" t="n"/>
      <c r="AB321" s="10">
        <f>IF($B321="","",IFERROR(MATCH($B321,기본자료!$B$2:$B$1001,0),IFERROR(MATCH($B321&amp;"",기본자료!$B$2:$B$1001,0),IFERROR(MATCH(VALUE($B321),기본자료!$B$2:$B$1001,0),""))))</f>
        <v/>
      </c>
      <c r="AC321" s="10">
        <f>IF($B321="","",IFERROR(MATCH($B321,인턴근무계획!$D$3:$D$62,0),IFERROR(MATCH($B321&amp;"",인턴근무계획!$D$3:$D$62,0),IFERROR(MATCH(VALUE($B321),인턴근무계획!$D$3:$D$62,0),""))))</f>
        <v/>
      </c>
      <c r="AD321" s="10">
        <f>IF(OR($AC321="",인턴현황!$G$3=""),"",INDEX(인턴근무계획!$M$3:$R$62,$AC321,인턴현황!$G$3)&amp;"")</f>
        <v/>
      </c>
      <c r="AE321" s="10">
        <f>IF($B321="","",IF($M321&lt;&gt;"",$M321,IF($AF321&lt;&gt;"",IF(LEFT(INDEX(파견수련계획!$R$4:$R$83,$AF321),1)&lt;&gt;"⚠",INDEX(파견수련계획!$R$4:$R$83,$AF321),IF($H321="","",IF(RIGHT($H321,2)="병원",$H321,$H321&amp;"병원"))),IF($H321="","",IF(RIGHT($H321,2)="병원",$H321,$H321&amp;"병원")))))</f>
        <v/>
      </c>
      <c r="AF321" s="10">
        <f>IF(OR($B321="",TRIM($J321&amp;"")=""),"",IFERROR(MATCH(TRIM($J321&amp;"")&amp;"|파견중",파견수련계획!$Y$4:$Y$83,0),IFERROR(MATCH(TRIM($J321&amp;"")&amp;"|파견예정",파견수련계획!$Y$4:$Y$83,0),IFERROR(MATCH(TRIM($J321&amp;"")&amp;"|파견종료",파견수련계획!$Y$4:$Y$83,0),""))))</f>
        <v/>
      </c>
      <c r="AG321" s="10">
        <f>IF($B321="","",IF(AND(IF(OR($AC321="",인턴현황!$K$2=""),"",INDEX(인턴근무계획!$M$3:$R$62,$AC321,인턴현황!$K$2)&amp;"")&lt;&gt;"",LEFT(IF(OR($AC321="",인턴현황!$K$2=""),"",INDEX(인턴근무계획!$M$3:$R$62,$AC321,인턴현황!$K$2)&amp;""),1)&lt;&gt;"⚠"),LEFT(IF(OR($AC321="",인턴현황!$K$2=""),"",INDEX(인턴근무계획!$M$3:$R$62,$AC321,인턴현황!$K$2)&amp;""),FIND(" ",IF(OR($AC321="",인턴현황!$K$2=""),"",INDEX(인턴근무계획!$M$3:$R$62,$AC321,인턴현황!$K$2)&amp;""))-1),$AE321))</f>
        <v/>
      </c>
      <c r="AH321" s="17">
        <f>IF($B321="","",IF(TRIM($J321&amp;"")="",0,SUMPRODUCT((파견수련계획!$Q$4:$Q$83=TRIM($J321&amp;""))*(파견수련계획!$S$4:$S$83="서울병원")*파견수련계획!$W$4:$W$83))+IF($AG321="서울병원",MAX(0,DAY(EOMONTH(요약!$B$3,0))-N($X321)),0))</f>
        <v/>
      </c>
      <c r="AI321" s="17">
        <f>IF($B321="","",IF(TRIM($J321&amp;"")="",0,SUMPRODUCT((파견수련계획!$Q$4:$Q$83=TRIM($J321&amp;""))*(파견수련계획!$S$4:$S$83="구리병원")*파견수련계획!$W$4:$W$83))+IF($AG321="구리병원",MAX(0,DAY(EOMONTH(요약!$B$3,0))-N($X321)),0))</f>
        <v/>
      </c>
      <c r="AJ321" s="10">
        <f>IF(OR($B321="",TRIM($J321&amp;"")=""),"",IFERROR(MATCH(TRIM($J321&amp;"")&amp;"|월",파견수련계획!$Z$4:$Z$83,0),""))</f>
        <v/>
      </c>
      <c r="AK321" s="10">
        <f>IF(OR($B321="",TRIM($J321&amp;"")=""),"",IFERROR(MATCH(TRIM($J321&amp;"")&amp;"|다기관",파견수련계획!$AE$4:$AE$83,0),""))</f>
        <v/>
      </c>
      <c r="AL321" s="10">
        <f>IF($AK321="","","다기관 "&amp;TEXT(INDEX(파견수련계획!$AB$4:$AB$83,$AK321),"yyyy-mm-dd")&amp;"~"&amp;IF(ISNUMBER(INDEX(파견수련계획!$AC$4:$AC$83,$AK321)),TEXT(INDEX(파견수련계획!$AC$4:$AC$83,$AK321),"yyyy-mm-dd"),""))</f>
        <v/>
      </c>
    </row>
    <row r="322">
      <c r="A322" s="10">
        <f>IF(B322="","",ROW()-1)</f>
        <v/>
      </c>
      <c r="B322" s="18" t="n"/>
      <c r="C322" s="10">
        <f>IF($AB322="","",IF(INDEX(기본자료!$C$2:$C$1001,$AB322)="","",INDEX(기본자료!$C$2:$C$1001,$AB322)))</f>
        <v/>
      </c>
      <c r="D322" s="10">
        <f>IF($AB322="","",IF(INDEX(기본자료!$J$2:$J$1001,$AB322)="","",INDEX(기본자료!$J$2:$J$1001,$AB322)))</f>
        <v/>
      </c>
      <c r="E322" s="11">
        <f>IF($AB322="","",IF(INDEX(기본자료!$K$2:$K$1001,$AB322)="","",IF(NOT(ISNUMBER(INDEX(기본자료!$K$2:$K$1001,$AB322))),INDEX(기본자료!$K$2:$K$1001,$AB322),IF(INDEX(기본자료!$K$2:$K$1001,$AB322)&lt;1000000,INDEX(기본자료!$K$2:$K$1001,$AB322),IF(AND(INDEX(기본자료!$K$2:$K$1001,$AB322)&gt;=10000101,INT(MOD(INDEX(기본자료!$K$2:$K$1001,$AB322),10000)/100)&gt;=1,INT(MOD(INDEX(기본자료!$K$2:$K$1001,$AB322),10000)/100)&lt;=12,MOD(INDEX(기본자료!$K$2:$K$1001,$AB322),100)&gt;=1,MOD(INDEX(기본자료!$K$2:$K$1001,$AB322),100)&lt;=31),DATE(INT(INDEX(기본자료!$K$2:$K$1001,$AB322)/10000),INT(MOD(INDEX(기본자료!$K$2:$K$1001,$AB322),10000)/100),MOD(INDEX(기본자료!$K$2:$K$1001,$AB322),100)),INDEX(기본자료!$K$2:$K$1001,$AB322)&amp;"")))))</f>
        <v/>
      </c>
      <c r="F322" s="10">
        <f>IF($AB322="","",IF(INDEX(기본자료!$D$2:$D$1001,$AB322)="","",INDEX(기본자료!$D$2:$D$1001,$AB322)))</f>
        <v/>
      </c>
      <c r="G322" s="10">
        <f>IF($AB322="","",IF(INDEX(기본자료!$E$2:$E$1001,$AB322)="","",INDEX(기본자료!$E$2:$E$1001,$AB322)))</f>
        <v/>
      </c>
      <c r="H322" s="10">
        <f>IF($AB322="","",IF(INDEX(기본자료!$F$2:$F$1001,$AB322)="","",INDEX(기본자료!$F$2:$F$1001,$AB322)))</f>
        <v/>
      </c>
      <c r="I322" s="11">
        <f>IF($AB322="","",IF(INDEX(기본자료!$G$2:$G$1001,$AB322)="","",IF(NOT(ISNUMBER(INDEX(기본자료!$G$2:$G$1001,$AB322))),INDEX(기본자료!$G$2:$G$1001,$AB322),IF(INDEX(기본자료!$G$2:$G$1001,$AB322)&lt;1000000,INDEX(기본자료!$G$2:$G$1001,$AB322),IF(AND(INDEX(기본자료!$G$2:$G$1001,$AB322)&gt;=10000101,INT(MOD(INDEX(기본자료!$G$2:$G$1001,$AB322),10000)/100)&gt;=1,INT(MOD(INDEX(기본자료!$G$2:$G$1001,$AB322),10000)/100)&lt;=12,MOD(INDEX(기본자료!$G$2:$G$1001,$AB322),100)&gt;=1,MOD(INDEX(기본자료!$G$2:$G$1001,$AB322),100)&lt;=31),DATE(INT(INDEX(기본자료!$G$2:$G$1001,$AB322)/10000),INT(MOD(INDEX(기본자료!$G$2:$G$1001,$AB322),10000)/100),MOD(INDEX(기본자료!$G$2:$G$1001,$AB322),100)),INDEX(기본자료!$G$2:$G$1001,$AB322)&amp;"")))))</f>
        <v/>
      </c>
      <c r="J322" s="10">
        <f>IF($AB322="","",IF(INDEX(기본자료!$H$2:$H$1001,$AB322)="","",INDEX(기본자료!$H$2:$H$1001,$AB322)))</f>
        <v/>
      </c>
      <c r="K322" s="10">
        <f>IF($AB322="","",IF(INDEX(기본자료!$I$2:$I$1001,$AB322)="","",INDEX(기본자료!$I$2:$I$1001,$AB322)))</f>
        <v/>
      </c>
      <c r="L322" s="10">
        <f>IF($AB322="","",IF(INDEX(기본자료!$A$2:$A$1001,$AB322)="","",INDEX(기본자료!$A$2:$A$1001,$AB322)))</f>
        <v/>
      </c>
      <c r="M322" s="15" t="n"/>
      <c r="N322" s="10">
        <f>IF($B322="","",IF(AND($U322="파견중",$Q322&lt;&gt;""),$Q322,IF(AND($AD322&lt;&gt;"",LEFT($AD322,1)&lt;&gt;"⚠"),LEFT($AD322,FIND(" ",$AD322)-1),IF($H322="","",IF(RIGHT($H322,2)="병원",$H322,$H322&amp;"병원")))))</f>
        <v/>
      </c>
      <c r="O322" s="10">
        <f>IF($B322="","",IF(AND($U322="파견중",$Q322&lt;&gt;""),IF($R322&lt;&gt;"",$R322,"파견과 미입력"),IF(AND($AD322&lt;&gt;"",LEFT($AD322,1)&lt;&gt;"⚠"),MID($AD322,FIND(" ",$AD322)+1,60),IF($F322="","",IF($F322="인턴","수련교육부(인턴)",$F322)))))</f>
        <v/>
      </c>
      <c r="P322" s="10">
        <f>IF($B322="","",IF($AK322&lt;&gt;"",IF(AND(TODAY()&gt;=INDEX(파견수련계획!$AB$4:$AB$83,$AK322),OR(NOT(ISNUMBER(INDEX(파견수련계획!$AC$4:$AC$83,$AK322))),TODAY()&lt;=INDEX(파견수련계획!$AC$4:$AC$83,$AK322))),"다기관",IF($AF322="","",INDEX(파견수련계획!$T$4:$T$83,$AF322))),IF($AF322="","",INDEX(파견수련계획!$T$4:$T$83,$AF322))))</f>
        <v/>
      </c>
      <c r="Q322" s="10">
        <f>IF($AF322="","",INDEX(파견수련계획!$S$4:$S$83,$AF322))</f>
        <v/>
      </c>
      <c r="R322" s="10">
        <f>IF($AF322="","",INDEX(파견수련계획!$U$4:$U$83,$AF322))</f>
        <v/>
      </c>
      <c r="S322" s="11">
        <f>IF($AF322="","",IF(INDEX(파견수련계획!$H$4:$H$83,$AF322)="","",INDEX(파견수련계획!$H$4:$H$83,$AF322)))</f>
        <v/>
      </c>
      <c r="T322" s="11">
        <f>IF($AF322="","",IF(INDEX(파견수련계획!$I$4:$I$83,$AF322)="","",INDEX(파견수련계획!$I$4:$I$83,$AF322)))</f>
        <v/>
      </c>
      <c r="U322" s="10">
        <f>IF($AF322="","",INDEX(파견수련계획!$X$4:$X$83,$AF322))</f>
        <v/>
      </c>
      <c r="V322" s="17">
        <f>IF($AF322="","",INDEX(파견수련계획!$V$4:$V$83,$AF322))</f>
        <v/>
      </c>
      <c r="W322" s="17">
        <f>IF(AND($U322="파견중",$T322&lt;&gt;""),$T322-TODAY(),"")</f>
        <v/>
      </c>
      <c r="X322" s="17">
        <f>IF(OR($B322="",TRIM($J322&amp;"")=""),"",SUMPRODUCT((파견수련계획!$Q$4:$Q$83=TRIM($J322&amp;""))*파견수련계획!$W$4:$W$83))</f>
        <v/>
      </c>
      <c r="Y322" s="10">
        <f>IF($B322="","",IF($AG322="","",IF(IF(TRIM($J322&amp;"")="",0,SUMPRODUCT((파견수련계획!$Q$4:$Q$83=TRIM($J322&amp;""))*파견수련계획!$AD$4:$AD$83))&gt;0,$AE322,IF(N($X322)&lt;=0,$AG322,IF($AH322+$AI322=DAY(EOMONTH(요약!$B$3,0)),IF(AND($AH322&gt;=요약!$E$3,$AI322&lt;요약!$E$3),"서울병원",IF(AND($AI322&gt;=요약!$E$3,$AH322&lt;요약!$E$3),"구리병원","⚠15일 판정불가(서울 "&amp;$AH322&amp;"일/구리 "&amp;$AI322&amp;"일)")),IF($AJ322="",$AE322,IF(INDEX(파견수련계획!$T$4:$T$83,$AJ322)="통합수련",INDEX(파견수련계획!$S$4:$S$83,$AJ322),$AE322)))))))</f>
        <v/>
      </c>
      <c r="Z322" s="19">
        <f>IF($B322="","",IF($AB322="","기본자료에 없는 사번",IF(COUNTIF($B$2:$B$401,$B322)&gt;1,"중복 사번",IF($AE322="","소속(입사장소) 입력",IF(IF(TRIM($J322&amp;"")="",0,SUMPRODUCT((파견수련계획!$Q$4:$Q$83=TRIM($J322&amp;""))*(파견수련계획!$AA$4:$AA$83&lt;&gt;"")))&gt;0,"파견수련계획 입력오류 확인",IF(LEFT($Y322,1)="⚠","서울·구리 15일 판정 불가(양쪽 모두 이상/미만)",IF(IF($AC322="",0,N(INDEX(인턴근무계획!$T$3:$T$62,$AC322)))&gt;0,"인턴계획 입력오류 확인",IF(AND($AC322&lt;&gt;"",$U322&lt;&gt;"파견중",$N322&lt;&gt;$AE322),"인턴 타지역 근무: 파견 여부 확인","정상"))))))))</f>
        <v/>
      </c>
      <c r="AA322" s="5" t="n"/>
      <c r="AB322" s="10">
        <f>IF($B322="","",IFERROR(MATCH($B322,기본자료!$B$2:$B$1001,0),IFERROR(MATCH($B322&amp;"",기본자료!$B$2:$B$1001,0),IFERROR(MATCH(VALUE($B322),기본자료!$B$2:$B$1001,0),""))))</f>
        <v/>
      </c>
      <c r="AC322" s="10">
        <f>IF($B322="","",IFERROR(MATCH($B322,인턴근무계획!$D$3:$D$62,0),IFERROR(MATCH($B322&amp;"",인턴근무계획!$D$3:$D$62,0),IFERROR(MATCH(VALUE($B322),인턴근무계획!$D$3:$D$62,0),""))))</f>
        <v/>
      </c>
      <c r="AD322" s="10">
        <f>IF(OR($AC322="",인턴현황!$G$3=""),"",INDEX(인턴근무계획!$M$3:$R$62,$AC322,인턴현황!$G$3)&amp;"")</f>
        <v/>
      </c>
      <c r="AE322" s="10">
        <f>IF($B322="","",IF($M322&lt;&gt;"",$M322,IF($AF322&lt;&gt;"",IF(LEFT(INDEX(파견수련계획!$R$4:$R$83,$AF322),1)&lt;&gt;"⚠",INDEX(파견수련계획!$R$4:$R$83,$AF322),IF($H322="","",IF(RIGHT($H322,2)="병원",$H322,$H322&amp;"병원"))),IF($H322="","",IF(RIGHT($H322,2)="병원",$H322,$H322&amp;"병원")))))</f>
        <v/>
      </c>
      <c r="AF322" s="10">
        <f>IF(OR($B322="",TRIM($J322&amp;"")=""),"",IFERROR(MATCH(TRIM($J322&amp;"")&amp;"|파견중",파견수련계획!$Y$4:$Y$83,0),IFERROR(MATCH(TRIM($J322&amp;"")&amp;"|파견예정",파견수련계획!$Y$4:$Y$83,0),IFERROR(MATCH(TRIM($J322&amp;"")&amp;"|파견종료",파견수련계획!$Y$4:$Y$83,0),""))))</f>
        <v/>
      </c>
      <c r="AG322" s="10">
        <f>IF($B322="","",IF(AND(IF(OR($AC322="",인턴현황!$K$2=""),"",INDEX(인턴근무계획!$M$3:$R$62,$AC322,인턴현황!$K$2)&amp;"")&lt;&gt;"",LEFT(IF(OR($AC322="",인턴현황!$K$2=""),"",INDEX(인턴근무계획!$M$3:$R$62,$AC322,인턴현황!$K$2)&amp;""),1)&lt;&gt;"⚠"),LEFT(IF(OR($AC322="",인턴현황!$K$2=""),"",INDEX(인턴근무계획!$M$3:$R$62,$AC322,인턴현황!$K$2)&amp;""),FIND(" ",IF(OR($AC322="",인턴현황!$K$2=""),"",INDEX(인턴근무계획!$M$3:$R$62,$AC322,인턴현황!$K$2)&amp;""))-1),$AE322))</f>
        <v/>
      </c>
      <c r="AH322" s="17">
        <f>IF($B322="","",IF(TRIM($J322&amp;"")="",0,SUMPRODUCT((파견수련계획!$Q$4:$Q$83=TRIM($J322&amp;""))*(파견수련계획!$S$4:$S$83="서울병원")*파견수련계획!$W$4:$W$83))+IF($AG322="서울병원",MAX(0,DAY(EOMONTH(요약!$B$3,0))-N($X322)),0))</f>
        <v/>
      </c>
      <c r="AI322" s="17">
        <f>IF($B322="","",IF(TRIM($J322&amp;"")="",0,SUMPRODUCT((파견수련계획!$Q$4:$Q$83=TRIM($J322&amp;""))*(파견수련계획!$S$4:$S$83="구리병원")*파견수련계획!$W$4:$W$83))+IF($AG322="구리병원",MAX(0,DAY(EOMONTH(요약!$B$3,0))-N($X322)),0))</f>
        <v/>
      </c>
      <c r="AJ322" s="10">
        <f>IF(OR($B322="",TRIM($J322&amp;"")=""),"",IFERROR(MATCH(TRIM($J322&amp;"")&amp;"|월",파견수련계획!$Z$4:$Z$83,0),""))</f>
        <v/>
      </c>
      <c r="AK322" s="10">
        <f>IF(OR($B322="",TRIM($J322&amp;"")=""),"",IFERROR(MATCH(TRIM($J322&amp;"")&amp;"|다기관",파견수련계획!$AE$4:$AE$83,0),""))</f>
        <v/>
      </c>
      <c r="AL322" s="10">
        <f>IF($AK322="","","다기관 "&amp;TEXT(INDEX(파견수련계획!$AB$4:$AB$83,$AK322),"yyyy-mm-dd")&amp;"~"&amp;IF(ISNUMBER(INDEX(파견수련계획!$AC$4:$AC$83,$AK322)),TEXT(INDEX(파견수련계획!$AC$4:$AC$83,$AK322),"yyyy-mm-dd"),""))</f>
        <v/>
      </c>
    </row>
    <row r="323">
      <c r="A323" s="10">
        <f>IF(B323="","",ROW()-1)</f>
        <v/>
      </c>
      <c r="B323" s="18" t="n"/>
      <c r="C323" s="10">
        <f>IF($AB323="","",IF(INDEX(기본자료!$C$2:$C$1001,$AB323)="","",INDEX(기본자료!$C$2:$C$1001,$AB323)))</f>
        <v/>
      </c>
      <c r="D323" s="10">
        <f>IF($AB323="","",IF(INDEX(기본자료!$J$2:$J$1001,$AB323)="","",INDEX(기본자료!$J$2:$J$1001,$AB323)))</f>
        <v/>
      </c>
      <c r="E323" s="11">
        <f>IF($AB323="","",IF(INDEX(기본자료!$K$2:$K$1001,$AB323)="","",IF(NOT(ISNUMBER(INDEX(기본자료!$K$2:$K$1001,$AB323))),INDEX(기본자료!$K$2:$K$1001,$AB323),IF(INDEX(기본자료!$K$2:$K$1001,$AB323)&lt;1000000,INDEX(기본자료!$K$2:$K$1001,$AB323),IF(AND(INDEX(기본자료!$K$2:$K$1001,$AB323)&gt;=10000101,INT(MOD(INDEX(기본자료!$K$2:$K$1001,$AB323),10000)/100)&gt;=1,INT(MOD(INDEX(기본자료!$K$2:$K$1001,$AB323),10000)/100)&lt;=12,MOD(INDEX(기본자료!$K$2:$K$1001,$AB323),100)&gt;=1,MOD(INDEX(기본자료!$K$2:$K$1001,$AB323),100)&lt;=31),DATE(INT(INDEX(기본자료!$K$2:$K$1001,$AB323)/10000),INT(MOD(INDEX(기본자료!$K$2:$K$1001,$AB323),10000)/100),MOD(INDEX(기본자료!$K$2:$K$1001,$AB323),100)),INDEX(기본자료!$K$2:$K$1001,$AB323)&amp;"")))))</f>
        <v/>
      </c>
      <c r="F323" s="10">
        <f>IF($AB323="","",IF(INDEX(기본자료!$D$2:$D$1001,$AB323)="","",INDEX(기본자료!$D$2:$D$1001,$AB323)))</f>
        <v/>
      </c>
      <c r="G323" s="10">
        <f>IF($AB323="","",IF(INDEX(기본자료!$E$2:$E$1001,$AB323)="","",INDEX(기본자료!$E$2:$E$1001,$AB323)))</f>
        <v/>
      </c>
      <c r="H323" s="10">
        <f>IF($AB323="","",IF(INDEX(기본자료!$F$2:$F$1001,$AB323)="","",INDEX(기본자료!$F$2:$F$1001,$AB323)))</f>
        <v/>
      </c>
      <c r="I323" s="11">
        <f>IF($AB323="","",IF(INDEX(기본자료!$G$2:$G$1001,$AB323)="","",IF(NOT(ISNUMBER(INDEX(기본자료!$G$2:$G$1001,$AB323))),INDEX(기본자료!$G$2:$G$1001,$AB323),IF(INDEX(기본자료!$G$2:$G$1001,$AB323)&lt;1000000,INDEX(기본자료!$G$2:$G$1001,$AB323),IF(AND(INDEX(기본자료!$G$2:$G$1001,$AB323)&gt;=10000101,INT(MOD(INDEX(기본자료!$G$2:$G$1001,$AB323),10000)/100)&gt;=1,INT(MOD(INDEX(기본자료!$G$2:$G$1001,$AB323),10000)/100)&lt;=12,MOD(INDEX(기본자료!$G$2:$G$1001,$AB323),100)&gt;=1,MOD(INDEX(기본자료!$G$2:$G$1001,$AB323),100)&lt;=31),DATE(INT(INDEX(기본자료!$G$2:$G$1001,$AB323)/10000),INT(MOD(INDEX(기본자료!$G$2:$G$1001,$AB323),10000)/100),MOD(INDEX(기본자료!$G$2:$G$1001,$AB323),100)),INDEX(기본자료!$G$2:$G$1001,$AB323)&amp;"")))))</f>
        <v/>
      </c>
      <c r="J323" s="10">
        <f>IF($AB323="","",IF(INDEX(기본자료!$H$2:$H$1001,$AB323)="","",INDEX(기본자료!$H$2:$H$1001,$AB323)))</f>
        <v/>
      </c>
      <c r="K323" s="10">
        <f>IF($AB323="","",IF(INDEX(기본자료!$I$2:$I$1001,$AB323)="","",INDEX(기본자료!$I$2:$I$1001,$AB323)))</f>
        <v/>
      </c>
      <c r="L323" s="10">
        <f>IF($AB323="","",IF(INDEX(기본자료!$A$2:$A$1001,$AB323)="","",INDEX(기본자료!$A$2:$A$1001,$AB323)))</f>
        <v/>
      </c>
      <c r="M323" s="15" t="n"/>
      <c r="N323" s="10">
        <f>IF($B323="","",IF(AND($U323="파견중",$Q323&lt;&gt;""),$Q323,IF(AND($AD323&lt;&gt;"",LEFT($AD323,1)&lt;&gt;"⚠"),LEFT($AD323,FIND(" ",$AD323)-1),IF($H323="","",IF(RIGHT($H323,2)="병원",$H323,$H323&amp;"병원")))))</f>
        <v/>
      </c>
      <c r="O323" s="10">
        <f>IF($B323="","",IF(AND($U323="파견중",$Q323&lt;&gt;""),IF($R323&lt;&gt;"",$R323,"파견과 미입력"),IF(AND($AD323&lt;&gt;"",LEFT($AD323,1)&lt;&gt;"⚠"),MID($AD323,FIND(" ",$AD323)+1,60),IF($F323="","",IF($F323="인턴","수련교육부(인턴)",$F323)))))</f>
        <v/>
      </c>
      <c r="P323" s="10">
        <f>IF($B323="","",IF($AK323&lt;&gt;"",IF(AND(TODAY()&gt;=INDEX(파견수련계획!$AB$4:$AB$83,$AK323),OR(NOT(ISNUMBER(INDEX(파견수련계획!$AC$4:$AC$83,$AK323))),TODAY()&lt;=INDEX(파견수련계획!$AC$4:$AC$83,$AK323))),"다기관",IF($AF323="","",INDEX(파견수련계획!$T$4:$T$83,$AF323))),IF($AF323="","",INDEX(파견수련계획!$T$4:$T$83,$AF323))))</f>
        <v/>
      </c>
      <c r="Q323" s="10">
        <f>IF($AF323="","",INDEX(파견수련계획!$S$4:$S$83,$AF323))</f>
        <v/>
      </c>
      <c r="R323" s="10">
        <f>IF($AF323="","",INDEX(파견수련계획!$U$4:$U$83,$AF323))</f>
        <v/>
      </c>
      <c r="S323" s="11">
        <f>IF($AF323="","",IF(INDEX(파견수련계획!$H$4:$H$83,$AF323)="","",INDEX(파견수련계획!$H$4:$H$83,$AF323)))</f>
        <v/>
      </c>
      <c r="T323" s="11">
        <f>IF($AF323="","",IF(INDEX(파견수련계획!$I$4:$I$83,$AF323)="","",INDEX(파견수련계획!$I$4:$I$83,$AF323)))</f>
        <v/>
      </c>
      <c r="U323" s="10">
        <f>IF($AF323="","",INDEX(파견수련계획!$X$4:$X$83,$AF323))</f>
        <v/>
      </c>
      <c r="V323" s="17">
        <f>IF($AF323="","",INDEX(파견수련계획!$V$4:$V$83,$AF323))</f>
        <v/>
      </c>
      <c r="W323" s="17">
        <f>IF(AND($U323="파견중",$T323&lt;&gt;""),$T323-TODAY(),"")</f>
        <v/>
      </c>
      <c r="X323" s="17">
        <f>IF(OR($B323="",TRIM($J323&amp;"")=""),"",SUMPRODUCT((파견수련계획!$Q$4:$Q$83=TRIM($J323&amp;""))*파견수련계획!$W$4:$W$83))</f>
        <v/>
      </c>
      <c r="Y323" s="10">
        <f>IF($B323="","",IF($AG323="","",IF(IF(TRIM($J323&amp;"")="",0,SUMPRODUCT((파견수련계획!$Q$4:$Q$83=TRIM($J323&amp;""))*파견수련계획!$AD$4:$AD$83))&gt;0,$AE323,IF(N($X323)&lt;=0,$AG323,IF($AH323+$AI323=DAY(EOMONTH(요약!$B$3,0)),IF(AND($AH323&gt;=요약!$E$3,$AI323&lt;요약!$E$3),"서울병원",IF(AND($AI323&gt;=요약!$E$3,$AH323&lt;요약!$E$3),"구리병원","⚠15일 판정불가(서울 "&amp;$AH323&amp;"일/구리 "&amp;$AI323&amp;"일)")),IF($AJ323="",$AE323,IF(INDEX(파견수련계획!$T$4:$T$83,$AJ323)="통합수련",INDEX(파견수련계획!$S$4:$S$83,$AJ323),$AE323)))))))</f>
        <v/>
      </c>
      <c r="Z323" s="19">
        <f>IF($B323="","",IF($AB323="","기본자료에 없는 사번",IF(COUNTIF($B$2:$B$401,$B323)&gt;1,"중복 사번",IF($AE323="","소속(입사장소) 입력",IF(IF(TRIM($J323&amp;"")="",0,SUMPRODUCT((파견수련계획!$Q$4:$Q$83=TRIM($J323&amp;""))*(파견수련계획!$AA$4:$AA$83&lt;&gt;"")))&gt;0,"파견수련계획 입력오류 확인",IF(LEFT($Y323,1)="⚠","서울·구리 15일 판정 불가(양쪽 모두 이상/미만)",IF(IF($AC323="",0,N(INDEX(인턴근무계획!$T$3:$T$62,$AC323)))&gt;0,"인턴계획 입력오류 확인",IF(AND($AC323&lt;&gt;"",$U323&lt;&gt;"파견중",$N323&lt;&gt;$AE323),"인턴 타지역 근무: 파견 여부 확인","정상"))))))))</f>
        <v/>
      </c>
      <c r="AA323" s="5" t="n"/>
      <c r="AB323" s="10">
        <f>IF($B323="","",IFERROR(MATCH($B323,기본자료!$B$2:$B$1001,0),IFERROR(MATCH($B323&amp;"",기본자료!$B$2:$B$1001,0),IFERROR(MATCH(VALUE($B323),기본자료!$B$2:$B$1001,0),""))))</f>
        <v/>
      </c>
      <c r="AC323" s="10">
        <f>IF($B323="","",IFERROR(MATCH($B323,인턴근무계획!$D$3:$D$62,0),IFERROR(MATCH($B323&amp;"",인턴근무계획!$D$3:$D$62,0),IFERROR(MATCH(VALUE($B323),인턴근무계획!$D$3:$D$62,0),""))))</f>
        <v/>
      </c>
      <c r="AD323" s="10">
        <f>IF(OR($AC323="",인턴현황!$G$3=""),"",INDEX(인턴근무계획!$M$3:$R$62,$AC323,인턴현황!$G$3)&amp;"")</f>
        <v/>
      </c>
      <c r="AE323" s="10">
        <f>IF($B323="","",IF($M323&lt;&gt;"",$M323,IF($AF323&lt;&gt;"",IF(LEFT(INDEX(파견수련계획!$R$4:$R$83,$AF323),1)&lt;&gt;"⚠",INDEX(파견수련계획!$R$4:$R$83,$AF323),IF($H323="","",IF(RIGHT($H323,2)="병원",$H323,$H323&amp;"병원"))),IF($H323="","",IF(RIGHT($H323,2)="병원",$H323,$H323&amp;"병원")))))</f>
        <v/>
      </c>
      <c r="AF323" s="10">
        <f>IF(OR($B323="",TRIM($J323&amp;"")=""),"",IFERROR(MATCH(TRIM($J323&amp;"")&amp;"|파견중",파견수련계획!$Y$4:$Y$83,0),IFERROR(MATCH(TRIM($J323&amp;"")&amp;"|파견예정",파견수련계획!$Y$4:$Y$83,0),IFERROR(MATCH(TRIM($J323&amp;"")&amp;"|파견종료",파견수련계획!$Y$4:$Y$83,0),""))))</f>
        <v/>
      </c>
      <c r="AG323" s="10">
        <f>IF($B323="","",IF(AND(IF(OR($AC323="",인턴현황!$K$2=""),"",INDEX(인턴근무계획!$M$3:$R$62,$AC323,인턴현황!$K$2)&amp;"")&lt;&gt;"",LEFT(IF(OR($AC323="",인턴현황!$K$2=""),"",INDEX(인턴근무계획!$M$3:$R$62,$AC323,인턴현황!$K$2)&amp;""),1)&lt;&gt;"⚠"),LEFT(IF(OR($AC323="",인턴현황!$K$2=""),"",INDEX(인턴근무계획!$M$3:$R$62,$AC323,인턴현황!$K$2)&amp;""),FIND(" ",IF(OR($AC323="",인턴현황!$K$2=""),"",INDEX(인턴근무계획!$M$3:$R$62,$AC323,인턴현황!$K$2)&amp;""))-1),$AE323))</f>
        <v/>
      </c>
      <c r="AH323" s="17">
        <f>IF($B323="","",IF(TRIM($J323&amp;"")="",0,SUMPRODUCT((파견수련계획!$Q$4:$Q$83=TRIM($J323&amp;""))*(파견수련계획!$S$4:$S$83="서울병원")*파견수련계획!$W$4:$W$83))+IF($AG323="서울병원",MAX(0,DAY(EOMONTH(요약!$B$3,0))-N($X323)),0))</f>
        <v/>
      </c>
      <c r="AI323" s="17">
        <f>IF($B323="","",IF(TRIM($J323&amp;"")="",0,SUMPRODUCT((파견수련계획!$Q$4:$Q$83=TRIM($J323&amp;""))*(파견수련계획!$S$4:$S$83="구리병원")*파견수련계획!$W$4:$W$83))+IF($AG323="구리병원",MAX(0,DAY(EOMONTH(요약!$B$3,0))-N($X323)),0))</f>
        <v/>
      </c>
      <c r="AJ323" s="10">
        <f>IF(OR($B323="",TRIM($J323&amp;"")=""),"",IFERROR(MATCH(TRIM($J323&amp;"")&amp;"|월",파견수련계획!$Z$4:$Z$83,0),""))</f>
        <v/>
      </c>
      <c r="AK323" s="10">
        <f>IF(OR($B323="",TRIM($J323&amp;"")=""),"",IFERROR(MATCH(TRIM($J323&amp;"")&amp;"|다기관",파견수련계획!$AE$4:$AE$83,0),""))</f>
        <v/>
      </c>
      <c r="AL323" s="10">
        <f>IF($AK323="","","다기관 "&amp;TEXT(INDEX(파견수련계획!$AB$4:$AB$83,$AK323),"yyyy-mm-dd")&amp;"~"&amp;IF(ISNUMBER(INDEX(파견수련계획!$AC$4:$AC$83,$AK323)),TEXT(INDEX(파견수련계획!$AC$4:$AC$83,$AK323),"yyyy-mm-dd"),""))</f>
        <v/>
      </c>
    </row>
    <row r="324">
      <c r="A324" s="10">
        <f>IF(B324="","",ROW()-1)</f>
        <v/>
      </c>
      <c r="B324" s="18" t="n"/>
      <c r="C324" s="10">
        <f>IF($AB324="","",IF(INDEX(기본자료!$C$2:$C$1001,$AB324)="","",INDEX(기본자료!$C$2:$C$1001,$AB324)))</f>
        <v/>
      </c>
      <c r="D324" s="10">
        <f>IF($AB324="","",IF(INDEX(기본자료!$J$2:$J$1001,$AB324)="","",INDEX(기본자료!$J$2:$J$1001,$AB324)))</f>
        <v/>
      </c>
      <c r="E324" s="11">
        <f>IF($AB324="","",IF(INDEX(기본자료!$K$2:$K$1001,$AB324)="","",IF(NOT(ISNUMBER(INDEX(기본자료!$K$2:$K$1001,$AB324))),INDEX(기본자료!$K$2:$K$1001,$AB324),IF(INDEX(기본자료!$K$2:$K$1001,$AB324)&lt;1000000,INDEX(기본자료!$K$2:$K$1001,$AB324),IF(AND(INDEX(기본자료!$K$2:$K$1001,$AB324)&gt;=10000101,INT(MOD(INDEX(기본자료!$K$2:$K$1001,$AB324),10000)/100)&gt;=1,INT(MOD(INDEX(기본자료!$K$2:$K$1001,$AB324),10000)/100)&lt;=12,MOD(INDEX(기본자료!$K$2:$K$1001,$AB324),100)&gt;=1,MOD(INDEX(기본자료!$K$2:$K$1001,$AB324),100)&lt;=31),DATE(INT(INDEX(기본자료!$K$2:$K$1001,$AB324)/10000),INT(MOD(INDEX(기본자료!$K$2:$K$1001,$AB324),10000)/100),MOD(INDEX(기본자료!$K$2:$K$1001,$AB324),100)),INDEX(기본자료!$K$2:$K$1001,$AB324)&amp;"")))))</f>
        <v/>
      </c>
      <c r="F324" s="10">
        <f>IF($AB324="","",IF(INDEX(기본자료!$D$2:$D$1001,$AB324)="","",INDEX(기본자료!$D$2:$D$1001,$AB324)))</f>
        <v/>
      </c>
      <c r="G324" s="10">
        <f>IF($AB324="","",IF(INDEX(기본자료!$E$2:$E$1001,$AB324)="","",INDEX(기본자료!$E$2:$E$1001,$AB324)))</f>
        <v/>
      </c>
      <c r="H324" s="10">
        <f>IF($AB324="","",IF(INDEX(기본자료!$F$2:$F$1001,$AB324)="","",INDEX(기본자료!$F$2:$F$1001,$AB324)))</f>
        <v/>
      </c>
      <c r="I324" s="11">
        <f>IF($AB324="","",IF(INDEX(기본자료!$G$2:$G$1001,$AB324)="","",IF(NOT(ISNUMBER(INDEX(기본자료!$G$2:$G$1001,$AB324))),INDEX(기본자료!$G$2:$G$1001,$AB324),IF(INDEX(기본자료!$G$2:$G$1001,$AB324)&lt;1000000,INDEX(기본자료!$G$2:$G$1001,$AB324),IF(AND(INDEX(기본자료!$G$2:$G$1001,$AB324)&gt;=10000101,INT(MOD(INDEX(기본자료!$G$2:$G$1001,$AB324),10000)/100)&gt;=1,INT(MOD(INDEX(기본자료!$G$2:$G$1001,$AB324),10000)/100)&lt;=12,MOD(INDEX(기본자료!$G$2:$G$1001,$AB324),100)&gt;=1,MOD(INDEX(기본자료!$G$2:$G$1001,$AB324),100)&lt;=31),DATE(INT(INDEX(기본자료!$G$2:$G$1001,$AB324)/10000),INT(MOD(INDEX(기본자료!$G$2:$G$1001,$AB324),10000)/100),MOD(INDEX(기본자료!$G$2:$G$1001,$AB324),100)),INDEX(기본자료!$G$2:$G$1001,$AB324)&amp;"")))))</f>
        <v/>
      </c>
      <c r="J324" s="10">
        <f>IF($AB324="","",IF(INDEX(기본자료!$H$2:$H$1001,$AB324)="","",INDEX(기본자료!$H$2:$H$1001,$AB324)))</f>
        <v/>
      </c>
      <c r="K324" s="10">
        <f>IF($AB324="","",IF(INDEX(기본자료!$I$2:$I$1001,$AB324)="","",INDEX(기본자료!$I$2:$I$1001,$AB324)))</f>
        <v/>
      </c>
      <c r="L324" s="10">
        <f>IF($AB324="","",IF(INDEX(기본자료!$A$2:$A$1001,$AB324)="","",INDEX(기본자료!$A$2:$A$1001,$AB324)))</f>
        <v/>
      </c>
      <c r="M324" s="15" t="n"/>
      <c r="N324" s="10">
        <f>IF($B324="","",IF(AND($U324="파견중",$Q324&lt;&gt;""),$Q324,IF(AND($AD324&lt;&gt;"",LEFT($AD324,1)&lt;&gt;"⚠"),LEFT($AD324,FIND(" ",$AD324)-1),IF($H324="","",IF(RIGHT($H324,2)="병원",$H324,$H324&amp;"병원")))))</f>
        <v/>
      </c>
      <c r="O324" s="10">
        <f>IF($B324="","",IF(AND($U324="파견중",$Q324&lt;&gt;""),IF($R324&lt;&gt;"",$R324,"파견과 미입력"),IF(AND($AD324&lt;&gt;"",LEFT($AD324,1)&lt;&gt;"⚠"),MID($AD324,FIND(" ",$AD324)+1,60),IF($F324="","",IF($F324="인턴","수련교육부(인턴)",$F324)))))</f>
        <v/>
      </c>
      <c r="P324" s="10">
        <f>IF($B324="","",IF($AK324&lt;&gt;"",IF(AND(TODAY()&gt;=INDEX(파견수련계획!$AB$4:$AB$83,$AK324),OR(NOT(ISNUMBER(INDEX(파견수련계획!$AC$4:$AC$83,$AK324))),TODAY()&lt;=INDEX(파견수련계획!$AC$4:$AC$83,$AK324))),"다기관",IF($AF324="","",INDEX(파견수련계획!$T$4:$T$83,$AF324))),IF($AF324="","",INDEX(파견수련계획!$T$4:$T$83,$AF324))))</f>
        <v/>
      </c>
      <c r="Q324" s="10">
        <f>IF($AF324="","",INDEX(파견수련계획!$S$4:$S$83,$AF324))</f>
        <v/>
      </c>
      <c r="R324" s="10">
        <f>IF($AF324="","",INDEX(파견수련계획!$U$4:$U$83,$AF324))</f>
        <v/>
      </c>
      <c r="S324" s="11">
        <f>IF($AF324="","",IF(INDEX(파견수련계획!$H$4:$H$83,$AF324)="","",INDEX(파견수련계획!$H$4:$H$83,$AF324)))</f>
        <v/>
      </c>
      <c r="T324" s="11">
        <f>IF($AF324="","",IF(INDEX(파견수련계획!$I$4:$I$83,$AF324)="","",INDEX(파견수련계획!$I$4:$I$83,$AF324)))</f>
        <v/>
      </c>
      <c r="U324" s="10">
        <f>IF($AF324="","",INDEX(파견수련계획!$X$4:$X$83,$AF324))</f>
        <v/>
      </c>
      <c r="V324" s="17">
        <f>IF($AF324="","",INDEX(파견수련계획!$V$4:$V$83,$AF324))</f>
        <v/>
      </c>
      <c r="W324" s="17">
        <f>IF(AND($U324="파견중",$T324&lt;&gt;""),$T324-TODAY(),"")</f>
        <v/>
      </c>
      <c r="X324" s="17">
        <f>IF(OR($B324="",TRIM($J324&amp;"")=""),"",SUMPRODUCT((파견수련계획!$Q$4:$Q$83=TRIM($J324&amp;""))*파견수련계획!$W$4:$W$83))</f>
        <v/>
      </c>
      <c r="Y324" s="10">
        <f>IF($B324="","",IF($AG324="","",IF(IF(TRIM($J324&amp;"")="",0,SUMPRODUCT((파견수련계획!$Q$4:$Q$83=TRIM($J324&amp;""))*파견수련계획!$AD$4:$AD$83))&gt;0,$AE324,IF(N($X324)&lt;=0,$AG324,IF($AH324+$AI324=DAY(EOMONTH(요약!$B$3,0)),IF(AND($AH324&gt;=요약!$E$3,$AI324&lt;요약!$E$3),"서울병원",IF(AND($AI324&gt;=요약!$E$3,$AH324&lt;요약!$E$3),"구리병원","⚠15일 판정불가(서울 "&amp;$AH324&amp;"일/구리 "&amp;$AI324&amp;"일)")),IF($AJ324="",$AE324,IF(INDEX(파견수련계획!$T$4:$T$83,$AJ324)="통합수련",INDEX(파견수련계획!$S$4:$S$83,$AJ324),$AE324)))))))</f>
        <v/>
      </c>
      <c r="Z324" s="19">
        <f>IF($B324="","",IF($AB324="","기본자료에 없는 사번",IF(COUNTIF($B$2:$B$401,$B324)&gt;1,"중복 사번",IF($AE324="","소속(입사장소) 입력",IF(IF(TRIM($J324&amp;"")="",0,SUMPRODUCT((파견수련계획!$Q$4:$Q$83=TRIM($J324&amp;""))*(파견수련계획!$AA$4:$AA$83&lt;&gt;"")))&gt;0,"파견수련계획 입력오류 확인",IF(LEFT($Y324,1)="⚠","서울·구리 15일 판정 불가(양쪽 모두 이상/미만)",IF(IF($AC324="",0,N(INDEX(인턴근무계획!$T$3:$T$62,$AC324)))&gt;0,"인턴계획 입력오류 확인",IF(AND($AC324&lt;&gt;"",$U324&lt;&gt;"파견중",$N324&lt;&gt;$AE324),"인턴 타지역 근무: 파견 여부 확인","정상"))))))))</f>
        <v/>
      </c>
      <c r="AA324" s="5" t="n"/>
      <c r="AB324" s="10">
        <f>IF($B324="","",IFERROR(MATCH($B324,기본자료!$B$2:$B$1001,0),IFERROR(MATCH($B324&amp;"",기본자료!$B$2:$B$1001,0),IFERROR(MATCH(VALUE($B324),기본자료!$B$2:$B$1001,0),""))))</f>
        <v/>
      </c>
      <c r="AC324" s="10">
        <f>IF($B324="","",IFERROR(MATCH($B324,인턴근무계획!$D$3:$D$62,0),IFERROR(MATCH($B324&amp;"",인턴근무계획!$D$3:$D$62,0),IFERROR(MATCH(VALUE($B324),인턴근무계획!$D$3:$D$62,0),""))))</f>
        <v/>
      </c>
      <c r="AD324" s="10">
        <f>IF(OR($AC324="",인턴현황!$G$3=""),"",INDEX(인턴근무계획!$M$3:$R$62,$AC324,인턴현황!$G$3)&amp;"")</f>
        <v/>
      </c>
      <c r="AE324" s="10">
        <f>IF($B324="","",IF($M324&lt;&gt;"",$M324,IF($AF324&lt;&gt;"",IF(LEFT(INDEX(파견수련계획!$R$4:$R$83,$AF324),1)&lt;&gt;"⚠",INDEX(파견수련계획!$R$4:$R$83,$AF324),IF($H324="","",IF(RIGHT($H324,2)="병원",$H324,$H324&amp;"병원"))),IF($H324="","",IF(RIGHT($H324,2)="병원",$H324,$H324&amp;"병원")))))</f>
        <v/>
      </c>
      <c r="AF324" s="10">
        <f>IF(OR($B324="",TRIM($J324&amp;"")=""),"",IFERROR(MATCH(TRIM($J324&amp;"")&amp;"|파견중",파견수련계획!$Y$4:$Y$83,0),IFERROR(MATCH(TRIM($J324&amp;"")&amp;"|파견예정",파견수련계획!$Y$4:$Y$83,0),IFERROR(MATCH(TRIM($J324&amp;"")&amp;"|파견종료",파견수련계획!$Y$4:$Y$83,0),""))))</f>
        <v/>
      </c>
      <c r="AG324" s="10">
        <f>IF($B324="","",IF(AND(IF(OR($AC324="",인턴현황!$K$2=""),"",INDEX(인턴근무계획!$M$3:$R$62,$AC324,인턴현황!$K$2)&amp;"")&lt;&gt;"",LEFT(IF(OR($AC324="",인턴현황!$K$2=""),"",INDEX(인턴근무계획!$M$3:$R$62,$AC324,인턴현황!$K$2)&amp;""),1)&lt;&gt;"⚠"),LEFT(IF(OR($AC324="",인턴현황!$K$2=""),"",INDEX(인턴근무계획!$M$3:$R$62,$AC324,인턴현황!$K$2)&amp;""),FIND(" ",IF(OR($AC324="",인턴현황!$K$2=""),"",INDEX(인턴근무계획!$M$3:$R$62,$AC324,인턴현황!$K$2)&amp;""))-1),$AE324))</f>
        <v/>
      </c>
      <c r="AH324" s="17">
        <f>IF($B324="","",IF(TRIM($J324&amp;"")="",0,SUMPRODUCT((파견수련계획!$Q$4:$Q$83=TRIM($J324&amp;""))*(파견수련계획!$S$4:$S$83="서울병원")*파견수련계획!$W$4:$W$83))+IF($AG324="서울병원",MAX(0,DAY(EOMONTH(요약!$B$3,0))-N($X324)),0))</f>
        <v/>
      </c>
      <c r="AI324" s="17">
        <f>IF($B324="","",IF(TRIM($J324&amp;"")="",0,SUMPRODUCT((파견수련계획!$Q$4:$Q$83=TRIM($J324&amp;""))*(파견수련계획!$S$4:$S$83="구리병원")*파견수련계획!$W$4:$W$83))+IF($AG324="구리병원",MAX(0,DAY(EOMONTH(요약!$B$3,0))-N($X324)),0))</f>
        <v/>
      </c>
      <c r="AJ324" s="10">
        <f>IF(OR($B324="",TRIM($J324&amp;"")=""),"",IFERROR(MATCH(TRIM($J324&amp;"")&amp;"|월",파견수련계획!$Z$4:$Z$83,0),""))</f>
        <v/>
      </c>
      <c r="AK324" s="10">
        <f>IF(OR($B324="",TRIM($J324&amp;"")=""),"",IFERROR(MATCH(TRIM($J324&amp;"")&amp;"|다기관",파견수련계획!$AE$4:$AE$83,0),""))</f>
        <v/>
      </c>
      <c r="AL324" s="10">
        <f>IF($AK324="","","다기관 "&amp;TEXT(INDEX(파견수련계획!$AB$4:$AB$83,$AK324),"yyyy-mm-dd")&amp;"~"&amp;IF(ISNUMBER(INDEX(파견수련계획!$AC$4:$AC$83,$AK324)),TEXT(INDEX(파견수련계획!$AC$4:$AC$83,$AK324),"yyyy-mm-dd"),""))</f>
        <v/>
      </c>
    </row>
    <row r="325">
      <c r="A325" s="10">
        <f>IF(B325="","",ROW()-1)</f>
        <v/>
      </c>
      <c r="B325" s="18" t="n"/>
      <c r="C325" s="10">
        <f>IF($AB325="","",IF(INDEX(기본자료!$C$2:$C$1001,$AB325)="","",INDEX(기본자료!$C$2:$C$1001,$AB325)))</f>
        <v/>
      </c>
      <c r="D325" s="10">
        <f>IF($AB325="","",IF(INDEX(기본자료!$J$2:$J$1001,$AB325)="","",INDEX(기본자료!$J$2:$J$1001,$AB325)))</f>
        <v/>
      </c>
      <c r="E325" s="11">
        <f>IF($AB325="","",IF(INDEX(기본자료!$K$2:$K$1001,$AB325)="","",IF(NOT(ISNUMBER(INDEX(기본자료!$K$2:$K$1001,$AB325))),INDEX(기본자료!$K$2:$K$1001,$AB325),IF(INDEX(기본자료!$K$2:$K$1001,$AB325)&lt;1000000,INDEX(기본자료!$K$2:$K$1001,$AB325),IF(AND(INDEX(기본자료!$K$2:$K$1001,$AB325)&gt;=10000101,INT(MOD(INDEX(기본자료!$K$2:$K$1001,$AB325),10000)/100)&gt;=1,INT(MOD(INDEX(기본자료!$K$2:$K$1001,$AB325),10000)/100)&lt;=12,MOD(INDEX(기본자료!$K$2:$K$1001,$AB325),100)&gt;=1,MOD(INDEX(기본자료!$K$2:$K$1001,$AB325),100)&lt;=31),DATE(INT(INDEX(기본자료!$K$2:$K$1001,$AB325)/10000),INT(MOD(INDEX(기본자료!$K$2:$K$1001,$AB325),10000)/100),MOD(INDEX(기본자료!$K$2:$K$1001,$AB325),100)),INDEX(기본자료!$K$2:$K$1001,$AB325)&amp;"")))))</f>
        <v/>
      </c>
      <c r="F325" s="10">
        <f>IF($AB325="","",IF(INDEX(기본자료!$D$2:$D$1001,$AB325)="","",INDEX(기본자료!$D$2:$D$1001,$AB325)))</f>
        <v/>
      </c>
      <c r="G325" s="10">
        <f>IF($AB325="","",IF(INDEX(기본자료!$E$2:$E$1001,$AB325)="","",INDEX(기본자료!$E$2:$E$1001,$AB325)))</f>
        <v/>
      </c>
      <c r="H325" s="10">
        <f>IF($AB325="","",IF(INDEX(기본자료!$F$2:$F$1001,$AB325)="","",INDEX(기본자료!$F$2:$F$1001,$AB325)))</f>
        <v/>
      </c>
      <c r="I325" s="11">
        <f>IF($AB325="","",IF(INDEX(기본자료!$G$2:$G$1001,$AB325)="","",IF(NOT(ISNUMBER(INDEX(기본자료!$G$2:$G$1001,$AB325))),INDEX(기본자료!$G$2:$G$1001,$AB325),IF(INDEX(기본자료!$G$2:$G$1001,$AB325)&lt;1000000,INDEX(기본자료!$G$2:$G$1001,$AB325),IF(AND(INDEX(기본자료!$G$2:$G$1001,$AB325)&gt;=10000101,INT(MOD(INDEX(기본자료!$G$2:$G$1001,$AB325),10000)/100)&gt;=1,INT(MOD(INDEX(기본자료!$G$2:$G$1001,$AB325),10000)/100)&lt;=12,MOD(INDEX(기본자료!$G$2:$G$1001,$AB325),100)&gt;=1,MOD(INDEX(기본자료!$G$2:$G$1001,$AB325),100)&lt;=31),DATE(INT(INDEX(기본자료!$G$2:$G$1001,$AB325)/10000),INT(MOD(INDEX(기본자료!$G$2:$G$1001,$AB325),10000)/100),MOD(INDEX(기본자료!$G$2:$G$1001,$AB325),100)),INDEX(기본자료!$G$2:$G$1001,$AB325)&amp;"")))))</f>
        <v/>
      </c>
      <c r="J325" s="10">
        <f>IF($AB325="","",IF(INDEX(기본자료!$H$2:$H$1001,$AB325)="","",INDEX(기본자료!$H$2:$H$1001,$AB325)))</f>
        <v/>
      </c>
      <c r="K325" s="10">
        <f>IF($AB325="","",IF(INDEX(기본자료!$I$2:$I$1001,$AB325)="","",INDEX(기본자료!$I$2:$I$1001,$AB325)))</f>
        <v/>
      </c>
      <c r="L325" s="10">
        <f>IF($AB325="","",IF(INDEX(기본자료!$A$2:$A$1001,$AB325)="","",INDEX(기본자료!$A$2:$A$1001,$AB325)))</f>
        <v/>
      </c>
      <c r="M325" s="15" t="n"/>
      <c r="N325" s="10">
        <f>IF($B325="","",IF(AND($U325="파견중",$Q325&lt;&gt;""),$Q325,IF(AND($AD325&lt;&gt;"",LEFT($AD325,1)&lt;&gt;"⚠"),LEFT($AD325,FIND(" ",$AD325)-1),IF($H325="","",IF(RIGHT($H325,2)="병원",$H325,$H325&amp;"병원")))))</f>
        <v/>
      </c>
      <c r="O325" s="10">
        <f>IF($B325="","",IF(AND($U325="파견중",$Q325&lt;&gt;""),IF($R325&lt;&gt;"",$R325,"파견과 미입력"),IF(AND($AD325&lt;&gt;"",LEFT($AD325,1)&lt;&gt;"⚠"),MID($AD325,FIND(" ",$AD325)+1,60),IF($F325="","",IF($F325="인턴","수련교육부(인턴)",$F325)))))</f>
        <v/>
      </c>
      <c r="P325" s="10">
        <f>IF($B325="","",IF($AK325&lt;&gt;"",IF(AND(TODAY()&gt;=INDEX(파견수련계획!$AB$4:$AB$83,$AK325),OR(NOT(ISNUMBER(INDEX(파견수련계획!$AC$4:$AC$83,$AK325))),TODAY()&lt;=INDEX(파견수련계획!$AC$4:$AC$83,$AK325))),"다기관",IF($AF325="","",INDEX(파견수련계획!$T$4:$T$83,$AF325))),IF($AF325="","",INDEX(파견수련계획!$T$4:$T$83,$AF325))))</f>
        <v/>
      </c>
      <c r="Q325" s="10">
        <f>IF($AF325="","",INDEX(파견수련계획!$S$4:$S$83,$AF325))</f>
        <v/>
      </c>
      <c r="R325" s="10">
        <f>IF($AF325="","",INDEX(파견수련계획!$U$4:$U$83,$AF325))</f>
        <v/>
      </c>
      <c r="S325" s="11">
        <f>IF($AF325="","",IF(INDEX(파견수련계획!$H$4:$H$83,$AF325)="","",INDEX(파견수련계획!$H$4:$H$83,$AF325)))</f>
        <v/>
      </c>
      <c r="T325" s="11">
        <f>IF($AF325="","",IF(INDEX(파견수련계획!$I$4:$I$83,$AF325)="","",INDEX(파견수련계획!$I$4:$I$83,$AF325)))</f>
        <v/>
      </c>
      <c r="U325" s="10">
        <f>IF($AF325="","",INDEX(파견수련계획!$X$4:$X$83,$AF325))</f>
        <v/>
      </c>
      <c r="V325" s="17">
        <f>IF($AF325="","",INDEX(파견수련계획!$V$4:$V$83,$AF325))</f>
        <v/>
      </c>
      <c r="W325" s="17">
        <f>IF(AND($U325="파견중",$T325&lt;&gt;""),$T325-TODAY(),"")</f>
        <v/>
      </c>
      <c r="X325" s="17">
        <f>IF(OR($B325="",TRIM($J325&amp;"")=""),"",SUMPRODUCT((파견수련계획!$Q$4:$Q$83=TRIM($J325&amp;""))*파견수련계획!$W$4:$W$83))</f>
        <v/>
      </c>
      <c r="Y325" s="10">
        <f>IF($B325="","",IF($AG325="","",IF(IF(TRIM($J325&amp;"")="",0,SUMPRODUCT((파견수련계획!$Q$4:$Q$83=TRIM($J325&amp;""))*파견수련계획!$AD$4:$AD$83))&gt;0,$AE325,IF(N($X325)&lt;=0,$AG325,IF($AH325+$AI325=DAY(EOMONTH(요약!$B$3,0)),IF(AND($AH325&gt;=요약!$E$3,$AI325&lt;요약!$E$3),"서울병원",IF(AND($AI325&gt;=요약!$E$3,$AH325&lt;요약!$E$3),"구리병원","⚠15일 판정불가(서울 "&amp;$AH325&amp;"일/구리 "&amp;$AI325&amp;"일)")),IF($AJ325="",$AE325,IF(INDEX(파견수련계획!$T$4:$T$83,$AJ325)="통합수련",INDEX(파견수련계획!$S$4:$S$83,$AJ325),$AE325)))))))</f>
        <v/>
      </c>
      <c r="Z325" s="19">
        <f>IF($B325="","",IF($AB325="","기본자료에 없는 사번",IF(COUNTIF($B$2:$B$401,$B325)&gt;1,"중복 사번",IF($AE325="","소속(입사장소) 입력",IF(IF(TRIM($J325&amp;"")="",0,SUMPRODUCT((파견수련계획!$Q$4:$Q$83=TRIM($J325&amp;""))*(파견수련계획!$AA$4:$AA$83&lt;&gt;"")))&gt;0,"파견수련계획 입력오류 확인",IF(LEFT($Y325,1)="⚠","서울·구리 15일 판정 불가(양쪽 모두 이상/미만)",IF(IF($AC325="",0,N(INDEX(인턴근무계획!$T$3:$T$62,$AC325)))&gt;0,"인턴계획 입력오류 확인",IF(AND($AC325&lt;&gt;"",$U325&lt;&gt;"파견중",$N325&lt;&gt;$AE325),"인턴 타지역 근무: 파견 여부 확인","정상"))))))))</f>
        <v/>
      </c>
      <c r="AA325" s="5" t="n"/>
      <c r="AB325" s="10">
        <f>IF($B325="","",IFERROR(MATCH($B325,기본자료!$B$2:$B$1001,0),IFERROR(MATCH($B325&amp;"",기본자료!$B$2:$B$1001,0),IFERROR(MATCH(VALUE($B325),기본자료!$B$2:$B$1001,0),""))))</f>
        <v/>
      </c>
      <c r="AC325" s="10">
        <f>IF($B325="","",IFERROR(MATCH($B325,인턴근무계획!$D$3:$D$62,0),IFERROR(MATCH($B325&amp;"",인턴근무계획!$D$3:$D$62,0),IFERROR(MATCH(VALUE($B325),인턴근무계획!$D$3:$D$62,0),""))))</f>
        <v/>
      </c>
      <c r="AD325" s="10">
        <f>IF(OR($AC325="",인턴현황!$G$3=""),"",INDEX(인턴근무계획!$M$3:$R$62,$AC325,인턴현황!$G$3)&amp;"")</f>
        <v/>
      </c>
      <c r="AE325" s="10">
        <f>IF($B325="","",IF($M325&lt;&gt;"",$M325,IF($AF325&lt;&gt;"",IF(LEFT(INDEX(파견수련계획!$R$4:$R$83,$AF325),1)&lt;&gt;"⚠",INDEX(파견수련계획!$R$4:$R$83,$AF325),IF($H325="","",IF(RIGHT($H325,2)="병원",$H325,$H325&amp;"병원"))),IF($H325="","",IF(RIGHT($H325,2)="병원",$H325,$H325&amp;"병원")))))</f>
        <v/>
      </c>
      <c r="AF325" s="10">
        <f>IF(OR($B325="",TRIM($J325&amp;"")=""),"",IFERROR(MATCH(TRIM($J325&amp;"")&amp;"|파견중",파견수련계획!$Y$4:$Y$83,0),IFERROR(MATCH(TRIM($J325&amp;"")&amp;"|파견예정",파견수련계획!$Y$4:$Y$83,0),IFERROR(MATCH(TRIM($J325&amp;"")&amp;"|파견종료",파견수련계획!$Y$4:$Y$83,0),""))))</f>
        <v/>
      </c>
      <c r="AG325" s="10">
        <f>IF($B325="","",IF(AND(IF(OR($AC325="",인턴현황!$K$2=""),"",INDEX(인턴근무계획!$M$3:$R$62,$AC325,인턴현황!$K$2)&amp;"")&lt;&gt;"",LEFT(IF(OR($AC325="",인턴현황!$K$2=""),"",INDEX(인턴근무계획!$M$3:$R$62,$AC325,인턴현황!$K$2)&amp;""),1)&lt;&gt;"⚠"),LEFT(IF(OR($AC325="",인턴현황!$K$2=""),"",INDEX(인턴근무계획!$M$3:$R$62,$AC325,인턴현황!$K$2)&amp;""),FIND(" ",IF(OR($AC325="",인턴현황!$K$2=""),"",INDEX(인턴근무계획!$M$3:$R$62,$AC325,인턴현황!$K$2)&amp;""))-1),$AE325))</f>
        <v/>
      </c>
      <c r="AH325" s="17">
        <f>IF($B325="","",IF(TRIM($J325&amp;"")="",0,SUMPRODUCT((파견수련계획!$Q$4:$Q$83=TRIM($J325&amp;""))*(파견수련계획!$S$4:$S$83="서울병원")*파견수련계획!$W$4:$W$83))+IF($AG325="서울병원",MAX(0,DAY(EOMONTH(요약!$B$3,0))-N($X325)),0))</f>
        <v/>
      </c>
      <c r="AI325" s="17">
        <f>IF($B325="","",IF(TRIM($J325&amp;"")="",0,SUMPRODUCT((파견수련계획!$Q$4:$Q$83=TRIM($J325&amp;""))*(파견수련계획!$S$4:$S$83="구리병원")*파견수련계획!$W$4:$W$83))+IF($AG325="구리병원",MAX(0,DAY(EOMONTH(요약!$B$3,0))-N($X325)),0))</f>
        <v/>
      </c>
      <c r="AJ325" s="10">
        <f>IF(OR($B325="",TRIM($J325&amp;"")=""),"",IFERROR(MATCH(TRIM($J325&amp;"")&amp;"|월",파견수련계획!$Z$4:$Z$83,0),""))</f>
        <v/>
      </c>
      <c r="AK325" s="10">
        <f>IF(OR($B325="",TRIM($J325&amp;"")=""),"",IFERROR(MATCH(TRIM($J325&amp;"")&amp;"|다기관",파견수련계획!$AE$4:$AE$83,0),""))</f>
        <v/>
      </c>
      <c r="AL325" s="10">
        <f>IF($AK325="","","다기관 "&amp;TEXT(INDEX(파견수련계획!$AB$4:$AB$83,$AK325),"yyyy-mm-dd")&amp;"~"&amp;IF(ISNUMBER(INDEX(파견수련계획!$AC$4:$AC$83,$AK325)),TEXT(INDEX(파견수련계획!$AC$4:$AC$83,$AK325),"yyyy-mm-dd"),""))</f>
        <v/>
      </c>
    </row>
    <row r="326">
      <c r="A326" s="10">
        <f>IF(B326="","",ROW()-1)</f>
        <v/>
      </c>
      <c r="B326" s="18" t="n"/>
      <c r="C326" s="10">
        <f>IF($AB326="","",IF(INDEX(기본자료!$C$2:$C$1001,$AB326)="","",INDEX(기본자료!$C$2:$C$1001,$AB326)))</f>
        <v/>
      </c>
      <c r="D326" s="10">
        <f>IF($AB326="","",IF(INDEX(기본자료!$J$2:$J$1001,$AB326)="","",INDEX(기본자료!$J$2:$J$1001,$AB326)))</f>
        <v/>
      </c>
      <c r="E326" s="11">
        <f>IF($AB326="","",IF(INDEX(기본자료!$K$2:$K$1001,$AB326)="","",IF(NOT(ISNUMBER(INDEX(기본자료!$K$2:$K$1001,$AB326))),INDEX(기본자료!$K$2:$K$1001,$AB326),IF(INDEX(기본자료!$K$2:$K$1001,$AB326)&lt;1000000,INDEX(기본자료!$K$2:$K$1001,$AB326),IF(AND(INDEX(기본자료!$K$2:$K$1001,$AB326)&gt;=10000101,INT(MOD(INDEX(기본자료!$K$2:$K$1001,$AB326),10000)/100)&gt;=1,INT(MOD(INDEX(기본자료!$K$2:$K$1001,$AB326),10000)/100)&lt;=12,MOD(INDEX(기본자료!$K$2:$K$1001,$AB326),100)&gt;=1,MOD(INDEX(기본자료!$K$2:$K$1001,$AB326),100)&lt;=31),DATE(INT(INDEX(기본자료!$K$2:$K$1001,$AB326)/10000),INT(MOD(INDEX(기본자료!$K$2:$K$1001,$AB326),10000)/100),MOD(INDEX(기본자료!$K$2:$K$1001,$AB326),100)),INDEX(기본자료!$K$2:$K$1001,$AB326)&amp;"")))))</f>
        <v/>
      </c>
      <c r="F326" s="10">
        <f>IF($AB326="","",IF(INDEX(기본자료!$D$2:$D$1001,$AB326)="","",INDEX(기본자료!$D$2:$D$1001,$AB326)))</f>
        <v/>
      </c>
      <c r="G326" s="10">
        <f>IF($AB326="","",IF(INDEX(기본자료!$E$2:$E$1001,$AB326)="","",INDEX(기본자료!$E$2:$E$1001,$AB326)))</f>
        <v/>
      </c>
      <c r="H326" s="10">
        <f>IF($AB326="","",IF(INDEX(기본자료!$F$2:$F$1001,$AB326)="","",INDEX(기본자료!$F$2:$F$1001,$AB326)))</f>
        <v/>
      </c>
      <c r="I326" s="11">
        <f>IF($AB326="","",IF(INDEX(기본자료!$G$2:$G$1001,$AB326)="","",IF(NOT(ISNUMBER(INDEX(기본자료!$G$2:$G$1001,$AB326))),INDEX(기본자료!$G$2:$G$1001,$AB326),IF(INDEX(기본자료!$G$2:$G$1001,$AB326)&lt;1000000,INDEX(기본자료!$G$2:$G$1001,$AB326),IF(AND(INDEX(기본자료!$G$2:$G$1001,$AB326)&gt;=10000101,INT(MOD(INDEX(기본자료!$G$2:$G$1001,$AB326),10000)/100)&gt;=1,INT(MOD(INDEX(기본자료!$G$2:$G$1001,$AB326),10000)/100)&lt;=12,MOD(INDEX(기본자료!$G$2:$G$1001,$AB326),100)&gt;=1,MOD(INDEX(기본자료!$G$2:$G$1001,$AB326),100)&lt;=31),DATE(INT(INDEX(기본자료!$G$2:$G$1001,$AB326)/10000),INT(MOD(INDEX(기본자료!$G$2:$G$1001,$AB326),10000)/100),MOD(INDEX(기본자료!$G$2:$G$1001,$AB326),100)),INDEX(기본자료!$G$2:$G$1001,$AB326)&amp;"")))))</f>
        <v/>
      </c>
      <c r="J326" s="10">
        <f>IF($AB326="","",IF(INDEX(기본자료!$H$2:$H$1001,$AB326)="","",INDEX(기본자료!$H$2:$H$1001,$AB326)))</f>
        <v/>
      </c>
      <c r="K326" s="10">
        <f>IF($AB326="","",IF(INDEX(기본자료!$I$2:$I$1001,$AB326)="","",INDEX(기본자료!$I$2:$I$1001,$AB326)))</f>
        <v/>
      </c>
      <c r="L326" s="10">
        <f>IF($AB326="","",IF(INDEX(기본자료!$A$2:$A$1001,$AB326)="","",INDEX(기본자료!$A$2:$A$1001,$AB326)))</f>
        <v/>
      </c>
      <c r="M326" s="15" t="n"/>
      <c r="N326" s="10">
        <f>IF($B326="","",IF(AND($U326="파견중",$Q326&lt;&gt;""),$Q326,IF(AND($AD326&lt;&gt;"",LEFT($AD326,1)&lt;&gt;"⚠"),LEFT($AD326,FIND(" ",$AD326)-1),IF($H326="","",IF(RIGHT($H326,2)="병원",$H326,$H326&amp;"병원")))))</f>
        <v/>
      </c>
      <c r="O326" s="10">
        <f>IF($B326="","",IF(AND($U326="파견중",$Q326&lt;&gt;""),IF($R326&lt;&gt;"",$R326,"파견과 미입력"),IF(AND($AD326&lt;&gt;"",LEFT($AD326,1)&lt;&gt;"⚠"),MID($AD326,FIND(" ",$AD326)+1,60),IF($F326="","",IF($F326="인턴","수련교육부(인턴)",$F326)))))</f>
        <v/>
      </c>
      <c r="P326" s="10">
        <f>IF($B326="","",IF($AK326&lt;&gt;"",IF(AND(TODAY()&gt;=INDEX(파견수련계획!$AB$4:$AB$83,$AK326),OR(NOT(ISNUMBER(INDEX(파견수련계획!$AC$4:$AC$83,$AK326))),TODAY()&lt;=INDEX(파견수련계획!$AC$4:$AC$83,$AK326))),"다기관",IF($AF326="","",INDEX(파견수련계획!$T$4:$T$83,$AF326))),IF($AF326="","",INDEX(파견수련계획!$T$4:$T$83,$AF326))))</f>
        <v/>
      </c>
      <c r="Q326" s="10">
        <f>IF($AF326="","",INDEX(파견수련계획!$S$4:$S$83,$AF326))</f>
        <v/>
      </c>
      <c r="R326" s="10">
        <f>IF($AF326="","",INDEX(파견수련계획!$U$4:$U$83,$AF326))</f>
        <v/>
      </c>
      <c r="S326" s="11">
        <f>IF($AF326="","",IF(INDEX(파견수련계획!$H$4:$H$83,$AF326)="","",INDEX(파견수련계획!$H$4:$H$83,$AF326)))</f>
        <v/>
      </c>
      <c r="T326" s="11">
        <f>IF($AF326="","",IF(INDEX(파견수련계획!$I$4:$I$83,$AF326)="","",INDEX(파견수련계획!$I$4:$I$83,$AF326)))</f>
        <v/>
      </c>
      <c r="U326" s="10">
        <f>IF($AF326="","",INDEX(파견수련계획!$X$4:$X$83,$AF326))</f>
        <v/>
      </c>
      <c r="V326" s="17">
        <f>IF($AF326="","",INDEX(파견수련계획!$V$4:$V$83,$AF326))</f>
        <v/>
      </c>
      <c r="W326" s="17">
        <f>IF(AND($U326="파견중",$T326&lt;&gt;""),$T326-TODAY(),"")</f>
        <v/>
      </c>
      <c r="X326" s="17">
        <f>IF(OR($B326="",TRIM($J326&amp;"")=""),"",SUMPRODUCT((파견수련계획!$Q$4:$Q$83=TRIM($J326&amp;""))*파견수련계획!$W$4:$W$83))</f>
        <v/>
      </c>
      <c r="Y326" s="10">
        <f>IF($B326="","",IF($AG326="","",IF(IF(TRIM($J326&amp;"")="",0,SUMPRODUCT((파견수련계획!$Q$4:$Q$83=TRIM($J326&amp;""))*파견수련계획!$AD$4:$AD$83))&gt;0,$AE326,IF(N($X326)&lt;=0,$AG326,IF($AH326+$AI326=DAY(EOMONTH(요약!$B$3,0)),IF(AND($AH326&gt;=요약!$E$3,$AI326&lt;요약!$E$3),"서울병원",IF(AND($AI326&gt;=요약!$E$3,$AH326&lt;요약!$E$3),"구리병원","⚠15일 판정불가(서울 "&amp;$AH326&amp;"일/구리 "&amp;$AI326&amp;"일)")),IF($AJ326="",$AE326,IF(INDEX(파견수련계획!$T$4:$T$83,$AJ326)="통합수련",INDEX(파견수련계획!$S$4:$S$83,$AJ326),$AE326)))))))</f>
        <v/>
      </c>
      <c r="Z326" s="19">
        <f>IF($B326="","",IF($AB326="","기본자료에 없는 사번",IF(COUNTIF($B$2:$B$401,$B326)&gt;1,"중복 사번",IF($AE326="","소속(입사장소) 입력",IF(IF(TRIM($J326&amp;"")="",0,SUMPRODUCT((파견수련계획!$Q$4:$Q$83=TRIM($J326&amp;""))*(파견수련계획!$AA$4:$AA$83&lt;&gt;"")))&gt;0,"파견수련계획 입력오류 확인",IF(LEFT($Y326,1)="⚠","서울·구리 15일 판정 불가(양쪽 모두 이상/미만)",IF(IF($AC326="",0,N(INDEX(인턴근무계획!$T$3:$T$62,$AC326)))&gt;0,"인턴계획 입력오류 확인",IF(AND($AC326&lt;&gt;"",$U326&lt;&gt;"파견중",$N326&lt;&gt;$AE326),"인턴 타지역 근무: 파견 여부 확인","정상"))))))))</f>
        <v/>
      </c>
      <c r="AA326" s="5" t="n"/>
      <c r="AB326" s="10">
        <f>IF($B326="","",IFERROR(MATCH($B326,기본자료!$B$2:$B$1001,0),IFERROR(MATCH($B326&amp;"",기본자료!$B$2:$B$1001,0),IFERROR(MATCH(VALUE($B326),기본자료!$B$2:$B$1001,0),""))))</f>
        <v/>
      </c>
      <c r="AC326" s="10">
        <f>IF($B326="","",IFERROR(MATCH($B326,인턴근무계획!$D$3:$D$62,0),IFERROR(MATCH($B326&amp;"",인턴근무계획!$D$3:$D$62,0),IFERROR(MATCH(VALUE($B326),인턴근무계획!$D$3:$D$62,0),""))))</f>
        <v/>
      </c>
      <c r="AD326" s="10">
        <f>IF(OR($AC326="",인턴현황!$G$3=""),"",INDEX(인턴근무계획!$M$3:$R$62,$AC326,인턴현황!$G$3)&amp;"")</f>
        <v/>
      </c>
      <c r="AE326" s="10">
        <f>IF($B326="","",IF($M326&lt;&gt;"",$M326,IF($AF326&lt;&gt;"",IF(LEFT(INDEX(파견수련계획!$R$4:$R$83,$AF326),1)&lt;&gt;"⚠",INDEX(파견수련계획!$R$4:$R$83,$AF326),IF($H326="","",IF(RIGHT($H326,2)="병원",$H326,$H326&amp;"병원"))),IF($H326="","",IF(RIGHT($H326,2)="병원",$H326,$H326&amp;"병원")))))</f>
        <v/>
      </c>
      <c r="AF326" s="10">
        <f>IF(OR($B326="",TRIM($J326&amp;"")=""),"",IFERROR(MATCH(TRIM($J326&amp;"")&amp;"|파견중",파견수련계획!$Y$4:$Y$83,0),IFERROR(MATCH(TRIM($J326&amp;"")&amp;"|파견예정",파견수련계획!$Y$4:$Y$83,0),IFERROR(MATCH(TRIM($J326&amp;"")&amp;"|파견종료",파견수련계획!$Y$4:$Y$83,0),""))))</f>
        <v/>
      </c>
      <c r="AG326" s="10">
        <f>IF($B326="","",IF(AND(IF(OR($AC326="",인턴현황!$K$2=""),"",INDEX(인턴근무계획!$M$3:$R$62,$AC326,인턴현황!$K$2)&amp;"")&lt;&gt;"",LEFT(IF(OR($AC326="",인턴현황!$K$2=""),"",INDEX(인턴근무계획!$M$3:$R$62,$AC326,인턴현황!$K$2)&amp;""),1)&lt;&gt;"⚠"),LEFT(IF(OR($AC326="",인턴현황!$K$2=""),"",INDEX(인턴근무계획!$M$3:$R$62,$AC326,인턴현황!$K$2)&amp;""),FIND(" ",IF(OR($AC326="",인턴현황!$K$2=""),"",INDEX(인턴근무계획!$M$3:$R$62,$AC326,인턴현황!$K$2)&amp;""))-1),$AE326))</f>
        <v/>
      </c>
      <c r="AH326" s="17">
        <f>IF($B326="","",IF(TRIM($J326&amp;"")="",0,SUMPRODUCT((파견수련계획!$Q$4:$Q$83=TRIM($J326&amp;""))*(파견수련계획!$S$4:$S$83="서울병원")*파견수련계획!$W$4:$W$83))+IF($AG326="서울병원",MAX(0,DAY(EOMONTH(요약!$B$3,0))-N($X326)),0))</f>
        <v/>
      </c>
      <c r="AI326" s="17">
        <f>IF($B326="","",IF(TRIM($J326&amp;"")="",0,SUMPRODUCT((파견수련계획!$Q$4:$Q$83=TRIM($J326&amp;""))*(파견수련계획!$S$4:$S$83="구리병원")*파견수련계획!$W$4:$W$83))+IF($AG326="구리병원",MAX(0,DAY(EOMONTH(요약!$B$3,0))-N($X326)),0))</f>
        <v/>
      </c>
      <c r="AJ326" s="10">
        <f>IF(OR($B326="",TRIM($J326&amp;"")=""),"",IFERROR(MATCH(TRIM($J326&amp;"")&amp;"|월",파견수련계획!$Z$4:$Z$83,0),""))</f>
        <v/>
      </c>
      <c r="AK326" s="10">
        <f>IF(OR($B326="",TRIM($J326&amp;"")=""),"",IFERROR(MATCH(TRIM($J326&amp;"")&amp;"|다기관",파견수련계획!$AE$4:$AE$83,0),""))</f>
        <v/>
      </c>
      <c r="AL326" s="10">
        <f>IF($AK326="","","다기관 "&amp;TEXT(INDEX(파견수련계획!$AB$4:$AB$83,$AK326),"yyyy-mm-dd")&amp;"~"&amp;IF(ISNUMBER(INDEX(파견수련계획!$AC$4:$AC$83,$AK326)),TEXT(INDEX(파견수련계획!$AC$4:$AC$83,$AK326),"yyyy-mm-dd"),""))</f>
        <v/>
      </c>
    </row>
    <row r="327">
      <c r="A327" s="10">
        <f>IF(B327="","",ROW()-1)</f>
        <v/>
      </c>
      <c r="B327" s="18" t="n"/>
      <c r="C327" s="10">
        <f>IF($AB327="","",IF(INDEX(기본자료!$C$2:$C$1001,$AB327)="","",INDEX(기본자료!$C$2:$C$1001,$AB327)))</f>
        <v/>
      </c>
      <c r="D327" s="10">
        <f>IF($AB327="","",IF(INDEX(기본자료!$J$2:$J$1001,$AB327)="","",INDEX(기본자료!$J$2:$J$1001,$AB327)))</f>
        <v/>
      </c>
      <c r="E327" s="11">
        <f>IF($AB327="","",IF(INDEX(기본자료!$K$2:$K$1001,$AB327)="","",IF(NOT(ISNUMBER(INDEX(기본자료!$K$2:$K$1001,$AB327))),INDEX(기본자료!$K$2:$K$1001,$AB327),IF(INDEX(기본자료!$K$2:$K$1001,$AB327)&lt;1000000,INDEX(기본자료!$K$2:$K$1001,$AB327),IF(AND(INDEX(기본자료!$K$2:$K$1001,$AB327)&gt;=10000101,INT(MOD(INDEX(기본자료!$K$2:$K$1001,$AB327),10000)/100)&gt;=1,INT(MOD(INDEX(기본자료!$K$2:$K$1001,$AB327),10000)/100)&lt;=12,MOD(INDEX(기본자료!$K$2:$K$1001,$AB327),100)&gt;=1,MOD(INDEX(기본자료!$K$2:$K$1001,$AB327),100)&lt;=31),DATE(INT(INDEX(기본자료!$K$2:$K$1001,$AB327)/10000),INT(MOD(INDEX(기본자료!$K$2:$K$1001,$AB327),10000)/100),MOD(INDEX(기본자료!$K$2:$K$1001,$AB327),100)),INDEX(기본자료!$K$2:$K$1001,$AB327)&amp;"")))))</f>
        <v/>
      </c>
      <c r="F327" s="10">
        <f>IF($AB327="","",IF(INDEX(기본자료!$D$2:$D$1001,$AB327)="","",INDEX(기본자료!$D$2:$D$1001,$AB327)))</f>
        <v/>
      </c>
      <c r="G327" s="10">
        <f>IF($AB327="","",IF(INDEX(기본자료!$E$2:$E$1001,$AB327)="","",INDEX(기본자료!$E$2:$E$1001,$AB327)))</f>
        <v/>
      </c>
      <c r="H327" s="10">
        <f>IF($AB327="","",IF(INDEX(기본자료!$F$2:$F$1001,$AB327)="","",INDEX(기본자료!$F$2:$F$1001,$AB327)))</f>
        <v/>
      </c>
      <c r="I327" s="11">
        <f>IF($AB327="","",IF(INDEX(기본자료!$G$2:$G$1001,$AB327)="","",IF(NOT(ISNUMBER(INDEX(기본자료!$G$2:$G$1001,$AB327))),INDEX(기본자료!$G$2:$G$1001,$AB327),IF(INDEX(기본자료!$G$2:$G$1001,$AB327)&lt;1000000,INDEX(기본자료!$G$2:$G$1001,$AB327),IF(AND(INDEX(기본자료!$G$2:$G$1001,$AB327)&gt;=10000101,INT(MOD(INDEX(기본자료!$G$2:$G$1001,$AB327),10000)/100)&gt;=1,INT(MOD(INDEX(기본자료!$G$2:$G$1001,$AB327),10000)/100)&lt;=12,MOD(INDEX(기본자료!$G$2:$G$1001,$AB327),100)&gt;=1,MOD(INDEX(기본자료!$G$2:$G$1001,$AB327),100)&lt;=31),DATE(INT(INDEX(기본자료!$G$2:$G$1001,$AB327)/10000),INT(MOD(INDEX(기본자료!$G$2:$G$1001,$AB327),10000)/100),MOD(INDEX(기본자료!$G$2:$G$1001,$AB327),100)),INDEX(기본자료!$G$2:$G$1001,$AB327)&amp;"")))))</f>
        <v/>
      </c>
      <c r="J327" s="10">
        <f>IF($AB327="","",IF(INDEX(기본자료!$H$2:$H$1001,$AB327)="","",INDEX(기본자료!$H$2:$H$1001,$AB327)))</f>
        <v/>
      </c>
      <c r="K327" s="10">
        <f>IF($AB327="","",IF(INDEX(기본자료!$I$2:$I$1001,$AB327)="","",INDEX(기본자료!$I$2:$I$1001,$AB327)))</f>
        <v/>
      </c>
      <c r="L327" s="10">
        <f>IF($AB327="","",IF(INDEX(기본자료!$A$2:$A$1001,$AB327)="","",INDEX(기본자료!$A$2:$A$1001,$AB327)))</f>
        <v/>
      </c>
      <c r="M327" s="15" t="n"/>
      <c r="N327" s="10">
        <f>IF($B327="","",IF(AND($U327="파견중",$Q327&lt;&gt;""),$Q327,IF(AND($AD327&lt;&gt;"",LEFT($AD327,1)&lt;&gt;"⚠"),LEFT($AD327,FIND(" ",$AD327)-1),IF($H327="","",IF(RIGHT($H327,2)="병원",$H327,$H327&amp;"병원")))))</f>
        <v/>
      </c>
      <c r="O327" s="10">
        <f>IF($B327="","",IF(AND($U327="파견중",$Q327&lt;&gt;""),IF($R327&lt;&gt;"",$R327,"파견과 미입력"),IF(AND($AD327&lt;&gt;"",LEFT($AD327,1)&lt;&gt;"⚠"),MID($AD327,FIND(" ",$AD327)+1,60),IF($F327="","",IF($F327="인턴","수련교육부(인턴)",$F327)))))</f>
        <v/>
      </c>
      <c r="P327" s="10">
        <f>IF($B327="","",IF($AK327&lt;&gt;"",IF(AND(TODAY()&gt;=INDEX(파견수련계획!$AB$4:$AB$83,$AK327),OR(NOT(ISNUMBER(INDEX(파견수련계획!$AC$4:$AC$83,$AK327))),TODAY()&lt;=INDEX(파견수련계획!$AC$4:$AC$83,$AK327))),"다기관",IF($AF327="","",INDEX(파견수련계획!$T$4:$T$83,$AF327))),IF($AF327="","",INDEX(파견수련계획!$T$4:$T$83,$AF327))))</f>
        <v/>
      </c>
      <c r="Q327" s="10">
        <f>IF($AF327="","",INDEX(파견수련계획!$S$4:$S$83,$AF327))</f>
        <v/>
      </c>
      <c r="R327" s="10">
        <f>IF($AF327="","",INDEX(파견수련계획!$U$4:$U$83,$AF327))</f>
        <v/>
      </c>
      <c r="S327" s="11">
        <f>IF($AF327="","",IF(INDEX(파견수련계획!$H$4:$H$83,$AF327)="","",INDEX(파견수련계획!$H$4:$H$83,$AF327)))</f>
        <v/>
      </c>
      <c r="T327" s="11">
        <f>IF($AF327="","",IF(INDEX(파견수련계획!$I$4:$I$83,$AF327)="","",INDEX(파견수련계획!$I$4:$I$83,$AF327)))</f>
        <v/>
      </c>
      <c r="U327" s="10">
        <f>IF($AF327="","",INDEX(파견수련계획!$X$4:$X$83,$AF327))</f>
        <v/>
      </c>
      <c r="V327" s="17">
        <f>IF($AF327="","",INDEX(파견수련계획!$V$4:$V$83,$AF327))</f>
        <v/>
      </c>
      <c r="W327" s="17">
        <f>IF(AND($U327="파견중",$T327&lt;&gt;""),$T327-TODAY(),"")</f>
        <v/>
      </c>
      <c r="X327" s="17">
        <f>IF(OR($B327="",TRIM($J327&amp;"")=""),"",SUMPRODUCT((파견수련계획!$Q$4:$Q$83=TRIM($J327&amp;""))*파견수련계획!$W$4:$W$83))</f>
        <v/>
      </c>
      <c r="Y327" s="10">
        <f>IF($B327="","",IF($AG327="","",IF(IF(TRIM($J327&amp;"")="",0,SUMPRODUCT((파견수련계획!$Q$4:$Q$83=TRIM($J327&amp;""))*파견수련계획!$AD$4:$AD$83))&gt;0,$AE327,IF(N($X327)&lt;=0,$AG327,IF($AH327+$AI327=DAY(EOMONTH(요약!$B$3,0)),IF(AND($AH327&gt;=요약!$E$3,$AI327&lt;요약!$E$3),"서울병원",IF(AND($AI327&gt;=요약!$E$3,$AH327&lt;요약!$E$3),"구리병원","⚠15일 판정불가(서울 "&amp;$AH327&amp;"일/구리 "&amp;$AI327&amp;"일)")),IF($AJ327="",$AE327,IF(INDEX(파견수련계획!$T$4:$T$83,$AJ327)="통합수련",INDEX(파견수련계획!$S$4:$S$83,$AJ327),$AE327)))))))</f>
        <v/>
      </c>
      <c r="Z327" s="19">
        <f>IF($B327="","",IF($AB327="","기본자료에 없는 사번",IF(COUNTIF($B$2:$B$401,$B327)&gt;1,"중복 사번",IF($AE327="","소속(입사장소) 입력",IF(IF(TRIM($J327&amp;"")="",0,SUMPRODUCT((파견수련계획!$Q$4:$Q$83=TRIM($J327&amp;""))*(파견수련계획!$AA$4:$AA$83&lt;&gt;"")))&gt;0,"파견수련계획 입력오류 확인",IF(LEFT($Y327,1)="⚠","서울·구리 15일 판정 불가(양쪽 모두 이상/미만)",IF(IF($AC327="",0,N(INDEX(인턴근무계획!$T$3:$T$62,$AC327)))&gt;0,"인턴계획 입력오류 확인",IF(AND($AC327&lt;&gt;"",$U327&lt;&gt;"파견중",$N327&lt;&gt;$AE327),"인턴 타지역 근무: 파견 여부 확인","정상"))))))))</f>
        <v/>
      </c>
      <c r="AA327" s="5" t="n"/>
      <c r="AB327" s="10">
        <f>IF($B327="","",IFERROR(MATCH($B327,기본자료!$B$2:$B$1001,0),IFERROR(MATCH($B327&amp;"",기본자료!$B$2:$B$1001,0),IFERROR(MATCH(VALUE($B327),기본자료!$B$2:$B$1001,0),""))))</f>
        <v/>
      </c>
      <c r="AC327" s="10">
        <f>IF($B327="","",IFERROR(MATCH($B327,인턴근무계획!$D$3:$D$62,0),IFERROR(MATCH($B327&amp;"",인턴근무계획!$D$3:$D$62,0),IFERROR(MATCH(VALUE($B327),인턴근무계획!$D$3:$D$62,0),""))))</f>
        <v/>
      </c>
      <c r="AD327" s="10">
        <f>IF(OR($AC327="",인턴현황!$G$3=""),"",INDEX(인턴근무계획!$M$3:$R$62,$AC327,인턴현황!$G$3)&amp;"")</f>
        <v/>
      </c>
      <c r="AE327" s="10">
        <f>IF($B327="","",IF($M327&lt;&gt;"",$M327,IF($AF327&lt;&gt;"",IF(LEFT(INDEX(파견수련계획!$R$4:$R$83,$AF327),1)&lt;&gt;"⚠",INDEX(파견수련계획!$R$4:$R$83,$AF327),IF($H327="","",IF(RIGHT($H327,2)="병원",$H327,$H327&amp;"병원"))),IF($H327="","",IF(RIGHT($H327,2)="병원",$H327,$H327&amp;"병원")))))</f>
        <v/>
      </c>
      <c r="AF327" s="10">
        <f>IF(OR($B327="",TRIM($J327&amp;"")=""),"",IFERROR(MATCH(TRIM($J327&amp;"")&amp;"|파견중",파견수련계획!$Y$4:$Y$83,0),IFERROR(MATCH(TRIM($J327&amp;"")&amp;"|파견예정",파견수련계획!$Y$4:$Y$83,0),IFERROR(MATCH(TRIM($J327&amp;"")&amp;"|파견종료",파견수련계획!$Y$4:$Y$83,0),""))))</f>
        <v/>
      </c>
      <c r="AG327" s="10">
        <f>IF($B327="","",IF(AND(IF(OR($AC327="",인턴현황!$K$2=""),"",INDEX(인턴근무계획!$M$3:$R$62,$AC327,인턴현황!$K$2)&amp;"")&lt;&gt;"",LEFT(IF(OR($AC327="",인턴현황!$K$2=""),"",INDEX(인턴근무계획!$M$3:$R$62,$AC327,인턴현황!$K$2)&amp;""),1)&lt;&gt;"⚠"),LEFT(IF(OR($AC327="",인턴현황!$K$2=""),"",INDEX(인턴근무계획!$M$3:$R$62,$AC327,인턴현황!$K$2)&amp;""),FIND(" ",IF(OR($AC327="",인턴현황!$K$2=""),"",INDEX(인턴근무계획!$M$3:$R$62,$AC327,인턴현황!$K$2)&amp;""))-1),$AE327))</f>
        <v/>
      </c>
      <c r="AH327" s="17">
        <f>IF($B327="","",IF(TRIM($J327&amp;"")="",0,SUMPRODUCT((파견수련계획!$Q$4:$Q$83=TRIM($J327&amp;""))*(파견수련계획!$S$4:$S$83="서울병원")*파견수련계획!$W$4:$W$83))+IF($AG327="서울병원",MAX(0,DAY(EOMONTH(요약!$B$3,0))-N($X327)),0))</f>
        <v/>
      </c>
      <c r="AI327" s="17">
        <f>IF($B327="","",IF(TRIM($J327&amp;"")="",0,SUMPRODUCT((파견수련계획!$Q$4:$Q$83=TRIM($J327&amp;""))*(파견수련계획!$S$4:$S$83="구리병원")*파견수련계획!$W$4:$W$83))+IF($AG327="구리병원",MAX(0,DAY(EOMONTH(요약!$B$3,0))-N($X327)),0))</f>
        <v/>
      </c>
      <c r="AJ327" s="10">
        <f>IF(OR($B327="",TRIM($J327&amp;"")=""),"",IFERROR(MATCH(TRIM($J327&amp;"")&amp;"|월",파견수련계획!$Z$4:$Z$83,0),""))</f>
        <v/>
      </c>
      <c r="AK327" s="10">
        <f>IF(OR($B327="",TRIM($J327&amp;"")=""),"",IFERROR(MATCH(TRIM($J327&amp;"")&amp;"|다기관",파견수련계획!$AE$4:$AE$83,0),""))</f>
        <v/>
      </c>
      <c r="AL327" s="10">
        <f>IF($AK327="","","다기관 "&amp;TEXT(INDEX(파견수련계획!$AB$4:$AB$83,$AK327),"yyyy-mm-dd")&amp;"~"&amp;IF(ISNUMBER(INDEX(파견수련계획!$AC$4:$AC$83,$AK327)),TEXT(INDEX(파견수련계획!$AC$4:$AC$83,$AK327),"yyyy-mm-dd"),""))</f>
        <v/>
      </c>
    </row>
    <row r="328">
      <c r="A328" s="10">
        <f>IF(B328="","",ROW()-1)</f>
        <v/>
      </c>
      <c r="B328" s="18" t="n"/>
      <c r="C328" s="10">
        <f>IF($AB328="","",IF(INDEX(기본자료!$C$2:$C$1001,$AB328)="","",INDEX(기본자료!$C$2:$C$1001,$AB328)))</f>
        <v/>
      </c>
      <c r="D328" s="10">
        <f>IF($AB328="","",IF(INDEX(기본자료!$J$2:$J$1001,$AB328)="","",INDEX(기본자료!$J$2:$J$1001,$AB328)))</f>
        <v/>
      </c>
      <c r="E328" s="11">
        <f>IF($AB328="","",IF(INDEX(기본자료!$K$2:$K$1001,$AB328)="","",IF(NOT(ISNUMBER(INDEX(기본자료!$K$2:$K$1001,$AB328))),INDEX(기본자료!$K$2:$K$1001,$AB328),IF(INDEX(기본자료!$K$2:$K$1001,$AB328)&lt;1000000,INDEX(기본자료!$K$2:$K$1001,$AB328),IF(AND(INDEX(기본자료!$K$2:$K$1001,$AB328)&gt;=10000101,INT(MOD(INDEX(기본자료!$K$2:$K$1001,$AB328),10000)/100)&gt;=1,INT(MOD(INDEX(기본자료!$K$2:$K$1001,$AB328),10000)/100)&lt;=12,MOD(INDEX(기본자료!$K$2:$K$1001,$AB328),100)&gt;=1,MOD(INDEX(기본자료!$K$2:$K$1001,$AB328),100)&lt;=31),DATE(INT(INDEX(기본자료!$K$2:$K$1001,$AB328)/10000),INT(MOD(INDEX(기본자료!$K$2:$K$1001,$AB328),10000)/100),MOD(INDEX(기본자료!$K$2:$K$1001,$AB328),100)),INDEX(기본자료!$K$2:$K$1001,$AB328)&amp;"")))))</f>
        <v/>
      </c>
      <c r="F328" s="10">
        <f>IF($AB328="","",IF(INDEX(기본자료!$D$2:$D$1001,$AB328)="","",INDEX(기본자료!$D$2:$D$1001,$AB328)))</f>
        <v/>
      </c>
      <c r="G328" s="10">
        <f>IF($AB328="","",IF(INDEX(기본자료!$E$2:$E$1001,$AB328)="","",INDEX(기본자료!$E$2:$E$1001,$AB328)))</f>
        <v/>
      </c>
      <c r="H328" s="10">
        <f>IF($AB328="","",IF(INDEX(기본자료!$F$2:$F$1001,$AB328)="","",INDEX(기본자료!$F$2:$F$1001,$AB328)))</f>
        <v/>
      </c>
      <c r="I328" s="11">
        <f>IF($AB328="","",IF(INDEX(기본자료!$G$2:$G$1001,$AB328)="","",IF(NOT(ISNUMBER(INDEX(기본자료!$G$2:$G$1001,$AB328))),INDEX(기본자료!$G$2:$G$1001,$AB328),IF(INDEX(기본자료!$G$2:$G$1001,$AB328)&lt;1000000,INDEX(기본자료!$G$2:$G$1001,$AB328),IF(AND(INDEX(기본자료!$G$2:$G$1001,$AB328)&gt;=10000101,INT(MOD(INDEX(기본자료!$G$2:$G$1001,$AB328),10000)/100)&gt;=1,INT(MOD(INDEX(기본자료!$G$2:$G$1001,$AB328),10000)/100)&lt;=12,MOD(INDEX(기본자료!$G$2:$G$1001,$AB328),100)&gt;=1,MOD(INDEX(기본자료!$G$2:$G$1001,$AB328),100)&lt;=31),DATE(INT(INDEX(기본자료!$G$2:$G$1001,$AB328)/10000),INT(MOD(INDEX(기본자료!$G$2:$G$1001,$AB328),10000)/100),MOD(INDEX(기본자료!$G$2:$G$1001,$AB328),100)),INDEX(기본자료!$G$2:$G$1001,$AB328)&amp;"")))))</f>
        <v/>
      </c>
      <c r="J328" s="10">
        <f>IF($AB328="","",IF(INDEX(기본자료!$H$2:$H$1001,$AB328)="","",INDEX(기본자료!$H$2:$H$1001,$AB328)))</f>
        <v/>
      </c>
      <c r="K328" s="10">
        <f>IF($AB328="","",IF(INDEX(기본자료!$I$2:$I$1001,$AB328)="","",INDEX(기본자료!$I$2:$I$1001,$AB328)))</f>
        <v/>
      </c>
      <c r="L328" s="10">
        <f>IF($AB328="","",IF(INDEX(기본자료!$A$2:$A$1001,$AB328)="","",INDEX(기본자료!$A$2:$A$1001,$AB328)))</f>
        <v/>
      </c>
      <c r="M328" s="15" t="n"/>
      <c r="N328" s="10">
        <f>IF($B328="","",IF(AND($U328="파견중",$Q328&lt;&gt;""),$Q328,IF(AND($AD328&lt;&gt;"",LEFT($AD328,1)&lt;&gt;"⚠"),LEFT($AD328,FIND(" ",$AD328)-1),IF($H328="","",IF(RIGHT($H328,2)="병원",$H328,$H328&amp;"병원")))))</f>
        <v/>
      </c>
      <c r="O328" s="10">
        <f>IF($B328="","",IF(AND($U328="파견중",$Q328&lt;&gt;""),IF($R328&lt;&gt;"",$R328,"파견과 미입력"),IF(AND($AD328&lt;&gt;"",LEFT($AD328,1)&lt;&gt;"⚠"),MID($AD328,FIND(" ",$AD328)+1,60),IF($F328="","",IF($F328="인턴","수련교육부(인턴)",$F328)))))</f>
        <v/>
      </c>
      <c r="P328" s="10">
        <f>IF($B328="","",IF($AK328&lt;&gt;"",IF(AND(TODAY()&gt;=INDEX(파견수련계획!$AB$4:$AB$83,$AK328),OR(NOT(ISNUMBER(INDEX(파견수련계획!$AC$4:$AC$83,$AK328))),TODAY()&lt;=INDEX(파견수련계획!$AC$4:$AC$83,$AK328))),"다기관",IF($AF328="","",INDEX(파견수련계획!$T$4:$T$83,$AF328))),IF($AF328="","",INDEX(파견수련계획!$T$4:$T$83,$AF328))))</f>
        <v/>
      </c>
      <c r="Q328" s="10">
        <f>IF($AF328="","",INDEX(파견수련계획!$S$4:$S$83,$AF328))</f>
        <v/>
      </c>
      <c r="R328" s="10">
        <f>IF($AF328="","",INDEX(파견수련계획!$U$4:$U$83,$AF328))</f>
        <v/>
      </c>
      <c r="S328" s="11">
        <f>IF($AF328="","",IF(INDEX(파견수련계획!$H$4:$H$83,$AF328)="","",INDEX(파견수련계획!$H$4:$H$83,$AF328)))</f>
        <v/>
      </c>
      <c r="T328" s="11">
        <f>IF($AF328="","",IF(INDEX(파견수련계획!$I$4:$I$83,$AF328)="","",INDEX(파견수련계획!$I$4:$I$83,$AF328)))</f>
        <v/>
      </c>
      <c r="U328" s="10">
        <f>IF($AF328="","",INDEX(파견수련계획!$X$4:$X$83,$AF328))</f>
        <v/>
      </c>
      <c r="V328" s="17">
        <f>IF($AF328="","",INDEX(파견수련계획!$V$4:$V$83,$AF328))</f>
        <v/>
      </c>
      <c r="W328" s="17">
        <f>IF(AND($U328="파견중",$T328&lt;&gt;""),$T328-TODAY(),"")</f>
        <v/>
      </c>
      <c r="X328" s="17">
        <f>IF(OR($B328="",TRIM($J328&amp;"")=""),"",SUMPRODUCT((파견수련계획!$Q$4:$Q$83=TRIM($J328&amp;""))*파견수련계획!$W$4:$W$83))</f>
        <v/>
      </c>
      <c r="Y328" s="10">
        <f>IF($B328="","",IF($AG328="","",IF(IF(TRIM($J328&amp;"")="",0,SUMPRODUCT((파견수련계획!$Q$4:$Q$83=TRIM($J328&amp;""))*파견수련계획!$AD$4:$AD$83))&gt;0,$AE328,IF(N($X328)&lt;=0,$AG328,IF($AH328+$AI328=DAY(EOMONTH(요약!$B$3,0)),IF(AND($AH328&gt;=요약!$E$3,$AI328&lt;요약!$E$3),"서울병원",IF(AND($AI328&gt;=요약!$E$3,$AH328&lt;요약!$E$3),"구리병원","⚠15일 판정불가(서울 "&amp;$AH328&amp;"일/구리 "&amp;$AI328&amp;"일)")),IF($AJ328="",$AE328,IF(INDEX(파견수련계획!$T$4:$T$83,$AJ328)="통합수련",INDEX(파견수련계획!$S$4:$S$83,$AJ328),$AE328)))))))</f>
        <v/>
      </c>
      <c r="Z328" s="19">
        <f>IF($B328="","",IF($AB328="","기본자료에 없는 사번",IF(COUNTIF($B$2:$B$401,$B328)&gt;1,"중복 사번",IF($AE328="","소속(입사장소) 입력",IF(IF(TRIM($J328&amp;"")="",0,SUMPRODUCT((파견수련계획!$Q$4:$Q$83=TRIM($J328&amp;""))*(파견수련계획!$AA$4:$AA$83&lt;&gt;"")))&gt;0,"파견수련계획 입력오류 확인",IF(LEFT($Y328,1)="⚠","서울·구리 15일 판정 불가(양쪽 모두 이상/미만)",IF(IF($AC328="",0,N(INDEX(인턴근무계획!$T$3:$T$62,$AC328)))&gt;0,"인턴계획 입력오류 확인",IF(AND($AC328&lt;&gt;"",$U328&lt;&gt;"파견중",$N328&lt;&gt;$AE328),"인턴 타지역 근무: 파견 여부 확인","정상"))))))))</f>
        <v/>
      </c>
      <c r="AA328" s="5" t="n"/>
      <c r="AB328" s="10">
        <f>IF($B328="","",IFERROR(MATCH($B328,기본자료!$B$2:$B$1001,0),IFERROR(MATCH($B328&amp;"",기본자료!$B$2:$B$1001,0),IFERROR(MATCH(VALUE($B328),기본자료!$B$2:$B$1001,0),""))))</f>
        <v/>
      </c>
      <c r="AC328" s="10">
        <f>IF($B328="","",IFERROR(MATCH($B328,인턴근무계획!$D$3:$D$62,0),IFERROR(MATCH($B328&amp;"",인턴근무계획!$D$3:$D$62,0),IFERROR(MATCH(VALUE($B328),인턴근무계획!$D$3:$D$62,0),""))))</f>
        <v/>
      </c>
      <c r="AD328" s="10">
        <f>IF(OR($AC328="",인턴현황!$G$3=""),"",INDEX(인턴근무계획!$M$3:$R$62,$AC328,인턴현황!$G$3)&amp;"")</f>
        <v/>
      </c>
      <c r="AE328" s="10">
        <f>IF($B328="","",IF($M328&lt;&gt;"",$M328,IF($AF328&lt;&gt;"",IF(LEFT(INDEX(파견수련계획!$R$4:$R$83,$AF328),1)&lt;&gt;"⚠",INDEX(파견수련계획!$R$4:$R$83,$AF328),IF($H328="","",IF(RIGHT($H328,2)="병원",$H328,$H328&amp;"병원"))),IF($H328="","",IF(RIGHT($H328,2)="병원",$H328,$H328&amp;"병원")))))</f>
        <v/>
      </c>
      <c r="AF328" s="10">
        <f>IF(OR($B328="",TRIM($J328&amp;"")=""),"",IFERROR(MATCH(TRIM($J328&amp;"")&amp;"|파견중",파견수련계획!$Y$4:$Y$83,0),IFERROR(MATCH(TRIM($J328&amp;"")&amp;"|파견예정",파견수련계획!$Y$4:$Y$83,0),IFERROR(MATCH(TRIM($J328&amp;"")&amp;"|파견종료",파견수련계획!$Y$4:$Y$83,0),""))))</f>
        <v/>
      </c>
      <c r="AG328" s="10">
        <f>IF($B328="","",IF(AND(IF(OR($AC328="",인턴현황!$K$2=""),"",INDEX(인턴근무계획!$M$3:$R$62,$AC328,인턴현황!$K$2)&amp;"")&lt;&gt;"",LEFT(IF(OR($AC328="",인턴현황!$K$2=""),"",INDEX(인턴근무계획!$M$3:$R$62,$AC328,인턴현황!$K$2)&amp;""),1)&lt;&gt;"⚠"),LEFT(IF(OR($AC328="",인턴현황!$K$2=""),"",INDEX(인턴근무계획!$M$3:$R$62,$AC328,인턴현황!$K$2)&amp;""),FIND(" ",IF(OR($AC328="",인턴현황!$K$2=""),"",INDEX(인턴근무계획!$M$3:$R$62,$AC328,인턴현황!$K$2)&amp;""))-1),$AE328))</f>
        <v/>
      </c>
      <c r="AH328" s="17">
        <f>IF($B328="","",IF(TRIM($J328&amp;"")="",0,SUMPRODUCT((파견수련계획!$Q$4:$Q$83=TRIM($J328&amp;""))*(파견수련계획!$S$4:$S$83="서울병원")*파견수련계획!$W$4:$W$83))+IF($AG328="서울병원",MAX(0,DAY(EOMONTH(요약!$B$3,0))-N($X328)),0))</f>
        <v/>
      </c>
      <c r="AI328" s="17">
        <f>IF($B328="","",IF(TRIM($J328&amp;"")="",0,SUMPRODUCT((파견수련계획!$Q$4:$Q$83=TRIM($J328&amp;""))*(파견수련계획!$S$4:$S$83="구리병원")*파견수련계획!$W$4:$W$83))+IF($AG328="구리병원",MAX(0,DAY(EOMONTH(요약!$B$3,0))-N($X328)),0))</f>
        <v/>
      </c>
      <c r="AJ328" s="10">
        <f>IF(OR($B328="",TRIM($J328&amp;"")=""),"",IFERROR(MATCH(TRIM($J328&amp;"")&amp;"|월",파견수련계획!$Z$4:$Z$83,0),""))</f>
        <v/>
      </c>
      <c r="AK328" s="10">
        <f>IF(OR($B328="",TRIM($J328&amp;"")=""),"",IFERROR(MATCH(TRIM($J328&amp;"")&amp;"|다기관",파견수련계획!$AE$4:$AE$83,0),""))</f>
        <v/>
      </c>
      <c r="AL328" s="10">
        <f>IF($AK328="","","다기관 "&amp;TEXT(INDEX(파견수련계획!$AB$4:$AB$83,$AK328),"yyyy-mm-dd")&amp;"~"&amp;IF(ISNUMBER(INDEX(파견수련계획!$AC$4:$AC$83,$AK328)),TEXT(INDEX(파견수련계획!$AC$4:$AC$83,$AK328),"yyyy-mm-dd"),""))</f>
        <v/>
      </c>
    </row>
    <row r="329">
      <c r="A329" s="10">
        <f>IF(B329="","",ROW()-1)</f>
        <v/>
      </c>
      <c r="B329" s="18" t="n"/>
      <c r="C329" s="10">
        <f>IF($AB329="","",IF(INDEX(기본자료!$C$2:$C$1001,$AB329)="","",INDEX(기본자료!$C$2:$C$1001,$AB329)))</f>
        <v/>
      </c>
      <c r="D329" s="10">
        <f>IF($AB329="","",IF(INDEX(기본자료!$J$2:$J$1001,$AB329)="","",INDEX(기본자료!$J$2:$J$1001,$AB329)))</f>
        <v/>
      </c>
      <c r="E329" s="11">
        <f>IF($AB329="","",IF(INDEX(기본자료!$K$2:$K$1001,$AB329)="","",IF(NOT(ISNUMBER(INDEX(기본자료!$K$2:$K$1001,$AB329))),INDEX(기본자료!$K$2:$K$1001,$AB329),IF(INDEX(기본자료!$K$2:$K$1001,$AB329)&lt;1000000,INDEX(기본자료!$K$2:$K$1001,$AB329),IF(AND(INDEX(기본자료!$K$2:$K$1001,$AB329)&gt;=10000101,INT(MOD(INDEX(기본자료!$K$2:$K$1001,$AB329),10000)/100)&gt;=1,INT(MOD(INDEX(기본자료!$K$2:$K$1001,$AB329),10000)/100)&lt;=12,MOD(INDEX(기본자료!$K$2:$K$1001,$AB329),100)&gt;=1,MOD(INDEX(기본자료!$K$2:$K$1001,$AB329),100)&lt;=31),DATE(INT(INDEX(기본자료!$K$2:$K$1001,$AB329)/10000),INT(MOD(INDEX(기본자료!$K$2:$K$1001,$AB329),10000)/100),MOD(INDEX(기본자료!$K$2:$K$1001,$AB329),100)),INDEX(기본자료!$K$2:$K$1001,$AB329)&amp;"")))))</f>
        <v/>
      </c>
      <c r="F329" s="10">
        <f>IF($AB329="","",IF(INDEX(기본자료!$D$2:$D$1001,$AB329)="","",INDEX(기본자료!$D$2:$D$1001,$AB329)))</f>
        <v/>
      </c>
      <c r="G329" s="10">
        <f>IF($AB329="","",IF(INDEX(기본자료!$E$2:$E$1001,$AB329)="","",INDEX(기본자료!$E$2:$E$1001,$AB329)))</f>
        <v/>
      </c>
      <c r="H329" s="10">
        <f>IF($AB329="","",IF(INDEX(기본자료!$F$2:$F$1001,$AB329)="","",INDEX(기본자료!$F$2:$F$1001,$AB329)))</f>
        <v/>
      </c>
      <c r="I329" s="11">
        <f>IF($AB329="","",IF(INDEX(기본자료!$G$2:$G$1001,$AB329)="","",IF(NOT(ISNUMBER(INDEX(기본자료!$G$2:$G$1001,$AB329))),INDEX(기본자료!$G$2:$G$1001,$AB329),IF(INDEX(기본자료!$G$2:$G$1001,$AB329)&lt;1000000,INDEX(기본자료!$G$2:$G$1001,$AB329),IF(AND(INDEX(기본자료!$G$2:$G$1001,$AB329)&gt;=10000101,INT(MOD(INDEX(기본자료!$G$2:$G$1001,$AB329),10000)/100)&gt;=1,INT(MOD(INDEX(기본자료!$G$2:$G$1001,$AB329),10000)/100)&lt;=12,MOD(INDEX(기본자료!$G$2:$G$1001,$AB329),100)&gt;=1,MOD(INDEX(기본자료!$G$2:$G$1001,$AB329),100)&lt;=31),DATE(INT(INDEX(기본자료!$G$2:$G$1001,$AB329)/10000),INT(MOD(INDEX(기본자료!$G$2:$G$1001,$AB329),10000)/100),MOD(INDEX(기본자료!$G$2:$G$1001,$AB329),100)),INDEX(기본자료!$G$2:$G$1001,$AB329)&amp;"")))))</f>
        <v/>
      </c>
      <c r="J329" s="10">
        <f>IF($AB329="","",IF(INDEX(기본자료!$H$2:$H$1001,$AB329)="","",INDEX(기본자료!$H$2:$H$1001,$AB329)))</f>
        <v/>
      </c>
      <c r="K329" s="10">
        <f>IF($AB329="","",IF(INDEX(기본자료!$I$2:$I$1001,$AB329)="","",INDEX(기본자료!$I$2:$I$1001,$AB329)))</f>
        <v/>
      </c>
      <c r="L329" s="10">
        <f>IF($AB329="","",IF(INDEX(기본자료!$A$2:$A$1001,$AB329)="","",INDEX(기본자료!$A$2:$A$1001,$AB329)))</f>
        <v/>
      </c>
      <c r="M329" s="15" t="n"/>
      <c r="N329" s="10">
        <f>IF($B329="","",IF(AND($U329="파견중",$Q329&lt;&gt;""),$Q329,IF(AND($AD329&lt;&gt;"",LEFT($AD329,1)&lt;&gt;"⚠"),LEFT($AD329,FIND(" ",$AD329)-1),IF($H329="","",IF(RIGHT($H329,2)="병원",$H329,$H329&amp;"병원")))))</f>
        <v/>
      </c>
      <c r="O329" s="10">
        <f>IF($B329="","",IF(AND($U329="파견중",$Q329&lt;&gt;""),IF($R329&lt;&gt;"",$R329,"파견과 미입력"),IF(AND($AD329&lt;&gt;"",LEFT($AD329,1)&lt;&gt;"⚠"),MID($AD329,FIND(" ",$AD329)+1,60),IF($F329="","",IF($F329="인턴","수련교육부(인턴)",$F329)))))</f>
        <v/>
      </c>
      <c r="P329" s="10">
        <f>IF($B329="","",IF($AK329&lt;&gt;"",IF(AND(TODAY()&gt;=INDEX(파견수련계획!$AB$4:$AB$83,$AK329),OR(NOT(ISNUMBER(INDEX(파견수련계획!$AC$4:$AC$83,$AK329))),TODAY()&lt;=INDEX(파견수련계획!$AC$4:$AC$83,$AK329))),"다기관",IF($AF329="","",INDEX(파견수련계획!$T$4:$T$83,$AF329))),IF($AF329="","",INDEX(파견수련계획!$T$4:$T$83,$AF329))))</f>
        <v/>
      </c>
      <c r="Q329" s="10">
        <f>IF($AF329="","",INDEX(파견수련계획!$S$4:$S$83,$AF329))</f>
        <v/>
      </c>
      <c r="R329" s="10">
        <f>IF($AF329="","",INDEX(파견수련계획!$U$4:$U$83,$AF329))</f>
        <v/>
      </c>
      <c r="S329" s="11">
        <f>IF($AF329="","",IF(INDEX(파견수련계획!$H$4:$H$83,$AF329)="","",INDEX(파견수련계획!$H$4:$H$83,$AF329)))</f>
        <v/>
      </c>
      <c r="T329" s="11">
        <f>IF($AF329="","",IF(INDEX(파견수련계획!$I$4:$I$83,$AF329)="","",INDEX(파견수련계획!$I$4:$I$83,$AF329)))</f>
        <v/>
      </c>
      <c r="U329" s="10">
        <f>IF($AF329="","",INDEX(파견수련계획!$X$4:$X$83,$AF329))</f>
        <v/>
      </c>
      <c r="V329" s="17">
        <f>IF($AF329="","",INDEX(파견수련계획!$V$4:$V$83,$AF329))</f>
        <v/>
      </c>
      <c r="W329" s="17">
        <f>IF(AND($U329="파견중",$T329&lt;&gt;""),$T329-TODAY(),"")</f>
        <v/>
      </c>
      <c r="X329" s="17">
        <f>IF(OR($B329="",TRIM($J329&amp;"")=""),"",SUMPRODUCT((파견수련계획!$Q$4:$Q$83=TRIM($J329&amp;""))*파견수련계획!$W$4:$W$83))</f>
        <v/>
      </c>
      <c r="Y329" s="10">
        <f>IF($B329="","",IF($AG329="","",IF(IF(TRIM($J329&amp;"")="",0,SUMPRODUCT((파견수련계획!$Q$4:$Q$83=TRIM($J329&amp;""))*파견수련계획!$AD$4:$AD$83))&gt;0,$AE329,IF(N($X329)&lt;=0,$AG329,IF($AH329+$AI329=DAY(EOMONTH(요약!$B$3,0)),IF(AND($AH329&gt;=요약!$E$3,$AI329&lt;요약!$E$3),"서울병원",IF(AND($AI329&gt;=요약!$E$3,$AH329&lt;요약!$E$3),"구리병원","⚠15일 판정불가(서울 "&amp;$AH329&amp;"일/구리 "&amp;$AI329&amp;"일)")),IF($AJ329="",$AE329,IF(INDEX(파견수련계획!$T$4:$T$83,$AJ329)="통합수련",INDEX(파견수련계획!$S$4:$S$83,$AJ329),$AE329)))))))</f>
        <v/>
      </c>
      <c r="Z329" s="19">
        <f>IF($B329="","",IF($AB329="","기본자료에 없는 사번",IF(COUNTIF($B$2:$B$401,$B329)&gt;1,"중복 사번",IF($AE329="","소속(입사장소) 입력",IF(IF(TRIM($J329&amp;"")="",0,SUMPRODUCT((파견수련계획!$Q$4:$Q$83=TRIM($J329&amp;""))*(파견수련계획!$AA$4:$AA$83&lt;&gt;"")))&gt;0,"파견수련계획 입력오류 확인",IF(LEFT($Y329,1)="⚠","서울·구리 15일 판정 불가(양쪽 모두 이상/미만)",IF(IF($AC329="",0,N(INDEX(인턴근무계획!$T$3:$T$62,$AC329)))&gt;0,"인턴계획 입력오류 확인",IF(AND($AC329&lt;&gt;"",$U329&lt;&gt;"파견중",$N329&lt;&gt;$AE329),"인턴 타지역 근무: 파견 여부 확인","정상"))))))))</f>
        <v/>
      </c>
      <c r="AA329" s="5" t="n"/>
      <c r="AB329" s="10">
        <f>IF($B329="","",IFERROR(MATCH($B329,기본자료!$B$2:$B$1001,0),IFERROR(MATCH($B329&amp;"",기본자료!$B$2:$B$1001,0),IFERROR(MATCH(VALUE($B329),기본자료!$B$2:$B$1001,0),""))))</f>
        <v/>
      </c>
      <c r="AC329" s="10">
        <f>IF($B329="","",IFERROR(MATCH($B329,인턴근무계획!$D$3:$D$62,0),IFERROR(MATCH($B329&amp;"",인턴근무계획!$D$3:$D$62,0),IFERROR(MATCH(VALUE($B329),인턴근무계획!$D$3:$D$62,0),""))))</f>
        <v/>
      </c>
      <c r="AD329" s="10">
        <f>IF(OR($AC329="",인턴현황!$G$3=""),"",INDEX(인턴근무계획!$M$3:$R$62,$AC329,인턴현황!$G$3)&amp;"")</f>
        <v/>
      </c>
      <c r="AE329" s="10">
        <f>IF($B329="","",IF($M329&lt;&gt;"",$M329,IF($AF329&lt;&gt;"",IF(LEFT(INDEX(파견수련계획!$R$4:$R$83,$AF329),1)&lt;&gt;"⚠",INDEX(파견수련계획!$R$4:$R$83,$AF329),IF($H329="","",IF(RIGHT($H329,2)="병원",$H329,$H329&amp;"병원"))),IF($H329="","",IF(RIGHT($H329,2)="병원",$H329,$H329&amp;"병원")))))</f>
        <v/>
      </c>
      <c r="AF329" s="10">
        <f>IF(OR($B329="",TRIM($J329&amp;"")=""),"",IFERROR(MATCH(TRIM($J329&amp;"")&amp;"|파견중",파견수련계획!$Y$4:$Y$83,0),IFERROR(MATCH(TRIM($J329&amp;"")&amp;"|파견예정",파견수련계획!$Y$4:$Y$83,0),IFERROR(MATCH(TRIM($J329&amp;"")&amp;"|파견종료",파견수련계획!$Y$4:$Y$83,0),""))))</f>
        <v/>
      </c>
      <c r="AG329" s="10">
        <f>IF($B329="","",IF(AND(IF(OR($AC329="",인턴현황!$K$2=""),"",INDEX(인턴근무계획!$M$3:$R$62,$AC329,인턴현황!$K$2)&amp;"")&lt;&gt;"",LEFT(IF(OR($AC329="",인턴현황!$K$2=""),"",INDEX(인턴근무계획!$M$3:$R$62,$AC329,인턴현황!$K$2)&amp;""),1)&lt;&gt;"⚠"),LEFT(IF(OR($AC329="",인턴현황!$K$2=""),"",INDEX(인턴근무계획!$M$3:$R$62,$AC329,인턴현황!$K$2)&amp;""),FIND(" ",IF(OR($AC329="",인턴현황!$K$2=""),"",INDEX(인턴근무계획!$M$3:$R$62,$AC329,인턴현황!$K$2)&amp;""))-1),$AE329))</f>
        <v/>
      </c>
      <c r="AH329" s="17">
        <f>IF($B329="","",IF(TRIM($J329&amp;"")="",0,SUMPRODUCT((파견수련계획!$Q$4:$Q$83=TRIM($J329&amp;""))*(파견수련계획!$S$4:$S$83="서울병원")*파견수련계획!$W$4:$W$83))+IF($AG329="서울병원",MAX(0,DAY(EOMONTH(요약!$B$3,0))-N($X329)),0))</f>
        <v/>
      </c>
      <c r="AI329" s="17">
        <f>IF($B329="","",IF(TRIM($J329&amp;"")="",0,SUMPRODUCT((파견수련계획!$Q$4:$Q$83=TRIM($J329&amp;""))*(파견수련계획!$S$4:$S$83="구리병원")*파견수련계획!$W$4:$W$83))+IF($AG329="구리병원",MAX(0,DAY(EOMONTH(요약!$B$3,0))-N($X329)),0))</f>
        <v/>
      </c>
      <c r="AJ329" s="10">
        <f>IF(OR($B329="",TRIM($J329&amp;"")=""),"",IFERROR(MATCH(TRIM($J329&amp;"")&amp;"|월",파견수련계획!$Z$4:$Z$83,0),""))</f>
        <v/>
      </c>
      <c r="AK329" s="10">
        <f>IF(OR($B329="",TRIM($J329&amp;"")=""),"",IFERROR(MATCH(TRIM($J329&amp;"")&amp;"|다기관",파견수련계획!$AE$4:$AE$83,0),""))</f>
        <v/>
      </c>
      <c r="AL329" s="10">
        <f>IF($AK329="","","다기관 "&amp;TEXT(INDEX(파견수련계획!$AB$4:$AB$83,$AK329),"yyyy-mm-dd")&amp;"~"&amp;IF(ISNUMBER(INDEX(파견수련계획!$AC$4:$AC$83,$AK329)),TEXT(INDEX(파견수련계획!$AC$4:$AC$83,$AK329),"yyyy-mm-dd"),""))</f>
        <v/>
      </c>
    </row>
    <row r="330">
      <c r="A330" s="10">
        <f>IF(B330="","",ROW()-1)</f>
        <v/>
      </c>
      <c r="B330" s="18" t="n"/>
      <c r="C330" s="10">
        <f>IF($AB330="","",IF(INDEX(기본자료!$C$2:$C$1001,$AB330)="","",INDEX(기본자료!$C$2:$C$1001,$AB330)))</f>
        <v/>
      </c>
      <c r="D330" s="10">
        <f>IF($AB330="","",IF(INDEX(기본자료!$J$2:$J$1001,$AB330)="","",INDEX(기본자료!$J$2:$J$1001,$AB330)))</f>
        <v/>
      </c>
      <c r="E330" s="11">
        <f>IF($AB330="","",IF(INDEX(기본자료!$K$2:$K$1001,$AB330)="","",IF(NOT(ISNUMBER(INDEX(기본자료!$K$2:$K$1001,$AB330))),INDEX(기본자료!$K$2:$K$1001,$AB330),IF(INDEX(기본자료!$K$2:$K$1001,$AB330)&lt;1000000,INDEX(기본자료!$K$2:$K$1001,$AB330),IF(AND(INDEX(기본자료!$K$2:$K$1001,$AB330)&gt;=10000101,INT(MOD(INDEX(기본자료!$K$2:$K$1001,$AB330),10000)/100)&gt;=1,INT(MOD(INDEX(기본자료!$K$2:$K$1001,$AB330),10000)/100)&lt;=12,MOD(INDEX(기본자료!$K$2:$K$1001,$AB330),100)&gt;=1,MOD(INDEX(기본자료!$K$2:$K$1001,$AB330),100)&lt;=31),DATE(INT(INDEX(기본자료!$K$2:$K$1001,$AB330)/10000),INT(MOD(INDEX(기본자료!$K$2:$K$1001,$AB330),10000)/100),MOD(INDEX(기본자료!$K$2:$K$1001,$AB330),100)),INDEX(기본자료!$K$2:$K$1001,$AB330)&amp;"")))))</f>
        <v/>
      </c>
      <c r="F330" s="10">
        <f>IF($AB330="","",IF(INDEX(기본자료!$D$2:$D$1001,$AB330)="","",INDEX(기본자료!$D$2:$D$1001,$AB330)))</f>
        <v/>
      </c>
      <c r="G330" s="10">
        <f>IF($AB330="","",IF(INDEX(기본자료!$E$2:$E$1001,$AB330)="","",INDEX(기본자료!$E$2:$E$1001,$AB330)))</f>
        <v/>
      </c>
      <c r="H330" s="10">
        <f>IF($AB330="","",IF(INDEX(기본자료!$F$2:$F$1001,$AB330)="","",INDEX(기본자료!$F$2:$F$1001,$AB330)))</f>
        <v/>
      </c>
      <c r="I330" s="11">
        <f>IF($AB330="","",IF(INDEX(기본자료!$G$2:$G$1001,$AB330)="","",IF(NOT(ISNUMBER(INDEX(기본자료!$G$2:$G$1001,$AB330))),INDEX(기본자료!$G$2:$G$1001,$AB330),IF(INDEX(기본자료!$G$2:$G$1001,$AB330)&lt;1000000,INDEX(기본자료!$G$2:$G$1001,$AB330),IF(AND(INDEX(기본자료!$G$2:$G$1001,$AB330)&gt;=10000101,INT(MOD(INDEX(기본자료!$G$2:$G$1001,$AB330),10000)/100)&gt;=1,INT(MOD(INDEX(기본자료!$G$2:$G$1001,$AB330),10000)/100)&lt;=12,MOD(INDEX(기본자료!$G$2:$G$1001,$AB330),100)&gt;=1,MOD(INDEX(기본자료!$G$2:$G$1001,$AB330),100)&lt;=31),DATE(INT(INDEX(기본자료!$G$2:$G$1001,$AB330)/10000),INT(MOD(INDEX(기본자료!$G$2:$G$1001,$AB330),10000)/100),MOD(INDEX(기본자료!$G$2:$G$1001,$AB330),100)),INDEX(기본자료!$G$2:$G$1001,$AB330)&amp;"")))))</f>
        <v/>
      </c>
      <c r="J330" s="10">
        <f>IF($AB330="","",IF(INDEX(기본자료!$H$2:$H$1001,$AB330)="","",INDEX(기본자료!$H$2:$H$1001,$AB330)))</f>
        <v/>
      </c>
      <c r="K330" s="10">
        <f>IF($AB330="","",IF(INDEX(기본자료!$I$2:$I$1001,$AB330)="","",INDEX(기본자료!$I$2:$I$1001,$AB330)))</f>
        <v/>
      </c>
      <c r="L330" s="10">
        <f>IF($AB330="","",IF(INDEX(기본자료!$A$2:$A$1001,$AB330)="","",INDEX(기본자료!$A$2:$A$1001,$AB330)))</f>
        <v/>
      </c>
      <c r="M330" s="15" t="n"/>
      <c r="N330" s="10">
        <f>IF($B330="","",IF(AND($U330="파견중",$Q330&lt;&gt;""),$Q330,IF(AND($AD330&lt;&gt;"",LEFT($AD330,1)&lt;&gt;"⚠"),LEFT($AD330,FIND(" ",$AD330)-1),IF($H330="","",IF(RIGHT($H330,2)="병원",$H330,$H330&amp;"병원")))))</f>
        <v/>
      </c>
      <c r="O330" s="10">
        <f>IF($B330="","",IF(AND($U330="파견중",$Q330&lt;&gt;""),IF($R330&lt;&gt;"",$R330,"파견과 미입력"),IF(AND($AD330&lt;&gt;"",LEFT($AD330,1)&lt;&gt;"⚠"),MID($AD330,FIND(" ",$AD330)+1,60),IF($F330="","",IF($F330="인턴","수련교육부(인턴)",$F330)))))</f>
        <v/>
      </c>
      <c r="P330" s="10">
        <f>IF($B330="","",IF($AK330&lt;&gt;"",IF(AND(TODAY()&gt;=INDEX(파견수련계획!$AB$4:$AB$83,$AK330),OR(NOT(ISNUMBER(INDEX(파견수련계획!$AC$4:$AC$83,$AK330))),TODAY()&lt;=INDEX(파견수련계획!$AC$4:$AC$83,$AK330))),"다기관",IF($AF330="","",INDEX(파견수련계획!$T$4:$T$83,$AF330))),IF($AF330="","",INDEX(파견수련계획!$T$4:$T$83,$AF330))))</f>
        <v/>
      </c>
      <c r="Q330" s="10">
        <f>IF($AF330="","",INDEX(파견수련계획!$S$4:$S$83,$AF330))</f>
        <v/>
      </c>
      <c r="R330" s="10">
        <f>IF($AF330="","",INDEX(파견수련계획!$U$4:$U$83,$AF330))</f>
        <v/>
      </c>
      <c r="S330" s="11">
        <f>IF($AF330="","",IF(INDEX(파견수련계획!$H$4:$H$83,$AF330)="","",INDEX(파견수련계획!$H$4:$H$83,$AF330)))</f>
        <v/>
      </c>
      <c r="T330" s="11">
        <f>IF($AF330="","",IF(INDEX(파견수련계획!$I$4:$I$83,$AF330)="","",INDEX(파견수련계획!$I$4:$I$83,$AF330)))</f>
        <v/>
      </c>
      <c r="U330" s="10">
        <f>IF($AF330="","",INDEX(파견수련계획!$X$4:$X$83,$AF330))</f>
        <v/>
      </c>
      <c r="V330" s="17">
        <f>IF($AF330="","",INDEX(파견수련계획!$V$4:$V$83,$AF330))</f>
        <v/>
      </c>
      <c r="W330" s="17">
        <f>IF(AND($U330="파견중",$T330&lt;&gt;""),$T330-TODAY(),"")</f>
        <v/>
      </c>
      <c r="X330" s="17">
        <f>IF(OR($B330="",TRIM($J330&amp;"")=""),"",SUMPRODUCT((파견수련계획!$Q$4:$Q$83=TRIM($J330&amp;""))*파견수련계획!$W$4:$W$83))</f>
        <v/>
      </c>
      <c r="Y330" s="10">
        <f>IF($B330="","",IF($AG330="","",IF(IF(TRIM($J330&amp;"")="",0,SUMPRODUCT((파견수련계획!$Q$4:$Q$83=TRIM($J330&amp;""))*파견수련계획!$AD$4:$AD$83))&gt;0,$AE330,IF(N($X330)&lt;=0,$AG330,IF($AH330+$AI330=DAY(EOMONTH(요약!$B$3,0)),IF(AND($AH330&gt;=요약!$E$3,$AI330&lt;요약!$E$3),"서울병원",IF(AND($AI330&gt;=요약!$E$3,$AH330&lt;요약!$E$3),"구리병원","⚠15일 판정불가(서울 "&amp;$AH330&amp;"일/구리 "&amp;$AI330&amp;"일)")),IF($AJ330="",$AE330,IF(INDEX(파견수련계획!$T$4:$T$83,$AJ330)="통합수련",INDEX(파견수련계획!$S$4:$S$83,$AJ330),$AE330)))))))</f>
        <v/>
      </c>
      <c r="Z330" s="19">
        <f>IF($B330="","",IF($AB330="","기본자료에 없는 사번",IF(COUNTIF($B$2:$B$401,$B330)&gt;1,"중복 사번",IF($AE330="","소속(입사장소) 입력",IF(IF(TRIM($J330&amp;"")="",0,SUMPRODUCT((파견수련계획!$Q$4:$Q$83=TRIM($J330&amp;""))*(파견수련계획!$AA$4:$AA$83&lt;&gt;"")))&gt;0,"파견수련계획 입력오류 확인",IF(LEFT($Y330,1)="⚠","서울·구리 15일 판정 불가(양쪽 모두 이상/미만)",IF(IF($AC330="",0,N(INDEX(인턴근무계획!$T$3:$T$62,$AC330)))&gt;0,"인턴계획 입력오류 확인",IF(AND($AC330&lt;&gt;"",$U330&lt;&gt;"파견중",$N330&lt;&gt;$AE330),"인턴 타지역 근무: 파견 여부 확인","정상"))))))))</f>
        <v/>
      </c>
      <c r="AA330" s="5" t="n"/>
      <c r="AB330" s="10">
        <f>IF($B330="","",IFERROR(MATCH($B330,기본자료!$B$2:$B$1001,0),IFERROR(MATCH($B330&amp;"",기본자료!$B$2:$B$1001,0),IFERROR(MATCH(VALUE($B330),기본자료!$B$2:$B$1001,0),""))))</f>
        <v/>
      </c>
      <c r="AC330" s="10">
        <f>IF($B330="","",IFERROR(MATCH($B330,인턴근무계획!$D$3:$D$62,0),IFERROR(MATCH($B330&amp;"",인턴근무계획!$D$3:$D$62,0),IFERROR(MATCH(VALUE($B330),인턴근무계획!$D$3:$D$62,0),""))))</f>
        <v/>
      </c>
      <c r="AD330" s="10">
        <f>IF(OR($AC330="",인턴현황!$G$3=""),"",INDEX(인턴근무계획!$M$3:$R$62,$AC330,인턴현황!$G$3)&amp;"")</f>
        <v/>
      </c>
      <c r="AE330" s="10">
        <f>IF($B330="","",IF($M330&lt;&gt;"",$M330,IF($AF330&lt;&gt;"",IF(LEFT(INDEX(파견수련계획!$R$4:$R$83,$AF330),1)&lt;&gt;"⚠",INDEX(파견수련계획!$R$4:$R$83,$AF330),IF($H330="","",IF(RIGHT($H330,2)="병원",$H330,$H330&amp;"병원"))),IF($H330="","",IF(RIGHT($H330,2)="병원",$H330,$H330&amp;"병원")))))</f>
        <v/>
      </c>
      <c r="AF330" s="10">
        <f>IF(OR($B330="",TRIM($J330&amp;"")=""),"",IFERROR(MATCH(TRIM($J330&amp;"")&amp;"|파견중",파견수련계획!$Y$4:$Y$83,0),IFERROR(MATCH(TRIM($J330&amp;"")&amp;"|파견예정",파견수련계획!$Y$4:$Y$83,0),IFERROR(MATCH(TRIM($J330&amp;"")&amp;"|파견종료",파견수련계획!$Y$4:$Y$83,0),""))))</f>
        <v/>
      </c>
      <c r="AG330" s="10">
        <f>IF($B330="","",IF(AND(IF(OR($AC330="",인턴현황!$K$2=""),"",INDEX(인턴근무계획!$M$3:$R$62,$AC330,인턴현황!$K$2)&amp;"")&lt;&gt;"",LEFT(IF(OR($AC330="",인턴현황!$K$2=""),"",INDEX(인턴근무계획!$M$3:$R$62,$AC330,인턴현황!$K$2)&amp;""),1)&lt;&gt;"⚠"),LEFT(IF(OR($AC330="",인턴현황!$K$2=""),"",INDEX(인턴근무계획!$M$3:$R$62,$AC330,인턴현황!$K$2)&amp;""),FIND(" ",IF(OR($AC330="",인턴현황!$K$2=""),"",INDEX(인턴근무계획!$M$3:$R$62,$AC330,인턴현황!$K$2)&amp;""))-1),$AE330))</f>
        <v/>
      </c>
      <c r="AH330" s="17">
        <f>IF($B330="","",IF(TRIM($J330&amp;"")="",0,SUMPRODUCT((파견수련계획!$Q$4:$Q$83=TRIM($J330&amp;""))*(파견수련계획!$S$4:$S$83="서울병원")*파견수련계획!$W$4:$W$83))+IF($AG330="서울병원",MAX(0,DAY(EOMONTH(요약!$B$3,0))-N($X330)),0))</f>
        <v/>
      </c>
      <c r="AI330" s="17">
        <f>IF($B330="","",IF(TRIM($J330&amp;"")="",0,SUMPRODUCT((파견수련계획!$Q$4:$Q$83=TRIM($J330&amp;""))*(파견수련계획!$S$4:$S$83="구리병원")*파견수련계획!$W$4:$W$83))+IF($AG330="구리병원",MAX(0,DAY(EOMONTH(요약!$B$3,0))-N($X330)),0))</f>
        <v/>
      </c>
      <c r="AJ330" s="10">
        <f>IF(OR($B330="",TRIM($J330&amp;"")=""),"",IFERROR(MATCH(TRIM($J330&amp;"")&amp;"|월",파견수련계획!$Z$4:$Z$83,0),""))</f>
        <v/>
      </c>
      <c r="AK330" s="10">
        <f>IF(OR($B330="",TRIM($J330&amp;"")=""),"",IFERROR(MATCH(TRIM($J330&amp;"")&amp;"|다기관",파견수련계획!$AE$4:$AE$83,0),""))</f>
        <v/>
      </c>
      <c r="AL330" s="10">
        <f>IF($AK330="","","다기관 "&amp;TEXT(INDEX(파견수련계획!$AB$4:$AB$83,$AK330),"yyyy-mm-dd")&amp;"~"&amp;IF(ISNUMBER(INDEX(파견수련계획!$AC$4:$AC$83,$AK330)),TEXT(INDEX(파견수련계획!$AC$4:$AC$83,$AK330),"yyyy-mm-dd"),""))</f>
        <v/>
      </c>
    </row>
    <row r="331">
      <c r="A331" s="10">
        <f>IF(B331="","",ROW()-1)</f>
        <v/>
      </c>
      <c r="B331" s="18" t="n"/>
      <c r="C331" s="10">
        <f>IF($AB331="","",IF(INDEX(기본자료!$C$2:$C$1001,$AB331)="","",INDEX(기본자료!$C$2:$C$1001,$AB331)))</f>
        <v/>
      </c>
      <c r="D331" s="10">
        <f>IF($AB331="","",IF(INDEX(기본자료!$J$2:$J$1001,$AB331)="","",INDEX(기본자료!$J$2:$J$1001,$AB331)))</f>
        <v/>
      </c>
      <c r="E331" s="11">
        <f>IF($AB331="","",IF(INDEX(기본자료!$K$2:$K$1001,$AB331)="","",IF(NOT(ISNUMBER(INDEX(기본자료!$K$2:$K$1001,$AB331))),INDEX(기본자료!$K$2:$K$1001,$AB331),IF(INDEX(기본자료!$K$2:$K$1001,$AB331)&lt;1000000,INDEX(기본자료!$K$2:$K$1001,$AB331),IF(AND(INDEX(기본자료!$K$2:$K$1001,$AB331)&gt;=10000101,INT(MOD(INDEX(기본자료!$K$2:$K$1001,$AB331),10000)/100)&gt;=1,INT(MOD(INDEX(기본자료!$K$2:$K$1001,$AB331),10000)/100)&lt;=12,MOD(INDEX(기본자료!$K$2:$K$1001,$AB331),100)&gt;=1,MOD(INDEX(기본자료!$K$2:$K$1001,$AB331),100)&lt;=31),DATE(INT(INDEX(기본자료!$K$2:$K$1001,$AB331)/10000),INT(MOD(INDEX(기본자료!$K$2:$K$1001,$AB331),10000)/100),MOD(INDEX(기본자료!$K$2:$K$1001,$AB331),100)),INDEX(기본자료!$K$2:$K$1001,$AB331)&amp;"")))))</f>
        <v/>
      </c>
      <c r="F331" s="10">
        <f>IF($AB331="","",IF(INDEX(기본자료!$D$2:$D$1001,$AB331)="","",INDEX(기본자료!$D$2:$D$1001,$AB331)))</f>
        <v/>
      </c>
      <c r="G331" s="10">
        <f>IF($AB331="","",IF(INDEX(기본자료!$E$2:$E$1001,$AB331)="","",INDEX(기본자료!$E$2:$E$1001,$AB331)))</f>
        <v/>
      </c>
      <c r="H331" s="10">
        <f>IF($AB331="","",IF(INDEX(기본자료!$F$2:$F$1001,$AB331)="","",INDEX(기본자료!$F$2:$F$1001,$AB331)))</f>
        <v/>
      </c>
      <c r="I331" s="11">
        <f>IF($AB331="","",IF(INDEX(기본자료!$G$2:$G$1001,$AB331)="","",IF(NOT(ISNUMBER(INDEX(기본자료!$G$2:$G$1001,$AB331))),INDEX(기본자료!$G$2:$G$1001,$AB331),IF(INDEX(기본자료!$G$2:$G$1001,$AB331)&lt;1000000,INDEX(기본자료!$G$2:$G$1001,$AB331),IF(AND(INDEX(기본자료!$G$2:$G$1001,$AB331)&gt;=10000101,INT(MOD(INDEX(기본자료!$G$2:$G$1001,$AB331),10000)/100)&gt;=1,INT(MOD(INDEX(기본자료!$G$2:$G$1001,$AB331),10000)/100)&lt;=12,MOD(INDEX(기본자료!$G$2:$G$1001,$AB331),100)&gt;=1,MOD(INDEX(기본자료!$G$2:$G$1001,$AB331),100)&lt;=31),DATE(INT(INDEX(기본자료!$G$2:$G$1001,$AB331)/10000),INT(MOD(INDEX(기본자료!$G$2:$G$1001,$AB331),10000)/100),MOD(INDEX(기본자료!$G$2:$G$1001,$AB331),100)),INDEX(기본자료!$G$2:$G$1001,$AB331)&amp;"")))))</f>
        <v/>
      </c>
      <c r="J331" s="10">
        <f>IF($AB331="","",IF(INDEX(기본자료!$H$2:$H$1001,$AB331)="","",INDEX(기본자료!$H$2:$H$1001,$AB331)))</f>
        <v/>
      </c>
      <c r="K331" s="10">
        <f>IF($AB331="","",IF(INDEX(기본자료!$I$2:$I$1001,$AB331)="","",INDEX(기본자료!$I$2:$I$1001,$AB331)))</f>
        <v/>
      </c>
      <c r="L331" s="10">
        <f>IF($AB331="","",IF(INDEX(기본자료!$A$2:$A$1001,$AB331)="","",INDEX(기본자료!$A$2:$A$1001,$AB331)))</f>
        <v/>
      </c>
      <c r="M331" s="15" t="n"/>
      <c r="N331" s="10">
        <f>IF($B331="","",IF(AND($U331="파견중",$Q331&lt;&gt;""),$Q331,IF(AND($AD331&lt;&gt;"",LEFT($AD331,1)&lt;&gt;"⚠"),LEFT($AD331,FIND(" ",$AD331)-1),IF($H331="","",IF(RIGHT($H331,2)="병원",$H331,$H331&amp;"병원")))))</f>
        <v/>
      </c>
      <c r="O331" s="10">
        <f>IF($B331="","",IF(AND($U331="파견중",$Q331&lt;&gt;""),IF($R331&lt;&gt;"",$R331,"파견과 미입력"),IF(AND($AD331&lt;&gt;"",LEFT($AD331,1)&lt;&gt;"⚠"),MID($AD331,FIND(" ",$AD331)+1,60),IF($F331="","",IF($F331="인턴","수련교육부(인턴)",$F331)))))</f>
        <v/>
      </c>
      <c r="P331" s="10">
        <f>IF($B331="","",IF($AK331&lt;&gt;"",IF(AND(TODAY()&gt;=INDEX(파견수련계획!$AB$4:$AB$83,$AK331),OR(NOT(ISNUMBER(INDEX(파견수련계획!$AC$4:$AC$83,$AK331))),TODAY()&lt;=INDEX(파견수련계획!$AC$4:$AC$83,$AK331))),"다기관",IF($AF331="","",INDEX(파견수련계획!$T$4:$T$83,$AF331))),IF($AF331="","",INDEX(파견수련계획!$T$4:$T$83,$AF331))))</f>
        <v/>
      </c>
      <c r="Q331" s="10">
        <f>IF($AF331="","",INDEX(파견수련계획!$S$4:$S$83,$AF331))</f>
        <v/>
      </c>
      <c r="R331" s="10">
        <f>IF($AF331="","",INDEX(파견수련계획!$U$4:$U$83,$AF331))</f>
        <v/>
      </c>
      <c r="S331" s="11">
        <f>IF($AF331="","",IF(INDEX(파견수련계획!$H$4:$H$83,$AF331)="","",INDEX(파견수련계획!$H$4:$H$83,$AF331)))</f>
        <v/>
      </c>
      <c r="T331" s="11">
        <f>IF($AF331="","",IF(INDEX(파견수련계획!$I$4:$I$83,$AF331)="","",INDEX(파견수련계획!$I$4:$I$83,$AF331)))</f>
        <v/>
      </c>
      <c r="U331" s="10">
        <f>IF($AF331="","",INDEX(파견수련계획!$X$4:$X$83,$AF331))</f>
        <v/>
      </c>
      <c r="V331" s="17">
        <f>IF($AF331="","",INDEX(파견수련계획!$V$4:$V$83,$AF331))</f>
        <v/>
      </c>
      <c r="W331" s="17">
        <f>IF(AND($U331="파견중",$T331&lt;&gt;""),$T331-TODAY(),"")</f>
        <v/>
      </c>
      <c r="X331" s="17">
        <f>IF(OR($B331="",TRIM($J331&amp;"")=""),"",SUMPRODUCT((파견수련계획!$Q$4:$Q$83=TRIM($J331&amp;""))*파견수련계획!$W$4:$W$83))</f>
        <v/>
      </c>
      <c r="Y331" s="10">
        <f>IF($B331="","",IF($AG331="","",IF(IF(TRIM($J331&amp;"")="",0,SUMPRODUCT((파견수련계획!$Q$4:$Q$83=TRIM($J331&amp;""))*파견수련계획!$AD$4:$AD$83))&gt;0,$AE331,IF(N($X331)&lt;=0,$AG331,IF($AH331+$AI331=DAY(EOMONTH(요약!$B$3,0)),IF(AND($AH331&gt;=요약!$E$3,$AI331&lt;요약!$E$3),"서울병원",IF(AND($AI331&gt;=요약!$E$3,$AH331&lt;요약!$E$3),"구리병원","⚠15일 판정불가(서울 "&amp;$AH331&amp;"일/구리 "&amp;$AI331&amp;"일)")),IF($AJ331="",$AE331,IF(INDEX(파견수련계획!$T$4:$T$83,$AJ331)="통합수련",INDEX(파견수련계획!$S$4:$S$83,$AJ331),$AE331)))))))</f>
        <v/>
      </c>
      <c r="Z331" s="19">
        <f>IF($B331="","",IF($AB331="","기본자료에 없는 사번",IF(COUNTIF($B$2:$B$401,$B331)&gt;1,"중복 사번",IF($AE331="","소속(입사장소) 입력",IF(IF(TRIM($J331&amp;"")="",0,SUMPRODUCT((파견수련계획!$Q$4:$Q$83=TRIM($J331&amp;""))*(파견수련계획!$AA$4:$AA$83&lt;&gt;"")))&gt;0,"파견수련계획 입력오류 확인",IF(LEFT($Y331,1)="⚠","서울·구리 15일 판정 불가(양쪽 모두 이상/미만)",IF(IF($AC331="",0,N(INDEX(인턴근무계획!$T$3:$T$62,$AC331)))&gt;0,"인턴계획 입력오류 확인",IF(AND($AC331&lt;&gt;"",$U331&lt;&gt;"파견중",$N331&lt;&gt;$AE331),"인턴 타지역 근무: 파견 여부 확인","정상"))))))))</f>
        <v/>
      </c>
      <c r="AA331" s="5" t="n"/>
      <c r="AB331" s="10">
        <f>IF($B331="","",IFERROR(MATCH($B331,기본자료!$B$2:$B$1001,0),IFERROR(MATCH($B331&amp;"",기본자료!$B$2:$B$1001,0),IFERROR(MATCH(VALUE($B331),기본자료!$B$2:$B$1001,0),""))))</f>
        <v/>
      </c>
      <c r="AC331" s="10">
        <f>IF($B331="","",IFERROR(MATCH($B331,인턴근무계획!$D$3:$D$62,0),IFERROR(MATCH($B331&amp;"",인턴근무계획!$D$3:$D$62,0),IFERROR(MATCH(VALUE($B331),인턴근무계획!$D$3:$D$62,0),""))))</f>
        <v/>
      </c>
      <c r="AD331" s="10">
        <f>IF(OR($AC331="",인턴현황!$G$3=""),"",INDEX(인턴근무계획!$M$3:$R$62,$AC331,인턴현황!$G$3)&amp;"")</f>
        <v/>
      </c>
      <c r="AE331" s="10">
        <f>IF($B331="","",IF($M331&lt;&gt;"",$M331,IF($AF331&lt;&gt;"",IF(LEFT(INDEX(파견수련계획!$R$4:$R$83,$AF331),1)&lt;&gt;"⚠",INDEX(파견수련계획!$R$4:$R$83,$AF331),IF($H331="","",IF(RIGHT($H331,2)="병원",$H331,$H331&amp;"병원"))),IF($H331="","",IF(RIGHT($H331,2)="병원",$H331,$H331&amp;"병원")))))</f>
        <v/>
      </c>
      <c r="AF331" s="10">
        <f>IF(OR($B331="",TRIM($J331&amp;"")=""),"",IFERROR(MATCH(TRIM($J331&amp;"")&amp;"|파견중",파견수련계획!$Y$4:$Y$83,0),IFERROR(MATCH(TRIM($J331&amp;"")&amp;"|파견예정",파견수련계획!$Y$4:$Y$83,0),IFERROR(MATCH(TRIM($J331&amp;"")&amp;"|파견종료",파견수련계획!$Y$4:$Y$83,0),""))))</f>
        <v/>
      </c>
      <c r="AG331" s="10">
        <f>IF($B331="","",IF(AND(IF(OR($AC331="",인턴현황!$K$2=""),"",INDEX(인턴근무계획!$M$3:$R$62,$AC331,인턴현황!$K$2)&amp;"")&lt;&gt;"",LEFT(IF(OR($AC331="",인턴현황!$K$2=""),"",INDEX(인턴근무계획!$M$3:$R$62,$AC331,인턴현황!$K$2)&amp;""),1)&lt;&gt;"⚠"),LEFT(IF(OR($AC331="",인턴현황!$K$2=""),"",INDEX(인턴근무계획!$M$3:$R$62,$AC331,인턴현황!$K$2)&amp;""),FIND(" ",IF(OR($AC331="",인턴현황!$K$2=""),"",INDEX(인턴근무계획!$M$3:$R$62,$AC331,인턴현황!$K$2)&amp;""))-1),$AE331))</f>
        <v/>
      </c>
      <c r="AH331" s="17">
        <f>IF($B331="","",IF(TRIM($J331&amp;"")="",0,SUMPRODUCT((파견수련계획!$Q$4:$Q$83=TRIM($J331&amp;""))*(파견수련계획!$S$4:$S$83="서울병원")*파견수련계획!$W$4:$W$83))+IF($AG331="서울병원",MAX(0,DAY(EOMONTH(요약!$B$3,0))-N($X331)),0))</f>
        <v/>
      </c>
      <c r="AI331" s="17">
        <f>IF($B331="","",IF(TRIM($J331&amp;"")="",0,SUMPRODUCT((파견수련계획!$Q$4:$Q$83=TRIM($J331&amp;""))*(파견수련계획!$S$4:$S$83="구리병원")*파견수련계획!$W$4:$W$83))+IF($AG331="구리병원",MAX(0,DAY(EOMONTH(요약!$B$3,0))-N($X331)),0))</f>
        <v/>
      </c>
      <c r="AJ331" s="10">
        <f>IF(OR($B331="",TRIM($J331&amp;"")=""),"",IFERROR(MATCH(TRIM($J331&amp;"")&amp;"|월",파견수련계획!$Z$4:$Z$83,0),""))</f>
        <v/>
      </c>
      <c r="AK331" s="10">
        <f>IF(OR($B331="",TRIM($J331&amp;"")=""),"",IFERROR(MATCH(TRIM($J331&amp;"")&amp;"|다기관",파견수련계획!$AE$4:$AE$83,0),""))</f>
        <v/>
      </c>
      <c r="AL331" s="10">
        <f>IF($AK331="","","다기관 "&amp;TEXT(INDEX(파견수련계획!$AB$4:$AB$83,$AK331),"yyyy-mm-dd")&amp;"~"&amp;IF(ISNUMBER(INDEX(파견수련계획!$AC$4:$AC$83,$AK331)),TEXT(INDEX(파견수련계획!$AC$4:$AC$83,$AK331),"yyyy-mm-dd"),""))</f>
        <v/>
      </c>
    </row>
    <row r="332">
      <c r="A332" s="10">
        <f>IF(B332="","",ROW()-1)</f>
        <v/>
      </c>
      <c r="B332" s="18" t="n"/>
      <c r="C332" s="10">
        <f>IF($AB332="","",IF(INDEX(기본자료!$C$2:$C$1001,$AB332)="","",INDEX(기본자료!$C$2:$C$1001,$AB332)))</f>
        <v/>
      </c>
      <c r="D332" s="10">
        <f>IF($AB332="","",IF(INDEX(기본자료!$J$2:$J$1001,$AB332)="","",INDEX(기본자료!$J$2:$J$1001,$AB332)))</f>
        <v/>
      </c>
      <c r="E332" s="11">
        <f>IF($AB332="","",IF(INDEX(기본자료!$K$2:$K$1001,$AB332)="","",IF(NOT(ISNUMBER(INDEX(기본자료!$K$2:$K$1001,$AB332))),INDEX(기본자료!$K$2:$K$1001,$AB332),IF(INDEX(기본자료!$K$2:$K$1001,$AB332)&lt;1000000,INDEX(기본자료!$K$2:$K$1001,$AB332),IF(AND(INDEX(기본자료!$K$2:$K$1001,$AB332)&gt;=10000101,INT(MOD(INDEX(기본자료!$K$2:$K$1001,$AB332),10000)/100)&gt;=1,INT(MOD(INDEX(기본자료!$K$2:$K$1001,$AB332),10000)/100)&lt;=12,MOD(INDEX(기본자료!$K$2:$K$1001,$AB332),100)&gt;=1,MOD(INDEX(기본자료!$K$2:$K$1001,$AB332),100)&lt;=31),DATE(INT(INDEX(기본자료!$K$2:$K$1001,$AB332)/10000),INT(MOD(INDEX(기본자료!$K$2:$K$1001,$AB332),10000)/100),MOD(INDEX(기본자료!$K$2:$K$1001,$AB332),100)),INDEX(기본자료!$K$2:$K$1001,$AB332)&amp;"")))))</f>
        <v/>
      </c>
      <c r="F332" s="10">
        <f>IF($AB332="","",IF(INDEX(기본자료!$D$2:$D$1001,$AB332)="","",INDEX(기본자료!$D$2:$D$1001,$AB332)))</f>
        <v/>
      </c>
      <c r="G332" s="10">
        <f>IF($AB332="","",IF(INDEX(기본자료!$E$2:$E$1001,$AB332)="","",INDEX(기본자료!$E$2:$E$1001,$AB332)))</f>
        <v/>
      </c>
      <c r="H332" s="10">
        <f>IF($AB332="","",IF(INDEX(기본자료!$F$2:$F$1001,$AB332)="","",INDEX(기본자료!$F$2:$F$1001,$AB332)))</f>
        <v/>
      </c>
      <c r="I332" s="11">
        <f>IF($AB332="","",IF(INDEX(기본자료!$G$2:$G$1001,$AB332)="","",IF(NOT(ISNUMBER(INDEX(기본자료!$G$2:$G$1001,$AB332))),INDEX(기본자료!$G$2:$G$1001,$AB332),IF(INDEX(기본자료!$G$2:$G$1001,$AB332)&lt;1000000,INDEX(기본자료!$G$2:$G$1001,$AB332),IF(AND(INDEX(기본자료!$G$2:$G$1001,$AB332)&gt;=10000101,INT(MOD(INDEX(기본자료!$G$2:$G$1001,$AB332),10000)/100)&gt;=1,INT(MOD(INDEX(기본자료!$G$2:$G$1001,$AB332),10000)/100)&lt;=12,MOD(INDEX(기본자료!$G$2:$G$1001,$AB332),100)&gt;=1,MOD(INDEX(기본자료!$G$2:$G$1001,$AB332),100)&lt;=31),DATE(INT(INDEX(기본자료!$G$2:$G$1001,$AB332)/10000),INT(MOD(INDEX(기본자료!$G$2:$G$1001,$AB332),10000)/100),MOD(INDEX(기본자료!$G$2:$G$1001,$AB332),100)),INDEX(기본자료!$G$2:$G$1001,$AB332)&amp;"")))))</f>
        <v/>
      </c>
      <c r="J332" s="10">
        <f>IF($AB332="","",IF(INDEX(기본자료!$H$2:$H$1001,$AB332)="","",INDEX(기본자료!$H$2:$H$1001,$AB332)))</f>
        <v/>
      </c>
      <c r="K332" s="10">
        <f>IF($AB332="","",IF(INDEX(기본자료!$I$2:$I$1001,$AB332)="","",INDEX(기본자료!$I$2:$I$1001,$AB332)))</f>
        <v/>
      </c>
      <c r="L332" s="10">
        <f>IF($AB332="","",IF(INDEX(기본자료!$A$2:$A$1001,$AB332)="","",INDEX(기본자료!$A$2:$A$1001,$AB332)))</f>
        <v/>
      </c>
      <c r="M332" s="15" t="n"/>
      <c r="N332" s="10">
        <f>IF($B332="","",IF(AND($U332="파견중",$Q332&lt;&gt;""),$Q332,IF(AND($AD332&lt;&gt;"",LEFT($AD332,1)&lt;&gt;"⚠"),LEFT($AD332,FIND(" ",$AD332)-1),IF($H332="","",IF(RIGHT($H332,2)="병원",$H332,$H332&amp;"병원")))))</f>
        <v/>
      </c>
      <c r="O332" s="10">
        <f>IF($B332="","",IF(AND($U332="파견중",$Q332&lt;&gt;""),IF($R332&lt;&gt;"",$R332,"파견과 미입력"),IF(AND($AD332&lt;&gt;"",LEFT($AD332,1)&lt;&gt;"⚠"),MID($AD332,FIND(" ",$AD332)+1,60),IF($F332="","",IF($F332="인턴","수련교육부(인턴)",$F332)))))</f>
        <v/>
      </c>
      <c r="P332" s="10">
        <f>IF($B332="","",IF($AK332&lt;&gt;"",IF(AND(TODAY()&gt;=INDEX(파견수련계획!$AB$4:$AB$83,$AK332),OR(NOT(ISNUMBER(INDEX(파견수련계획!$AC$4:$AC$83,$AK332))),TODAY()&lt;=INDEX(파견수련계획!$AC$4:$AC$83,$AK332))),"다기관",IF($AF332="","",INDEX(파견수련계획!$T$4:$T$83,$AF332))),IF($AF332="","",INDEX(파견수련계획!$T$4:$T$83,$AF332))))</f>
        <v/>
      </c>
      <c r="Q332" s="10">
        <f>IF($AF332="","",INDEX(파견수련계획!$S$4:$S$83,$AF332))</f>
        <v/>
      </c>
      <c r="R332" s="10">
        <f>IF($AF332="","",INDEX(파견수련계획!$U$4:$U$83,$AF332))</f>
        <v/>
      </c>
      <c r="S332" s="11">
        <f>IF($AF332="","",IF(INDEX(파견수련계획!$H$4:$H$83,$AF332)="","",INDEX(파견수련계획!$H$4:$H$83,$AF332)))</f>
        <v/>
      </c>
      <c r="T332" s="11">
        <f>IF($AF332="","",IF(INDEX(파견수련계획!$I$4:$I$83,$AF332)="","",INDEX(파견수련계획!$I$4:$I$83,$AF332)))</f>
        <v/>
      </c>
      <c r="U332" s="10">
        <f>IF($AF332="","",INDEX(파견수련계획!$X$4:$X$83,$AF332))</f>
        <v/>
      </c>
      <c r="V332" s="17">
        <f>IF($AF332="","",INDEX(파견수련계획!$V$4:$V$83,$AF332))</f>
        <v/>
      </c>
      <c r="W332" s="17">
        <f>IF(AND($U332="파견중",$T332&lt;&gt;""),$T332-TODAY(),"")</f>
        <v/>
      </c>
      <c r="X332" s="17">
        <f>IF(OR($B332="",TRIM($J332&amp;"")=""),"",SUMPRODUCT((파견수련계획!$Q$4:$Q$83=TRIM($J332&amp;""))*파견수련계획!$W$4:$W$83))</f>
        <v/>
      </c>
      <c r="Y332" s="10">
        <f>IF($B332="","",IF($AG332="","",IF(IF(TRIM($J332&amp;"")="",0,SUMPRODUCT((파견수련계획!$Q$4:$Q$83=TRIM($J332&amp;""))*파견수련계획!$AD$4:$AD$83))&gt;0,$AE332,IF(N($X332)&lt;=0,$AG332,IF($AH332+$AI332=DAY(EOMONTH(요약!$B$3,0)),IF(AND($AH332&gt;=요약!$E$3,$AI332&lt;요약!$E$3),"서울병원",IF(AND($AI332&gt;=요약!$E$3,$AH332&lt;요약!$E$3),"구리병원","⚠15일 판정불가(서울 "&amp;$AH332&amp;"일/구리 "&amp;$AI332&amp;"일)")),IF($AJ332="",$AE332,IF(INDEX(파견수련계획!$T$4:$T$83,$AJ332)="통합수련",INDEX(파견수련계획!$S$4:$S$83,$AJ332),$AE332)))))))</f>
        <v/>
      </c>
      <c r="Z332" s="19">
        <f>IF($B332="","",IF($AB332="","기본자료에 없는 사번",IF(COUNTIF($B$2:$B$401,$B332)&gt;1,"중복 사번",IF($AE332="","소속(입사장소) 입력",IF(IF(TRIM($J332&amp;"")="",0,SUMPRODUCT((파견수련계획!$Q$4:$Q$83=TRIM($J332&amp;""))*(파견수련계획!$AA$4:$AA$83&lt;&gt;"")))&gt;0,"파견수련계획 입력오류 확인",IF(LEFT($Y332,1)="⚠","서울·구리 15일 판정 불가(양쪽 모두 이상/미만)",IF(IF($AC332="",0,N(INDEX(인턴근무계획!$T$3:$T$62,$AC332)))&gt;0,"인턴계획 입력오류 확인",IF(AND($AC332&lt;&gt;"",$U332&lt;&gt;"파견중",$N332&lt;&gt;$AE332),"인턴 타지역 근무: 파견 여부 확인","정상"))))))))</f>
        <v/>
      </c>
      <c r="AA332" s="5" t="n"/>
      <c r="AB332" s="10">
        <f>IF($B332="","",IFERROR(MATCH($B332,기본자료!$B$2:$B$1001,0),IFERROR(MATCH($B332&amp;"",기본자료!$B$2:$B$1001,0),IFERROR(MATCH(VALUE($B332),기본자료!$B$2:$B$1001,0),""))))</f>
        <v/>
      </c>
      <c r="AC332" s="10">
        <f>IF($B332="","",IFERROR(MATCH($B332,인턴근무계획!$D$3:$D$62,0),IFERROR(MATCH($B332&amp;"",인턴근무계획!$D$3:$D$62,0),IFERROR(MATCH(VALUE($B332),인턴근무계획!$D$3:$D$62,0),""))))</f>
        <v/>
      </c>
      <c r="AD332" s="10">
        <f>IF(OR($AC332="",인턴현황!$G$3=""),"",INDEX(인턴근무계획!$M$3:$R$62,$AC332,인턴현황!$G$3)&amp;"")</f>
        <v/>
      </c>
      <c r="AE332" s="10">
        <f>IF($B332="","",IF($M332&lt;&gt;"",$M332,IF($AF332&lt;&gt;"",IF(LEFT(INDEX(파견수련계획!$R$4:$R$83,$AF332),1)&lt;&gt;"⚠",INDEX(파견수련계획!$R$4:$R$83,$AF332),IF($H332="","",IF(RIGHT($H332,2)="병원",$H332,$H332&amp;"병원"))),IF($H332="","",IF(RIGHT($H332,2)="병원",$H332,$H332&amp;"병원")))))</f>
        <v/>
      </c>
      <c r="AF332" s="10">
        <f>IF(OR($B332="",TRIM($J332&amp;"")=""),"",IFERROR(MATCH(TRIM($J332&amp;"")&amp;"|파견중",파견수련계획!$Y$4:$Y$83,0),IFERROR(MATCH(TRIM($J332&amp;"")&amp;"|파견예정",파견수련계획!$Y$4:$Y$83,0),IFERROR(MATCH(TRIM($J332&amp;"")&amp;"|파견종료",파견수련계획!$Y$4:$Y$83,0),""))))</f>
        <v/>
      </c>
      <c r="AG332" s="10">
        <f>IF($B332="","",IF(AND(IF(OR($AC332="",인턴현황!$K$2=""),"",INDEX(인턴근무계획!$M$3:$R$62,$AC332,인턴현황!$K$2)&amp;"")&lt;&gt;"",LEFT(IF(OR($AC332="",인턴현황!$K$2=""),"",INDEX(인턴근무계획!$M$3:$R$62,$AC332,인턴현황!$K$2)&amp;""),1)&lt;&gt;"⚠"),LEFT(IF(OR($AC332="",인턴현황!$K$2=""),"",INDEX(인턴근무계획!$M$3:$R$62,$AC332,인턴현황!$K$2)&amp;""),FIND(" ",IF(OR($AC332="",인턴현황!$K$2=""),"",INDEX(인턴근무계획!$M$3:$R$62,$AC332,인턴현황!$K$2)&amp;""))-1),$AE332))</f>
        <v/>
      </c>
      <c r="AH332" s="17">
        <f>IF($B332="","",IF(TRIM($J332&amp;"")="",0,SUMPRODUCT((파견수련계획!$Q$4:$Q$83=TRIM($J332&amp;""))*(파견수련계획!$S$4:$S$83="서울병원")*파견수련계획!$W$4:$W$83))+IF($AG332="서울병원",MAX(0,DAY(EOMONTH(요약!$B$3,0))-N($X332)),0))</f>
        <v/>
      </c>
      <c r="AI332" s="17">
        <f>IF($B332="","",IF(TRIM($J332&amp;"")="",0,SUMPRODUCT((파견수련계획!$Q$4:$Q$83=TRIM($J332&amp;""))*(파견수련계획!$S$4:$S$83="구리병원")*파견수련계획!$W$4:$W$83))+IF($AG332="구리병원",MAX(0,DAY(EOMONTH(요약!$B$3,0))-N($X332)),0))</f>
        <v/>
      </c>
      <c r="AJ332" s="10">
        <f>IF(OR($B332="",TRIM($J332&amp;"")=""),"",IFERROR(MATCH(TRIM($J332&amp;"")&amp;"|월",파견수련계획!$Z$4:$Z$83,0),""))</f>
        <v/>
      </c>
      <c r="AK332" s="10">
        <f>IF(OR($B332="",TRIM($J332&amp;"")=""),"",IFERROR(MATCH(TRIM($J332&amp;"")&amp;"|다기관",파견수련계획!$AE$4:$AE$83,0),""))</f>
        <v/>
      </c>
      <c r="AL332" s="10">
        <f>IF($AK332="","","다기관 "&amp;TEXT(INDEX(파견수련계획!$AB$4:$AB$83,$AK332),"yyyy-mm-dd")&amp;"~"&amp;IF(ISNUMBER(INDEX(파견수련계획!$AC$4:$AC$83,$AK332)),TEXT(INDEX(파견수련계획!$AC$4:$AC$83,$AK332),"yyyy-mm-dd"),""))</f>
        <v/>
      </c>
    </row>
    <row r="333">
      <c r="A333" s="10">
        <f>IF(B333="","",ROW()-1)</f>
        <v/>
      </c>
      <c r="B333" s="18" t="n"/>
      <c r="C333" s="10">
        <f>IF($AB333="","",IF(INDEX(기본자료!$C$2:$C$1001,$AB333)="","",INDEX(기본자료!$C$2:$C$1001,$AB333)))</f>
        <v/>
      </c>
      <c r="D333" s="10">
        <f>IF($AB333="","",IF(INDEX(기본자료!$J$2:$J$1001,$AB333)="","",INDEX(기본자료!$J$2:$J$1001,$AB333)))</f>
        <v/>
      </c>
      <c r="E333" s="11">
        <f>IF($AB333="","",IF(INDEX(기본자료!$K$2:$K$1001,$AB333)="","",IF(NOT(ISNUMBER(INDEX(기본자료!$K$2:$K$1001,$AB333))),INDEX(기본자료!$K$2:$K$1001,$AB333),IF(INDEX(기본자료!$K$2:$K$1001,$AB333)&lt;1000000,INDEX(기본자료!$K$2:$K$1001,$AB333),IF(AND(INDEX(기본자료!$K$2:$K$1001,$AB333)&gt;=10000101,INT(MOD(INDEX(기본자료!$K$2:$K$1001,$AB333),10000)/100)&gt;=1,INT(MOD(INDEX(기본자료!$K$2:$K$1001,$AB333),10000)/100)&lt;=12,MOD(INDEX(기본자료!$K$2:$K$1001,$AB333),100)&gt;=1,MOD(INDEX(기본자료!$K$2:$K$1001,$AB333),100)&lt;=31),DATE(INT(INDEX(기본자료!$K$2:$K$1001,$AB333)/10000),INT(MOD(INDEX(기본자료!$K$2:$K$1001,$AB333),10000)/100),MOD(INDEX(기본자료!$K$2:$K$1001,$AB333),100)),INDEX(기본자료!$K$2:$K$1001,$AB333)&amp;"")))))</f>
        <v/>
      </c>
      <c r="F333" s="10">
        <f>IF($AB333="","",IF(INDEX(기본자료!$D$2:$D$1001,$AB333)="","",INDEX(기본자료!$D$2:$D$1001,$AB333)))</f>
        <v/>
      </c>
      <c r="G333" s="10">
        <f>IF($AB333="","",IF(INDEX(기본자료!$E$2:$E$1001,$AB333)="","",INDEX(기본자료!$E$2:$E$1001,$AB333)))</f>
        <v/>
      </c>
      <c r="H333" s="10">
        <f>IF($AB333="","",IF(INDEX(기본자료!$F$2:$F$1001,$AB333)="","",INDEX(기본자료!$F$2:$F$1001,$AB333)))</f>
        <v/>
      </c>
      <c r="I333" s="11">
        <f>IF($AB333="","",IF(INDEX(기본자료!$G$2:$G$1001,$AB333)="","",IF(NOT(ISNUMBER(INDEX(기본자료!$G$2:$G$1001,$AB333))),INDEX(기본자료!$G$2:$G$1001,$AB333),IF(INDEX(기본자료!$G$2:$G$1001,$AB333)&lt;1000000,INDEX(기본자료!$G$2:$G$1001,$AB333),IF(AND(INDEX(기본자료!$G$2:$G$1001,$AB333)&gt;=10000101,INT(MOD(INDEX(기본자료!$G$2:$G$1001,$AB333),10000)/100)&gt;=1,INT(MOD(INDEX(기본자료!$G$2:$G$1001,$AB333),10000)/100)&lt;=12,MOD(INDEX(기본자료!$G$2:$G$1001,$AB333),100)&gt;=1,MOD(INDEX(기본자료!$G$2:$G$1001,$AB333),100)&lt;=31),DATE(INT(INDEX(기본자료!$G$2:$G$1001,$AB333)/10000),INT(MOD(INDEX(기본자료!$G$2:$G$1001,$AB333),10000)/100),MOD(INDEX(기본자료!$G$2:$G$1001,$AB333),100)),INDEX(기본자료!$G$2:$G$1001,$AB333)&amp;"")))))</f>
        <v/>
      </c>
      <c r="J333" s="10">
        <f>IF($AB333="","",IF(INDEX(기본자료!$H$2:$H$1001,$AB333)="","",INDEX(기본자료!$H$2:$H$1001,$AB333)))</f>
        <v/>
      </c>
      <c r="K333" s="10">
        <f>IF($AB333="","",IF(INDEX(기본자료!$I$2:$I$1001,$AB333)="","",INDEX(기본자료!$I$2:$I$1001,$AB333)))</f>
        <v/>
      </c>
      <c r="L333" s="10">
        <f>IF($AB333="","",IF(INDEX(기본자료!$A$2:$A$1001,$AB333)="","",INDEX(기본자료!$A$2:$A$1001,$AB333)))</f>
        <v/>
      </c>
      <c r="M333" s="15" t="n"/>
      <c r="N333" s="10">
        <f>IF($B333="","",IF(AND($U333="파견중",$Q333&lt;&gt;""),$Q333,IF(AND($AD333&lt;&gt;"",LEFT($AD333,1)&lt;&gt;"⚠"),LEFT($AD333,FIND(" ",$AD333)-1),IF($H333="","",IF(RIGHT($H333,2)="병원",$H333,$H333&amp;"병원")))))</f>
        <v/>
      </c>
      <c r="O333" s="10">
        <f>IF($B333="","",IF(AND($U333="파견중",$Q333&lt;&gt;""),IF($R333&lt;&gt;"",$R333,"파견과 미입력"),IF(AND($AD333&lt;&gt;"",LEFT($AD333,1)&lt;&gt;"⚠"),MID($AD333,FIND(" ",$AD333)+1,60),IF($F333="","",IF($F333="인턴","수련교육부(인턴)",$F333)))))</f>
        <v/>
      </c>
      <c r="P333" s="10">
        <f>IF($B333="","",IF($AK333&lt;&gt;"",IF(AND(TODAY()&gt;=INDEX(파견수련계획!$AB$4:$AB$83,$AK333),OR(NOT(ISNUMBER(INDEX(파견수련계획!$AC$4:$AC$83,$AK333))),TODAY()&lt;=INDEX(파견수련계획!$AC$4:$AC$83,$AK333))),"다기관",IF($AF333="","",INDEX(파견수련계획!$T$4:$T$83,$AF333))),IF($AF333="","",INDEX(파견수련계획!$T$4:$T$83,$AF333))))</f>
        <v/>
      </c>
      <c r="Q333" s="10">
        <f>IF($AF333="","",INDEX(파견수련계획!$S$4:$S$83,$AF333))</f>
        <v/>
      </c>
      <c r="R333" s="10">
        <f>IF($AF333="","",INDEX(파견수련계획!$U$4:$U$83,$AF333))</f>
        <v/>
      </c>
      <c r="S333" s="11">
        <f>IF($AF333="","",IF(INDEX(파견수련계획!$H$4:$H$83,$AF333)="","",INDEX(파견수련계획!$H$4:$H$83,$AF333)))</f>
        <v/>
      </c>
      <c r="T333" s="11">
        <f>IF($AF333="","",IF(INDEX(파견수련계획!$I$4:$I$83,$AF333)="","",INDEX(파견수련계획!$I$4:$I$83,$AF333)))</f>
        <v/>
      </c>
      <c r="U333" s="10">
        <f>IF($AF333="","",INDEX(파견수련계획!$X$4:$X$83,$AF333))</f>
        <v/>
      </c>
      <c r="V333" s="17">
        <f>IF($AF333="","",INDEX(파견수련계획!$V$4:$V$83,$AF333))</f>
        <v/>
      </c>
      <c r="W333" s="17">
        <f>IF(AND($U333="파견중",$T333&lt;&gt;""),$T333-TODAY(),"")</f>
        <v/>
      </c>
      <c r="X333" s="17">
        <f>IF(OR($B333="",TRIM($J333&amp;"")=""),"",SUMPRODUCT((파견수련계획!$Q$4:$Q$83=TRIM($J333&amp;""))*파견수련계획!$W$4:$W$83))</f>
        <v/>
      </c>
      <c r="Y333" s="10">
        <f>IF($B333="","",IF($AG333="","",IF(IF(TRIM($J333&amp;"")="",0,SUMPRODUCT((파견수련계획!$Q$4:$Q$83=TRIM($J333&amp;""))*파견수련계획!$AD$4:$AD$83))&gt;0,$AE333,IF(N($X333)&lt;=0,$AG333,IF($AH333+$AI333=DAY(EOMONTH(요약!$B$3,0)),IF(AND($AH333&gt;=요약!$E$3,$AI333&lt;요약!$E$3),"서울병원",IF(AND($AI333&gt;=요약!$E$3,$AH333&lt;요약!$E$3),"구리병원","⚠15일 판정불가(서울 "&amp;$AH333&amp;"일/구리 "&amp;$AI333&amp;"일)")),IF($AJ333="",$AE333,IF(INDEX(파견수련계획!$T$4:$T$83,$AJ333)="통합수련",INDEX(파견수련계획!$S$4:$S$83,$AJ333),$AE333)))))))</f>
        <v/>
      </c>
      <c r="Z333" s="19">
        <f>IF($B333="","",IF($AB333="","기본자료에 없는 사번",IF(COUNTIF($B$2:$B$401,$B333)&gt;1,"중복 사번",IF($AE333="","소속(입사장소) 입력",IF(IF(TRIM($J333&amp;"")="",0,SUMPRODUCT((파견수련계획!$Q$4:$Q$83=TRIM($J333&amp;""))*(파견수련계획!$AA$4:$AA$83&lt;&gt;"")))&gt;0,"파견수련계획 입력오류 확인",IF(LEFT($Y333,1)="⚠","서울·구리 15일 판정 불가(양쪽 모두 이상/미만)",IF(IF($AC333="",0,N(INDEX(인턴근무계획!$T$3:$T$62,$AC333)))&gt;0,"인턴계획 입력오류 확인",IF(AND($AC333&lt;&gt;"",$U333&lt;&gt;"파견중",$N333&lt;&gt;$AE333),"인턴 타지역 근무: 파견 여부 확인","정상"))))))))</f>
        <v/>
      </c>
      <c r="AA333" s="5" t="n"/>
      <c r="AB333" s="10">
        <f>IF($B333="","",IFERROR(MATCH($B333,기본자료!$B$2:$B$1001,0),IFERROR(MATCH($B333&amp;"",기본자료!$B$2:$B$1001,0),IFERROR(MATCH(VALUE($B333),기본자료!$B$2:$B$1001,0),""))))</f>
        <v/>
      </c>
      <c r="AC333" s="10">
        <f>IF($B333="","",IFERROR(MATCH($B333,인턴근무계획!$D$3:$D$62,0),IFERROR(MATCH($B333&amp;"",인턴근무계획!$D$3:$D$62,0),IFERROR(MATCH(VALUE($B333),인턴근무계획!$D$3:$D$62,0),""))))</f>
        <v/>
      </c>
      <c r="AD333" s="10">
        <f>IF(OR($AC333="",인턴현황!$G$3=""),"",INDEX(인턴근무계획!$M$3:$R$62,$AC333,인턴현황!$G$3)&amp;"")</f>
        <v/>
      </c>
      <c r="AE333" s="10">
        <f>IF($B333="","",IF($M333&lt;&gt;"",$M333,IF($AF333&lt;&gt;"",IF(LEFT(INDEX(파견수련계획!$R$4:$R$83,$AF333),1)&lt;&gt;"⚠",INDEX(파견수련계획!$R$4:$R$83,$AF333),IF($H333="","",IF(RIGHT($H333,2)="병원",$H333,$H333&amp;"병원"))),IF($H333="","",IF(RIGHT($H333,2)="병원",$H333,$H333&amp;"병원")))))</f>
        <v/>
      </c>
      <c r="AF333" s="10">
        <f>IF(OR($B333="",TRIM($J333&amp;"")=""),"",IFERROR(MATCH(TRIM($J333&amp;"")&amp;"|파견중",파견수련계획!$Y$4:$Y$83,0),IFERROR(MATCH(TRIM($J333&amp;"")&amp;"|파견예정",파견수련계획!$Y$4:$Y$83,0),IFERROR(MATCH(TRIM($J333&amp;"")&amp;"|파견종료",파견수련계획!$Y$4:$Y$83,0),""))))</f>
        <v/>
      </c>
      <c r="AG333" s="10">
        <f>IF($B333="","",IF(AND(IF(OR($AC333="",인턴현황!$K$2=""),"",INDEX(인턴근무계획!$M$3:$R$62,$AC333,인턴현황!$K$2)&amp;"")&lt;&gt;"",LEFT(IF(OR($AC333="",인턴현황!$K$2=""),"",INDEX(인턴근무계획!$M$3:$R$62,$AC333,인턴현황!$K$2)&amp;""),1)&lt;&gt;"⚠"),LEFT(IF(OR($AC333="",인턴현황!$K$2=""),"",INDEX(인턴근무계획!$M$3:$R$62,$AC333,인턴현황!$K$2)&amp;""),FIND(" ",IF(OR($AC333="",인턴현황!$K$2=""),"",INDEX(인턴근무계획!$M$3:$R$62,$AC333,인턴현황!$K$2)&amp;""))-1),$AE333))</f>
        <v/>
      </c>
      <c r="AH333" s="17">
        <f>IF($B333="","",IF(TRIM($J333&amp;"")="",0,SUMPRODUCT((파견수련계획!$Q$4:$Q$83=TRIM($J333&amp;""))*(파견수련계획!$S$4:$S$83="서울병원")*파견수련계획!$W$4:$W$83))+IF($AG333="서울병원",MAX(0,DAY(EOMONTH(요약!$B$3,0))-N($X333)),0))</f>
        <v/>
      </c>
      <c r="AI333" s="17">
        <f>IF($B333="","",IF(TRIM($J333&amp;"")="",0,SUMPRODUCT((파견수련계획!$Q$4:$Q$83=TRIM($J333&amp;""))*(파견수련계획!$S$4:$S$83="구리병원")*파견수련계획!$W$4:$W$83))+IF($AG333="구리병원",MAX(0,DAY(EOMONTH(요약!$B$3,0))-N($X333)),0))</f>
        <v/>
      </c>
      <c r="AJ333" s="10">
        <f>IF(OR($B333="",TRIM($J333&amp;"")=""),"",IFERROR(MATCH(TRIM($J333&amp;"")&amp;"|월",파견수련계획!$Z$4:$Z$83,0),""))</f>
        <v/>
      </c>
      <c r="AK333" s="10">
        <f>IF(OR($B333="",TRIM($J333&amp;"")=""),"",IFERROR(MATCH(TRIM($J333&amp;"")&amp;"|다기관",파견수련계획!$AE$4:$AE$83,0),""))</f>
        <v/>
      </c>
      <c r="AL333" s="10">
        <f>IF($AK333="","","다기관 "&amp;TEXT(INDEX(파견수련계획!$AB$4:$AB$83,$AK333),"yyyy-mm-dd")&amp;"~"&amp;IF(ISNUMBER(INDEX(파견수련계획!$AC$4:$AC$83,$AK333)),TEXT(INDEX(파견수련계획!$AC$4:$AC$83,$AK333),"yyyy-mm-dd"),""))</f>
        <v/>
      </c>
    </row>
    <row r="334">
      <c r="A334" s="10">
        <f>IF(B334="","",ROW()-1)</f>
        <v/>
      </c>
      <c r="B334" s="18" t="n"/>
      <c r="C334" s="10">
        <f>IF($AB334="","",IF(INDEX(기본자료!$C$2:$C$1001,$AB334)="","",INDEX(기본자료!$C$2:$C$1001,$AB334)))</f>
        <v/>
      </c>
      <c r="D334" s="10">
        <f>IF($AB334="","",IF(INDEX(기본자료!$J$2:$J$1001,$AB334)="","",INDEX(기본자료!$J$2:$J$1001,$AB334)))</f>
        <v/>
      </c>
      <c r="E334" s="11">
        <f>IF($AB334="","",IF(INDEX(기본자료!$K$2:$K$1001,$AB334)="","",IF(NOT(ISNUMBER(INDEX(기본자료!$K$2:$K$1001,$AB334))),INDEX(기본자료!$K$2:$K$1001,$AB334),IF(INDEX(기본자료!$K$2:$K$1001,$AB334)&lt;1000000,INDEX(기본자료!$K$2:$K$1001,$AB334),IF(AND(INDEX(기본자료!$K$2:$K$1001,$AB334)&gt;=10000101,INT(MOD(INDEX(기본자료!$K$2:$K$1001,$AB334),10000)/100)&gt;=1,INT(MOD(INDEX(기본자료!$K$2:$K$1001,$AB334),10000)/100)&lt;=12,MOD(INDEX(기본자료!$K$2:$K$1001,$AB334),100)&gt;=1,MOD(INDEX(기본자료!$K$2:$K$1001,$AB334),100)&lt;=31),DATE(INT(INDEX(기본자료!$K$2:$K$1001,$AB334)/10000),INT(MOD(INDEX(기본자료!$K$2:$K$1001,$AB334),10000)/100),MOD(INDEX(기본자료!$K$2:$K$1001,$AB334),100)),INDEX(기본자료!$K$2:$K$1001,$AB334)&amp;"")))))</f>
        <v/>
      </c>
      <c r="F334" s="10">
        <f>IF($AB334="","",IF(INDEX(기본자료!$D$2:$D$1001,$AB334)="","",INDEX(기본자료!$D$2:$D$1001,$AB334)))</f>
        <v/>
      </c>
      <c r="G334" s="10">
        <f>IF($AB334="","",IF(INDEX(기본자료!$E$2:$E$1001,$AB334)="","",INDEX(기본자료!$E$2:$E$1001,$AB334)))</f>
        <v/>
      </c>
      <c r="H334" s="10">
        <f>IF($AB334="","",IF(INDEX(기본자료!$F$2:$F$1001,$AB334)="","",INDEX(기본자료!$F$2:$F$1001,$AB334)))</f>
        <v/>
      </c>
      <c r="I334" s="11">
        <f>IF($AB334="","",IF(INDEX(기본자료!$G$2:$G$1001,$AB334)="","",IF(NOT(ISNUMBER(INDEX(기본자료!$G$2:$G$1001,$AB334))),INDEX(기본자료!$G$2:$G$1001,$AB334),IF(INDEX(기본자료!$G$2:$G$1001,$AB334)&lt;1000000,INDEX(기본자료!$G$2:$G$1001,$AB334),IF(AND(INDEX(기본자료!$G$2:$G$1001,$AB334)&gt;=10000101,INT(MOD(INDEX(기본자료!$G$2:$G$1001,$AB334),10000)/100)&gt;=1,INT(MOD(INDEX(기본자료!$G$2:$G$1001,$AB334),10000)/100)&lt;=12,MOD(INDEX(기본자료!$G$2:$G$1001,$AB334),100)&gt;=1,MOD(INDEX(기본자료!$G$2:$G$1001,$AB334),100)&lt;=31),DATE(INT(INDEX(기본자료!$G$2:$G$1001,$AB334)/10000),INT(MOD(INDEX(기본자료!$G$2:$G$1001,$AB334),10000)/100),MOD(INDEX(기본자료!$G$2:$G$1001,$AB334),100)),INDEX(기본자료!$G$2:$G$1001,$AB334)&amp;"")))))</f>
        <v/>
      </c>
      <c r="J334" s="10">
        <f>IF($AB334="","",IF(INDEX(기본자료!$H$2:$H$1001,$AB334)="","",INDEX(기본자료!$H$2:$H$1001,$AB334)))</f>
        <v/>
      </c>
      <c r="K334" s="10">
        <f>IF($AB334="","",IF(INDEX(기본자료!$I$2:$I$1001,$AB334)="","",INDEX(기본자료!$I$2:$I$1001,$AB334)))</f>
        <v/>
      </c>
      <c r="L334" s="10">
        <f>IF($AB334="","",IF(INDEX(기본자료!$A$2:$A$1001,$AB334)="","",INDEX(기본자료!$A$2:$A$1001,$AB334)))</f>
        <v/>
      </c>
      <c r="M334" s="15" t="n"/>
      <c r="N334" s="10">
        <f>IF($B334="","",IF(AND($U334="파견중",$Q334&lt;&gt;""),$Q334,IF(AND($AD334&lt;&gt;"",LEFT($AD334,1)&lt;&gt;"⚠"),LEFT($AD334,FIND(" ",$AD334)-1),IF($H334="","",IF(RIGHT($H334,2)="병원",$H334,$H334&amp;"병원")))))</f>
        <v/>
      </c>
      <c r="O334" s="10">
        <f>IF($B334="","",IF(AND($U334="파견중",$Q334&lt;&gt;""),IF($R334&lt;&gt;"",$R334,"파견과 미입력"),IF(AND($AD334&lt;&gt;"",LEFT($AD334,1)&lt;&gt;"⚠"),MID($AD334,FIND(" ",$AD334)+1,60),IF($F334="","",IF($F334="인턴","수련교육부(인턴)",$F334)))))</f>
        <v/>
      </c>
      <c r="P334" s="10">
        <f>IF($B334="","",IF($AK334&lt;&gt;"",IF(AND(TODAY()&gt;=INDEX(파견수련계획!$AB$4:$AB$83,$AK334),OR(NOT(ISNUMBER(INDEX(파견수련계획!$AC$4:$AC$83,$AK334))),TODAY()&lt;=INDEX(파견수련계획!$AC$4:$AC$83,$AK334))),"다기관",IF($AF334="","",INDEX(파견수련계획!$T$4:$T$83,$AF334))),IF($AF334="","",INDEX(파견수련계획!$T$4:$T$83,$AF334))))</f>
        <v/>
      </c>
      <c r="Q334" s="10">
        <f>IF($AF334="","",INDEX(파견수련계획!$S$4:$S$83,$AF334))</f>
        <v/>
      </c>
      <c r="R334" s="10">
        <f>IF($AF334="","",INDEX(파견수련계획!$U$4:$U$83,$AF334))</f>
        <v/>
      </c>
      <c r="S334" s="11">
        <f>IF($AF334="","",IF(INDEX(파견수련계획!$H$4:$H$83,$AF334)="","",INDEX(파견수련계획!$H$4:$H$83,$AF334)))</f>
        <v/>
      </c>
      <c r="T334" s="11">
        <f>IF($AF334="","",IF(INDEX(파견수련계획!$I$4:$I$83,$AF334)="","",INDEX(파견수련계획!$I$4:$I$83,$AF334)))</f>
        <v/>
      </c>
      <c r="U334" s="10">
        <f>IF($AF334="","",INDEX(파견수련계획!$X$4:$X$83,$AF334))</f>
        <v/>
      </c>
      <c r="V334" s="17">
        <f>IF($AF334="","",INDEX(파견수련계획!$V$4:$V$83,$AF334))</f>
        <v/>
      </c>
      <c r="W334" s="17">
        <f>IF(AND($U334="파견중",$T334&lt;&gt;""),$T334-TODAY(),"")</f>
        <v/>
      </c>
      <c r="X334" s="17">
        <f>IF(OR($B334="",TRIM($J334&amp;"")=""),"",SUMPRODUCT((파견수련계획!$Q$4:$Q$83=TRIM($J334&amp;""))*파견수련계획!$W$4:$W$83))</f>
        <v/>
      </c>
      <c r="Y334" s="10">
        <f>IF($B334="","",IF($AG334="","",IF(IF(TRIM($J334&amp;"")="",0,SUMPRODUCT((파견수련계획!$Q$4:$Q$83=TRIM($J334&amp;""))*파견수련계획!$AD$4:$AD$83))&gt;0,$AE334,IF(N($X334)&lt;=0,$AG334,IF($AH334+$AI334=DAY(EOMONTH(요약!$B$3,0)),IF(AND($AH334&gt;=요약!$E$3,$AI334&lt;요약!$E$3),"서울병원",IF(AND($AI334&gt;=요약!$E$3,$AH334&lt;요약!$E$3),"구리병원","⚠15일 판정불가(서울 "&amp;$AH334&amp;"일/구리 "&amp;$AI334&amp;"일)")),IF($AJ334="",$AE334,IF(INDEX(파견수련계획!$T$4:$T$83,$AJ334)="통합수련",INDEX(파견수련계획!$S$4:$S$83,$AJ334),$AE334)))))))</f>
        <v/>
      </c>
      <c r="Z334" s="19">
        <f>IF($B334="","",IF($AB334="","기본자료에 없는 사번",IF(COUNTIF($B$2:$B$401,$B334)&gt;1,"중복 사번",IF($AE334="","소속(입사장소) 입력",IF(IF(TRIM($J334&amp;"")="",0,SUMPRODUCT((파견수련계획!$Q$4:$Q$83=TRIM($J334&amp;""))*(파견수련계획!$AA$4:$AA$83&lt;&gt;"")))&gt;0,"파견수련계획 입력오류 확인",IF(LEFT($Y334,1)="⚠","서울·구리 15일 판정 불가(양쪽 모두 이상/미만)",IF(IF($AC334="",0,N(INDEX(인턴근무계획!$T$3:$T$62,$AC334)))&gt;0,"인턴계획 입력오류 확인",IF(AND($AC334&lt;&gt;"",$U334&lt;&gt;"파견중",$N334&lt;&gt;$AE334),"인턴 타지역 근무: 파견 여부 확인","정상"))))))))</f>
        <v/>
      </c>
      <c r="AA334" s="5" t="n"/>
      <c r="AB334" s="10">
        <f>IF($B334="","",IFERROR(MATCH($B334,기본자료!$B$2:$B$1001,0),IFERROR(MATCH($B334&amp;"",기본자료!$B$2:$B$1001,0),IFERROR(MATCH(VALUE($B334),기본자료!$B$2:$B$1001,0),""))))</f>
        <v/>
      </c>
      <c r="AC334" s="10">
        <f>IF($B334="","",IFERROR(MATCH($B334,인턴근무계획!$D$3:$D$62,0),IFERROR(MATCH($B334&amp;"",인턴근무계획!$D$3:$D$62,0),IFERROR(MATCH(VALUE($B334),인턴근무계획!$D$3:$D$62,0),""))))</f>
        <v/>
      </c>
      <c r="AD334" s="10">
        <f>IF(OR($AC334="",인턴현황!$G$3=""),"",INDEX(인턴근무계획!$M$3:$R$62,$AC334,인턴현황!$G$3)&amp;"")</f>
        <v/>
      </c>
      <c r="AE334" s="10">
        <f>IF($B334="","",IF($M334&lt;&gt;"",$M334,IF($AF334&lt;&gt;"",IF(LEFT(INDEX(파견수련계획!$R$4:$R$83,$AF334),1)&lt;&gt;"⚠",INDEX(파견수련계획!$R$4:$R$83,$AF334),IF($H334="","",IF(RIGHT($H334,2)="병원",$H334,$H334&amp;"병원"))),IF($H334="","",IF(RIGHT($H334,2)="병원",$H334,$H334&amp;"병원")))))</f>
        <v/>
      </c>
      <c r="AF334" s="10">
        <f>IF(OR($B334="",TRIM($J334&amp;"")=""),"",IFERROR(MATCH(TRIM($J334&amp;"")&amp;"|파견중",파견수련계획!$Y$4:$Y$83,0),IFERROR(MATCH(TRIM($J334&amp;"")&amp;"|파견예정",파견수련계획!$Y$4:$Y$83,0),IFERROR(MATCH(TRIM($J334&amp;"")&amp;"|파견종료",파견수련계획!$Y$4:$Y$83,0),""))))</f>
        <v/>
      </c>
      <c r="AG334" s="10">
        <f>IF($B334="","",IF(AND(IF(OR($AC334="",인턴현황!$K$2=""),"",INDEX(인턴근무계획!$M$3:$R$62,$AC334,인턴현황!$K$2)&amp;"")&lt;&gt;"",LEFT(IF(OR($AC334="",인턴현황!$K$2=""),"",INDEX(인턴근무계획!$M$3:$R$62,$AC334,인턴현황!$K$2)&amp;""),1)&lt;&gt;"⚠"),LEFT(IF(OR($AC334="",인턴현황!$K$2=""),"",INDEX(인턴근무계획!$M$3:$R$62,$AC334,인턴현황!$K$2)&amp;""),FIND(" ",IF(OR($AC334="",인턴현황!$K$2=""),"",INDEX(인턴근무계획!$M$3:$R$62,$AC334,인턴현황!$K$2)&amp;""))-1),$AE334))</f>
        <v/>
      </c>
      <c r="AH334" s="17">
        <f>IF($B334="","",IF(TRIM($J334&amp;"")="",0,SUMPRODUCT((파견수련계획!$Q$4:$Q$83=TRIM($J334&amp;""))*(파견수련계획!$S$4:$S$83="서울병원")*파견수련계획!$W$4:$W$83))+IF($AG334="서울병원",MAX(0,DAY(EOMONTH(요약!$B$3,0))-N($X334)),0))</f>
        <v/>
      </c>
      <c r="AI334" s="17">
        <f>IF($B334="","",IF(TRIM($J334&amp;"")="",0,SUMPRODUCT((파견수련계획!$Q$4:$Q$83=TRIM($J334&amp;""))*(파견수련계획!$S$4:$S$83="구리병원")*파견수련계획!$W$4:$W$83))+IF($AG334="구리병원",MAX(0,DAY(EOMONTH(요약!$B$3,0))-N($X334)),0))</f>
        <v/>
      </c>
      <c r="AJ334" s="10">
        <f>IF(OR($B334="",TRIM($J334&amp;"")=""),"",IFERROR(MATCH(TRIM($J334&amp;"")&amp;"|월",파견수련계획!$Z$4:$Z$83,0),""))</f>
        <v/>
      </c>
      <c r="AK334" s="10">
        <f>IF(OR($B334="",TRIM($J334&amp;"")=""),"",IFERROR(MATCH(TRIM($J334&amp;"")&amp;"|다기관",파견수련계획!$AE$4:$AE$83,0),""))</f>
        <v/>
      </c>
      <c r="AL334" s="10">
        <f>IF($AK334="","","다기관 "&amp;TEXT(INDEX(파견수련계획!$AB$4:$AB$83,$AK334),"yyyy-mm-dd")&amp;"~"&amp;IF(ISNUMBER(INDEX(파견수련계획!$AC$4:$AC$83,$AK334)),TEXT(INDEX(파견수련계획!$AC$4:$AC$83,$AK334),"yyyy-mm-dd"),""))</f>
        <v/>
      </c>
    </row>
    <row r="335">
      <c r="A335" s="10">
        <f>IF(B335="","",ROW()-1)</f>
        <v/>
      </c>
      <c r="B335" s="18" t="n"/>
      <c r="C335" s="10">
        <f>IF($AB335="","",IF(INDEX(기본자료!$C$2:$C$1001,$AB335)="","",INDEX(기본자료!$C$2:$C$1001,$AB335)))</f>
        <v/>
      </c>
      <c r="D335" s="10">
        <f>IF($AB335="","",IF(INDEX(기본자료!$J$2:$J$1001,$AB335)="","",INDEX(기본자료!$J$2:$J$1001,$AB335)))</f>
        <v/>
      </c>
      <c r="E335" s="11">
        <f>IF($AB335="","",IF(INDEX(기본자료!$K$2:$K$1001,$AB335)="","",IF(NOT(ISNUMBER(INDEX(기본자료!$K$2:$K$1001,$AB335))),INDEX(기본자료!$K$2:$K$1001,$AB335),IF(INDEX(기본자료!$K$2:$K$1001,$AB335)&lt;1000000,INDEX(기본자료!$K$2:$K$1001,$AB335),IF(AND(INDEX(기본자료!$K$2:$K$1001,$AB335)&gt;=10000101,INT(MOD(INDEX(기본자료!$K$2:$K$1001,$AB335),10000)/100)&gt;=1,INT(MOD(INDEX(기본자료!$K$2:$K$1001,$AB335),10000)/100)&lt;=12,MOD(INDEX(기본자료!$K$2:$K$1001,$AB335),100)&gt;=1,MOD(INDEX(기본자료!$K$2:$K$1001,$AB335),100)&lt;=31),DATE(INT(INDEX(기본자료!$K$2:$K$1001,$AB335)/10000),INT(MOD(INDEX(기본자료!$K$2:$K$1001,$AB335),10000)/100),MOD(INDEX(기본자료!$K$2:$K$1001,$AB335),100)),INDEX(기본자료!$K$2:$K$1001,$AB335)&amp;"")))))</f>
        <v/>
      </c>
      <c r="F335" s="10">
        <f>IF($AB335="","",IF(INDEX(기본자료!$D$2:$D$1001,$AB335)="","",INDEX(기본자료!$D$2:$D$1001,$AB335)))</f>
        <v/>
      </c>
      <c r="G335" s="10">
        <f>IF($AB335="","",IF(INDEX(기본자료!$E$2:$E$1001,$AB335)="","",INDEX(기본자료!$E$2:$E$1001,$AB335)))</f>
        <v/>
      </c>
      <c r="H335" s="10">
        <f>IF($AB335="","",IF(INDEX(기본자료!$F$2:$F$1001,$AB335)="","",INDEX(기본자료!$F$2:$F$1001,$AB335)))</f>
        <v/>
      </c>
      <c r="I335" s="11">
        <f>IF($AB335="","",IF(INDEX(기본자료!$G$2:$G$1001,$AB335)="","",IF(NOT(ISNUMBER(INDEX(기본자료!$G$2:$G$1001,$AB335))),INDEX(기본자료!$G$2:$G$1001,$AB335),IF(INDEX(기본자료!$G$2:$G$1001,$AB335)&lt;1000000,INDEX(기본자료!$G$2:$G$1001,$AB335),IF(AND(INDEX(기본자료!$G$2:$G$1001,$AB335)&gt;=10000101,INT(MOD(INDEX(기본자료!$G$2:$G$1001,$AB335),10000)/100)&gt;=1,INT(MOD(INDEX(기본자료!$G$2:$G$1001,$AB335),10000)/100)&lt;=12,MOD(INDEX(기본자료!$G$2:$G$1001,$AB335),100)&gt;=1,MOD(INDEX(기본자료!$G$2:$G$1001,$AB335),100)&lt;=31),DATE(INT(INDEX(기본자료!$G$2:$G$1001,$AB335)/10000),INT(MOD(INDEX(기본자료!$G$2:$G$1001,$AB335),10000)/100),MOD(INDEX(기본자료!$G$2:$G$1001,$AB335),100)),INDEX(기본자료!$G$2:$G$1001,$AB335)&amp;"")))))</f>
        <v/>
      </c>
      <c r="J335" s="10">
        <f>IF($AB335="","",IF(INDEX(기본자료!$H$2:$H$1001,$AB335)="","",INDEX(기본자료!$H$2:$H$1001,$AB335)))</f>
        <v/>
      </c>
      <c r="K335" s="10">
        <f>IF($AB335="","",IF(INDEX(기본자료!$I$2:$I$1001,$AB335)="","",INDEX(기본자료!$I$2:$I$1001,$AB335)))</f>
        <v/>
      </c>
      <c r="L335" s="10">
        <f>IF($AB335="","",IF(INDEX(기본자료!$A$2:$A$1001,$AB335)="","",INDEX(기본자료!$A$2:$A$1001,$AB335)))</f>
        <v/>
      </c>
      <c r="M335" s="15" t="n"/>
      <c r="N335" s="10">
        <f>IF($B335="","",IF(AND($U335="파견중",$Q335&lt;&gt;""),$Q335,IF(AND($AD335&lt;&gt;"",LEFT($AD335,1)&lt;&gt;"⚠"),LEFT($AD335,FIND(" ",$AD335)-1),IF($H335="","",IF(RIGHT($H335,2)="병원",$H335,$H335&amp;"병원")))))</f>
        <v/>
      </c>
      <c r="O335" s="10">
        <f>IF($B335="","",IF(AND($U335="파견중",$Q335&lt;&gt;""),IF($R335&lt;&gt;"",$R335,"파견과 미입력"),IF(AND($AD335&lt;&gt;"",LEFT($AD335,1)&lt;&gt;"⚠"),MID($AD335,FIND(" ",$AD335)+1,60),IF($F335="","",IF($F335="인턴","수련교육부(인턴)",$F335)))))</f>
        <v/>
      </c>
      <c r="P335" s="10">
        <f>IF($B335="","",IF($AK335&lt;&gt;"",IF(AND(TODAY()&gt;=INDEX(파견수련계획!$AB$4:$AB$83,$AK335),OR(NOT(ISNUMBER(INDEX(파견수련계획!$AC$4:$AC$83,$AK335))),TODAY()&lt;=INDEX(파견수련계획!$AC$4:$AC$83,$AK335))),"다기관",IF($AF335="","",INDEX(파견수련계획!$T$4:$T$83,$AF335))),IF($AF335="","",INDEX(파견수련계획!$T$4:$T$83,$AF335))))</f>
        <v/>
      </c>
      <c r="Q335" s="10">
        <f>IF($AF335="","",INDEX(파견수련계획!$S$4:$S$83,$AF335))</f>
        <v/>
      </c>
      <c r="R335" s="10">
        <f>IF($AF335="","",INDEX(파견수련계획!$U$4:$U$83,$AF335))</f>
        <v/>
      </c>
      <c r="S335" s="11">
        <f>IF($AF335="","",IF(INDEX(파견수련계획!$H$4:$H$83,$AF335)="","",INDEX(파견수련계획!$H$4:$H$83,$AF335)))</f>
        <v/>
      </c>
      <c r="T335" s="11">
        <f>IF($AF335="","",IF(INDEX(파견수련계획!$I$4:$I$83,$AF335)="","",INDEX(파견수련계획!$I$4:$I$83,$AF335)))</f>
        <v/>
      </c>
      <c r="U335" s="10">
        <f>IF($AF335="","",INDEX(파견수련계획!$X$4:$X$83,$AF335))</f>
        <v/>
      </c>
      <c r="V335" s="17">
        <f>IF($AF335="","",INDEX(파견수련계획!$V$4:$V$83,$AF335))</f>
        <v/>
      </c>
      <c r="W335" s="17">
        <f>IF(AND($U335="파견중",$T335&lt;&gt;""),$T335-TODAY(),"")</f>
        <v/>
      </c>
      <c r="X335" s="17">
        <f>IF(OR($B335="",TRIM($J335&amp;"")=""),"",SUMPRODUCT((파견수련계획!$Q$4:$Q$83=TRIM($J335&amp;""))*파견수련계획!$W$4:$W$83))</f>
        <v/>
      </c>
      <c r="Y335" s="10">
        <f>IF($B335="","",IF($AG335="","",IF(IF(TRIM($J335&amp;"")="",0,SUMPRODUCT((파견수련계획!$Q$4:$Q$83=TRIM($J335&amp;""))*파견수련계획!$AD$4:$AD$83))&gt;0,$AE335,IF(N($X335)&lt;=0,$AG335,IF($AH335+$AI335=DAY(EOMONTH(요약!$B$3,0)),IF(AND($AH335&gt;=요약!$E$3,$AI335&lt;요약!$E$3),"서울병원",IF(AND($AI335&gt;=요약!$E$3,$AH335&lt;요약!$E$3),"구리병원","⚠15일 판정불가(서울 "&amp;$AH335&amp;"일/구리 "&amp;$AI335&amp;"일)")),IF($AJ335="",$AE335,IF(INDEX(파견수련계획!$T$4:$T$83,$AJ335)="통합수련",INDEX(파견수련계획!$S$4:$S$83,$AJ335),$AE335)))))))</f>
        <v/>
      </c>
      <c r="Z335" s="19">
        <f>IF($B335="","",IF($AB335="","기본자료에 없는 사번",IF(COUNTIF($B$2:$B$401,$B335)&gt;1,"중복 사번",IF($AE335="","소속(입사장소) 입력",IF(IF(TRIM($J335&amp;"")="",0,SUMPRODUCT((파견수련계획!$Q$4:$Q$83=TRIM($J335&amp;""))*(파견수련계획!$AA$4:$AA$83&lt;&gt;"")))&gt;0,"파견수련계획 입력오류 확인",IF(LEFT($Y335,1)="⚠","서울·구리 15일 판정 불가(양쪽 모두 이상/미만)",IF(IF($AC335="",0,N(INDEX(인턴근무계획!$T$3:$T$62,$AC335)))&gt;0,"인턴계획 입력오류 확인",IF(AND($AC335&lt;&gt;"",$U335&lt;&gt;"파견중",$N335&lt;&gt;$AE335),"인턴 타지역 근무: 파견 여부 확인","정상"))))))))</f>
        <v/>
      </c>
      <c r="AA335" s="5" t="n"/>
      <c r="AB335" s="10">
        <f>IF($B335="","",IFERROR(MATCH($B335,기본자료!$B$2:$B$1001,0),IFERROR(MATCH($B335&amp;"",기본자료!$B$2:$B$1001,0),IFERROR(MATCH(VALUE($B335),기본자료!$B$2:$B$1001,0),""))))</f>
        <v/>
      </c>
      <c r="AC335" s="10">
        <f>IF($B335="","",IFERROR(MATCH($B335,인턴근무계획!$D$3:$D$62,0),IFERROR(MATCH($B335&amp;"",인턴근무계획!$D$3:$D$62,0),IFERROR(MATCH(VALUE($B335),인턴근무계획!$D$3:$D$62,0),""))))</f>
        <v/>
      </c>
      <c r="AD335" s="10">
        <f>IF(OR($AC335="",인턴현황!$G$3=""),"",INDEX(인턴근무계획!$M$3:$R$62,$AC335,인턴현황!$G$3)&amp;"")</f>
        <v/>
      </c>
      <c r="AE335" s="10">
        <f>IF($B335="","",IF($M335&lt;&gt;"",$M335,IF($AF335&lt;&gt;"",IF(LEFT(INDEX(파견수련계획!$R$4:$R$83,$AF335),1)&lt;&gt;"⚠",INDEX(파견수련계획!$R$4:$R$83,$AF335),IF($H335="","",IF(RIGHT($H335,2)="병원",$H335,$H335&amp;"병원"))),IF($H335="","",IF(RIGHT($H335,2)="병원",$H335,$H335&amp;"병원")))))</f>
        <v/>
      </c>
      <c r="AF335" s="10">
        <f>IF(OR($B335="",TRIM($J335&amp;"")=""),"",IFERROR(MATCH(TRIM($J335&amp;"")&amp;"|파견중",파견수련계획!$Y$4:$Y$83,0),IFERROR(MATCH(TRIM($J335&amp;"")&amp;"|파견예정",파견수련계획!$Y$4:$Y$83,0),IFERROR(MATCH(TRIM($J335&amp;"")&amp;"|파견종료",파견수련계획!$Y$4:$Y$83,0),""))))</f>
        <v/>
      </c>
      <c r="AG335" s="10">
        <f>IF($B335="","",IF(AND(IF(OR($AC335="",인턴현황!$K$2=""),"",INDEX(인턴근무계획!$M$3:$R$62,$AC335,인턴현황!$K$2)&amp;"")&lt;&gt;"",LEFT(IF(OR($AC335="",인턴현황!$K$2=""),"",INDEX(인턴근무계획!$M$3:$R$62,$AC335,인턴현황!$K$2)&amp;""),1)&lt;&gt;"⚠"),LEFT(IF(OR($AC335="",인턴현황!$K$2=""),"",INDEX(인턴근무계획!$M$3:$R$62,$AC335,인턴현황!$K$2)&amp;""),FIND(" ",IF(OR($AC335="",인턴현황!$K$2=""),"",INDEX(인턴근무계획!$M$3:$R$62,$AC335,인턴현황!$K$2)&amp;""))-1),$AE335))</f>
        <v/>
      </c>
      <c r="AH335" s="17">
        <f>IF($B335="","",IF(TRIM($J335&amp;"")="",0,SUMPRODUCT((파견수련계획!$Q$4:$Q$83=TRIM($J335&amp;""))*(파견수련계획!$S$4:$S$83="서울병원")*파견수련계획!$W$4:$W$83))+IF($AG335="서울병원",MAX(0,DAY(EOMONTH(요약!$B$3,0))-N($X335)),0))</f>
        <v/>
      </c>
      <c r="AI335" s="17">
        <f>IF($B335="","",IF(TRIM($J335&amp;"")="",0,SUMPRODUCT((파견수련계획!$Q$4:$Q$83=TRIM($J335&amp;""))*(파견수련계획!$S$4:$S$83="구리병원")*파견수련계획!$W$4:$W$83))+IF($AG335="구리병원",MAX(0,DAY(EOMONTH(요약!$B$3,0))-N($X335)),0))</f>
        <v/>
      </c>
      <c r="AJ335" s="10">
        <f>IF(OR($B335="",TRIM($J335&amp;"")=""),"",IFERROR(MATCH(TRIM($J335&amp;"")&amp;"|월",파견수련계획!$Z$4:$Z$83,0),""))</f>
        <v/>
      </c>
      <c r="AK335" s="10">
        <f>IF(OR($B335="",TRIM($J335&amp;"")=""),"",IFERROR(MATCH(TRIM($J335&amp;"")&amp;"|다기관",파견수련계획!$AE$4:$AE$83,0),""))</f>
        <v/>
      </c>
      <c r="AL335" s="10">
        <f>IF($AK335="","","다기관 "&amp;TEXT(INDEX(파견수련계획!$AB$4:$AB$83,$AK335),"yyyy-mm-dd")&amp;"~"&amp;IF(ISNUMBER(INDEX(파견수련계획!$AC$4:$AC$83,$AK335)),TEXT(INDEX(파견수련계획!$AC$4:$AC$83,$AK335),"yyyy-mm-dd"),""))</f>
        <v/>
      </c>
    </row>
    <row r="336">
      <c r="A336" s="10">
        <f>IF(B336="","",ROW()-1)</f>
        <v/>
      </c>
      <c r="B336" s="18" t="n"/>
      <c r="C336" s="10">
        <f>IF($AB336="","",IF(INDEX(기본자료!$C$2:$C$1001,$AB336)="","",INDEX(기본자료!$C$2:$C$1001,$AB336)))</f>
        <v/>
      </c>
      <c r="D336" s="10">
        <f>IF($AB336="","",IF(INDEX(기본자료!$J$2:$J$1001,$AB336)="","",INDEX(기본자료!$J$2:$J$1001,$AB336)))</f>
        <v/>
      </c>
      <c r="E336" s="11">
        <f>IF($AB336="","",IF(INDEX(기본자료!$K$2:$K$1001,$AB336)="","",IF(NOT(ISNUMBER(INDEX(기본자료!$K$2:$K$1001,$AB336))),INDEX(기본자료!$K$2:$K$1001,$AB336),IF(INDEX(기본자료!$K$2:$K$1001,$AB336)&lt;1000000,INDEX(기본자료!$K$2:$K$1001,$AB336),IF(AND(INDEX(기본자료!$K$2:$K$1001,$AB336)&gt;=10000101,INT(MOD(INDEX(기본자료!$K$2:$K$1001,$AB336),10000)/100)&gt;=1,INT(MOD(INDEX(기본자료!$K$2:$K$1001,$AB336),10000)/100)&lt;=12,MOD(INDEX(기본자료!$K$2:$K$1001,$AB336),100)&gt;=1,MOD(INDEX(기본자료!$K$2:$K$1001,$AB336),100)&lt;=31),DATE(INT(INDEX(기본자료!$K$2:$K$1001,$AB336)/10000),INT(MOD(INDEX(기본자료!$K$2:$K$1001,$AB336),10000)/100),MOD(INDEX(기본자료!$K$2:$K$1001,$AB336),100)),INDEX(기본자료!$K$2:$K$1001,$AB336)&amp;"")))))</f>
        <v/>
      </c>
      <c r="F336" s="10">
        <f>IF($AB336="","",IF(INDEX(기본자료!$D$2:$D$1001,$AB336)="","",INDEX(기본자료!$D$2:$D$1001,$AB336)))</f>
        <v/>
      </c>
      <c r="G336" s="10">
        <f>IF($AB336="","",IF(INDEX(기본자료!$E$2:$E$1001,$AB336)="","",INDEX(기본자료!$E$2:$E$1001,$AB336)))</f>
        <v/>
      </c>
      <c r="H336" s="10">
        <f>IF($AB336="","",IF(INDEX(기본자료!$F$2:$F$1001,$AB336)="","",INDEX(기본자료!$F$2:$F$1001,$AB336)))</f>
        <v/>
      </c>
      <c r="I336" s="11">
        <f>IF($AB336="","",IF(INDEX(기본자료!$G$2:$G$1001,$AB336)="","",IF(NOT(ISNUMBER(INDEX(기본자료!$G$2:$G$1001,$AB336))),INDEX(기본자료!$G$2:$G$1001,$AB336),IF(INDEX(기본자료!$G$2:$G$1001,$AB336)&lt;1000000,INDEX(기본자료!$G$2:$G$1001,$AB336),IF(AND(INDEX(기본자료!$G$2:$G$1001,$AB336)&gt;=10000101,INT(MOD(INDEX(기본자료!$G$2:$G$1001,$AB336),10000)/100)&gt;=1,INT(MOD(INDEX(기본자료!$G$2:$G$1001,$AB336),10000)/100)&lt;=12,MOD(INDEX(기본자료!$G$2:$G$1001,$AB336),100)&gt;=1,MOD(INDEX(기본자료!$G$2:$G$1001,$AB336),100)&lt;=31),DATE(INT(INDEX(기본자료!$G$2:$G$1001,$AB336)/10000),INT(MOD(INDEX(기본자료!$G$2:$G$1001,$AB336),10000)/100),MOD(INDEX(기본자료!$G$2:$G$1001,$AB336),100)),INDEX(기본자료!$G$2:$G$1001,$AB336)&amp;"")))))</f>
        <v/>
      </c>
      <c r="J336" s="10">
        <f>IF($AB336="","",IF(INDEX(기본자료!$H$2:$H$1001,$AB336)="","",INDEX(기본자료!$H$2:$H$1001,$AB336)))</f>
        <v/>
      </c>
      <c r="K336" s="10">
        <f>IF($AB336="","",IF(INDEX(기본자료!$I$2:$I$1001,$AB336)="","",INDEX(기본자료!$I$2:$I$1001,$AB336)))</f>
        <v/>
      </c>
      <c r="L336" s="10">
        <f>IF($AB336="","",IF(INDEX(기본자료!$A$2:$A$1001,$AB336)="","",INDEX(기본자료!$A$2:$A$1001,$AB336)))</f>
        <v/>
      </c>
      <c r="M336" s="15" t="n"/>
      <c r="N336" s="10">
        <f>IF($B336="","",IF(AND($U336="파견중",$Q336&lt;&gt;""),$Q336,IF(AND($AD336&lt;&gt;"",LEFT($AD336,1)&lt;&gt;"⚠"),LEFT($AD336,FIND(" ",$AD336)-1),IF($H336="","",IF(RIGHT($H336,2)="병원",$H336,$H336&amp;"병원")))))</f>
        <v/>
      </c>
      <c r="O336" s="10">
        <f>IF($B336="","",IF(AND($U336="파견중",$Q336&lt;&gt;""),IF($R336&lt;&gt;"",$R336,"파견과 미입력"),IF(AND($AD336&lt;&gt;"",LEFT($AD336,1)&lt;&gt;"⚠"),MID($AD336,FIND(" ",$AD336)+1,60),IF($F336="","",IF($F336="인턴","수련교육부(인턴)",$F336)))))</f>
        <v/>
      </c>
      <c r="P336" s="10">
        <f>IF($B336="","",IF($AK336&lt;&gt;"",IF(AND(TODAY()&gt;=INDEX(파견수련계획!$AB$4:$AB$83,$AK336),OR(NOT(ISNUMBER(INDEX(파견수련계획!$AC$4:$AC$83,$AK336))),TODAY()&lt;=INDEX(파견수련계획!$AC$4:$AC$83,$AK336))),"다기관",IF($AF336="","",INDEX(파견수련계획!$T$4:$T$83,$AF336))),IF($AF336="","",INDEX(파견수련계획!$T$4:$T$83,$AF336))))</f>
        <v/>
      </c>
      <c r="Q336" s="10">
        <f>IF($AF336="","",INDEX(파견수련계획!$S$4:$S$83,$AF336))</f>
        <v/>
      </c>
      <c r="R336" s="10">
        <f>IF($AF336="","",INDEX(파견수련계획!$U$4:$U$83,$AF336))</f>
        <v/>
      </c>
      <c r="S336" s="11">
        <f>IF($AF336="","",IF(INDEX(파견수련계획!$H$4:$H$83,$AF336)="","",INDEX(파견수련계획!$H$4:$H$83,$AF336)))</f>
        <v/>
      </c>
      <c r="T336" s="11">
        <f>IF($AF336="","",IF(INDEX(파견수련계획!$I$4:$I$83,$AF336)="","",INDEX(파견수련계획!$I$4:$I$83,$AF336)))</f>
        <v/>
      </c>
      <c r="U336" s="10">
        <f>IF($AF336="","",INDEX(파견수련계획!$X$4:$X$83,$AF336))</f>
        <v/>
      </c>
      <c r="V336" s="17">
        <f>IF($AF336="","",INDEX(파견수련계획!$V$4:$V$83,$AF336))</f>
        <v/>
      </c>
      <c r="W336" s="17">
        <f>IF(AND($U336="파견중",$T336&lt;&gt;""),$T336-TODAY(),"")</f>
        <v/>
      </c>
      <c r="X336" s="17">
        <f>IF(OR($B336="",TRIM($J336&amp;"")=""),"",SUMPRODUCT((파견수련계획!$Q$4:$Q$83=TRIM($J336&amp;""))*파견수련계획!$W$4:$W$83))</f>
        <v/>
      </c>
      <c r="Y336" s="10">
        <f>IF($B336="","",IF($AG336="","",IF(IF(TRIM($J336&amp;"")="",0,SUMPRODUCT((파견수련계획!$Q$4:$Q$83=TRIM($J336&amp;""))*파견수련계획!$AD$4:$AD$83))&gt;0,$AE336,IF(N($X336)&lt;=0,$AG336,IF($AH336+$AI336=DAY(EOMONTH(요약!$B$3,0)),IF(AND($AH336&gt;=요약!$E$3,$AI336&lt;요약!$E$3),"서울병원",IF(AND($AI336&gt;=요약!$E$3,$AH336&lt;요약!$E$3),"구리병원","⚠15일 판정불가(서울 "&amp;$AH336&amp;"일/구리 "&amp;$AI336&amp;"일)")),IF($AJ336="",$AE336,IF(INDEX(파견수련계획!$T$4:$T$83,$AJ336)="통합수련",INDEX(파견수련계획!$S$4:$S$83,$AJ336),$AE336)))))))</f>
        <v/>
      </c>
      <c r="Z336" s="19">
        <f>IF($B336="","",IF($AB336="","기본자료에 없는 사번",IF(COUNTIF($B$2:$B$401,$B336)&gt;1,"중복 사번",IF($AE336="","소속(입사장소) 입력",IF(IF(TRIM($J336&amp;"")="",0,SUMPRODUCT((파견수련계획!$Q$4:$Q$83=TRIM($J336&amp;""))*(파견수련계획!$AA$4:$AA$83&lt;&gt;"")))&gt;0,"파견수련계획 입력오류 확인",IF(LEFT($Y336,1)="⚠","서울·구리 15일 판정 불가(양쪽 모두 이상/미만)",IF(IF($AC336="",0,N(INDEX(인턴근무계획!$T$3:$T$62,$AC336)))&gt;0,"인턴계획 입력오류 확인",IF(AND($AC336&lt;&gt;"",$U336&lt;&gt;"파견중",$N336&lt;&gt;$AE336),"인턴 타지역 근무: 파견 여부 확인","정상"))))))))</f>
        <v/>
      </c>
      <c r="AA336" s="5" t="n"/>
      <c r="AB336" s="10">
        <f>IF($B336="","",IFERROR(MATCH($B336,기본자료!$B$2:$B$1001,0),IFERROR(MATCH($B336&amp;"",기본자료!$B$2:$B$1001,0),IFERROR(MATCH(VALUE($B336),기본자료!$B$2:$B$1001,0),""))))</f>
        <v/>
      </c>
      <c r="AC336" s="10">
        <f>IF($B336="","",IFERROR(MATCH($B336,인턴근무계획!$D$3:$D$62,0),IFERROR(MATCH($B336&amp;"",인턴근무계획!$D$3:$D$62,0),IFERROR(MATCH(VALUE($B336),인턴근무계획!$D$3:$D$62,0),""))))</f>
        <v/>
      </c>
      <c r="AD336" s="10">
        <f>IF(OR($AC336="",인턴현황!$G$3=""),"",INDEX(인턴근무계획!$M$3:$R$62,$AC336,인턴현황!$G$3)&amp;"")</f>
        <v/>
      </c>
      <c r="AE336" s="10">
        <f>IF($B336="","",IF($M336&lt;&gt;"",$M336,IF($AF336&lt;&gt;"",IF(LEFT(INDEX(파견수련계획!$R$4:$R$83,$AF336),1)&lt;&gt;"⚠",INDEX(파견수련계획!$R$4:$R$83,$AF336),IF($H336="","",IF(RIGHT($H336,2)="병원",$H336,$H336&amp;"병원"))),IF($H336="","",IF(RIGHT($H336,2)="병원",$H336,$H336&amp;"병원")))))</f>
        <v/>
      </c>
      <c r="AF336" s="10">
        <f>IF(OR($B336="",TRIM($J336&amp;"")=""),"",IFERROR(MATCH(TRIM($J336&amp;"")&amp;"|파견중",파견수련계획!$Y$4:$Y$83,0),IFERROR(MATCH(TRIM($J336&amp;"")&amp;"|파견예정",파견수련계획!$Y$4:$Y$83,0),IFERROR(MATCH(TRIM($J336&amp;"")&amp;"|파견종료",파견수련계획!$Y$4:$Y$83,0),""))))</f>
        <v/>
      </c>
      <c r="AG336" s="10">
        <f>IF($B336="","",IF(AND(IF(OR($AC336="",인턴현황!$K$2=""),"",INDEX(인턴근무계획!$M$3:$R$62,$AC336,인턴현황!$K$2)&amp;"")&lt;&gt;"",LEFT(IF(OR($AC336="",인턴현황!$K$2=""),"",INDEX(인턴근무계획!$M$3:$R$62,$AC336,인턴현황!$K$2)&amp;""),1)&lt;&gt;"⚠"),LEFT(IF(OR($AC336="",인턴현황!$K$2=""),"",INDEX(인턴근무계획!$M$3:$R$62,$AC336,인턴현황!$K$2)&amp;""),FIND(" ",IF(OR($AC336="",인턴현황!$K$2=""),"",INDEX(인턴근무계획!$M$3:$R$62,$AC336,인턴현황!$K$2)&amp;""))-1),$AE336))</f>
        <v/>
      </c>
      <c r="AH336" s="17">
        <f>IF($B336="","",IF(TRIM($J336&amp;"")="",0,SUMPRODUCT((파견수련계획!$Q$4:$Q$83=TRIM($J336&amp;""))*(파견수련계획!$S$4:$S$83="서울병원")*파견수련계획!$W$4:$W$83))+IF($AG336="서울병원",MAX(0,DAY(EOMONTH(요약!$B$3,0))-N($X336)),0))</f>
        <v/>
      </c>
      <c r="AI336" s="17">
        <f>IF($B336="","",IF(TRIM($J336&amp;"")="",0,SUMPRODUCT((파견수련계획!$Q$4:$Q$83=TRIM($J336&amp;""))*(파견수련계획!$S$4:$S$83="구리병원")*파견수련계획!$W$4:$W$83))+IF($AG336="구리병원",MAX(0,DAY(EOMONTH(요약!$B$3,0))-N($X336)),0))</f>
        <v/>
      </c>
      <c r="AJ336" s="10">
        <f>IF(OR($B336="",TRIM($J336&amp;"")=""),"",IFERROR(MATCH(TRIM($J336&amp;"")&amp;"|월",파견수련계획!$Z$4:$Z$83,0),""))</f>
        <v/>
      </c>
      <c r="AK336" s="10">
        <f>IF(OR($B336="",TRIM($J336&amp;"")=""),"",IFERROR(MATCH(TRIM($J336&amp;"")&amp;"|다기관",파견수련계획!$AE$4:$AE$83,0),""))</f>
        <v/>
      </c>
      <c r="AL336" s="10">
        <f>IF($AK336="","","다기관 "&amp;TEXT(INDEX(파견수련계획!$AB$4:$AB$83,$AK336),"yyyy-mm-dd")&amp;"~"&amp;IF(ISNUMBER(INDEX(파견수련계획!$AC$4:$AC$83,$AK336)),TEXT(INDEX(파견수련계획!$AC$4:$AC$83,$AK336),"yyyy-mm-dd"),""))</f>
        <v/>
      </c>
    </row>
    <row r="337">
      <c r="A337" s="10">
        <f>IF(B337="","",ROW()-1)</f>
        <v/>
      </c>
      <c r="B337" s="18" t="n"/>
      <c r="C337" s="10">
        <f>IF($AB337="","",IF(INDEX(기본자료!$C$2:$C$1001,$AB337)="","",INDEX(기본자료!$C$2:$C$1001,$AB337)))</f>
        <v/>
      </c>
      <c r="D337" s="10">
        <f>IF($AB337="","",IF(INDEX(기본자료!$J$2:$J$1001,$AB337)="","",INDEX(기본자료!$J$2:$J$1001,$AB337)))</f>
        <v/>
      </c>
      <c r="E337" s="11">
        <f>IF($AB337="","",IF(INDEX(기본자료!$K$2:$K$1001,$AB337)="","",IF(NOT(ISNUMBER(INDEX(기본자료!$K$2:$K$1001,$AB337))),INDEX(기본자료!$K$2:$K$1001,$AB337),IF(INDEX(기본자료!$K$2:$K$1001,$AB337)&lt;1000000,INDEX(기본자료!$K$2:$K$1001,$AB337),IF(AND(INDEX(기본자료!$K$2:$K$1001,$AB337)&gt;=10000101,INT(MOD(INDEX(기본자료!$K$2:$K$1001,$AB337),10000)/100)&gt;=1,INT(MOD(INDEX(기본자료!$K$2:$K$1001,$AB337),10000)/100)&lt;=12,MOD(INDEX(기본자료!$K$2:$K$1001,$AB337),100)&gt;=1,MOD(INDEX(기본자료!$K$2:$K$1001,$AB337),100)&lt;=31),DATE(INT(INDEX(기본자료!$K$2:$K$1001,$AB337)/10000),INT(MOD(INDEX(기본자료!$K$2:$K$1001,$AB337),10000)/100),MOD(INDEX(기본자료!$K$2:$K$1001,$AB337),100)),INDEX(기본자료!$K$2:$K$1001,$AB337)&amp;"")))))</f>
        <v/>
      </c>
      <c r="F337" s="10">
        <f>IF($AB337="","",IF(INDEX(기본자료!$D$2:$D$1001,$AB337)="","",INDEX(기본자료!$D$2:$D$1001,$AB337)))</f>
        <v/>
      </c>
      <c r="G337" s="10">
        <f>IF($AB337="","",IF(INDEX(기본자료!$E$2:$E$1001,$AB337)="","",INDEX(기본자료!$E$2:$E$1001,$AB337)))</f>
        <v/>
      </c>
      <c r="H337" s="10">
        <f>IF($AB337="","",IF(INDEX(기본자료!$F$2:$F$1001,$AB337)="","",INDEX(기본자료!$F$2:$F$1001,$AB337)))</f>
        <v/>
      </c>
      <c r="I337" s="11">
        <f>IF($AB337="","",IF(INDEX(기본자료!$G$2:$G$1001,$AB337)="","",IF(NOT(ISNUMBER(INDEX(기본자료!$G$2:$G$1001,$AB337))),INDEX(기본자료!$G$2:$G$1001,$AB337),IF(INDEX(기본자료!$G$2:$G$1001,$AB337)&lt;1000000,INDEX(기본자료!$G$2:$G$1001,$AB337),IF(AND(INDEX(기본자료!$G$2:$G$1001,$AB337)&gt;=10000101,INT(MOD(INDEX(기본자료!$G$2:$G$1001,$AB337),10000)/100)&gt;=1,INT(MOD(INDEX(기본자료!$G$2:$G$1001,$AB337),10000)/100)&lt;=12,MOD(INDEX(기본자료!$G$2:$G$1001,$AB337),100)&gt;=1,MOD(INDEX(기본자료!$G$2:$G$1001,$AB337),100)&lt;=31),DATE(INT(INDEX(기본자료!$G$2:$G$1001,$AB337)/10000),INT(MOD(INDEX(기본자료!$G$2:$G$1001,$AB337),10000)/100),MOD(INDEX(기본자료!$G$2:$G$1001,$AB337),100)),INDEX(기본자료!$G$2:$G$1001,$AB337)&amp;"")))))</f>
        <v/>
      </c>
      <c r="J337" s="10">
        <f>IF($AB337="","",IF(INDEX(기본자료!$H$2:$H$1001,$AB337)="","",INDEX(기본자료!$H$2:$H$1001,$AB337)))</f>
        <v/>
      </c>
      <c r="K337" s="10">
        <f>IF($AB337="","",IF(INDEX(기본자료!$I$2:$I$1001,$AB337)="","",INDEX(기본자료!$I$2:$I$1001,$AB337)))</f>
        <v/>
      </c>
      <c r="L337" s="10">
        <f>IF($AB337="","",IF(INDEX(기본자료!$A$2:$A$1001,$AB337)="","",INDEX(기본자료!$A$2:$A$1001,$AB337)))</f>
        <v/>
      </c>
      <c r="M337" s="15" t="n"/>
      <c r="N337" s="10">
        <f>IF($B337="","",IF(AND($U337="파견중",$Q337&lt;&gt;""),$Q337,IF(AND($AD337&lt;&gt;"",LEFT($AD337,1)&lt;&gt;"⚠"),LEFT($AD337,FIND(" ",$AD337)-1),IF($H337="","",IF(RIGHT($H337,2)="병원",$H337,$H337&amp;"병원")))))</f>
        <v/>
      </c>
      <c r="O337" s="10">
        <f>IF($B337="","",IF(AND($U337="파견중",$Q337&lt;&gt;""),IF($R337&lt;&gt;"",$R337,"파견과 미입력"),IF(AND($AD337&lt;&gt;"",LEFT($AD337,1)&lt;&gt;"⚠"),MID($AD337,FIND(" ",$AD337)+1,60),IF($F337="","",IF($F337="인턴","수련교육부(인턴)",$F337)))))</f>
        <v/>
      </c>
      <c r="P337" s="10">
        <f>IF($B337="","",IF($AK337&lt;&gt;"",IF(AND(TODAY()&gt;=INDEX(파견수련계획!$AB$4:$AB$83,$AK337),OR(NOT(ISNUMBER(INDEX(파견수련계획!$AC$4:$AC$83,$AK337))),TODAY()&lt;=INDEX(파견수련계획!$AC$4:$AC$83,$AK337))),"다기관",IF($AF337="","",INDEX(파견수련계획!$T$4:$T$83,$AF337))),IF($AF337="","",INDEX(파견수련계획!$T$4:$T$83,$AF337))))</f>
        <v/>
      </c>
      <c r="Q337" s="10">
        <f>IF($AF337="","",INDEX(파견수련계획!$S$4:$S$83,$AF337))</f>
        <v/>
      </c>
      <c r="R337" s="10">
        <f>IF($AF337="","",INDEX(파견수련계획!$U$4:$U$83,$AF337))</f>
        <v/>
      </c>
      <c r="S337" s="11">
        <f>IF($AF337="","",IF(INDEX(파견수련계획!$H$4:$H$83,$AF337)="","",INDEX(파견수련계획!$H$4:$H$83,$AF337)))</f>
        <v/>
      </c>
      <c r="T337" s="11">
        <f>IF($AF337="","",IF(INDEX(파견수련계획!$I$4:$I$83,$AF337)="","",INDEX(파견수련계획!$I$4:$I$83,$AF337)))</f>
        <v/>
      </c>
      <c r="U337" s="10">
        <f>IF($AF337="","",INDEX(파견수련계획!$X$4:$X$83,$AF337))</f>
        <v/>
      </c>
      <c r="V337" s="17">
        <f>IF($AF337="","",INDEX(파견수련계획!$V$4:$V$83,$AF337))</f>
        <v/>
      </c>
      <c r="W337" s="17">
        <f>IF(AND($U337="파견중",$T337&lt;&gt;""),$T337-TODAY(),"")</f>
        <v/>
      </c>
      <c r="X337" s="17">
        <f>IF(OR($B337="",TRIM($J337&amp;"")=""),"",SUMPRODUCT((파견수련계획!$Q$4:$Q$83=TRIM($J337&amp;""))*파견수련계획!$W$4:$W$83))</f>
        <v/>
      </c>
      <c r="Y337" s="10">
        <f>IF($B337="","",IF($AG337="","",IF(IF(TRIM($J337&amp;"")="",0,SUMPRODUCT((파견수련계획!$Q$4:$Q$83=TRIM($J337&amp;""))*파견수련계획!$AD$4:$AD$83))&gt;0,$AE337,IF(N($X337)&lt;=0,$AG337,IF($AH337+$AI337=DAY(EOMONTH(요약!$B$3,0)),IF(AND($AH337&gt;=요약!$E$3,$AI337&lt;요약!$E$3),"서울병원",IF(AND($AI337&gt;=요약!$E$3,$AH337&lt;요약!$E$3),"구리병원","⚠15일 판정불가(서울 "&amp;$AH337&amp;"일/구리 "&amp;$AI337&amp;"일)")),IF($AJ337="",$AE337,IF(INDEX(파견수련계획!$T$4:$T$83,$AJ337)="통합수련",INDEX(파견수련계획!$S$4:$S$83,$AJ337),$AE337)))))))</f>
        <v/>
      </c>
      <c r="Z337" s="19">
        <f>IF($B337="","",IF($AB337="","기본자료에 없는 사번",IF(COUNTIF($B$2:$B$401,$B337)&gt;1,"중복 사번",IF($AE337="","소속(입사장소) 입력",IF(IF(TRIM($J337&amp;"")="",0,SUMPRODUCT((파견수련계획!$Q$4:$Q$83=TRIM($J337&amp;""))*(파견수련계획!$AA$4:$AA$83&lt;&gt;"")))&gt;0,"파견수련계획 입력오류 확인",IF(LEFT($Y337,1)="⚠","서울·구리 15일 판정 불가(양쪽 모두 이상/미만)",IF(IF($AC337="",0,N(INDEX(인턴근무계획!$T$3:$T$62,$AC337)))&gt;0,"인턴계획 입력오류 확인",IF(AND($AC337&lt;&gt;"",$U337&lt;&gt;"파견중",$N337&lt;&gt;$AE337),"인턴 타지역 근무: 파견 여부 확인","정상"))))))))</f>
        <v/>
      </c>
      <c r="AA337" s="5" t="n"/>
      <c r="AB337" s="10">
        <f>IF($B337="","",IFERROR(MATCH($B337,기본자료!$B$2:$B$1001,0),IFERROR(MATCH($B337&amp;"",기본자료!$B$2:$B$1001,0),IFERROR(MATCH(VALUE($B337),기본자료!$B$2:$B$1001,0),""))))</f>
        <v/>
      </c>
      <c r="AC337" s="10">
        <f>IF($B337="","",IFERROR(MATCH($B337,인턴근무계획!$D$3:$D$62,0),IFERROR(MATCH($B337&amp;"",인턴근무계획!$D$3:$D$62,0),IFERROR(MATCH(VALUE($B337),인턴근무계획!$D$3:$D$62,0),""))))</f>
        <v/>
      </c>
      <c r="AD337" s="10">
        <f>IF(OR($AC337="",인턴현황!$G$3=""),"",INDEX(인턴근무계획!$M$3:$R$62,$AC337,인턴현황!$G$3)&amp;"")</f>
        <v/>
      </c>
      <c r="AE337" s="10">
        <f>IF($B337="","",IF($M337&lt;&gt;"",$M337,IF($AF337&lt;&gt;"",IF(LEFT(INDEX(파견수련계획!$R$4:$R$83,$AF337),1)&lt;&gt;"⚠",INDEX(파견수련계획!$R$4:$R$83,$AF337),IF($H337="","",IF(RIGHT($H337,2)="병원",$H337,$H337&amp;"병원"))),IF($H337="","",IF(RIGHT($H337,2)="병원",$H337,$H337&amp;"병원")))))</f>
        <v/>
      </c>
      <c r="AF337" s="10">
        <f>IF(OR($B337="",TRIM($J337&amp;"")=""),"",IFERROR(MATCH(TRIM($J337&amp;"")&amp;"|파견중",파견수련계획!$Y$4:$Y$83,0),IFERROR(MATCH(TRIM($J337&amp;"")&amp;"|파견예정",파견수련계획!$Y$4:$Y$83,0),IFERROR(MATCH(TRIM($J337&amp;"")&amp;"|파견종료",파견수련계획!$Y$4:$Y$83,0),""))))</f>
        <v/>
      </c>
      <c r="AG337" s="10">
        <f>IF($B337="","",IF(AND(IF(OR($AC337="",인턴현황!$K$2=""),"",INDEX(인턴근무계획!$M$3:$R$62,$AC337,인턴현황!$K$2)&amp;"")&lt;&gt;"",LEFT(IF(OR($AC337="",인턴현황!$K$2=""),"",INDEX(인턴근무계획!$M$3:$R$62,$AC337,인턴현황!$K$2)&amp;""),1)&lt;&gt;"⚠"),LEFT(IF(OR($AC337="",인턴현황!$K$2=""),"",INDEX(인턴근무계획!$M$3:$R$62,$AC337,인턴현황!$K$2)&amp;""),FIND(" ",IF(OR($AC337="",인턴현황!$K$2=""),"",INDEX(인턴근무계획!$M$3:$R$62,$AC337,인턴현황!$K$2)&amp;""))-1),$AE337))</f>
        <v/>
      </c>
      <c r="AH337" s="17">
        <f>IF($B337="","",IF(TRIM($J337&amp;"")="",0,SUMPRODUCT((파견수련계획!$Q$4:$Q$83=TRIM($J337&amp;""))*(파견수련계획!$S$4:$S$83="서울병원")*파견수련계획!$W$4:$W$83))+IF($AG337="서울병원",MAX(0,DAY(EOMONTH(요약!$B$3,0))-N($X337)),0))</f>
        <v/>
      </c>
      <c r="AI337" s="17">
        <f>IF($B337="","",IF(TRIM($J337&amp;"")="",0,SUMPRODUCT((파견수련계획!$Q$4:$Q$83=TRIM($J337&amp;""))*(파견수련계획!$S$4:$S$83="구리병원")*파견수련계획!$W$4:$W$83))+IF($AG337="구리병원",MAX(0,DAY(EOMONTH(요약!$B$3,0))-N($X337)),0))</f>
        <v/>
      </c>
      <c r="AJ337" s="10">
        <f>IF(OR($B337="",TRIM($J337&amp;"")=""),"",IFERROR(MATCH(TRIM($J337&amp;"")&amp;"|월",파견수련계획!$Z$4:$Z$83,0),""))</f>
        <v/>
      </c>
      <c r="AK337" s="10">
        <f>IF(OR($B337="",TRIM($J337&amp;"")=""),"",IFERROR(MATCH(TRIM($J337&amp;"")&amp;"|다기관",파견수련계획!$AE$4:$AE$83,0),""))</f>
        <v/>
      </c>
      <c r="AL337" s="10">
        <f>IF($AK337="","","다기관 "&amp;TEXT(INDEX(파견수련계획!$AB$4:$AB$83,$AK337),"yyyy-mm-dd")&amp;"~"&amp;IF(ISNUMBER(INDEX(파견수련계획!$AC$4:$AC$83,$AK337)),TEXT(INDEX(파견수련계획!$AC$4:$AC$83,$AK337),"yyyy-mm-dd"),""))</f>
        <v/>
      </c>
    </row>
    <row r="338">
      <c r="A338" s="10">
        <f>IF(B338="","",ROW()-1)</f>
        <v/>
      </c>
      <c r="B338" s="18" t="n"/>
      <c r="C338" s="10">
        <f>IF($AB338="","",IF(INDEX(기본자료!$C$2:$C$1001,$AB338)="","",INDEX(기본자료!$C$2:$C$1001,$AB338)))</f>
        <v/>
      </c>
      <c r="D338" s="10">
        <f>IF($AB338="","",IF(INDEX(기본자료!$J$2:$J$1001,$AB338)="","",INDEX(기본자료!$J$2:$J$1001,$AB338)))</f>
        <v/>
      </c>
      <c r="E338" s="11">
        <f>IF($AB338="","",IF(INDEX(기본자료!$K$2:$K$1001,$AB338)="","",IF(NOT(ISNUMBER(INDEX(기본자료!$K$2:$K$1001,$AB338))),INDEX(기본자료!$K$2:$K$1001,$AB338),IF(INDEX(기본자료!$K$2:$K$1001,$AB338)&lt;1000000,INDEX(기본자료!$K$2:$K$1001,$AB338),IF(AND(INDEX(기본자료!$K$2:$K$1001,$AB338)&gt;=10000101,INT(MOD(INDEX(기본자료!$K$2:$K$1001,$AB338),10000)/100)&gt;=1,INT(MOD(INDEX(기본자료!$K$2:$K$1001,$AB338),10000)/100)&lt;=12,MOD(INDEX(기본자료!$K$2:$K$1001,$AB338),100)&gt;=1,MOD(INDEX(기본자료!$K$2:$K$1001,$AB338),100)&lt;=31),DATE(INT(INDEX(기본자료!$K$2:$K$1001,$AB338)/10000),INT(MOD(INDEX(기본자료!$K$2:$K$1001,$AB338),10000)/100),MOD(INDEX(기본자료!$K$2:$K$1001,$AB338),100)),INDEX(기본자료!$K$2:$K$1001,$AB338)&amp;"")))))</f>
        <v/>
      </c>
      <c r="F338" s="10">
        <f>IF($AB338="","",IF(INDEX(기본자료!$D$2:$D$1001,$AB338)="","",INDEX(기본자료!$D$2:$D$1001,$AB338)))</f>
        <v/>
      </c>
      <c r="G338" s="10">
        <f>IF($AB338="","",IF(INDEX(기본자료!$E$2:$E$1001,$AB338)="","",INDEX(기본자료!$E$2:$E$1001,$AB338)))</f>
        <v/>
      </c>
      <c r="H338" s="10">
        <f>IF($AB338="","",IF(INDEX(기본자료!$F$2:$F$1001,$AB338)="","",INDEX(기본자료!$F$2:$F$1001,$AB338)))</f>
        <v/>
      </c>
      <c r="I338" s="11">
        <f>IF($AB338="","",IF(INDEX(기본자료!$G$2:$G$1001,$AB338)="","",IF(NOT(ISNUMBER(INDEX(기본자료!$G$2:$G$1001,$AB338))),INDEX(기본자료!$G$2:$G$1001,$AB338),IF(INDEX(기본자료!$G$2:$G$1001,$AB338)&lt;1000000,INDEX(기본자료!$G$2:$G$1001,$AB338),IF(AND(INDEX(기본자료!$G$2:$G$1001,$AB338)&gt;=10000101,INT(MOD(INDEX(기본자료!$G$2:$G$1001,$AB338),10000)/100)&gt;=1,INT(MOD(INDEX(기본자료!$G$2:$G$1001,$AB338),10000)/100)&lt;=12,MOD(INDEX(기본자료!$G$2:$G$1001,$AB338),100)&gt;=1,MOD(INDEX(기본자료!$G$2:$G$1001,$AB338),100)&lt;=31),DATE(INT(INDEX(기본자료!$G$2:$G$1001,$AB338)/10000),INT(MOD(INDEX(기본자료!$G$2:$G$1001,$AB338),10000)/100),MOD(INDEX(기본자료!$G$2:$G$1001,$AB338),100)),INDEX(기본자료!$G$2:$G$1001,$AB338)&amp;"")))))</f>
        <v/>
      </c>
      <c r="J338" s="10">
        <f>IF($AB338="","",IF(INDEX(기본자료!$H$2:$H$1001,$AB338)="","",INDEX(기본자료!$H$2:$H$1001,$AB338)))</f>
        <v/>
      </c>
      <c r="K338" s="10">
        <f>IF($AB338="","",IF(INDEX(기본자료!$I$2:$I$1001,$AB338)="","",INDEX(기본자료!$I$2:$I$1001,$AB338)))</f>
        <v/>
      </c>
      <c r="L338" s="10">
        <f>IF($AB338="","",IF(INDEX(기본자료!$A$2:$A$1001,$AB338)="","",INDEX(기본자료!$A$2:$A$1001,$AB338)))</f>
        <v/>
      </c>
      <c r="M338" s="15" t="n"/>
      <c r="N338" s="10">
        <f>IF($B338="","",IF(AND($U338="파견중",$Q338&lt;&gt;""),$Q338,IF(AND($AD338&lt;&gt;"",LEFT($AD338,1)&lt;&gt;"⚠"),LEFT($AD338,FIND(" ",$AD338)-1),IF($H338="","",IF(RIGHT($H338,2)="병원",$H338,$H338&amp;"병원")))))</f>
        <v/>
      </c>
      <c r="O338" s="10">
        <f>IF($B338="","",IF(AND($U338="파견중",$Q338&lt;&gt;""),IF($R338&lt;&gt;"",$R338,"파견과 미입력"),IF(AND($AD338&lt;&gt;"",LEFT($AD338,1)&lt;&gt;"⚠"),MID($AD338,FIND(" ",$AD338)+1,60),IF($F338="","",IF($F338="인턴","수련교육부(인턴)",$F338)))))</f>
        <v/>
      </c>
      <c r="P338" s="10">
        <f>IF($B338="","",IF($AK338&lt;&gt;"",IF(AND(TODAY()&gt;=INDEX(파견수련계획!$AB$4:$AB$83,$AK338),OR(NOT(ISNUMBER(INDEX(파견수련계획!$AC$4:$AC$83,$AK338))),TODAY()&lt;=INDEX(파견수련계획!$AC$4:$AC$83,$AK338))),"다기관",IF($AF338="","",INDEX(파견수련계획!$T$4:$T$83,$AF338))),IF($AF338="","",INDEX(파견수련계획!$T$4:$T$83,$AF338))))</f>
        <v/>
      </c>
      <c r="Q338" s="10">
        <f>IF($AF338="","",INDEX(파견수련계획!$S$4:$S$83,$AF338))</f>
        <v/>
      </c>
      <c r="R338" s="10">
        <f>IF($AF338="","",INDEX(파견수련계획!$U$4:$U$83,$AF338))</f>
        <v/>
      </c>
      <c r="S338" s="11">
        <f>IF($AF338="","",IF(INDEX(파견수련계획!$H$4:$H$83,$AF338)="","",INDEX(파견수련계획!$H$4:$H$83,$AF338)))</f>
        <v/>
      </c>
      <c r="T338" s="11">
        <f>IF($AF338="","",IF(INDEX(파견수련계획!$I$4:$I$83,$AF338)="","",INDEX(파견수련계획!$I$4:$I$83,$AF338)))</f>
        <v/>
      </c>
      <c r="U338" s="10">
        <f>IF($AF338="","",INDEX(파견수련계획!$X$4:$X$83,$AF338))</f>
        <v/>
      </c>
      <c r="V338" s="17">
        <f>IF($AF338="","",INDEX(파견수련계획!$V$4:$V$83,$AF338))</f>
        <v/>
      </c>
      <c r="W338" s="17">
        <f>IF(AND($U338="파견중",$T338&lt;&gt;""),$T338-TODAY(),"")</f>
        <v/>
      </c>
      <c r="X338" s="17">
        <f>IF(OR($B338="",TRIM($J338&amp;"")=""),"",SUMPRODUCT((파견수련계획!$Q$4:$Q$83=TRIM($J338&amp;""))*파견수련계획!$W$4:$W$83))</f>
        <v/>
      </c>
      <c r="Y338" s="10">
        <f>IF($B338="","",IF($AG338="","",IF(IF(TRIM($J338&amp;"")="",0,SUMPRODUCT((파견수련계획!$Q$4:$Q$83=TRIM($J338&amp;""))*파견수련계획!$AD$4:$AD$83))&gt;0,$AE338,IF(N($X338)&lt;=0,$AG338,IF($AH338+$AI338=DAY(EOMONTH(요약!$B$3,0)),IF(AND($AH338&gt;=요약!$E$3,$AI338&lt;요약!$E$3),"서울병원",IF(AND($AI338&gt;=요약!$E$3,$AH338&lt;요약!$E$3),"구리병원","⚠15일 판정불가(서울 "&amp;$AH338&amp;"일/구리 "&amp;$AI338&amp;"일)")),IF($AJ338="",$AE338,IF(INDEX(파견수련계획!$T$4:$T$83,$AJ338)="통합수련",INDEX(파견수련계획!$S$4:$S$83,$AJ338),$AE338)))))))</f>
        <v/>
      </c>
      <c r="Z338" s="19">
        <f>IF($B338="","",IF($AB338="","기본자료에 없는 사번",IF(COUNTIF($B$2:$B$401,$B338)&gt;1,"중복 사번",IF($AE338="","소속(입사장소) 입력",IF(IF(TRIM($J338&amp;"")="",0,SUMPRODUCT((파견수련계획!$Q$4:$Q$83=TRIM($J338&amp;""))*(파견수련계획!$AA$4:$AA$83&lt;&gt;"")))&gt;0,"파견수련계획 입력오류 확인",IF(LEFT($Y338,1)="⚠","서울·구리 15일 판정 불가(양쪽 모두 이상/미만)",IF(IF($AC338="",0,N(INDEX(인턴근무계획!$T$3:$T$62,$AC338)))&gt;0,"인턴계획 입력오류 확인",IF(AND($AC338&lt;&gt;"",$U338&lt;&gt;"파견중",$N338&lt;&gt;$AE338),"인턴 타지역 근무: 파견 여부 확인","정상"))))))))</f>
        <v/>
      </c>
      <c r="AA338" s="5" t="n"/>
      <c r="AB338" s="10">
        <f>IF($B338="","",IFERROR(MATCH($B338,기본자료!$B$2:$B$1001,0),IFERROR(MATCH($B338&amp;"",기본자료!$B$2:$B$1001,0),IFERROR(MATCH(VALUE($B338),기본자료!$B$2:$B$1001,0),""))))</f>
        <v/>
      </c>
      <c r="AC338" s="10">
        <f>IF($B338="","",IFERROR(MATCH($B338,인턴근무계획!$D$3:$D$62,0),IFERROR(MATCH($B338&amp;"",인턴근무계획!$D$3:$D$62,0),IFERROR(MATCH(VALUE($B338),인턴근무계획!$D$3:$D$62,0),""))))</f>
        <v/>
      </c>
      <c r="AD338" s="10">
        <f>IF(OR($AC338="",인턴현황!$G$3=""),"",INDEX(인턴근무계획!$M$3:$R$62,$AC338,인턴현황!$G$3)&amp;"")</f>
        <v/>
      </c>
      <c r="AE338" s="10">
        <f>IF($B338="","",IF($M338&lt;&gt;"",$M338,IF($AF338&lt;&gt;"",IF(LEFT(INDEX(파견수련계획!$R$4:$R$83,$AF338),1)&lt;&gt;"⚠",INDEX(파견수련계획!$R$4:$R$83,$AF338),IF($H338="","",IF(RIGHT($H338,2)="병원",$H338,$H338&amp;"병원"))),IF($H338="","",IF(RIGHT($H338,2)="병원",$H338,$H338&amp;"병원")))))</f>
        <v/>
      </c>
      <c r="AF338" s="10">
        <f>IF(OR($B338="",TRIM($J338&amp;"")=""),"",IFERROR(MATCH(TRIM($J338&amp;"")&amp;"|파견중",파견수련계획!$Y$4:$Y$83,0),IFERROR(MATCH(TRIM($J338&amp;"")&amp;"|파견예정",파견수련계획!$Y$4:$Y$83,0),IFERROR(MATCH(TRIM($J338&amp;"")&amp;"|파견종료",파견수련계획!$Y$4:$Y$83,0),""))))</f>
        <v/>
      </c>
      <c r="AG338" s="10">
        <f>IF($B338="","",IF(AND(IF(OR($AC338="",인턴현황!$K$2=""),"",INDEX(인턴근무계획!$M$3:$R$62,$AC338,인턴현황!$K$2)&amp;"")&lt;&gt;"",LEFT(IF(OR($AC338="",인턴현황!$K$2=""),"",INDEX(인턴근무계획!$M$3:$R$62,$AC338,인턴현황!$K$2)&amp;""),1)&lt;&gt;"⚠"),LEFT(IF(OR($AC338="",인턴현황!$K$2=""),"",INDEX(인턴근무계획!$M$3:$R$62,$AC338,인턴현황!$K$2)&amp;""),FIND(" ",IF(OR($AC338="",인턴현황!$K$2=""),"",INDEX(인턴근무계획!$M$3:$R$62,$AC338,인턴현황!$K$2)&amp;""))-1),$AE338))</f>
        <v/>
      </c>
      <c r="AH338" s="17">
        <f>IF($B338="","",IF(TRIM($J338&amp;"")="",0,SUMPRODUCT((파견수련계획!$Q$4:$Q$83=TRIM($J338&amp;""))*(파견수련계획!$S$4:$S$83="서울병원")*파견수련계획!$W$4:$W$83))+IF($AG338="서울병원",MAX(0,DAY(EOMONTH(요약!$B$3,0))-N($X338)),0))</f>
        <v/>
      </c>
      <c r="AI338" s="17">
        <f>IF($B338="","",IF(TRIM($J338&amp;"")="",0,SUMPRODUCT((파견수련계획!$Q$4:$Q$83=TRIM($J338&amp;""))*(파견수련계획!$S$4:$S$83="구리병원")*파견수련계획!$W$4:$W$83))+IF($AG338="구리병원",MAX(0,DAY(EOMONTH(요약!$B$3,0))-N($X338)),0))</f>
        <v/>
      </c>
      <c r="AJ338" s="10">
        <f>IF(OR($B338="",TRIM($J338&amp;"")=""),"",IFERROR(MATCH(TRIM($J338&amp;"")&amp;"|월",파견수련계획!$Z$4:$Z$83,0),""))</f>
        <v/>
      </c>
      <c r="AK338" s="10">
        <f>IF(OR($B338="",TRIM($J338&amp;"")=""),"",IFERROR(MATCH(TRIM($J338&amp;"")&amp;"|다기관",파견수련계획!$AE$4:$AE$83,0),""))</f>
        <v/>
      </c>
      <c r="AL338" s="10">
        <f>IF($AK338="","","다기관 "&amp;TEXT(INDEX(파견수련계획!$AB$4:$AB$83,$AK338),"yyyy-mm-dd")&amp;"~"&amp;IF(ISNUMBER(INDEX(파견수련계획!$AC$4:$AC$83,$AK338)),TEXT(INDEX(파견수련계획!$AC$4:$AC$83,$AK338),"yyyy-mm-dd"),""))</f>
        <v/>
      </c>
    </row>
    <row r="339">
      <c r="A339" s="10">
        <f>IF(B339="","",ROW()-1)</f>
        <v/>
      </c>
      <c r="B339" s="18" t="n"/>
      <c r="C339" s="10">
        <f>IF($AB339="","",IF(INDEX(기본자료!$C$2:$C$1001,$AB339)="","",INDEX(기본자료!$C$2:$C$1001,$AB339)))</f>
        <v/>
      </c>
      <c r="D339" s="10">
        <f>IF($AB339="","",IF(INDEX(기본자료!$J$2:$J$1001,$AB339)="","",INDEX(기본자료!$J$2:$J$1001,$AB339)))</f>
        <v/>
      </c>
      <c r="E339" s="11">
        <f>IF($AB339="","",IF(INDEX(기본자료!$K$2:$K$1001,$AB339)="","",IF(NOT(ISNUMBER(INDEX(기본자료!$K$2:$K$1001,$AB339))),INDEX(기본자료!$K$2:$K$1001,$AB339),IF(INDEX(기본자료!$K$2:$K$1001,$AB339)&lt;1000000,INDEX(기본자료!$K$2:$K$1001,$AB339),IF(AND(INDEX(기본자료!$K$2:$K$1001,$AB339)&gt;=10000101,INT(MOD(INDEX(기본자료!$K$2:$K$1001,$AB339),10000)/100)&gt;=1,INT(MOD(INDEX(기본자료!$K$2:$K$1001,$AB339),10000)/100)&lt;=12,MOD(INDEX(기본자료!$K$2:$K$1001,$AB339),100)&gt;=1,MOD(INDEX(기본자료!$K$2:$K$1001,$AB339),100)&lt;=31),DATE(INT(INDEX(기본자료!$K$2:$K$1001,$AB339)/10000),INT(MOD(INDEX(기본자료!$K$2:$K$1001,$AB339),10000)/100),MOD(INDEX(기본자료!$K$2:$K$1001,$AB339),100)),INDEX(기본자료!$K$2:$K$1001,$AB339)&amp;"")))))</f>
        <v/>
      </c>
      <c r="F339" s="10">
        <f>IF($AB339="","",IF(INDEX(기본자료!$D$2:$D$1001,$AB339)="","",INDEX(기본자료!$D$2:$D$1001,$AB339)))</f>
        <v/>
      </c>
      <c r="G339" s="10">
        <f>IF($AB339="","",IF(INDEX(기본자료!$E$2:$E$1001,$AB339)="","",INDEX(기본자료!$E$2:$E$1001,$AB339)))</f>
        <v/>
      </c>
      <c r="H339" s="10">
        <f>IF($AB339="","",IF(INDEX(기본자료!$F$2:$F$1001,$AB339)="","",INDEX(기본자료!$F$2:$F$1001,$AB339)))</f>
        <v/>
      </c>
      <c r="I339" s="11">
        <f>IF($AB339="","",IF(INDEX(기본자료!$G$2:$G$1001,$AB339)="","",IF(NOT(ISNUMBER(INDEX(기본자료!$G$2:$G$1001,$AB339))),INDEX(기본자료!$G$2:$G$1001,$AB339),IF(INDEX(기본자료!$G$2:$G$1001,$AB339)&lt;1000000,INDEX(기본자료!$G$2:$G$1001,$AB339),IF(AND(INDEX(기본자료!$G$2:$G$1001,$AB339)&gt;=10000101,INT(MOD(INDEX(기본자료!$G$2:$G$1001,$AB339),10000)/100)&gt;=1,INT(MOD(INDEX(기본자료!$G$2:$G$1001,$AB339),10000)/100)&lt;=12,MOD(INDEX(기본자료!$G$2:$G$1001,$AB339),100)&gt;=1,MOD(INDEX(기본자료!$G$2:$G$1001,$AB339),100)&lt;=31),DATE(INT(INDEX(기본자료!$G$2:$G$1001,$AB339)/10000),INT(MOD(INDEX(기본자료!$G$2:$G$1001,$AB339),10000)/100),MOD(INDEX(기본자료!$G$2:$G$1001,$AB339),100)),INDEX(기본자료!$G$2:$G$1001,$AB339)&amp;"")))))</f>
        <v/>
      </c>
      <c r="J339" s="10">
        <f>IF($AB339="","",IF(INDEX(기본자료!$H$2:$H$1001,$AB339)="","",INDEX(기본자료!$H$2:$H$1001,$AB339)))</f>
        <v/>
      </c>
      <c r="K339" s="10">
        <f>IF($AB339="","",IF(INDEX(기본자료!$I$2:$I$1001,$AB339)="","",INDEX(기본자료!$I$2:$I$1001,$AB339)))</f>
        <v/>
      </c>
      <c r="L339" s="10">
        <f>IF($AB339="","",IF(INDEX(기본자료!$A$2:$A$1001,$AB339)="","",INDEX(기본자료!$A$2:$A$1001,$AB339)))</f>
        <v/>
      </c>
      <c r="M339" s="15" t="n"/>
      <c r="N339" s="10">
        <f>IF($B339="","",IF(AND($U339="파견중",$Q339&lt;&gt;""),$Q339,IF(AND($AD339&lt;&gt;"",LEFT($AD339,1)&lt;&gt;"⚠"),LEFT($AD339,FIND(" ",$AD339)-1),IF($H339="","",IF(RIGHT($H339,2)="병원",$H339,$H339&amp;"병원")))))</f>
        <v/>
      </c>
      <c r="O339" s="10">
        <f>IF($B339="","",IF(AND($U339="파견중",$Q339&lt;&gt;""),IF($R339&lt;&gt;"",$R339,"파견과 미입력"),IF(AND($AD339&lt;&gt;"",LEFT($AD339,1)&lt;&gt;"⚠"),MID($AD339,FIND(" ",$AD339)+1,60),IF($F339="","",IF($F339="인턴","수련교육부(인턴)",$F339)))))</f>
        <v/>
      </c>
      <c r="P339" s="10">
        <f>IF($B339="","",IF($AK339&lt;&gt;"",IF(AND(TODAY()&gt;=INDEX(파견수련계획!$AB$4:$AB$83,$AK339),OR(NOT(ISNUMBER(INDEX(파견수련계획!$AC$4:$AC$83,$AK339))),TODAY()&lt;=INDEX(파견수련계획!$AC$4:$AC$83,$AK339))),"다기관",IF($AF339="","",INDEX(파견수련계획!$T$4:$T$83,$AF339))),IF($AF339="","",INDEX(파견수련계획!$T$4:$T$83,$AF339))))</f>
        <v/>
      </c>
      <c r="Q339" s="10">
        <f>IF($AF339="","",INDEX(파견수련계획!$S$4:$S$83,$AF339))</f>
        <v/>
      </c>
      <c r="R339" s="10">
        <f>IF($AF339="","",INDEX(파견수련계획!$U$4:$U$83,$AF339))</f>
        <v/>
      </c>
      <c r="S339" s="11">
        <f>IF($AF339="","",IF(INDEX(파견수련계획!$H$4:$H$83,$AF339)="","",INDEX(파견수련계획!$H$4:$H$83,$AF339)))</f>
        <v/>
      </c>
      <c r="T339" s="11">
        <f>IF($AF339="","",IF(INDEX(파견수련계획!$I$4:$I$83,$AF339)="","",INDEX(파견수련계획!$I$4:$I$83,$AF339)))</f>
        <v/>
      </c>
      <c r="U339" s="10">
        <f>IF($AF339="","",INDEX(파견수련계획!$X$4:$X$83,$AF339))</f>
        <v/>
      </c>
      <c r="V339" s="17">
        <f>IF($AF339="","",INDEX(파견수련계획!$V$4:$V$83,$AF339))</f>
        <v/>
      </c>
      <c r="W339" s="17">
        <f>IF(AND($U339="파견중",$T339&lt;&gt;""),$T339-TODAY(),"")</f>
        <v/>
      </c>
      <c r="X339" s="17">
        <f>IF(OR($B339="",TRIM($J339&amp;"")=""),"",SUMPRODUCT((파견수련계획!$Q$4:$Q$83=TRIM($J339&amp;""))*파견수련계획!$W$4:$W$83))</f>
        <v/>
      </c>
      <c r="Y339" s="10">
        <f>IF($B339="","",IF($AG339="","",IF(IF(TRIM($J339&amp;"")="",0,SUMPRODUCT((파견수련계획!$Q$4:$Q$83=TRIM($J339&amp;""))*파견수련계획!$AD$4:$AD$83))&gt;0,$AE339,IF(N($X339)&lt;=0,$AG339,IF($AH339+$AI339=DAY(EOMONTH(요약!$B$3,0)),IF(AND($AH339&gt;=요약!$E$3,$AI339&lt;요약!$E$3),"서울병원",IF(AND($AI339&gt;=요약!$E$3,$AH339&lt;요약!$E$3),"구리병원","⚠15일 판정불가(서울 "&amp;$AH339&amp;"일/구리 "&amp;$AI339&amp;"일)")),IF($AJ339="",$AE339,IF(INDEX(파견수련계획!$T$4:$T$83,$AJ339)="통합수련",INDEX(파견수련계획!$S$4:$S$83,$AJ339),$AE339)))))))</f>
        <v/>
      </c>
      <c r="Z339" s="19">
        <f>IF($B339="","",IF($AB339="","기본자료에 없는 사번",IF(COUNTIF($B$2:$B$401,$B339)&gt;1,"중복 사번",IF($AE339="","소속(입사장소) 입력",IF(IF(TRIM($J339&amp;"")="",0,SUMPRODUCT((파견수련계획!$Q$4:$Q$83=TRIM($J339&amp;""))*(파견수련계획!$AA$4:$AA$83&lt;&gt;"")))&gt;0,"파견수련계획 입력오류 확인",IF(LEFT($Y339,1)="⚠","서울·구리 15일 판정 불가(양쪽 모두 이상/미만)",IF(IF($AC339="",0,N(INDEX(인턴근무계획!$T$3:$T$62,$AC339)))&gt;0,"인턴계획 입력오류 확인",IF(AND($AC339&lt;&gt;"",$U339&lt;&gt;"파견중",$N339&lt;&gt;$AE339),"인턴 타지역 근무: 파견 여부 확인","정상"))))))))</f>
        <v/>
      </c>
      <c r="AA339" s="5" t="n"/>
      <c r="AB339" s="10">
        <f>IF($B339="","",IFERROR(MATCH($B339,기본자료!$B$2:$B$1001,0),IFERROR(MATCH($B339&amp;"",기본자료!$B$2:$B$1001,0),IFERROR(MATCH(VALUE($B339),기본자료!$B$2:$B$1001,0),""))))</f>
        <v/>
      </c>
      <c r="AC339" s="10">
        <f>IF($B339="","",IFERROR(MATCH($B339,인턴근무계획!$D$3:$D$62,0),IFERROR(MATCH($B339&amp;"",인턴근무계획!$D$3:$D$62,0),IFERROR(MATCH(VALUE($B339),인턴근무계획!$D$3:$D$62,0),""))))</f>
        <v/>
      </c>
      <c r="AD339" s="10">
        <f>IF(OR($AC339="",인턴현황!$G$3=""),"",INDEX(인턴근무계획!$M$3:$R$62,$AC339,인턴현황!$G$3)&amp;"")</f>
        <v/>
      </c>
      <c r="AE339" s="10">
        <f>IF($B339="","",IF($M339&lt;&gt;"",$M339,IF($AF339&lt;&gt;"",IF(LEFT(INDEX(파견수련계획!$R$4:$R$83,$AF339),1)&lt;&gt;"⚠",INDEX(파견수련계획!$R$4:$R$83,$AF339),IF($H339="","",IF(RIGHT($H339,2)="병원",$H339,$H339&amp;"병원"))),IF($H339="","",IF(RIGHT($H339,2)="병원",$H339,$H339&amp;"병원")))))</f>
        <v/>
      </c>
      <c r="AF339" s="10">
        <f>IF(OR($B339="",TRIM($J339&amp;"")=""),"",IFERROR(MATCH(TRIM($J339&amp;"")&amp;"|파견중",파견수련계획!$Y$4:$Y$83,0),IFERROR(MATCH(TRIM($J339&amp;"")&amp;"|파견예정",파견수련계획!$Y$4:$Y$83,0),IFERROR(MATCH(TRIM($J339&amp;"")&amp;"|파견종료",파견수련계획!$Y$4:$Y$83,0),""))))</f>
        <v/>
      </c>
      <c r="AG339" s="10">
        <f>IF($B339="","",IF(AND(IF(OR($AC339="",인턴현황!$K$2=""),"",INDEX(인턴근무계획!$M$3:$R$62,$AC339,인턴현황!$K$2)&amp;"")&lt;&gt;"",LEFT(IF(OR($AC339="",인턴현황!$K$2=""),"",INDEX(인턴근무계획!$M$3:$R$62,$AC339,인턴현황!$K$2)&amp;""),1)&lt;&gt;"⚠"),LEFT(IF(OR($AC339="",인턴현황!$K$2=""),"",INDEX(인턴근무계획!$M$3:$R$62,$AC339,인턴현황!$K$2)&amp;""),FIND(" ",IF(OR($AC339="",인턴현황!$K$2=""),"",INDEX(인턴근무계획!$M$3:$R$62,$AC339,인턴현황!$K$2)&amp;""))-1),$AE339))</f>
        <v/>
      </c>
      <c r="AH339" s="17">
        <f>IF($B339="","",IF(TRIM($J339&amp;"")="",0,SUMPRODUCT((파견수련계획!$Q$4:$Q$83=TRIM($J339&amp;""))*(파견수련계획!$S$4:$S$83="서울병원")*파견수련계획!$W$4:$W$83))+IF($AG339="서울병원",MAX(0,DAY(EOMONTH(요약!$B$3,0))-N($X339)),0))</f>
        <v/>
      </c>
      <c r="AI339" s="17">
        <f>IF($B339="","",IF(TRIM($J339&amp;"")="",0,SUMPRODUCT((파견수련계획!$Q$4:$Q$83=TRIM($J339&amp;""))*(파견수련계획!$S$4:$S$83="구리병원")*파견수련계획!$W$4:$W$83))+IF($AG339="구리병원",MAX(0,DAY(EOMONTH(요약!$B$3,0))-N($X339)),0))</f>
        <v/>
      </c>
      <c r="AJ339" s="10">
        <f>IF(OR($B339="",TRIM($J339&amp;"")=""),"",IFERROR(MATCH(TRIM($J339&amp;"")&amp;"|월",파견수련계획!$Z$4:$Z$83,0),""))</f>
        <v/>
      </c>
      <c r="AK339" s="10">
        <f>IF(OR($B339="",TRIM($J339&amp;"")=""),"",IFERROR(MATCH(TRIM($J339&amp;"")&amp;"|다기관",파견수련계획!$AE$4:$AE$83,0),""))</f>
        <v/>
      </c>
      <c r="AL339" s="10">
        <f>IF($AK339="","","다기관 "&amp;TEXT(INDEX(파견수련계획!$AB$4:$AB$83,$AK339),"yyyy-mm-dd")&amp;"~"&amp;IF(ISNUMBER(INDEX(파견수련계획!$AC$4:$AC$83,$AK339)),TEXT(INDEX(파견수련계획!$AC$4:$AC$83,$AK339),"yyyy-mm-dd"),""))</f>
        <v/>
      </c>
    </row>
    <row r="340">
      <c r="A340" s="10">
        <f>IF(B340="","",ROW()-1)</f>
        <v/>
      </c>
      <c r="B340" s="18" t="n"/>
      <c r="C340" s="10">
        <f>IF($AB340="","",IF(INDEX(기본자료!$C$2:$C$1001,$AB340)="","",INDEX(기본자료!$C$2:$C$1001,$AB340)))</f>
        <v/>
      </c>
      <c r="D340" s="10">
        <f>IF($AB340="","",IF(INDEX(기본자료!$J$2:$J$1001,$AB340)="","",INDEX(기본자료!$J$2:$J$1001,$AB340)))</f>
        <v/>
      </c>
      <c r="E340" s="11">
        <f>IF($AB340="","",IF(INDEX(기본자료!$K$2:$K$1001,$AB340)="","",IF(NOT(ISNUMBER(INDEX(기본자료!$K$2:$K$1001,$AB340))),INDEX(기본자료!$K$2:$K$1001,$AB340),IF(INDEX(기본자료!$K$2:$K$1001,$AB340)&lt;1000000,INDEX(기본자료!$K$2:$K$1001,$AB340),IF(AND(INDEX(기본자료!$K$2:$K$1001,$AB340)&gt;=10000101,INT(MOD(INDEX(기본자료!$K$2:$K$1001,$AB340),10000)/100)&gt;=1,INT(MOD(INDEX(기본자료!$K$2:$K$1001,$AB340),10000)/100)&lt;=12,MOD(INDEX(기본자료!$K$2:$K$1001,$AB340),100)&gt;=1,MOD(INDEX(기본자료!$K$2:$K$1001,$AB340),100)&lt;=31),DATE(INT(INDEX(기본자료!$K$2:$K$1001,$AB340)/10000),INT(MOD(INDEX(기본자료!$K$2:$K$1001,$AB340),10000)/100),MOD(INDEX(기본자료!$K$2:$K$1001,$AB340),100)),INDEX(기본자료!$K$2:$K$1001,$AB340)&amp;"")))))</f>
        <v/>
      </c>
      <c r="F340" s="10">
        <f>IF($AB340="","",IF(INDEX(기본자료!$D$2:$D$1001,$AB340)="","",INDEX(기본자료!$D$2:$D$1001,$AB340)))</f>
        <v/>
      </c>
      <c r="G340" s="10">
        <f>IF($AB340="","",IF(INDEX(기본자료!$E$2:$E$1001,$AB340)="","",INDEX(기본자료!$E$2:$E$1001,$AB340)))</f>
        <v/>
      </c>
      <c r="H340" s="10">
        <f>IF($AB340="","",IF(INDEX(기본자료!$F$2:$F$1001,$AB340)="","",INDEX(기본자료!$F$2:$F$1001,$AB340)))</f>
        <v/>
      </c>
      <c r="I340" s="11">
        <f>IF($AB340="","",IF(INDEX(기본자료!$G$2:$G$1001,$AB340)="","",IF(NOT(ISNUMBER(INDEX(기본자료!$G$2:$G$1001,$AB340))),INDEX(기본자료!$G$2:$G$1001,$AB340),IF(INDEX(기본자료!$G$2:$G$1001,$AB340)&lt;1000000,INDEX(기본자료!$G$2:$G$1001,$AB340),IF(AND(INDEX(기본자료!$G$2:$G$1001,$AB340)&gt;=10000101,INT(MOD(INDEX(기본자료!$G$2:$G$1001,$AB340),10000)/100)&gt;=1,INT(MOD(INDEX(기본자료!$G$2:$G$1001,$AB340),10000)/100)&lt;=12,MOD(INDEX(기본자료!$G$2:$G$1001,$AB340),100)&gt;=1,MOD(INDEX(기본자료!$G$2:$G$1001,$AB340),100)&lt;=31),DATE(INT(INDEX(기본자료!$G$2:$G$1001,$AB340)/10000),INT(MOD(INDEX(기본자료!$G$2:$G$1001,$AB340),10000)/100),MOD(INDEX(기본자료!$G$2:$G$1001,$AB340),100)),INDEX(기본자료!$G$2:$G$1001,$AB340)&amp;"")))))</f>
        <v/>
      </c>
      <c r="J340" s="10">
        <f>IF($AB340="","",IF(INDEX(기본자료!$H$2:$H$1001,$AB340)="","",INDEX(기본자료!$H$2:$H$1001,$AB340)))</f>
        <v/>
      </c>
      <c r="K340" s="10">
        <f>IF($AB340="","",IF(INDEX(기본자료!$I$2:$I$1001,$AB340)="","",INDEX(기본자료!$I$2:$I$1001,$AB340)))</f>
        <v/>
      </c>
      <c r="L340" s="10">
        <f>IF($AB340="","",IF(INDEX(기본자료!$A$2:$A$1001,$AB340)="","",INDEX(기본자료!$A$2:$A$1001,$AB340)))</f>
        <v/>
      </c>
      <c r="M340" s="15" t="n"/>
      <c r="N340" s="10">
        <f>IF($B340="","",IF(AND($U340="파견중",$Q340&lt;&gt;""),$Q340,IF(AND($AD340&lt;&gt;"",LEFT($AD340,1)&lt;&gt;"⚠"),LEFT($AD340,FIND(" ",$AD340)-1),IF($H340="","",IF(RIGHT($H340,2)="병원",$H340,$H340&amp;"병원")))))</f>
        <v/>
      </c>
      <c r="O340" s="10">
        <f>IF($B340="","",IF(AND($U340="파견중",$Q340&lt;&gt;""),IF($R340&lt;&gt;"",$R340,"파견과 미입력"),IF(AND($AD340&lt;&gt;"",LEFT($AD340,1)&lt;&gt;"⚠"),MID($AD340,FIND(" ",$AD340)+1,60),IF($F340="","",IF($F340="인턴","수련교육부(인턴)",$F340)))))</f>
        <v/>
      </c>
      <c r="P340" s="10">
        <f>IF($B340="","",IF($AK340&lt;&gt;"",IF(AND(TODAY()&gt;=INDEX(파견수련계획!$AB$4:$AB$83,$AK340),OR(NOT(ISNUMBER(INDEX(파견수련계획!$AC$4:$AC$83,$AK340))),TODAY()&lt;=INDEX(파견수련계획!$AC$4:$AC$83,$AK340))),"다기관",IF($AF340="","",INDEX(파견수련계획!$T$4:$T$83,$AF340))),IF($AF340="","",INDEX(파견수련계획!$T$4:$T$83,$AF340))))</f>
        <v/>
      </c>
      <c r="Q340" s="10">
        <f>IF($AF340="","",INDEX(파견수련계획!$S$4:$S$83,$AF340))</f>
        <v/>
      </c>
      <c r="R340" s="10">
        <f>IF($AF340="","",INDEX(파견수련계획!$U$4:$U$83,$AF340))</f>
        <v/>
      </c>
      <c r="S340" s="11">
        <f>IF($AF340="","",IF(INDEX(파견수련계획!$H$4:$H$83,$AF340)="","",INDEX(파견수련계획!$H$4:$H$83,$AF340)))</f>
        <v/>
      </c>
      <c r="T340" s="11">
        <f>IF($AF340="","",IF(INDEX(파견수련계획!$I$4:$I$83,$AF340)="","",INDEX(파견수련계획!$I$4:$I$83,$AF340)))</f>
        <v/>
      </c>
      <c r="U340" s="10">
        <f>IF($AF340="","",INDEX(파견수련계획!$X$4:$X$83,$AF340))</f>
        <v/>
      </c>
      <c r="V340" s="17">
        <f>IF($AF340="","",INDEX(파견수련계획!$V$4:$V$83,$AF340))</f>
        <v/>
      </c>
      <c r="W340" s="17">
        <f>IF(AND($U340="파견중",$T340&lt;&gt;""),$T340-TODAY(),"")</f>
        <v/>
      </c>
      <c r="X340" s="17">
        <f>IF(OR($B340="",TRIM($J340&amp;"")=""),"",SUMPRODUCT((파견수련계획!$Q$4:$Q$83=TRIM($J340&amp;""))*파견수련계획!$W$4:$W$83))</f>
        <v/>
      </c>
      <c r="Y340" s="10">
        <f>IF($B340="","",IF($AG340="","",IF(IF(TRIM($J340&amp;"")="",0,SUMPRODUCT((파견수련계획!$Q$4:$Q$83=TRIM($J340&amp;""))*파견수련계획!$AD$4:$AD$83))&gt;0,$AE340,IF(N($X340)&lt;=0,$AG340,IF($AH340+$AI340=DAY(EOMONTH(요약!$B$3,0)),IF(AND($AH340&gt;=요약!$E$3,$AI340&lt;요약!$E$3),"서울병원",IF(AND($AI340&gt;=요약!$E$3,$AH340&lt;요약!$E$3),"구리병원","⚠15일 판정불가(서울 "&amp;$AH340&amp;"일/구리 "&amp;$AI340&amp;"일)")),IF($AJ340="",$AE340,IF(INDEX(파견수련계획!$T$4:$T$83,$AJ340)="통합수련",INDEX(파견수련계획!$S$4:$S$83,$AJ340),$AE340)))))))</f>
        <v/>
      </c>
      <c r="Z340" s="19">
        <f>IF($B340="","",IF($AB340="","기본자료에 없는 사번",IF(COUNTIF($B$2:$B$401,$B340)&gt;1,"중복 사번",IF($AE340="","소속(입사장소) 입력",IF(IF(TRIM($J340&amp;"")="",0,SUMPRODUCT((파견수련계획!$Q$4:$Q$83=TRIM($J340&amp;""))*(파견수련계획!$AA$4:$AA$83&lt;&gt;"")))&gt;0,"파견수련계획 입력오류 확인",IF(LEFT($Y340,1)="⚠","서울·구리 15일 판정 불가(양쪽 모두 이상/미만)",IF(IF($AC340="",0,N(INDEX(인턴근무계획!$T$3:$T$62,$AC340)))&gt;0,"인턴계획 입력오류 확인",IF(AND($AC340&lt;&gt;"",$U340&lt;&gt;"파견중",$N340&lt;&gt;$AE340),"인턴 타지역 근무: 파견 여부 확인","정상"))))))))</f>
        <v/>
      </c>
      <c r="AA340" s="5" t="n"/>
      <c r="AB340" s="10">
        <f>IF($B340="","",IFERROR(MATCH($B340,기본자료!$B$2:$B$1001,0),IFERROR(MATCH($B340&amp;"",기본자료!$B$2:$B$1001,0),IFERROR(MATCH(VALUE($B340),기본자료!$B$2:$B$1001,0),""))))</f>
        <v/>
      </c>
      <c r="AC340" s="10">
        <f>IF($B340="","",IFERROR(MATCH($B340,인턴근무계획!$D$3:$D$62,0),IFERROR(MATCH($B340&amp;"",인턴근무계획!$D$3:$D$62,0),IFERROR(MATCH(VALUE($B340),인턴근무계획!$D$3:$D$62,0),""))))</f>
        <v/>
      </c>
      <c r="AD340" s="10">
        <f>IF(OR($AC340="",인턴현황!$G$3=""),"",INDEX(인턴근무계획!$M$3:$R$62,$AC340,인턴현황!$G$3)&amp;"")</f>
        <v/>
      </c>
      <c r="AE340" s="10">
        <f>IF($B340="","",IF($M340&lt;&gt;"",$M340,IF($AF340&lt;&gt;"",IF(LEFT(INDEX(파견수련계획!$R$4:$R$83,$AF340),1)&lt;&gt;"⚠",INDEX(파견수련계획!$R$4:$R$83,$AF340),IF($H340="","",IF(RIGHT($H340,2)="병원",$H340,$H340&amp;"병원"))),IF($H340="","",IF(RIGHT($H340,2)="병원",$H340,$H340&amp;"병원")))))</f>
        <v/>
      </c>
      <c r="AF340" s="10">
        <f>IF(OR($B340="",TRIM($J340&amp;"")=""),"",IFERROR(MATCH(TRIM($J340&amp;"")&amp;"|파견중",파견수련계획!$Y$4:$Y$83,0),IFERROR(MATCH(TRIM($J340&amp;"")&amp;"|파견예정",파견수련계획!$Y$4:$Y$83,0),IFERROR(MATCH(TRIM($J340&amp;"")&amp;"|파견종료",파견수련계획!$Y$4:$Y$83,0),""))))</f>
        <v/>
      </c>
      <c r="AG340" s="10">
        <f>IF($B340="","",IF(AND(IF(OR($AC340="",인턴현황!$K$2=""),"",INDEX(인턴근무계획!$M$3:$R$62,$AC340,인턴현황!$K$2)&amp;"")&lt;&gt;"",LEFT(IF(OR($AC340="",인턴현황!$K$2=""),"",INDEX(인턴근무계획!$M$3:$R$62,$AC340,인턴현황!$K$2)&amp;""),1)&lt;&gt;"⚠"),LEFT(IF(OR($AC340="",인턴현황!$K$2=""),"",INDEX(인턴근무계획!$M$3:$R$62,$AC340,인턴현황!$K$2)&amp;""),FIND(" ",IF(OR($AC340="",인턴현황!$K$2=""),"",INDEX(인턴근무계획!$M$3:$R$62,$AC340,인턴현황!$K$2)&amp;""))-1),$AE340))</f>
        <v/>
      </c>
      <c r="AH340" s="17">
        <f>IF($B340="","",IF(TRIM($J340&amp;"")="",0,SUMPRODUCT((파견수련계획!$Q$4:$Q$83=TRIM($J340&amp;""))*(파견수련계획!$S$4:$S$83="서울병원")*파견수련계획!$W$4:$W$83))+IF($AG340="서울병원",MAX(0,DAY(EOMONTH(요약!$B$3,0))-N($X340)),0))</f>
        <v/>
      </c>
      <c r="AI340" s="17">
        <f>IF($B340="","",IF(TRIM($J340&amp;"")="",0,SUMPRODUCT((파견수련계획!$Q$4:$Q$83=TRIM($J340&amp;""))*(파견수련계획!$S$4:$S$83="구리병원")*파견수련계획!$W$4:$W$83))+IF($AG340="구리병원",MAX(0,DAY(EOMONTH(요약!$B$3,0))-N($X340)),0))</f>
        <v/>
      </c>
      <c r="AJ340" s="10">
        <f>IF(OR($B340="",TRIM($J340&amp;"")=""),"",IFERROR(MATCH(TRIM($J340&amp;"")&amp;"|월",파견수련계획!$Z$4:$Z$83,0),""))</f>
        <v/>
      </c>
      <c r="AK340" s="10">
        <f>IF(OR($B340="",TRIM($J340&amp;"")=""),"",IFERROR(MATCH(TRIM($J340&amp;"")&amp;"|다기관",파견수련계획!$AE$4:$AE$83,0),""))</f>
        <v/>
      </c>
      <c r="AL340" s="10">
        <f>IF($AK340="","","다기관 "&amp;TEXT(INDEX(파견수련계획!$AB$4:$AB$83,$AK340),"yyyy-mm-dd")&amp;"~"&amp;IF(ISNUMBER(INDEX(파견수련계획!$AC$4:$AC$83,$AK340)),TEXT(INDEX(파견수련계획!$AC$4:$AC$83,$AK340),"yyyy-mm-dd"),""))</f>
        <v/>
      </c>
    </row>
    <row r="341">
      <c r="A341" s="10">
        <f>IF(B341="","",ROW()-1)</f>
        <v/>
      </c>
      <c r="B341" s="18" t="n"/>
      <c r="C341" s="10">
        <f>IF($AB341="","",IF(INDEX(기본자료!$C$2:$C$1001,$AB341)="","",INDEX(기본자료!$C$2:$C$1001,$AB341)))</f>
        <v/>
      </c>
      <c r="D341" s="10">
        <f>IF($AB341="","",IF(INDEX(기본자료!$J$2:$J$1001,$AB341)="","",INDEX(기본자료!$J$2:$J$1001,$AB341)))</f>
        <v/>
      </c>
      <c r="E341" s="11">
        <f>IF($AB341="","",IF(INDEX(기본자료!$K$2:$K$1001,$AB341)="","",IF(NOT(ISNUMBER(INDEX(기본자료!$K$2:$K$1001,$AB341))),INDEX(기본자료!$K$2:$K$1001,$AB341),IF(INDEX(기본자료!$K$2:$K$1001,$AB341)&lt;1000000,INDEX(기본자료!$K$2:$K$1001,$AB341),IF(AND(INDEX(기본자료!$K$2:$K$1001,$AB341)&gt;=10000101,INT(MOD(INDEX(기본자료!$K$2:$K$1001,$AB341),10000)/100)&gt;=1,INT(MOD(INDEX(기본자료!$K$2:$K$1001,$AB341),10000)/100)&lt;=12,MOD(INDEX(기본자료!$K$2:$K$1001,$AB341),100)&gt;=1,MOD(INDEX(기본자료!$K$2:$K$1001,$AB341),100)&lt;=31),DATE(INT(INDEX(기본자료!$K$2:$K$1001,$AB341)/10000),INT(MOD(INDEX(기본자료!$K$2:$K$1001,$AB341),10000)/100),MOD(INDEX(기본자료!$K$2:$K$1001,$AB341),100)),INDEX(기본자료!$K$2:$K$1001,$AB341)&amp;"")))))</f>
        <v/>
      </c>
      <c r="F341" s="10">
        <f>IF($AB341="","",IF(INDEX(기본자료!$D$2:$D$1001,$AB341)="","",INDEX(기본자료!$D$2:$D$1001,$AB341)))</f>
        <v/>
      </c>
      <c r="G341" s="10">
        <f>IF($AB341="","",IF(INDEX(기본자료!$E$2:$E$1001,$AB341)="","",INDEX(기본자료!$E$2:$E$1001,$AB341)))</f>
        <v/>
      </c>
      <c r="H341" s="10">
        <f>IF($AB341="","",IF(INDEX(기본자료!$F$2:$F$1001,$AB341)="","",INDEX(기본자료!$F$2:$F$1001,$AB341)))</f>
        <v/>
      </c>
      <c r="I341" s="11">
        <f>IF($AB341="","",IF(INDEX(기본자료!$G$2:$G$1001,$AB341)="","",IF(NOT(ISNUMBER(INDEX(기본자료!$G$2:$G$1001,$AB341))),INDEX(기본자료!$G$2:$G$1001,$AB341),IF(INDEX(기본자료!$G$2:$G$1001,$AB341)&lt;1000000,INDEX(기본자료!$G$2:$G$1001,$AB341),IF(AND(INDEX(기본자료!$G$2:$G$1001,$AB341)&gt;=10000101,INT(MOD(INDEX(기본자료!$G$2:$G$1001,$AB341),10000)/100)&gt;=1,INT(MOD(INDEX(기본자료!$G$2:$G$1001,$AB341),10000)/100)&lt;=12,MOD(INDEX(기본자료!$G$2:$G$1001,$AB341),100)&gt;=1,MOD(INDEX(기본자료!$G$2:$G$1001,$AB341),100)&lt;=31),DATE(INT(INDEX(기본자료!$G$2:$G$1001,$AB341)/10000),INT(MOD(INDEX(기본자료!$G$2:$G$1001,$AB341),10000)/100),MOD(INDEX(기본자료!$G$2:$G$1001,$AB341),100)),INDEX(기본자료!$G$2:$G$1001,$AB341)&amp;"")))))</f>
        <v/>
      </c>
      <c r="J341" s="10">
        <f>IF($AB341="","",IF(INDEX(기본자료!$H$2:$H$1001,$AB341)="","",INDEX(기본자료!$H$2:$H$1001,$AB341)))</f>
        <v/>
      </c>
      <c r="K341" s="10">
        <f>IF($AB341="","",IF(INDEX(기본자료!$I$2:$I$1001,$AB341)="","",INDEX(기본자료!$I$2:$I$1001,$AB341)))</f>
        <v/>
      </c>
      <c r="L341" s="10">
        <f>IF($AB341="","",IF(INDEX(기본자료!$A$2:$A$1001,$AB341)="","",INDEX(기본자료!$A$2:$A$1001,$AB341)))</f>
        <v/>
      </c>
      <c r="M341" s="15" t="n"/>
      <c r="N341" s="10">
        <f>IF($B341="","",IF(AND($U341="파견중",$Q341&lt;&gt;""),$Q341,IF(AND($AD341&lt;&gt;"",LEFT($AD341,1)&lt;&gt;"⚠"),LEFT($AD341,FIND(" ",$AD341)-1),IF($H341="","",IF(RIGHT($H341,2)="병원",$H341,$H341&amp;"병원")))))</f>
        <v/>
      </c>
      <c r="O341" s="10">
        <f>IF($B341="","",IF(AND($U341="파견중",$Q341&lt;&gt;""),IF($R341&lt;&gt;"",$R341,"파견과 미입력"),IF(AND($AD341&lt;&gt;"",LEFT($AD341,1)&lt;&gt;"⚠"),MID($AD341,FIND(" ",$AD341)+1,60),IF($F341="","",IF($F341="인턴","수련교육부(인턴)",$F341)))))</f>
        <v/>
      </c>
      <c r="P341" s="10">
        <f>IF($B341="","",IF($AK341&lt;&gt;"",IF(AND(TODAY()&gt;=INDEX(파견수련계획!$AB$4:$AB$83,$AK341),OR(NOT(ISNUMBER(INDEX(파견수련계획!$AC$4:$AC$83,$AK341))),TODAY()&lt;=INDEX(파견수련계획!$AC$4:$AC$83,$AK341))),"다기관",IF($AF341="","",INDEX(파견수련계획!$T$4:$T$83,$AF341))),IF($AF341="","",INDEX(파견수련계획!$T$4:$T$83,$AF341))))</f>
        <v/>
      </c>
      <c r="Q341" s="10">
        <f>IF($AF341="","",INDEX(파견수련계획!$S$4:$S$83,$AF341))</f>
        <v/>
      </c>
      <c r="R341" s="10">
        <f>IF($AF341="","",INDEX(파견수련계획!$U$4:$U$83,$AF341))</f>
        <v/>
      </c>
      <c r="S341" s="11">
        <f>IF($AF341="","",IF(INDEX(파견수련계획!$H$4:$H$83,$AF341)="","",INDEX(파견수련계획!$H$4:$H$83,$AF341)))</f>
        <v/>
      </c>
      <c r="T341" s="11">
        <f>IF($AF341="","",IF(INDEX(파견수련계획!$I$4:$I$83,$AF341)="","",INDEX(파견수련계획!$I$4:$I$83,$AF341)))</f>
        <v/>
      </c>
      <c r="U341" s="10">
        <f>IF($AF341="","",INDEX(파견수련계획!$X$4:$X$83,$AF341))</f>
        <v/>
      </c>
      <c r="V341" s="17">
        <f>IF($AF341="","",INDEX(파견수련계획!$V$4:$V$83,$AF341))</f>
        <v/>
      </c>
      <c r="W341" s="17">
        <f>IF(AND($U341="파견중",$T341&lt;&gt;""),$T341-TODAY(),"")</f>
        <v/>
      </c>
      <c r="X341" s="17">
        <f>IF(OR($B341="",TRIM($J341&amp;"")=""),"",SUMPRODUCT((파견수련계획!$Q$4:$Q$83=TRIM($J341&amp;""))*파견수련계획!$W$4:$W$83))</f>
        <v/>
      </c>
      <c r="Y341" s="10">
        <f>IF($B341="","",IF($AG341="","",IF(IF(TRIM($J341&amp;"")="",0,SUMPRODUCT((파견수련계획!$Q$4:$Q$83=TRIM($J341&amp;""))*파견수련계획!$AD$4:$AD$83))&gt;0,$AE341,IF(N($X341)&lt;=0,$AG341,IF($AH341+$AI341=DAY(EOMONTH(요약!$B$3,0)),IF(AND($AH341&gt;=요약!$E$3,$AI341&lt;요약!$E$3),"서울병원",IF(AND($AI341&gt;=요약!$E$3,$AH341&lt;요약!$E$3),"구리병원","⚠15일 판정불가(서울 "&amp;$AH341&amp;"일/구리 "&amp;$AI341&amp;"일)")),IF($AJ341="",$AE341,IF(INDEX(파견수련계획!$T$4:$T$83,$AJ341)="통합수련",INDEX(파견수련계획!$S$4:$S$83,$AJ341),$AE341)))))))</f>
        <v/>
      </c>
      <c r="Z341" s="19">
        <f>IF($B341="","",IF($AB341="","기본자료에 없는 사번",IF(COUNTIF($B$2:$B$401,$B341)&gt;1,"중복 사번",IF($AE341="","소속(입사장소) 입력",IF(IF(TRIM($J341&amp;"")="",0,SUMPRODUCT((파견수련계획!$Q$4:$Q$83=TRIM($J341&amp;""))*(파견수련계획!$AA$4:$AA$83&lt;&gt;"")))&gt;0,"파견수련계획 입력오류 확인",IF(LEFT($Y341,1)="⚠","서울·구리 15일 판정 불가(양쪽 모두 이상/미만)",IF(IF($AC341="",0,N(INDEX(인턴근무계획!$T$3:$T$62,$AC341)))&gt;0,"인턴계획 입력오류 확인",IF(AND($AC341&lt;&gt;"",$U341&lt;&gt;"파견중",$N341&lt;&gt;$AE341),"인턴 타지역 근무: 파견 여부 확인","정상"))))))))</f>
        <v/>
      </c>
      <c r="AA341" s="5" t="n"/>
      <c r="AB341" s="10">
        <f>IF($B341="","",IFERROR(MATCH($B341,기본자료!$B$2:$B$1001,0),IFERROR(MATCH($B341&amp;"",기본자료!$B$2:$B$1001,0),IFERROR(MATCH(VALUE($B341),기본자료!$B$2:$B$1001,0),""))))</f>
        <v/>
      </c>
      <c r="AC341" s="10">
        <f>IF($B341="","",IFERROR(MATCH($B341,인턴근무계획!$D$3:$D$62,0),IFERROR(MATCH($B341&amp;"",인턴근무계획!$D$3:$D$62,0),IFERROR(MATCH(VALUE($B341),인턴근무계획!$D$3:$D$62,0),""))))</f>
        <v/>
      </c>
      <c r="AD341" s="10">
        <f>IF(OR($AC341="",인턴현황!$G$3=""),"",INDEX(인턴근무계획!$M$3:$R$62,$AC341,인턴현황!$G$3)&amp;"")</f>
        <v/>
      </c>
      <c r="AE341" s="10">
        <f>IF($B341="","",IF($M341&lt;&gt;"",$M341,IF($AF341&lt;&gt;"",IF(LEFT(INDEX(파견수련계획!$R$4:$R$83,$AF341),1)&lt;&gt;"⚠",INDEX(파견수련계획!$R$4:$R$83,$AF341),IF($H341="","",IF(RIGHT($H341,2)="병원",$H341,$H341&amp;"병원"))),IF($H341="","",IF(RIGHT($H341,2)="병원",$H341,$H341&amp;"병원")))))</f>
        <v/>
      </c>
      <c r="AF341" s="10">
        <f>IF(OR($B341="",TRIM($J341&amp;"")=""),"",IFERROR(MATCH(TRIM($J341&amp;"")&amp;"|파견중",파견수련계획!$Y$4:$Y$83,0),IFERROR(MATCH(TRIM($J341&amp;"")&amp;"|파견예정",파견수련계획!$Y$4:$Y$83,0),IFERROR(MATCH(TRIM($J341&amp;"")&amp;"|파견종료",파견수련계획!$Y$4:$Y$83,0),""))))</f>
        <v/>
      </c>
      <c r="AG341" s="10">
        <f>IF($B341="","",IF(AND(IF(OR($AC341="",인턴현황!$K$2=""),"",INDEX(인턴근무계획!$M$3:$R$62,$AC341,인턴현황!$K$2)&amp;"")&lt;&gt;"",LEFT(IF(OR($AC341="",인턴현황!$K$2=""),"",INDEX(인턴근무계획!$M$3:$R$62,$AC341,인턴현황!$K$2)&amp;""),1)&lt;&gt;"⚠"),LEFT(IF(OR($AC341="",인턴현황!$K$2=""),"",INDEX(인턴근무계획!$M$3:$R$62,$AC341,인턴현황!$K$2)&amp;""),FIND(" ",IF(OR($AC341="",인턴현황!$K$2=""),"",INDEX(인턴근무계획!$M$3:$R$62,$AC341,인턴현황!$K$2)&amp;""))-1),$AE341))</f>
        <v/>
      </c>
      <c r="AH341" s="17">
        <f>IF($B341="","",IF(TRIM($J341&amp;"")="",0,SUMPRODUCT((파견수련계획!$Q$4:$Q$83=TRIM($J341&amp;""))*(파견수련계획!$S$4:$S$83="서울병원")*파견수련계획!$W$4:$W$83))+IF($AG341="서울병원",MAX(0,DAY(EOMONTH(요약!$B$3,0))-N($X341)),0))</f>
        <v/>
      </c>
      <c r="AI341" s="17">
        <f>IF($B341="","",IF(TRIM($J341&amp;"")="",0,SUMPRODUCT((파견수련계획!$Q$4:$Q$83=TRIM($J341&amp;""))*(파견수련계획!$S$4:$S$83="구리병원")*파견수련계획!$W$4:$W$83))+IF($AG341="구리병원",MAX(0,DAY(EOMONTH(요약!$B$3,0))-N($X341)),0))</f>
        <v/>
      </c>
      <c r="AJ341" s="10">
        <f>IF(OR($B341="",TRIM($J341&amp;"")=""),"",IFERROR(MATCH(TRIM($J341&amp;"")&amp;"|월",파견수련계획!$Z$4:$Z$83,0),""))</f>
        <v/>
      </c>
      <c r="AK341" s="10">
        <f>IF(OR($B341="",TRIM($J341&amp;"")=""),"",IFERROR(MATCH(TRIM($J341&amp;"")&amp;"|다기관",파견수련계획!$AE$4:$AE$83,0),""))</f>
        <v/>
      </c>
      <c r="AL341" s="10">
        <f>IF($AK341="","","다기관 "&amp;TEXT(INDEX(파견수련계획!$AB$4:$AB$83,$AK341),"yyyy-mm-dd")&amp;"~"&amp;IF(ISNUMBER(INDEX(파견수련계획!$AC$4:$AC$83,$AK341)),TEXT(INDEX(파견수련계획!$AC$4:$AC$83,$AK341),"yyyy-mm-dd"),""))</f>
        <v/>
      </c>
    </row>
    <row r="342">
      <c r="A342" s="10">
        <f>IF(B342="","",ROW()-1)</f>
        <v/>
      </c>
      <c r="B342" s="18" t="n"/>
      <c r="C342" s="10">
        <f>IF($AB342="","",IF(INDEX(기본자료!$C$2:$C$1001,$AB342)="","",INDEX(기본자료!$C$2:$C$1001,$AB342)))</f>
        <v/>
      </c>
      <c r="D342" s="10">
        <f>IF($AB342="","",IF(INDEX(기본자료!$J$2:$J$1001,$AB342)="","",INDEX(기본자료!$J$2:$J$1001,$AB342)))</f>
        <v/>
      </c>
      <c r="E342" s="11">
        <f>IF($AB342="","",IF(INDEX(기본자료!$K$2:$K$1001,$AB342)="","",IF(NOT(ISNUMBER(INDEX(기본자료!$K$2:$K$1001,$AB342))),INDEX(기본자료!$K$2:$K$1001,$AB342),IF(INDEX(기본자료!$K$2:$K$1001,$AB342)&lt;1000000,INDEX(기본자료!$K$2:$K$1001,$AB342),IF(AND(INDEX(기본자료!$K$2:$K$1001,$AB342)&gt;=10000101,INT(MOD(INDEX(기본자료!$K$2:$K$1001,$AB342),10000)/100)&gt;=1,INT(MOD(INDEX(기본자료!$K$2:$K$1001,$AB342),10000)/100)&lt;=12,MOD(INDEX(기본자료!$K$2:$K$1001,$AB342),100)&gt;=1,MOD(INDEX(기본자료!$K$2:$K$1001,$AB342),100)&lt;=31),DATE(INT(INDEX(기본자료!$K$2:$K$1001,$AB342)/10000),INT(MOD(INDEX(기본자료!$K$2:$K$1001,$AB342),10000)/100),MOD(INDEX(기본자료!$K$2:$K$1001,$AB342),100)),INDEX(기본자료!$K$2:$K$1001,$AB342)&amp;"")))))</f>
        <v/>
      </c>
      <c r="F342" s="10">
        <f>IF($AB342="","",IF(INDEX(기본자료!$D$2:$D$1001,$AB342)="","",INDEX(기본자료!$D$2:$D$1001,$AB342)))</f>
        <v/>
      </c>
      <c r="G342" s="10">
        <f>IF($AB342="","",IF(INDEX(기본자료!$E$2:$E$1001,$AB342)="","",INDEX(기본자료!$E$2:$E$1001,$AB342)))</f>
        <v/>
      </c>
      <c r="H342" s="10">
        <f>IF($AB342="","",IF(INDEX(기본자료!$F$2:$F$1001,$AB342)="","",INDEX(기본자료!$F$2:$F$1001,$AB342)))</f>
        <v/>
      </c>
      <c r="I342" s="11">
        <f>IF($AB342="","",IF(INDEX(기본자료!$G$2:$G$1001,$AB342)="","",IF(NOT(ISNUMBER(INDEX(기본자료!$G$2:$G$1001,$AB342))),INDEX(기본자료!$G$2:$G$1001,$AB342),IF(INDEX(기본자료!$G$2:$G$1001,$AB342)&lt;1000000,INDEX(기본자료!$G$2:$G$1001,$AB342),IF(AND(INDEX(기본자료!$G$2:$G$1001,$AB342)&gt;=10000101,INT(MOD(INDEX(기본자료!$G$2:$G$1001,$AB342),10000)/100)&gt;=1,INT(MOD(INDEX(기본자료!$G$2:$G$1001,$AB342),10000)/100)&lt;=12,MOD(INDEX(기본자료!$G$2:$G$1001,$AB342),100)&gt;=1,MOD(INDEX(기본자료!$G$2:$G$1001,$AB342),100)&lt;=31),DATE(INT(INDEX(기본자료!$G$2:$G$1001,$AB342)/10000),INT(MOD(INDEX(기본자료!$G$2:$G$1001,$AB342),10000)/100),MOD(INDEX(기본자료!$G$2:$G$1001,$AB342),100)),INDEX(기본자료!$G$2:$G$1001,$AB342)&amp;"")))))</f>
        <v/>
      </c>
      <c r="J342" s="10">
        <f>IF($AB342="","",IF(INDEX(기본자료!$H$2:$H$1001,$AB342)="","",INDEX(기본자료!$H$2:$H$1001,$AB342)))</f>
        <v/>
      </c>
      <c r="K342" s="10">
        <f>IF($AB342="","",IF(INDEX(기본자료!$I$2:$I$1001,$AB342)="","",INDEX(기본자료!$I$2:$I$1001,$AB342)))</f>
        <v/>
      </c>
      <c r="L342" s="10">
        <f>IF($AB342="","",IF(INDEX(기본자료!$A$2:$A$1001,$AB342)="","",INDEX(기본자료!$A$2:$A$1001,$AB342)))</f>
        <v/>
      </c>
      <c r="M342" s="15" t="n"/>
      <c r="N342" s="10">
        <f>IF($B342="","",IF(AND($U342="파견중",$Q342&lt;&gt;""),$Q342,IF(AND($AD342&lt;&gt;"",LEFT($AD342,1)&lt;&gt;"⚠"),LEFT($AD342,FIND(" ",$AD342)-1),IF($H342="","",IF(RIGHT($H342,2)="병원",$H342,$H342&amp;"병원")))))</f>
        <v/>
      </c>
      <c r="O342" s="10">
        <f>IF($B342="","",IF(AND($U342="파견중",$Q342&lt;&gt;""),IF($R342&lt;&gt;"",$R342,"파견과 미입력"),IF(AND($AD342&lt;&gt;"",LEFT($AD342,1)&lt;&gt;"⚠"),MID($AD342,FIND(" ",$AD342)+1,60),IF($F342="","",IF($F342="인턴","수련교육부(인턴)",$F342)))))</f>
        <v/>
      </c>
      <c r="P342" s="10">
        <f>IF($B342="","",IF($AK342&lt;&gt;"",IF(AND(TODAY()&gt;=INDEX(파견수련계획!$AB$4:$AB$83,$AK342),OR(NOT(ISNUMBER(INDEX(파견수련계획!$AC$4:$AC$83,$AK342))),TODAY()&lt;=INDEX(파견수련계획!$AC$4:$AC$83,$AK342))),"다기관",IF($AF342="","",INDEX(파견수련계획!$T$4:$T$83,$AF342))),IF($AF342="","",INDEX(파견수련계획!$T$4:$T$83,$AF342))))</f>
        <v/>
      </c>
      <c r="Q342" s="10">
        <f>IF($AF342="","",INDEX(파견수련계획!$S$4:$S$83,$AF342))</f>
        <v/>
      </c>
      <c r="R342" s="10">
        <f>IF($AF342="","",INDEX(파견수련계획!$U$4:$U$83,$AF342))</f>
        <v/>
      </c>
      <c r="S342" s="11">
        <f>IF($AF342="","",IF(INDEX(파견수련계획!$H$4:$H$83,$AF342)="","",INDEX(파견수련계획!$H$4:$H$83,$AF342)))</f>
        <v/>
      </c>
      <c r="T342" s="11">
        <f>IF($AF342="","",IF(INDEX(파견수련계획!$I$4:$I$83,$AF342)="","",INDEX(파견수련계획!$I$4:$I$83,$AF342)))</f>
        <v/>
      </c>
      <c r="U342" s="10">
        <f>IF($AF342="","",INDEX(파견수련계획!$X$4:$X$83,$AF342))</f>
        <v/>
      </c>
      <c r="V342" s="17">
        <f>IF($AF342="","",INDEX(파견수련계획!$V$4:$V$83,$AF342))</f>
        <v/>
      </c>
      <c r="W342" s="17">
        <f>IF(AND($U342="파견중",$T342&lt;&gt;""),$T342-TODAY(),"")</f>
        <v/>
      </c>
      <c r="X342" s="17">
        <f>IF(OR($B342="",TRIM($J342&amp;"")=""),"",SUMPRODUCT((파견수련계획!$Q$4:$Q$83=TRIM($J342&amp;""))*파견수련계획!$W$4:$W$83))</f>
        <v/>
      </c>
      <c r="Y342" s="10">
        <f>IF($B342="","",IF($AG342="","",IF(IF(TRIM($J342&amp;"")="",0,SUMPRODUCT((파견수련계획!$Q$4:$Q$83=TRIM($J342&amp;""))*파견수련계획!$AD$4:$AD$83))&gt;0,$AE342,IF(N($X342)&lt;=0,$AG342,IF($AH342+$AI342=DAY(EOMONTH(요약!$B$3,0)),IF(AND($AH342&gt;=요약!$E$3,$AI342&lt;요약!$E$3),"서울병원",IF(AND($AI342&gt;=요약!$E$3,$AH342&lt;요약!$E$3),"구리병원","⚠15일 판정불가(서울 "&amp;$AH342&amp;"일/구리 "&amp;$AI342&amp;"일)")),IF($AJ342="",$AE342,IF(INDEX(파견수련계획!$T$4:$T$83,$AJ342)="통합수련",INDEX(파견수련계획!$S$4:$S$83,$AJ342),$AE342)))))))</f>
        <v/>
      </c>
      <c r="Z342" s="19">
        <f>IF($B342="","",IF($AB342="","기본자료에 없는 사번",IF(COUNTIF($B$2:$B$401,$B342)&gt;1,"중복 사번",IF($AE342="","소속(입사장소) 입력",IF(IF(TRIM($J342&amp;"")="",0,SUMPRODUCT((파견수련계획!$Q$4:$Q$83=TRIM($J342&amp;""))*(파견수련계획!$AA$4:$AA$83&lt;&gt;"")))&gt;0,"파견수련계획 입력오류 확인",IF(LEFT($Y342,1)="⚠","서울·구리 15일 판정 불가(양쪽 모두 이상/미만)",IF(IF($AC342="",0,N(INDEX(인턴근무계획!$T$3:$T$62,$AC342)))&gt;0,"인턴계획 입력오류 확인",IF(AND($AC342&lt;&gt;"",$U342&lt;&gt;"파견중",$N342&lt;&gt;$AE342),"인턴 타지역 근무: 파견 여부 확인","정상"))))))))</f>
        <v/>
      </c>
      <c r="AA342" s="5" t="n"/>
      <c r="AB342" s="10">
        <f>IF($B342="","",IFERROR(MATCH($B342,기본자료!$B$2:$B$1001,0),IFERROR(MATCH($B342&amp;"",기본자료!$B$2:$B$1001,0),IFERROR(MATCH(VALUE($B342),기본자료!$B$2:$B$1001,0),""))))</f>
        <v/>
      </c>
      <c r="AC342" s="10">
        <f>IF($B342="","",IFERROR(MATCH($B342,인턴근무계획!$D$3:$D$62,0),IFERROR(MATCH($B342&amp;"",인턴근무계획!$D$3:$D$62,0),IFERROR(MATCH(VALUE($B342),인턴근무계획!$D$3:$D$62,0),""))))</f>
        <v/>
      </c>
      <c r="AD342" s="10">
        <f>IF(OR($AC342="",인턴현황!$G$3=""),"",INDEX(인턴근무계획!$M$3:$R$62,$AC342,인턴현황!$G$3)&amp;"")</f>
        <v/>
      </c>
      <c r="AE342" s="10">
        <f>IF($B342="","",IF($M342&lt;&gt;"",$M342,IF($AF342&lt;&gt;"",IF(LEFT(INDEX(파견수련계획!$R$4:$R$83,$AF342),1)&lt;&gt;"⚠",INDEX(파견수련계획!$R$4:$R$83,$AF342),IF($H342="","",IF(RIGHT($H342,2)="병원",$H342,$H342&amp;"병원"))),IF($H342="","",IF(RIGHT($H342,2)="병원",$H342,$H342&amp;"병원")))))</f>
        <v/>
      </c>
      <c r="AF342" s="10">
        <f>IF(OR($B342="",TRIM($J342&amp;"")=""),"",IFERROR(MATCH(TRIM($J342&amp;"")&amp;"|파견중",파견수련계획!$Y$4:$Y$83,0),IFERROR(MATCH(TRIM($J342&amp;"")&amp;"|파견예정",파견수련계획!$Y$4:$Y$83,0),IFERROR(MATCH(TRIM($J342&amp;"")&amp;"|파견종료",파견수련계획!$Y$4:$Y$83,0),""))))</f>
        <v/>
      </c>
      <c r="AG342" s="10">
        <f>IF($B342="","",IF(AND(IF(OR($AC342="",인턴현황!$K$2=""),"",INDEX(인턴근무계획!$M$3:$R$62,$AC342,인턴현황!$K$2)&amp;"")&lt;&gt;"",LEFT(IF(OR($AC342="",인턴현황!$K$2=""),"",INDEX(인턴근무계획!$M$3:$R$62,$AC342,인턴현황!$K$2)&amp;""),1)&lt;&gt;"⚠"),LEFT(IF(OR($AC342="",인턴현황!$K$2=""),"",INDEX(인턴근무계획!$M$3:$R$62,$AC342,인턴현황!$K$2)&amp;""),FIND(" ",IF(OR($AC342="",인턴현황!$K$2=""),"",INDEX(인턴근무계획!$M$3:$R$62,$AC342,인턴현황!$K$2)&amp;""))-1),$AE342))</f>
        <v/>
      </c>
      <c r="AH342" s="17">
        <f>IF($B342="","",IF(TRIM($J342&amp;"")="",0,SUMPRODUCT((파견수련계획!$Q$4:$Q$83=TRIM($J342&amp;""))*(파견수련계획!$S$4:$S$83="서울병원")*파견수련계획!$W$4:$W$83))+IF($AG342="서울병원",MAX(0,DAY(EOMONTH(요약!$B$3,0))-N($X342)),0))</f>
        <v/>
      </c>
      <c r="AI342" s="17">
        <f>IF($B342="","",IF(TRIM($J342&amp;"")="",0,SUMPRODUCT((파견수련계획!$Q$4:$Q$83=TRIM($J342&amp;""))*(파견수련계획!$S$4:$S$83="구리병원")*파견수련계획!$W$4:$W$83))+IF($AG342="구리병원",MAX(0,DAY(EOMONTH(요약!$B$3,0))-N($X342)),0))</f>
        <v/>
      </c>
      <c r="AJ342" s="10">
        <f>IF(OR($B342="",TRIM($J342&amp;"")=""),"",IFERROR(MATCH(TRIM($J342&amp;"")&amp;"|월",파견수련계획!$Z$4:$Z$83,0),""))</f>
        <v/>
      </c>
      <c r="AK342" s="10">
        <f>IF(OR($B342="",TRIM($J342&amp;"")=""),"",IFERROR(MATCH(TRIM($J342&amp;"")&amp;"|다기관",파견수련계획!$AE$4:$AE$83,0),""))</f>
        <v/>
      </c>
      <c r="AL342" s="10">
        <f>IF($AK342="","","다기관 "&amp;TEXT(INDEX(파견수련계획!$AB$4:$AB$83,$AK342),"yyyy-mm-dd")&amp;"~"&amp;IF(ISNUMBER(INDEX(파견수련계획!$AC$4:$AC$83,$AK342)),TEXT(INDEX(파견수련계획!$AC$4:$AC$83,$AK342),"yyyy-mm-dd"),""))</f>
        <v/>
      </c>
    </row>
    <row r="343">
      <c r="A343" s="10">
        <f>IF(B343="","",ROW()-1)</f>
        <v/>
      </c>
      <c r="B343" s="18" t="n"/>
      <c r="C343" s="10">
        <f>IF($AB343="","",IF(INDEX(기본자료!$C$2:$C$1001,$AB343)="","",INDEX(기본자료!$C$2:$C$1001,$AB343)))</f>
        <v/>
      </c>
      <c r="D343" s="10">
        <f>IF($AB343="","",IF(INDEX(기본자료!$J$2:$J$1001,$AB343)="","",INDEX(기본자료!$J$2:$J$1001,$AB343)))</f>
        <v/>
      </c>
      <c r="E343" s="11">
        <f>IF($AB343="","",IF(INDEX(기본자료!$K$2:$K$1001,$AB343)="","",IF(NOT(ISNUMBER(INDEX(기본자료!$K$2:$K$1001,$AB343))),INDEX(기본자료!$K$2:$K$1001,$AB343),IF(INDEX(기본자료!$K$2:$K$1001,$AB343)&lt;1000000,INDEX(기본자료!$K$2:$K$1001,$AB343),IF(AND(INDEX(기본자료!$K$2:$K$1001,$AB343)&gt;=10000101,INT(MOD(INDEX(기본자료!$K$2:$K$1001,$AB343),10000)/100)&gt;=1,INT(MOD(INDEX(기본자료!$K$2:$K$1001,$AB343),10000)/100)&lt;=12,MOD(INDEX(기본자료!$K$2:$K$1001,$AB343),100)&gt;=1,MOD(INDEX(기본자료!$K$2:$K$1001,$AB343),100)&lt;=31),DATE(INT(INDEX(기본자료!$K$2:$K$1001,$AB343)/10000),INT(MOD(INDEX(기본자료!$K$2:$K$1001,$AB343),10000)/100),MOD(INDEX(기본자료!$K$2:$K$1001,$AB343),100)),INDEX(기본자료!$K$2:$K$1001,$AB343)&amp;"")))))</f>
        <v/>
      </c>
      <c r="F343" s="10">
        <f>IF($AB343="","",IF(INDEX(기본자료!$D$2:$D$1001,$AB343)="","",INDEX(기본자료!$D$2:$D$1001,$AB343)))</f>
        <v/>
      </c>
      <c r="G343" s="10">
        <f>IF($AB343="","",IF(INDEX(기본자료!$E$2:$E$1001,$AB343)="","",INDEX(기본자료!$E$2:$E$1001,$AB343)))</f>
        <v/>
      </c>
      <c r="H343" s="10">
        <f>IF($AB343="","",IF(INDEX(기본자료!$F$2:$F$1001,$AB343)="","",INDEX(기본자료!$F$2:$F$1001,$AB343)))</f>
        <v/>
      </c>
      <c r="I343" s="11">
        <f>IF($AB343="","",IF(INDEX(기본자료!$G$2:$G$1001,$AB343)="","",IF(NOT(ISNUMBER(INDEX(기본자료!$G$2:$G$1001,$AB343))),INDEX(기본자료!$G$2:$G$1001,$AB343),IF(INDEX(기본자료!$G$2:$G$1001,$AB343)&lt;1000000,INDEX(기본자료!$G$2:$G$1001,$AB343),IF(AND(INDEX(기본자료!$G$2:$G$1001,$AB343)&gt;=10000101,INT(MOD(INDEX(기본자료!$G$2:$G$1001,$AB343),10000)/100)&gt;=1,INT(MOD(INDEX(기본자료!$G$2:$G$1001,$AB343),10000)/100)&lt;=12,MOD(INDEX(기본자료!$G$2:$G$1001,$AB343),100)&gt;=1,MOD(INDEX(기본자료!$G$2:$G$1001,$AB343),100)&lt;=31),DATE(INT(INDEX(기본자료!$G$2:$G$1001,$AB343)/10000),INT(MOD(INDEX(기본자료!$G$2:$G$1001,$AB343),10000)/100),MOD(INDEX(기본자료!$G$2:$G$1001,$AB343),100)),INDEX(기본자료!$G$2:$G$1001,$AB343)&amp;"")))))</f>
        <v/>
      </c>
      <c r="J343" s="10">
        <f>IF($AB343="","",IF(INDEX(기본자료!$H$2:$H$1001,$AB343)="","",INDEX(기본자료!$H$2:$H$1001,$AB343)))</f>
        <v/>
      </c>
      <c r="K343" s="10">
        <f>IF($AB343="","",IF(INDEX(기본자료!$I$2:$I$1001,$AB343)="","",INDEX(기본자료!$I$2:$I$1001,$AB343)))</f>
        <v/>
      </c>
      <c r="L343" s="10">
        <f>IF($AB343="","",IF(INDEX(기본자료!$A$2:$A$1001,$AB343)="","",INDEX(기본자료!$A$2:$A$1001,$AB343)))</f>
        <v/>
      </c>
      <c r="M343" s="15" t="n"/>
      <c r="N343" s="10">
        <f>IF($B343="","",IF(AND($U343="파견중",$Q343&lt;&gt;""),$Q343,IF(AND($AD343&lt;&gt;"",LEFT($AD343,1)&lt;&gt;"⚠"),LEFT($AD343,FIND(" ",$AD343)-1),IF($H343="","",IF(RIGHT($H343,2)="병원",$H343,$H343&amp;"병원")))))</f>
        <v/>
      </c>
      <c r="O343" s="10">
        <f>IF($B343="","",IF(AND($U343="파견중",$Q343&lt;&gt;""),IF($R343&lt;&gt;"",$R343,"파견과 미입력"),IF(AND($AD343&lt;&gt;"",LEFT($AD343,1)&lt;&gt;"⚠"),MID($AD343,FIND(" ",$AD343)+1,60),IF($F343="","",IF($F343="인턴","수련교육부(인턴)",$F343)))))</f>
        <v/>
      </c>
      <c r="P343" s="10">
        <f>IF($B343="","",IF($AK343&lt;&gt;"",IF(AND(TODAY()&gt;=INDEX(파견수련계획!$AB$4:$AB$83,$AK343),OR(NOT(ISNUMBER(INDEX(파견수련계획!$AC$4:$AC$83,$AK343))),TODAY()&lt;=INDEX(파견수련계획!$AC$4:$AC$83,$AK343))),"다기관",IF($AF343="","",INDEX(파견수련계획!$T$4:$T$83,$AF343))),IF($AF343="","",INDEX(파견수련계획!$T$4:$T$83,$AF343))))</f>
        <v/>
      </c>
      <c r="Q343" s="10">
        <f>IF($AF343="","",INDEX(파견수련계획!$S$4:$S$83,$AF343))</f>
        <v/>
      </c>
      <c r="R343" s="10">
        <f>IF($AF343="","",INDEX(파견수련계획!$U$4:$U$83,$AF343))</f>
        <v/>
      </c>
      <c r="S343" s="11">
        <f>IF($AF343="","",IF(INDEX(파견수련계획!$H$4:$H$83,$AF343)="","",INDEX(파견수련계획!$H$4:$H$83,$AF343)))</f>
        <v/>
      </c>
      <c r="T343" s="11">
        <f>IF($AF343="","",IF(INDEX(파견수련계획!$I$4:$I$83,$AF343)="","",INDEX(파견수련계획!$I$4:$I$83,$AF343)))</f>
        <v/>
      </c>
      <c r="U343" s="10">
        <f>IF($AF343="","",INDEX(파견수련계획!$X$4:$X$83,$AF343))</f>
        <v/>
      </c>
      <c r="V343" s="17">
        <f>IF($AF343="","",INDEX(파견수련계획!$V$4:$V$83,$AF343))</f>
        <v/>
      </c>
      <c r="W343" s="17">
        <f>IF(AND($U343="파견중",$T343&lt;&gt;""),$T343-TODAY(),"")</f>
        <v/>
      </c>
      <c r="X343" s="17">
        <f>IF(OR($B343="",TRIM($J343&amp;"")=""),"",SUMPRODUCT((파견수련계획!$Q$4:$Q$83=TRIM($J343&amp;""))*파견수련계획!$W$4:$W$83))</f>
        <v/>
      </c>
      <c r="Y343" s="10">
        <f>IF($B343="","",IF($AG343="","",IF(IF(TRIM($J343&amp;"")="",0,SUMPRODUCT((파견수련계획!$Q$4:$Q$83=TRIM($J343&amp;""))*파견수련계획!$AD$4:$AD$83))&gt;0,$AE343,IF(N($X343)&lt;=0,$AG343,IF($AH343+$AI343=DAY(EOMONTH(요약!$B$3,0)),IF(AND($AH343&gt;=요약!$E$3,$AI343&lt;요약!$E$3),"서울병원",IF(AND($AI343&gt;=요약!$E$3,$AH343&lt;요약!$E$3),"구리병원","⚠15일 판정불가(서울 "&amp;$AH343&amp;"일/구리 "&amp;$AI343&amp;"일)")),IF($AJ343="",$AE343,IF(INDEX(파견수련계획!$T$4:$T$83,$AJ343)="통합수련",INDEX(파견수련계획!$S$4:$S$83,$AJ343),$AE343)))))))</f>
        <v/>
      </c>
      <c r="Z343" s="19">
        <f>IF($B343="","",IF($AB343="","기본자료에 없는 사번",IF(COUNTIF($B$2:$B$401,$B343)&gt;1,"중복 사번",IF($AE343="","소속(입사장소) 입력",IF(IF(TRIM($J343&amp;"")="",0,SUMPRODUCT((파견수련계획!$Q$4:$Q$83=TRIM($J343&amp;""))*(파견수련계획!$AA$4:$AA$83&lt;&gt;"")))&gt;0,"파견수련계획 입력오류 확인",IF(LEFT($Y343,1)="⚠","서울·구리 15일 판정 불가(양쪽 모두 이상/미만)",IF(IF($AC343="",0,N(INDEX(인턴근무계획!$T$3:$T$62,$AC343)))&gt;0,"인턴계획 입력오류 확인",IF(AND($AC343&lt;&gt;"",$U343&lt;&gt;"파견중",$N343&lt;&gt;$AE343),"인턴 타지역 근무: 파견 여부 확인","정상"))))))))</f>
        <v/>
      </c>
      <c r="AA343" s="5" t="n"/>
      <c r="AB343" s="10">
        <f>IF($B343="","",IFERROR(MATCH($B343,기본자료!$B$2:$B$1001,0),IFERROR(MATCH($B343&amp;"",기본자료!$B$2:$B$1001,0),IFERROR(MATCH(VALUE($B343),기본자료!$B$2:$B$1001,0),""))))</f>
        <v/>
      </c>
      <c r="AC343" s="10">
        <f>IF($B343="","",IFERROR(MATCH($B343,인턴근무계획!$D$3:$D$62,0),IFERROR(MATCH($B343&amp;"",인턴근무계획!$D$3:$D$62,0),IFERROR(MATCH(VALUE($B343),인턴근무계획!$D$3:$D$62,0),""))))</f>
        <v/>
      </c>
      <c r="AD343" s="10">
        <f>IF(OR($AC343="",인턴현황!$G$3=""),"",INDEX(인턴근무계획!$M$3:$R$62,$AC343,인턴현황!$G$3)&amp;"")</f>
        <v/>
      </c>
      <c r="AE343" s="10">
        <f>IF($B343="","",IF($M343&lt;&gt;"",$M343,IF($AF343&lt;&gt;"",IF(LEFT(INDEX(파견수련계획!$R$4:$R$83,$AF343),1)&lt;&gt;"⚠",INDEX(파견수련계획!$R$4:$R$83,$AF343),IF($H343="","",IF(RIGHT($H343,2)="병원",$H343,$H343&amp;"병원"))),IF($H343="","",IF(RIGHT($H343,2)="병원",$H343,$H343&amp;"병원")))))</f>
        <v/>
      </c>
      <c r="AF343" s="10">
        <f>IF(OR($B343="",TRIM($J343&amp;"")=""),"",IFERROR(MATCH(TRIM($J343&amp;"")&amp;"|파견중",파견수련계획!$Y$4:$Y$83,0),IFERROR(MATCH(TRIM($J343&amp;"")&amp;"|파견예정",파견수련계획!$Y$4:$Y$83,0),IFERROR(MATCH(TRIM($J343&amp;"")&amp;"|파견종료",파견수련계획!$Y$4:$Y$83,0),""))))</f>
        <v/>
      </c>
      <c r="AG343" s="10">
        <f>IF($B343="","",IF(AND(IF(OR($AC343="",인턴현황!$K$2=""),"",INDEX(인턴근무계획!$M$3:$R$62,$AC343,인턴현황!$K$2)&amp;"")&lt;&gt;"",LEFT(IF(OR($AC343="",인턴현황!$K$2=""),"",INDEX(인턴근무계획!$M$3:$R$62,$AC343,인턴현황!$K$2)&amp;""),1)&lt;&gt;"⚠"),LEFT(IF(OR($AC343="",인턴현황!$K$2=""),"",INDEX(인턴근무계획!$M$3:$R$62,$AC343,인턴현황!$K$2)&amp;""),FIND(" ",IF(OR($AC343="",인턴현황!$K$2=""),"",INDEX(인턴근무계획!$M$3:$R$62,$AC343,인턴현황!$K$2)&amp;""))-1),$AE343))</f>
        <v/>
      </c>
      <c r="AH343" s="17">
        <f>IF($B343="","",IF(TRIM($J343&amp;"")="",0,SUMPRODUCT((파견수련계획!$Q$4:$Q$83=TRIM($J343&amp;""))*(파견수련계획!$S$4:$S$83="서울병원")*파견수련계획!$W$4:$W$83))+IF($AG343="서울병원",MAX(0,DAY(EOMONTH(요약!$B$3,0))-N($X343)),0))</f>
        <v/>
      </c>
      <c r="AI343" s="17">
        <f>IF($B343="","",IF(TRIM($J343&amp;"")="",0,SUMPRODUCT((파견수련계획!$Q$4:$Q$83=TRIM($J343&amp;""))*(파견수련계획!$S$4:$S$83="구리병원")*파견수련계획!$W$4:$W$83))+IF($AG343="구리병원",MAX(0,DAY(EOMONTH(요약!$B$3,0))-N($X343)),0))</f>
        <v/>
      </c>
      <c r="AJ343" s="10">
        <f>IF(OR($B343="",TRIM($J343&amp;"")=""),"",IFERROR(MATCH(TRIM($J343&amp;"")&amp;"|월",파견수련계획!$Z$4:$Z$83,0),""))</f>
        <v/>
      </c>
      <c r="AK343" s="10">
        <f>IF(OR($B343="",TRIM($J343&amp;"")=""),"",IFERROR(MATCH(TRIM($J343&amp;"")&amp;"|다기관",파견수련계획!$AE$4:$AE$83,0),""))</f>
        <v/>
      </c>
      <c r="AL343" s="10">
        <f>IF($AK343="","","다기관 "&amp;TEXT(INDEX(파견수련계획!$AB$4:$AB$83,$AK343),"yyyy-mm-dd")&amp;"~"&amp;IF(ISNUMBER(INDEX(파견수련계획!$AC$4:$AC$83,$AK343)),TEXT(INDEX(파견수련계획!$AC$4:$AC$83,$AK343),"yyyy-mm-dd"),""))</f>
        <v/>
      </c>
    </row>
    <row r="344">
      <c r="A344" s="10">
        <f>IF(B344="","",ROW()-1)</f>
        <v/>
      </c>
      <c r="B344" s="18" t="n"/>
      <c r="C344" s="10">
        <f>IF($AB344="","",IF(INDEX(기본자료!$C$2:$C$1001,$AB344)="","",INDEX(기본자료!$C$2:$C$1001,$AB344)))</f>
        <v/>
      </c>
      <c r="D344" s="10">
        <f>IF($AB344="","",IF(INDEX(기본자료!$J$2:$J$1001,$AB344)="","",INDEX(기본자료!$J$2:$J$1001,$AB344)))</f>
        <v/>
      </c>
      <c r="E344" s="11">
        <f>IF($AB344="","",IF(INDEX(기본자료!$K$2:$K$1001,$AB344)="","",IF(NOT(ISNUMBER(INDEX(기본자료!$K$2:$K$1001,$AB344))),INDEX(기본자료!$K$2:$K$1001,$AB344),IF(INDEX(기본자료!$K$2:$K$1001,$AB344)&lt;1000000,INDEX(기본자료!$K$2:$K$1001,$AB344),IF(AND(INDEX(기본자료!$K$2:$K$1001,$AB344)&gt;=10000101,INT(MOD(INDEX(기본자료!$K$2:$K$1001,$AB344),10000)/100)&gt;=1,INT(MOD(INDEX(기본자료!$K$2:$K$1001,$AB344),10000)/100)&lt;=12,MOD(INDEX(기본자료!$K$2:$K$1001,$AB344),100)&gt;=1,MOD(INDEX(기본자료!$K$2:$K$1001,$AB344),100)&lt;=31),DATE(INT(INDEX(기본자료!$K$2:$K$1001,$AB344)/10000),INT(MOD(INDEX(기본자료!$K$2:$K$1001,$AB344),10000)/100),MOD(INDEX(기본자료!$K$2:$K$1001,$AB344),100)),INDEX(기본자료!$K$2:$K$1001,$AB344)&amp;"")))))</f>
        <v/>
      </c>
      <c r="F344" s="10">
        <f>IF($AB344="","",IF(INDEX(기본자료!$D$2:$D$1001,$AB344)="","",INDEX(기본자료!$D$2:$D$1001,$AB344)))</f>
        <v/>
      </c>
      <c r="G344" s="10">
        <f>IF($AB344="","",IF(INDEX(기본자료!$E$2:$E$1001,$AB344)="","",INDEX(기본자료!$E$2:$E$1001,$AB344)))</f>
        <v/>
      </c>
      <c r="H344" s="10">
        <f>IF($AB344="","",IF(INDEX(기본자료!$F$2:$F$1001,$AB344)="","",INDEX(기본자료!$F$2:$F$1001,$AB344)))</f>
        <v/>
      </c>
      <c r="I344" s="11">
        <f>IF($AB344="","",IF(INDEX(기본자료!$G$2:$G$1001,$AB344)="","",IF(NOT(ISNUMBER(INDEX(기본자료!$G$2:$G$1001,$AB344))),INDEX(기본자료!$G$2:$G$1001,$AB344),IF(INDEX(기본자료!$G$2:$G$1001,$AB344)&lt;1000000,INDEX(기본자료!$G$2:$G$1001,$AB344),IF(AND(INDEX(기본자료!$G$2:$G$1001,$AB344)&gt;=10000101,INT(MOD(INDEX(기본자료!$G$2:$G$1001,$AB344),10000)/100)&gt;=1,INT(MOD(INDEX(기본자료!$G$2:$G$1001,$AB344),10000)/100)&lt;=12,MOD(INDEX(기본자료!$G$2:$G$1001,$AB344),100)&gt;=1,MOD(INDEX(기본자료!$G$2:$G$1001,$AB344),100)&lt;=31),DATE(INT(INDEX(기본자료!$G$2:$G$1001,$AB344)/10000),INT(MOD(INDEX(기본자료!$G$2:$G$1001,$AB344),10000)/100),MOD(INDEX(기본자료!$G$2:$G$1001,$AB344),100)),INDEX(기본자료!$G$2:$G$1001,$AB344)&amp;"")))))</f>
        <v/>
      </c>
      <c r="J344" s="10">
        <f>IF($AB344="","",IF(INDEX(기본자료!$H$2:$H$1001,$AB344)="","",INDEX(기본자료!$H$2:$H$1001,$AB344)))</f>
        <v/>
      </c>
      <c r="K344" s="10">
        <f>IF($AB344="","",IF(INDEX(기본자료!$I$2:$I$1001,$AB344)="","",INDEX(기본자료!$I$2:$I$1001,$AB344)))</f>
        <v/>
      </c>
      <c r="L344" s="10">
        <f>IF($AB344="","",IF(INDEX(기본자료!$A$2:$A$1001,$AB344)="","",INDEX(기본자료!$A$2:$A$1001,$AB344)))</f>
        <v/>
      </c>
      <c r="M344" s="15" t="n"/>
      <c r="N344" s="10">
        <f>IF($B344="","",IF(AND($U344="파견중",$Q344&lt;&gt;""),$Q344,IF(AND($AD344&lt;&gt;"",LEFT($AD344,1)&lt;&gt;"⚠"),LEFT($AD344,FIND(" ",$AD344)-1),IF($H344="","",IF(RIGHT($H344,2)="병원",$H344,$H344&amp;"병원")))))</f>
        <v/>
      </c>
      <c r="O344" s="10">
        <f>IF($B344="","",IF(AND($U344="파견중",$Q344&lt;&gt;""),IF($R344&lt;&gt;"",$R344,"파견과 미입력"),IF(AND($AD344&lt;&gt;"",LEFT($AD344,1)&lt;&gt;"⚠"),MID($AD344,FIND(" ",$AD344)+1,60),IF($F344="","",IF($F344="인턴","수련교육부(인턴)",$F344)))))</f>
        <v/>
      </c>
      <c r="P344" s="10">
        <f>IF($B344="","",IF($AK344&lt;&gt;"",IF(AND(TODAY()&gt;=INDEX(파견수련계획!$AB$4:$AB$83,$AK344),OR(NOT(ISNUMBER(INDEX(파견수련계획!$AC$4:$AC$83,$AK344))),TODAY()&lt;=INDEX(파견수련계획!$AC$4:$AC$83,$AK344))),"다기관",IF($AF344="","",INDEX(파견수련계획!$T$4:$T$83,$AF344))),IF($AF344="","",INDEX(파견수련계획!$T$4:$T$83,$AF344))))</f>
        <v/>
      </c>
      <c r="Q344" s="10">
        <f>IF($AF344="","",INDEX(파견수련계획!$S$4:$S$83,$AF344))</f>
        <v/>
      </c>
      <c r="R344" s="10">
        <f>IF($AF344="","",INDEX(파견수련계획!$U$4:$U$83,$AF344))</f>
        <v/>
      </c>
      <c r="S344" s="11">
        <f>IF($AF344="","",IF(INDEX(파견수련계획!$H$4:$H$83,$AF344)="","",INDEX(파견수련계획!$H$4:$H$83,$AF344)))</f>
        <v/>
      </c>
      <c r="T344" s="11">
        <f>IF($AF344="","",IF(INDEX(파견수련계획!$I$4:$I$83,$AF344)="","",INDEX(파견수련계획!$I$4:$I$83,$AF344)))</f>
        <v/>
      </c>
      <c r="U344" s="10">
        <f>IF($AF344="","",INDEX(파견수련계획!$X$4:$X$83,$AF344))</f>
        <v/>
      </c>
      <c r="V344" s="17">
        <f>IF($AF344="","",INDEX(파견수련계획!$V$4:$V$83,$AF344))</f>
        <v/>
      </c>
      <c r="W344" s="17">
        <f>IF(AND($U344="파견중",$T344&lt;&gt;""),$T344-TODAY(),"")</f>
        <v/>
      </c>
      <c r="X344" s="17">
        <f>IF(OR($B344="",TRIM($J344&amp;"")=""),"",SUMPRODUCT((파견수련계획!$Q$4:$Q$83=TRIM($J344&amp;""))*파견수련계획!$W$4:$W$83))</f>
        <v/>
      </c>
      <c r="Y344" s="10">
        <f>IF($B344="","",IF($AG344="","",IF(IF(TRIM($J344&amp;"")="",0,SUMPRODUCT((파견수련계획!$Q$4:$Q$83=TRIM($J344&amp;""))*파견수련계획!$AD$4:$AD$83))&gt;0,$AE344,IF(N($X344)&lt;=0,$AG344,IF($AH344+$AI344=DAY(EOMONTH(요약!$B$3,0)),IF(AND($AH344&gt;=요약!$E$3,$AI344&lt;요약!$E$3),"서울병원",IF(AND($AI344&gt;=요약!$E$3,$AH344&lt;요약!$E$3),"구리병원","⚠15일 판정불가(서울 "&amp;$AH344&amp;"일/구리 "&amp;$AI344&amp;"일)")),IF($AJ344="",$AE344,IF(INDEX(파견수련계획!$T$4:$T$83,$AJ344)="통합수련",INDEX(파견수련계획!$S$4:$S$83,$AJ344),$AE344)))))))</f>
        <v/>
      </c>
      <c r="Z344" s="19">
        <f>IF($B344="","",IF($AB344="","기본자료에 없는 사번",IF(COUNTIF($B$2:$B$401,$B344)&gt;1,"중복 사번",IF($AE344="","소속(입사장소) 입력",IF(IF(TRIM($J344&amp;"")="",0,SUMPRODUCT((파견수련계획!$Q$4:$Q$83=TRIM($J344&amp;""))*(파견수련계획!$AA$4:$AA$83&lt;&gt;"")))&gt;0,"파견수련계획 입력오류 확인",IF(LEFT($Y344,1)="⚠","서울·구리 15일 판정 불가(양쪽 모두 이상/미만)",IF(IF($AC344="",0,N(INDEX(인턴근무계획!$T$3:$T$62,$AC344)))&gt;0,"인턴계획 입력오류 확인",IF(AND($AC344&lt;&gt;"",$U344&lt;&gt;"파견중",$N344&lt;&gt;$AE344),"인턴 타지역 근무: 파견 여부 확인","정상"))))))))</f>
        <v/>
      </c>
      <c r="AA344" s="5" t="n"/>
      <c r="AB344" s="10">
        <f>IF($B344="","",IFERROR(MATCH($B344,기본자료!$B$2:$B$1001,0),IFERROR(MATCH($B344&amp;"",기본자료!$B$2:$B$1001,0),IFERROR(MATCH(VALUE($B344),기본자료!$B$2:$B$1001,0),""))))</f>
        <v/>
      </c>
      <c r="AC344" s="10">
        <f>IF($B344="","",IFERROR(MATCH($B344,인턴근무계획!$D$3:$D$62,0),IFERROR(MATCH($B344&amp;"",인턴근무계획!$D$3:$D$62,0),IFERROR(MATCH(VALUE($B344),인턴근무계획!$D$3:$D$62,0),""))))</f>
        <v/>
      </c>
      <c r="AD344" s="10">
        <f>IF(OR($AC344="",인턴현황!$G$3=""),"",INDEX(인턴근무계획!$M$3:$R$62,$AC344,인턴현황!$G$3)&amp;"")</f>
        <v/>
      </c>
      <c r="AE344" s="10">
        <f>IF($B344="","",IF($M344&lt;&gt;"",$M344,IF($AF344&lt;&gt;"",IF(LEFT(INDEX(파견수련계획!$R$4:$R$83,$AF344),1)&lt;&gt;"⚠",INDEX(파견수련계획!$R$4:$R$83,$AF344),IF($H344="","",IF(RIGHT($H344,2)="병원",$H344,$H344&amp;"병원"))),IF($H344="","",IF(RIGHT($H344,2)="병원",$H344,$H344&amp;"병원")))))</f>
        <v/>
      </c>
      <c r="AF344" s="10">
        <f>IF(OR($B344="",TRIM($J344&amp;"")=""),"",IFERROR(MATCH(TRIM($J344&amp;"")&amp;"|파견중",파견수련계획!$Y$4:$Y$83,0),IFERROR(MATCH(TRIM($J344&amp;"")&amp;"|파견예정",파견수련계획!$Y$4:$Y$83,0),IFERROR(MATCH(TRIM($J344&amp;"")&amp;"|파견종료",파견수련계획!$Y$4:$Y$83,0),""))))</f>
        <v/>
      </c>
      <c r="AG344" s="10">
        <f>IF($B344="","",IF(AND(IF(OR($AC344="",인턴현황!$K$2=""),"",INDEX(인턴근무계획!$M$3:$R$62,$AC344,인턴현황!$K$2)&amp;"")&lt;&gt;"",LEFT(IF(OR($AC344="",인턴현황!$K$2=""),"",INDEX(인턴근무계획!$M$3:$R$62,$AC344,인턴현황!$K$2)&amp;""),1)&lt;&gt;"⚠"),LEFT(IF(OR($AC344="",인턴현황!$K$2=""),"",INDEX(인턴근무계획!$M$3:$R$62,$AC344,인턴현황!$K$2)&amp;""),FIND(" ",IF(OR($AC344="",인턴현황!$K$2=""),"",INDEX(인턴근무계획!$M$3:$R$62,$AC344,인턴현황!$K$2)&amp;""))-1),$AE344))</f>
        <v/>
      </c>
      <c r="AH344" s="17">
        <f>IF($B344="","",IF(TRIM($J344&amp;"")="",0,SUMPRODUCT((파견수련계획!$Q$4:$Q$83=TRIM($J344&amp;""))*(파견수련계획!$S$4:$S$83="서울병원")*파견수련계획!$W$4:$W$83))+IF($AG344="서울병원",MAX(0,DAY(EOMONTH(요약!$B$3,0))-N($X344)),0))</f>
        <v/>
      </c>
      <c r="AI344" s="17">
        <f>IF($B344="","",IF(TRIM($J344&amp;"")="",0,SUMPRODUCT((파견수련계획!$Q$4:$Q$83=TRIM($J344&amp;""))*(파견수련계획!$S$4:$S$83="구리병원")*파견수련계획!$W$4:$W$83))+IF($AG344="구리병원",MAX(0,DAY(EOMONTH(요약!$B$3,0))-N($X344)),0))</f>
        <v/>
      </c>
      <c r="AJ344" s="10">
        <f>IF(OR($B344="",TRIM($J344&amp;"")=""),"",IFERROR(MATCH(TRIM($J344&amp;"")&amp;"|월",파견수련계획!$Z$4:$Z$83,0),""))</f>
        <v/>
      </c>
      <c r="AK344" s="10">
        <f>IF(OR($B344="",TRIM($J344&amp;"")=""),"",IFERROR(MATCH(TRIM($J344&amp;"")&amp;"|다기관",파견수련계획!$AE$4:$AE$83,0),""))</f>
        <v/>
      </c>
      <c r="AL344" s="10">
        <f>IF($AK344="","","다기관 "&amp;TEXT(INDEX(파견수련계획!$AB$4:$AB$83,$AK344),"yyyy-mm-dd")&amp;"~"&amp;IF(ISNUMBER(INDEX(파견수련계획!$AC$4:$AC$83,$AK344)),TEXT(INDEX(파견수련계획!$AC$4:$AC$83,$AK344),"yyyy-mm-dd"),""))</f>
        <v/>
      </c>
    </row>
    <row r="345">
      <c r="A345" s="10">
        <f>IF(B345="","",ROW()-1)</f>
        <v/>
      </c>
      <c r="B345" s="18" t="n"/>
      <c r="C345" s="10">
        <f>IF($AB345="","",IF(INDEX(기본자료!$C$2:$C$1001,$AB345)="","",INDEX(기본자료!$C$2:$C$1001,$AB345)))</f>
        <v/>
      </c>
      <c r="D345" s="10">
        <f>IF($AB345="","",IF(INDEX(기본자료!$J$2:$J$1001,$AB345)="","",INDEX(기본자료!$J$2:$J$1001,$AB345)))</f>
        <v/>
      </c>
      <c r="E345" s="11">
        <f>IF($AB345="","",IF(INDEX(기본자료!$K$2:$K$1001,$AB345)="","",IF(NOT(ISNUMBER(INDEX(기본자료!$K$2:$K$1001,$AB345))),INDEX(기본자료!$K$2:$K$1001,$AB345),IF(INDEX(기본자료!$K$2:$K$1001,$AB345)&lt;1000000,INDEX(기본자료!$K$2:$K$1001,$AB345),IF(AND(INDEX(기본자료!$K$2:$K$1001,$AB345)&gt;=10000101,INT(MOD(INDEX(기본자료!$K$2:$K$1001,$AB345),10000)/100)&gt;=1,INT(MOD(INDEX(기본자료!$K$2:$K$1001,$AB345),10000)/100)&lt;=12,MOD(INDEX(기본자료!$K$2:$K$1001,$AB345),100)&gt;=1,MOD(INDEX(기본자료!$K$2:$K$1001,$AB345),100)&lt;=31),DATE(INT(INDEX(기본자료!$K$2:$K$1001,$AB345)/10000),INT(MOD(INDEX(기본자료!$K$2:$K$1001,$AB345),10000)/100),MOD(INDEX(기본자료!$K$2:$K$1001,$AB345),100)),INDEX(기본자료!$K$2:$K$1001,$AB345)&amp;"")))))</f>
        <v/>
      </c>
      <c r="F345" s="10">
        <f>IF($AB345="","",IF(INDEX(기본자료!$D$2:$D$1001,$AB345)="","",INDEX(기본자료!$D$2:$D$1001,$AB345)))</f>
        <v/>
      </c>
      <c r="G345" s="10">
        <f>IF($AB345="","",IF(INDEX(기본자료!$E$2:$E$1001,$AB345)="","",INDEX(기본자료!$E$2:$E$1001,$AB345)))</f>
        <v/>
      </c>
      <c r="H345" s="10">
        <f>IF($AB345="","",IF(INDEX(기본자료!$F$2:$F$1001,$AB345)="","",INDEX(기본자료!$F$2:$F$1001,$AB345)))</f>
        <v/>
      </c>
      <c r="I345" s="11">
        <f>IF($AB345="","",IF(INDEX(기본자료!$G$2:$G$1001,$AB345)="","",IF(NOT(ISNUMBER(INDEX(기본자료!$G$2:$G$1001,$AB345))),INDEX(기본자료!$G$2:$G$1001,$AB345),IF(INDEX(기본자료!$G$2:$G$1001,$AB345)&lt;1000000,INDEX(기본자료!$G$2:$G$1001,$AB345),IF(AND(INDEX(기본자료!$G$2:$G$1001,$AB345)&gt;=10000101,INT(MOD(INDEX(기본자료!$G$2:$G$1001,$AB345),10000)/100)&gt;=1,INT(MOD(INDEX(기본자료!$G$2:$G$1001,$AB345),10000)/100)&lt;=12,MOD(INDEX(기본자료!$G$2:$G$1001,$AB345),100)&gt;=1,MOD(INDEX(기본자료!$G$2:$G$1001,$AB345),100)&lt;=31),DATE(INT(INDEX(기본자료!$G$2:$G$1001,$AB345)/10000),INT(MOD(INDEX(기본자료!$G$2:$G$1001,$AB345),10000)/100),MOD(INDEX(기본자료!$G$2:$G$1001,$AB345),100)),INDEX(기본자료!$G$2:$G$1001,$AB345)&amp;"")))))</f>
        <v/>
      </c>
      <c r="J345" s="10">
        <f>IF($AB345="","",IF(INDEX(기본자료!$H$2:$H$1001,$AB345)="","",INDEX(기본자료!$H$2:$H$1001,$AB345)))</f>
        <v/>
      </c>
      <c r="K345" s="10">
        <f>IF($AB345="","",IF(INDEX(기본자료!$I$2:$I$1001,$AB345)="","",INDEX(기본자료!$I$2:$I$1001,$AB345)))</f>
        <v/>
      </c>
      <c r="L345" s="10">
        <f>IF($AB345="","",IF(INDEX(기본자료!$A$2:$A$1001,$AB345)="","",INDEX(기본자료!$A$2:$A$1001,$AB345)))</f>
        <v/>
      </c>
      <c r="M345" s="15" t="n"/>
      <c r="N345" s="10">
        <f>IF($B345="","",IF(AND($U345="파견중",$Q345&lt;&gt;""),$Q345,IF(AND($AD345&lt;&gt;"",LEFT($AD345,1)&lt;&gt;"⚠"),LEFT($AD345,FIND(" ",$AD345)-1),IF($H345="","",IF(RIGHT($H345,2)="병원",$H345,$H345&amp;"병원")))))</f>
        <v/>
      </c>
      <c r="O345" s="10">
        <f>IF($B345="","",IF(AND($U345="파견중",$Q345&lt;&gt;""),IF($R345&lt;&gt;"",$R345,"파견과 미입력"),IF(AND($AD345&lt;&gt;"",LEFT($AD345,1)&lt;&gt;"⚠"),MID($AD345,FIND(" ",$AD345)+1,60),IF($F345="","",IF($F345="인턴","수련교육부(인턴)",$F345)))))</f>
        <v/>
      </c>
      <c r="P345" s="10">
        <f>IF($B345="","",IF($AK345&lt;&gt;"",IF(AND(TODAY()&gt;=INDEX(파견수련계획!$AB$4:$AB$83,$AK345),OR(NOT(ISNUMBER(INDEX(파견수련계획!$AC$4:$AC$83,$AK345))),TODAY()&lt;=INDEX(파견수련계획!$AC$4:$AC$83,$AK345))),"다기관",IF($AF345="","",INDEX(파견수련계획!$T$4:$T$83,$AF345))),IF($AF345="","",INDEX(파견수련계획!$T$4:$T$83,$AF345))))</f>
        <v/>
      </c>
      <c r="Q345" s="10">
        <f>IF($AF345="","",INDEX(파견수련계획!$S$4:$S$83,$AF345))</f>
        <v/>
      </c>
      <c r="R345" s="10">
        <f>IF($AF345="","",INDEX(파견수련계획!$U$4:$U$83,$AF345))</f>
        <v/>
      </c>
      <c r="S345" s="11">
        <f>IF($AF345="","",IF(INDEX(파견수련계획!$H$4:$H$83,$AF345)="","",INDEX(파견수련계획!$H$4:$H$83,$AF345)))</f>
        <v/>
      </c>
      <c r="T345" s="11">
        <f>IF($AF345="","",IF(INDEX(파견수련계획!$I$4:$I$83,$AF345)="","",INDEX(파견수련계획!$I$4:$I$83,$AF345)))</f>
        <v/>
      </c>
      <c r="U345" s="10">
        <f>IF($AF345="","",INDEX(파견수련계획!$X$4:$X$83,$AF345))</f>
        <v/>
      </c>
      <c r="V345" s="17">
        <f>IF($AF345="","",INDEX(파견수련계획!$V$4:$V$83,$AF345))</f>
        <v/>
      </c>
      <c r="W345" s="17">
        <f>IF(AND($U345="파견중",$T345&lt;&gt;""),$T345-TODAY(),"")</f>
        <v/>
      </c>
      <c r="X345" s="17">
        <f>IF(OR($B345="",TRIM($J345&amp;"")=""),"",SUMPRODUCT((파견수련계획!$Q$4:$Q$83=TRIM($J345&amp;""))*파견수련계획!$W$4:$W$83))</f>
        <v/>
      </c>
      <c r="Y345" s="10">
        <f>IF($B345="","",IF($AG345="","",IF(IF(TRIM($J345&amp;"")="",0,SUMPRODUCT((파견수련계획!$Q$4:$Q$83=TRIM($J345&amp;""))*파견수련계획!$AD$4:$AD$83))&gt;0,$AE345,IF(N($X345)&lt;=0,$AG345,IF($AH345+$AI345=DAY(EOMONTH(요약!$B$3,0)),IF(AND($AH345&gt;=요약!$E$3,$AI345&lt;요약!$E$3),"서울병원",IF(AND($AI345&gt;=요약!$E$3,$AH345&lt;요약!$E$3),"구리병원","⚠15일 판정불가(서울 "&amp;$AH345&amp;"일/구리 "&amp;$AI345&amp;"일)")),IF($AJ345="",$AE345,IF(INDEX(파견수련계획!$T$4:$T$83,$AJ345)="통합수련",INDEX(파견수련계획!$S$4:$S$83,$AJ345),$AE345)))))))</f>
        <v/>
      </c>
      <c r="Z345" s="19">
        <f>IF($B345="","",IF($AB345="","기본자료에 없는 사번",IF(COUNTIF($B$2:$B$401,$B345)&gt;1,"중복 사번",IF($AE345="","소속(입사장소) 입력",IF(IF(TRIM($J345&amp;"")="",0,SUMPRODUCT((파견수련계획!$Q$4:$Q$83=TRIM($J345&amp;""))*(파견수련계획!$AA$4:$AA$83&lt;&gt;"")))&gt;0,"파견수련계획 입력오류 확인",IF(LEFT($Y345,1)="⚠","서울·구리 15일 판정 불가(양쪽 모두 이상/미만)",IF(IF($AC345="",0,N(INDEX(인턴근무계획!$T$3:$T$62,$AC345)))&gt;0,"인턴계획 입력오류 확인",IF(AND($AC345&lt;&gt;"",$U345&lt;&gt;"파견중",$N345&lt;&gt;$AE345),"인턴 타지역 근무: 파견 여부 확인","정상"))))))))</f>
        <v/>
      </c>
      <c r="AA345" s="5" t="n"/>
      <c r="AB345" s="10">
        <f>IF($B345="","",IFERROR(MATCH($B345,기본자료!$B$2:$B$1001,0),IFERROR(MATCH($B345&amp;"",기본자료!$B$2:$B$1001,0),IFERROR(MATCH(VALUE($B345),기본자료!$B$2:$B$1001,0),""))))</f>
        <v/>
      </c>
      <c r="AC345" s="10">
        <f>IF($B345="","",IFERROR(MATCH($B345,인턴근무계획!$D$3:$D$62,0),IFERROR(MATCH($B345&amp;"",인턴근무계획!$D$3:$D$62,0),IFERROR(MATCH(VALUE($B345),인턴근무계획!$D$3:$D$62,0),""))))</f>
        <v/>
      </c>
      <c r="AD345" s="10">
        <f>IF(OR($AC345="",인턴현황!$G$3=""),"",INDEX(인턴근무계획!$M$3:$R$62,$AC345,인턴현황!$G$3)&amp;"")</f>
        <v/>
      </c>
      <c r="AE345" s="10">
        <f>IF($B345="","",IF($M345&lt;&gt;"",$M345,IF($AF345&lt;&gt;"",IF(LEFT(INDEX(파견수련계획!$R$4:$R$83,$AF345),1)&lt;&gt;"⚠",INDEX(파견수련계획!$R$4:$R$83,$AF345),IF($H345="","",IF(RIGHT($H345,2)="병원",$H345,$H345&amp;"병원"))),IF($H345="","",IF(RIGHT($H345,2)="병원",$H345,$H345&amp;"병원")))))</f>
        <v/>
      </c>
      <c r="AF345" s="10">
        <f>IF(OR($B345="",TRIM($J345&amp;"")=""),"",IFERROR(MATCH(TRIM($J345&amp;"")&amp;"|파견중",파견수련계획!$Y$4:$Y$83,0),IFERROR(MATCH(TRIM($J345&amp;"")&amp;"|파견예정",파견수련계획!$Y$4:$Y$83,0),IFERROR(MATCH(TRIM($J345&amp;"")&amp;"|파견종료",파견수련계획!$Y$4:$Y$83,0),""))))</f>
        <v/>
      </c>
      <c r="AG345" s="10">
        <f>IF($B345="","",IF(AND(IF(OR($AC345="",인턴현황!$K$2=""),"",INDEX(인턴근무계획!$M$3:$R$62,$AC345,인턴현황!$K$2)&amp;"")&lt;&gt;"",LEFT(IF(OR($AC345="",인턴현황!$K$2=""),"",INDEX(인턴근무계획!$M$3:$R$62,$AC345,인턴현황!$K$2)&amp;""),1)&lt;&gt;"⚠"),LEFT(IF(OR($AC345="",인턴현황!$K$2=""),"",INDEX(인턴근무계획!$M$3:$R$62,$AC345,인턴현황!$K$2)&amp;""),FIND(" ",IF(OR($AC345="",인턴현황!$K$2=""),"",INDEX(인턴근무계획!$M$3:$R$62,$AC345,인턴현황!$K$2)&amp;""))-1),$AE345))</f>
        <v/>
      </c>
      <c r="AH345" s="17">
        <f>IF($B345="","",IF(TRIM($J345&amp;"")="",0,SUMPRODUCT((파견수련계획!$Q$4:$Q$83=TRIM($J345&amp;""))*(파견수련계획!$S$4:$S$83="서울병원")*파견수련계획!$W$4:$W$83))+IF($AG345="서울병원",MAX(0,DAY(EOMONTH(요약!$B$3,0))-N($X345)),0))</f>
        <v/>
      </c>
      <c r="AI345" s="17">
        <f>IF($B345="","",IF(TRIM($J345&amp;"")="",0,SUMPRODUCT((파견수련계획!$Q$4:$Q$83=TRIM($J345&amp;""))*(파견수련계획!$S$4:$S$83="구리병원")*파견수련계획!$W$4:$W$83))+IF($AG345="구리병원",MAX(0,DAY(EOMONTH(요약!$B$3,0))-N($X345)),0))</f>
        <v/>
      </c>
      <c r="AJ345" s="10">
        <f>IF(OR($B345="",TRIM($J345&amp;"")=""),"",IFERROR(MATCH(TRIM($J345&amp;"")&amp;"|월",파견수련계획!$Z$4:$Z$83,0),""))</f>
        <v/>
      </c>
      <c r="AK345" s="10">
        <f>IF(OR($B345="",TRIM($J345&amp;"")=""),"",IFERROR(MATCH(TRIM($J345&amp;"")&amp;"|다기관",파견수련계획!$AE$4:$AE$83,0),""))</f>
        <v/>
      </c>
      <c r="AL345" s="10">
        <f>IF($AK345="","","다기관 "&amp;TEXT(INDEX(파견수련계획!$AB$4:$AB$83,$AK345),"yyyy-mm-dd")&amp;"~"&amp;IF(ISNUMBER(INDEX(파견수련계획!$AC$4:$AC$83,$AK345)),TEXT(INDEX(파견수련계획!$AC$4:$AC$83,$AK345),"yyyy-mm-dd"),""))</f>
        <v/>
      </c>
    </row>
    <row r="346">
      <c r="A346" s="10">
        <f>IF(B346="","",ROW()-1)</f>
        <v/>
      </c>
      <c r="B346" s="18" t="n"/>
      <c r="C346" s="10">
        <f>IF($AB346="","",IF(INDEX(기본자료!$C$2:$C$1001,$AB346)="","",INDEX(기본자료!$C$2:$C$1001,$AB346)))</f>
        <v/>
      </c>
      <c r="D346" s="10">
        <f>IF($AB346="","",IF(INDEX(기본자료!$J$2:$J$1001,$AB346)="","",INDEX(기본자료!$J$2:$J$1001,$AB346)))</f>
        <v/>
      </c>
      <c r="E346" s="11">
        <f>IF($AB346="","",IF(INDEX(기본자료!$K$2:$K$1001,$AB346)="","",IF(NOT(ISNUMBER(INDEX(기본자료!$K$2:$K$1001,$AB346))),INDEX(기본자료!$K$2:$K$1001,$AB346),IF(INDEX(기본자료!$K$2:$K$1001,$AB346)&lt;1000000,INDEX(기본자료!$K$2:$K$1001,$AB346),IF(AND(INDEX(기본자료!$K$2:$K$1001,$AB346)&gt;=10000101,INT(MOD(INDEX(기본자료!$K$2:$K$1001,$AB346),10000)/100)&gt;=1,INT(MOD(INDEX(기본자료!$K$2:$K$1001,$AB346),10000)/100)&lt;=12,MOD(INDEX(기본자료!$K$2:$K$1001,$AB346),100)&gt;=1,MOD(INDEX(기본자료!$K$2:$K$1001,$AB346),100)&lt;=31),DATE(INT(INDEX(기본자료!$K$2:$K$1001,$AB346)/10000),INT(MOD(INDEX(기본자료!$K$2:$K$1001,$AB346),10000)/100),MOD(INDEX(기본자료!$K$2:$K$1001,$AB346),100)),INDEX(기본자료!$K$2:$K$1001,$AB346)&amp;"")))))</f>
        <v/>
      </c>
      <c r="F346" s="10">
        <f>IF($AB346="","",IF(INDEX(기본자료!$D$2:$D$1001,$AB346)="","",INDEX(기본자료!$D$2:$D$1001,$AB346)))</f>
        <v/>
      </c>
      <c r="G346" s="10">
        <f>IF($AB346="","",IF(INDEX(기본자료!$E$2:$E$1001,$AB346)="","",INDEX(기본자료!$E$2:$E$1001,$AB346)))</f>
        <v/>
      </c>
      <c r="H346" s="10">
        <f>IF($AB346="","",IF(INDEX(기본자료!$F$2:$F$1001,$AB346)="","",INDEX(기본자료!$F$2:$F$1001,$AB346)))</f>
        <v/>
      </c>
      <c r="I346" s="11">
        <f>IF($AB346="","",IF(INDEX(기본자료!$G$2:$G$1001,$AB346)="","",IF(NOT(ISNUMBER(INDEX(기본자료!$G$2:$G$1001,$AB346))),INDEX(기본자료!$G$2:$G$1001,$AB346),IF(INDEX(기본자료!$G$2:$G$1001,$AB346)&lt;1000000,INDEX(기본자료!$G$2:$G$1001,$AB346),IF(AND(INDEX(기본자료!$G$2:$G$1001,$AB346)&gt;=10000101,INT(MOD(INDEX(기본자료!$G$2:$G$1001,$AB346),10000)/100)&gt;=1,INT(MOD(INDEX(기본자료!$G$2:$G$1001,$AB346),10000)/100)&lt;=12,MOD(INDEX(기본자료!$G$2:$G$1001,$AB346),100)&gt;=1,MOD(INDEX(기본자료!$G$2:$G$1001,$AB346),100)&lt;=31),DATE(INT(INDEX(기본자료!$G$2:$G$1001,$AB346)/10000),INT(MOD(INDEX(기본자료!$G$2:$G$1001,$AB346),10000)/100),MOD(INDEX(기본자료!$G$2:$G$1001,$AB346),100)),INDEX(기본자료!$G$2:$G$1001,$AB346)&amp;"")))))</f>
        <v/>
      </c>
      <c r="J346" s="10">
        <f>IF($AB346="","",IF(INDEX(기본자료!$H$2:$H$1001,$AB346)="","",INDEX(기본자료!$H$2:$H$1001,$AB346)))</f>
        <v/>
      </c>
      <c r="K346" s="10">
        <f>IF($AB346="","",IF(INDEX(기본자료!$I$2:$I$1001,$AB346)="","",INDEX(기본자료!$I$2:$I$1001,$AB346)))</f>
        <v/>
      </c>
      <c r="L346" s="10">
        <f>IF($AB346="","",IF(INDEX(기본자료!$A$2:$A$1001,$AB346)="","",INDEX(기본자료!$A$2:$A$1001,$AB346)))</f>
        <v/>
      </c>
      <c r="M346" s="15" t="n"/>
      <c r="N346" s="10">
        <f>IF($B346="","",IF(AND($U346="파견중",$Q346&lt;&gt;""),$Q346,IF(AND($AD346&lt;&gt;"",LEFT($AD346,1)&lt;&gt;"⚠"),LEFT($AD346,FIND(" ",$AD346)-1),IF($H346="","",IF(RIGHT($H346,2)="병원",$H346,$H346&amp;"병원")))))</f>
        <v/>
      </c>
      <c r="O346" s="10">
        <f>IF($B346="","",IF(AND($U346="파견중",$Q346&lt;&gt;""),IF($R346&lt;&gt;"",$R346,"파견과 미입력"),IF(AND($AD346&lt;&gt;"",LEFT($AD346,1)&lt;&gt;"⚠"),MID($AD346,FIND(" ",$AD346)+1,60),IF($F346="","",IF($F346="인턴","수련교육부(인턴)",$F346)))))</f>
        <v/>
      </c>
      <c r="P346" s="10">
        <f>IF($B346="","",IF($AK346&lt;&gt;"",IF(AND(TODAY()&gt;=INDEX(파견수련계획!$AB$4:$AB$83,$AK346),OR(NOT(ISNUMBER(INDEX(파견수련계획!$AC$4:$AC$83,$AK346))),TODAY()&lt;=INDEX(파견수련계획!$AC$4:$AC$83,$AK346))),"다기관",IF($AF346="","",INDEX(파견수련계획!$T$4:$T$83,$AF346))),IF($AF346="","",INDEX(파견수련계획!$T$4:$T$83,$AF346))))</f>
        <v/>
      </c>
      <c r="Q346" s="10">
        <f>IF($AF346="","",INDEX(파견수련계획!$S$4:$S$83,$AF346))</f>
        <v/>
      </c>
      <c r="R346" s="10">
        <f>IF($AF346="","",INDEX(파견수련계획!$U$4:$U$83,$AF346))</f>
        <v/>
      </c>
      <c r="S346" s="11">
        <f>IF($AF346="","",IF(INDEX(파견수련계획!$H$4:$H$83,$AF346)="","",INDEX(파견수련계획!$H$4:$H$83,$AF346)))</f>
        <v/>
      </c>
      <c r="T346" s="11">
        <f>IF($AF346="","",IF(INDEX(파견수련계획!$I$4:$I$83,$AF346)="","",INDEX(파견수련계획!$I$4:$I$83,$AF346)))</f>
        <v/>
      </c>
      <c r="U346" s="10">
        <f>IF($AF346="","",INDEX(파견수련계획!$X$4:$X$83,$AF346))</f>
        <v/>
      </c>
      <c r="V346" s="17">
        <f>IF($AF346="","",INDEX(파견수련계획!$V$4:$V$83,$AF346))</f>
        <v/>
      </c>
      <c r="W346" s="17">
        <f>IF(AND($U346="파견중",$T346&lt;&gt;""),$T346-TODAY(),"")</f>
        <v/>
      </c>
      <c r="X346" s="17">
        <f>IF(OR($B346="",TRIM($J346&amp;"")=""),"",SUMPRODUCT((파견수련계획!$Q$4:$Q$83=TRIM($J346&amp;""))*파견수련계획!$W$4:$W$83))</f>
        <v/>
      </c>
      <c r="Y346" s="10">
        <f>IF($B346="","",IF($AG346="","",IF(IF(TRIM($J346&amp;"")="",0,SUMPRODUCT((파견수련계획!$Q$4:$Q$83=TRIM($J346&amp;""))*파견수련계획!$AD$4:$AD$83))&gt;0,$AE346,IF(N($X346)&lt;=0,$AG346,IF($AH346+$AI346=DAY(EOMONTH(요약!$B$3,0)),IF(AND($AH346&gt;=요약!$E$3,$AI346&lt;요약!$E$3),"서울병원",IF(AND($AI346&gt;=요약!$E$3,$AH346&lt;요약!$E$3),"구리병원","⚠15일 판정불가(서울 "&amp;$AH346&amp;"일/구리 "&amp;$AI346&amp;"일)")),IF($AJ346="",$AE346,IF(INDEX(파견수련계획!$T$4:$T$83,$AJ346)="통합수련",INDEX(파견수련계획!$S$4:$S$83,$AJ346),$AE346)))))))</f>
        <v/>
      </c>
      <c r="Z346" s="19">
        <f>IF($B346="","",IF($AB346="","기본자료에 없는 사번",IF(COUNTIF($B$2:$B$401,$B346)&gt;1,"중복 사번",IF($AE346="","소속(입사장소) 입력",IF(IF(TRIM($J346&amp;"")="",0,SUMPRODUCT((파견수련계획!$Q$4:$Q$83=TRIM($J346&amp;""))*(파견수련계획!$AA$4:$AA$83&lt;&gt;"")))&gt;0,"파견수련계획 입력오류 확인",IF(LEFT($Y346,1)="⚠","서울·구리 15일 판정 불가(양쪽 모두 이상/미만)",IF(IF($AC346="",0,N(INDEX(인턴근무계획!$T$3:$T$62,$AC346)))&gt;0,"인턴계획 입력오류 확인",IF(AND($AC346&lt;&gt;"",$U346&lt;&gt;"파견중",$N346&lt;&gt;$AE346),"인턴 타지역 근무: 파견 여부 확인","정상"))))))))</f>
        <v/>
      </c>
      <c r="AA346" s="5" t="n"/>
      <c r="AB346" s="10">
        <f>IF($B346="","",IFERROR(MATCH($B346,기본자료!$B$2:$B$1001,0),IFERROR(MATCH($B346&amp;"",기본자료!$B$2:$B$1001,0),IFERROR(MATCH(VALUE($B346),기본자료!$B$2:$B$1001,0),""))))</f>
        <v/>
      </c>
      <c r="AC346" s="10">
        <f>IF($B346="","",IFERROR(MATCH($B346,인턴근무계획!$D$3:$D$62,0),IFERROR(MATCH($B346&amp;"",인턴근무계획!$D$3:$D$62,0),IFERROR(MATCH(VALUE($B346),인턴근무계획!$D$3:$D$62,0),""))))</f>
        <v/>
      </c>
      <c r="AD346" s="10">
        <f>IF(OR($AC346="",인턴현황!$G$3=""),"",INDEX(인턴근무계획!$M$3:$R$62,$AC346,인턴현황!$G$3)&amp;"")</f>
        <v/>
      </c>
      <c r="AE346" s="10">
        <f>IF($B346="","",IF($M346&lt;&gt;"",$M346,IF($AF346&lt;&gt;"",IF(LEFT(INDEX(파견수련계획!$R$4:$R$83,$AF346),1)&lt;&gt;"⚠",INDEX(파견수련계획!$R$4:$R$83,$AF346),IF($H346="","",IF(RIGHT($H346,2)="병원",$H346,$H346&amp;"병원"))),IF($H346="","",IF(RIGHT($H346,2)="병원",$H346,$H346&amp;"병원")))))</f>
        <v/>
      </c>
      <c r="AF346" s="10">
        <f>IF(OR($B346="",TRIM($J346&amp;"")=""),"",IFERROR(MATCH(TRIM($J346&amp;"")&amp;"|파견중",파견수련계획!$Y$4:$Y$83,0),IFERROR(MATCH(TRIM($J346&amp;"")&amp;"|파견예정",파견수련계획!$Y$4:$Y$83,0),IFERROR(MATCH(TRIM($J346&amp;"")&amp;"|파견종료",파견수련계획!$Y$4:$Y$83,0),""))))</f>
        <v/>
      </c>
      <c r="AG346" s="10">
        <f>IF($B346="","",IF(AND(IF(OR($AC346="",인턴현황!$K$2=""),"",INDEX(인턴근무계획!$M$3:$R$62,$AC346,인턴현황!$K$2)&amp;"")&lt;&gt;"",LEFT(IF(OR($AC346="",인턴현황!$K$2=""),"",INDEX(인턴근무계획!$M$3:$R$62,$AC346,인턴현황!$K$2)&amp;""),1)&lt;&gt;"⚠"),LEFT(IF(OR($AC346="",인턴현황!$K$2=""),"",INDEX(인턴근무계획!$M$3:$R$62,$AC346,인턴현황!$K$2)&amp;""),FIND(" ",IF(OR($AC346="",인턴현황!$K$2=""),"",INDEX(인턴근무계획!$M$3:$R$62,$AC346,인턴현황!$K$2)&amp;""))-1),$AE346))</f>
        <v/>
      </c>
      <c r="AH346" s="17">
        <f>IF($B346="","",IF(TRIM($J346&amp;"")="",0,SUMPRODUCT((파견수련계획!$Q$4:$Q$83=TRIM($J346&amp;""))*(파견수련계획!$S$4:$S$83="서울병원")*파견수련계획!$W$4:$W$83))+IF($AG346="서울병원",MAX(0,DAY(EOMONTH(요약!$B$3,0))-N($X346)),0))</f>
        <v/>
      </c>
      <c r="AI346" s="17">
        <f>IF($B346="","",IF(TRIM($J346&amp;"")="",0,SUMPRODUCT((파견수련계획!$Q$4:$Q$83=TRIM($J346&amp;""))*(파견수련계획!$S$4:$S$83="구리병원")*파견수련계획!$W$4:$W$83))+IF($AG346="구리병원",MAX(0,DAY(EOMONTH(요약!$B$3,0))-N($X346)),0))</f>
        <v/>
      </c>
      <c r="AJ346" s="10">
        <f>IF(OR($B346="",TRIM($J346&amp;"")=""),"",IFERROR(MATCH(TRIM($J346&amp;"")&amp;"|월",파견수련계획!$Z$4:$Z$83,0),""))</f>
        <v/>
      </c>
      <c r="AK346" s="10">
        <f>IF(OR($B346="",TRIM($J346&amp;"")=""),"",IFERROR(MATCH(TRIM($J346&amp;"")&amp;"|다기관",파견수련계획!$AE$4:$AE$83,0),""))</f>
        <v/>
      </c>
      <c r="AL346" s="10">
        <f>IF($AK346="","","다기관 "&amp;TEXT(INDEX(파견수련계획!$AB$4:$AB$83,$AK346),"yyyy-mm-dd")&amp;"~"&amp;IF(ISNUMBER(INDEX(파견수련계획!$AC$4:$AC$83,$AK346)),TEXT(INDEX(파견수련계획!$AC$4:$AC$83,$AK346),"yyyy-mm-dd"),""))</f>
        <v/>
      </c>
    </row>
    <row r="347">
      <c r="A347" s="10">
        <f>IF(B347="","",ROW()-1)</f>
        <v/>
      </c>
      <c r="B347" s="18" t="n"/>
      <c r="C347" s="10">
        <f>IF($AB347="","",IF(INDEX(기본자료!$C$2:$C$1001,$AB347)="","",INDEX(기본자료!$C$2:$C$1001,$AB347)))</f>
        <v/>
      </c>
      <c r="D347" s="10">
        <f>IF($AB347="","",IF(INDEX(기본자료!$J$2:$J$1001,$AB347)="","",INDEX(기본자료!$J$2:$J$1001,$AB347)))</f>
        <v/>
      </c>
      <c r="E347" s="11">
        <f>IF($AB347="","",IF(INDEX(기본자료!$K$2:$K$1001,$AB347)="","",IF(NOT(ISNUMBER(INDEX(기본자료!$K$2:$K$1001,$AB347))),INDEX(기본자료!$K$2:$K$1001,$AB347),IF(INDEX(기본자료!$K$2:$K$1001,$AB347)&lt;1000000,INDEX(기본자료!$K$2:$K$1001,$AB347),IF(AND(INDEX(기본자료!$K$2:$K$1001,$AB347)&gt;=10000101,INT(MOD(INDEX(기본자료!$K$2:$K$1001,$AB347),10000)/100)&gt;=1,INT(MOD(INDEX(기본자료!$K$2:$K$1001,$AB347),10000)/100)&lt;=12,MOD(INDEX(기본자료!$K$2:$K$1001,$AB347),100)&gt;=1,MOD(INDEX(기본자료!$K$2:$K$1001,$AB347),100)&lt;=31),DATE(INT(INDEX(기본자료!$K$2:$K$1001,$AB347)/10000),INT(MOD(INDEX(기본자료!$K$2:$K$1001,$AB347),10000)/100),MOD(INDEX(기본자료!$K$2:$K$1001,$AB347),100)),INDEX(기본자료!$K$2:$K$1001,$AB347)&amp;"")))))</f>
        <v/>
      </c>
      <c r="F347" s="10">
        <f>IF($AB347="","",IF(INDEX(기본자료!$D$2:$D$1001,$AB347)="","",INDEX(기본자료!$D$2:$D$1001,$AB347)))</f>
        <v/>
      </c>
      <c r="G347" s="10">
        <f>IF($AB347="","",IF(INDEX(기본자료!$E$2:$E$1001,$AB347)="","",INDEX(기본자료!$E$2:$E$1001,$AB347)))</f>
        <v/>
      </c>
      <c r="H347" s="10">
        <f>IF($AB347="","",IF(INDEX(기본자료!$F$2:$F$1001,$AB347)="","",INDEX(기본자료!$F$2:$F$1001,$AB347)))</f>
        <v/>
      </c>
      <c r="I347" s="11">
        <f>IF($AB347="","",IF(INDEX(기본자료!$G$2:$G$1001,$AB347)="","",IF(NOT(ISNUMBER(INDEX(기본자료!$G$2:$G$1001,$AB347))),INDEX(기본자료!$G$2:$G$1001,$AB347),IF(INDEX(기본자료!$G$2:$G$1001,$AB347)&lt;1000000,INDEX(기본자료!$G$2:$G$1001,$AB347),IF(AND(INDEX(기본자료!$G$2:$G$1001,$AB347)&gt;=10000101,INT(MOD(INDEX(기본자료!$G$2:$G$1001,$AB347),10000)/100)&gt;=1,INT(MOD(INDEX(기본자료!$G$2:$G$1001,$AB347),10000)/100)&lt;=12,MOD(INDEX(기본자료!$G$2:$G$1001,$AB347),100)&gt;=1,MOD(INDEX(기본자료!$G$2:$G$1001,$AB347),100)&lt;=31),DATE(INT(INDEX(기본자료!$G$2:$G$1001,$AB347)/10000),INT(MOD(INDEX(기본자료!$G$2:$G$1001,$AB347),10000)/100),MOD(INDEX(기본자료!$G$2:$G$1001,$AB347),100)),INDEX(기본자료!$G$2:$G$1001,$AB347)&amp;"")))))</f>
        <v/>
      </c>
      <c r="J347" s="10">
        <f>IF($AB347="","",IF(INDEX(기본자료!$H$2:$H$1001,$AB347)="","",INDEX(기본자료!$H$2:$H$1001,$AB347)))</f>
        <v/>
      </c>
      <c r="K347" s="10">
        <f>IF($AB347="","",IF(INDEX(기본자료!$I$2:$I$1001,$AB347)="","",INDEX(기본자료!$I$2:$I$1001,$AB347)))</f>
        <v/>
      </c>
      <c r="L347" s="10">
        <f>IF($AB347="","",IF(INDEX(기본자료!$A$2:$A$1001,$AB347)="","",INDEX(기본자료!$A$2:$A$1001,$AB347)))</f>
        <v/>
      </c>
      <c r="M347" s="15" t="n"/>
      <c r="N347" s="10">
        <f>IF($B347="","",IF(AND($U347="파견중",$Q347&lt;&gt;""),$Q347,IF(AND($AD347&lt;&gt;"",LEFT($AD347,1)&lt;&gt;"⚠"),LEFT($AD347,FIND(" ",$AD347)-1),IF($H347="","",IF(RIGHT($H347,2)="병원",$H347,$H347&amp;"병원")))))</f>
        <v/>
      </c>
      <c r="O347" s="10">
        <f>IF($B347="","",IF(AND($U347="파견중",$Q347&lt;&gt;""),IF($R347&lt;&gt;"",$R347,"파견과 미입력"),IF(AND($AD347&lt;&gt;"",LEFT($AD347,1)&lt;&gt;"⚠"),MID($AD347,FIND(" ",$AD347)+1,60),IF($F347="","",IF($F347="인턴","수련교육부(인턴)",$F347)))))</f>
        <v/>
      </c>
      <c r="P347" s="10">
        <f>IF($B347="","",IF($AK347&lt;&gt;"",IF(AND(TODAY()&gt;=INDEX(파견수련계획!$AB$4:$AB$83,$AK347),OR(NOT(ISNUMBER(INDEX(파견수련계획!$AC$4:$AC$83,$AK347))),TODAY()&lt;=INDEX(파견수련계획!$AC$4:$AC$83,$AK347))),"다기관",IF($AF347="","",INDEX(파견수련계획!$T$4:$T$83,$AF347))),IF($AF347="","",INDEX(파견수련계획!$T$4:$T$83,$AF347))))</f>
        <v/>
      </c>
      <c r="Q347" s="10">
        <f>IF($AF347="","",INDEX(파견수련계획!$S$4:$S$83,$AF347))</f>
        <v/>
      </c>
      <c r="R347" s="10">
        <f>IF($AF347="","",INDEX(파견수련계획!$U$4:$U$83,$AF347))</f>
        <v/>
      </c>
      <c r="S347" s="11">
        <f>IF($AF347="","",IF(INDEX(파견수련계획!$H$4:$H$83,$AF347)="","",INDEX(파견수련계획!$H$4:$H$83,$AF347)))</f>
        <v/>
      </c>
      <c r="T347" s="11">
        <f>IF($AF347="","",IF(INDEX(파견수련계획!$I$4:$I$83,$AF347)="","",INDEX(파견수련계획!$I$4:$I$83,$AF347)))</f>
        <v/>
      </c>
      <c r="U347" s="10">
        <f>IF($AF347="","",INDEX(파견수련계획!$X$4:$X$83,$AF347))</f>
        <v/>
      </c>
      <c r="V347" s="17">
        <f>IF($AF347="","",INDEX(파견수련계획!$V$4:$V$83,$AF347))</f>
        <v/>
      </c>
      <c r="W347" s="17">
        <f>IF(AND($U347="파견중",$T347&lt;&gt;""),$T347-TODAY(),"")</f>
        <v/>
      </c>
      <c r="X347" s="17">
        <f>IF(OR($B347="",TRIM($J347&amp;"")=""),"",SUMPRODUCT((파견수련계획!$Q$4:$Q$83=TRIM($J347&amp;""))*파견수련계획!$W$4:$W$83))</f>
        <v/>
      </c>
      <c r="Y347" s="10">
        <f>IF($B347="","",IF($AG347="","",IF(IF(TRIM($J347&amp;"")="",0,SUMPRODUCT((파견수련계획!$Q$4:$Q$83=TRIM($J347&amp;""))*파견수련계획!$AD$4:$AD$83))&gt;0,$AE347,IF(N($X347)&lt;=0,$AG347,IF($AH347+$AI347=DAY(EOMONTH(요약!$B$3,0)),IF(AND($AH347&gt;=요약!$E$3,$AI347&lt;요약!$E$3),"서울병원",IF(AND($AI347&gt;=요약!$E$3,$AH347&lt;요약!$E$3),"구리병원","⚠15일 판정불가(서울 "&amp;$AH347&amp;"일/구리 "&amp;$AI347&amp;"일)")),IF($AJ347="",$AE347,IF(INDEX(파견수련계획!$T$4:$T$83,$AJ347)="통합수련",INDEX(파견수련계획!$S$4:$S$83,$AJ347),$AE347)))))))</f>
        <v/>
      </c>
      <c r="Z347" s="19">
        <f>IF($B347="","",IF($AB347="","기본자료에 없는 사번",IF(COUNTIF($B$2:$B$401,$B347)&gt;1,"중복 사번",IF($AE347="","소속(입사장소) 입력",IF(IF(TRIM($J347&amp;"")="",0,SUMPRODUCT((파견수련계획!$Q$4:$Q$83=TRIM($J347&amp;""))*(파견수련계획!$AA$4:$AA$83&lt;&gt;"")))&gt;0,"파견수련계획 입력오류 확인",IF(LEFT($Y347,1)="⚠","서울·구리 15일 판정 불가(양쪽 모두 이상/미만)",IF(IF($AC347="",0,N(INDEX(인턴근무계획!$T$3:$T$62,$AC347)))&gt;0,"인턴계획 입력오류 확인",IF(AND($AC347&lt;&gt;"",$U347&lt;&gt;"파견중",$N347&lt;&gt;$AE347),"인턴 타지역 근무: 파견 여부 확인","정상"))))))))</f>
        <v/>
      </c>
      <c r="AA347" s="5" t="n"/>
      <c r="AB347" s="10">
        <f>IF($B347="","",IFERROR(MATCH($B347,기본자료!$B$2:$B$1001,0),IFERROR(MATCH($B347&amp;"",기본자료!$B$2:$B$1001,0),IFERROR(MATCH(VALUE($B347),기본자료!$B$2:$B$1001,0),""))))</f>
        <v/>
      </c>
      <c r="AC347" s="10">
        <f>IF($B347="","",IFERROR(MATCH($B347,인턴근무계획!$D$3:$D$62,0),IFERROR(MATCH($B347&amp;"",인턴근무계획!$D$3:$D$62,0),IFERROR(MATCH(VALUE($B347),인턴근무계획!$D$3:$D$62,0),""))))</f>
        <v/>
      </c>
      <c r="AD347" s="10">
        <f>IF(OR($AC347="",인턴현황!$G$3=""),"",INDEX(인턴근무계획!$M$3:$R$62,$AC347,인턴현황!$G$3)&amp;"")</f>
        <v/>
      </c>
      <c r="AE347" s="10">
        <f>IF($B347="","",IF($M347&lt;&gt;"",$M347,IF($AF347&lt;&gt;"",IF(LEFT(INDEX(파견수련계획!$R$4:$R$83,$AF347),1)&lt;&gt;"⚠",INDEX(파견수련계획!$R$4:$R$83,$AF347),IF($H347="","",IF(RIGHT($H347,2)="병원",$H347,$H347&amp;"병원"))),IF($H347="","",IF(RIGHT($H347,2)="병원",$H347,$H347&amp;"병원")))))</f>
        <v/>
      </c>
      <c r="AF347" s="10">
        <f>IF(OR($B347="",TRIM($J347&amp;"")=""),"",IFERROR(MATCH(TRIM($J347&amp;"")&amp;"|파견중",파견수련계획!$Y$4:$Y$83,0),IFERROR(MATCH(TRIM($J347&amp;"")&amp;"|파견예정",파견수련계획!$Y$4:$Y$83,0),IFERROR(MATCH(TRIM($J347&amp;"")&amp;"|파견종료",파견수련계획!$Y$4:$Y$83,0),""))))</f>
        <v/>
      </c>
      <c r="AG347" s="10">
        <f>IF($B347="","",IF(AND(IF(OR($AC347="",인턴현황!$K$2=""),"",INDEX(인턴근무계획!$M$3:$R$62,$AC347,인턴현황!$K$2)&amp;"")&lt;&gt;"",LEFT(IF(OR($AC347="",인턴현황!$K$2=""),"",INDEX(인턴근무계획!$M$3:$R$62,$AC347,인턴현황!$K$2)&amp;""),1)&lt;&gt;"⚠"),LEFT(IF(OR($AC347="",인턴현황!$K$2=""),"",INDEX(인턴근무계획!$M$3:$R$62,$AC347,인턴현황!$K$2)&amp;""),FIND(" ",IF(OR($AC347="",인턴현황!$K$2=""),"",INDEX(인턴근무계획!$M$3:$R$62,$AC347,인턴현황!$K$2)&amp;""))-1),$AE347))</f>
        <v/>
      </c>
      <c r="AH347" s="17">
        <f>IF($B347="","",IF(TRIM($J347&amp;"")="",0,SUMPRODUCT((파견수련계획!$Q$4:$Q$83=TRIM($J347&amp;""))*(파견수련계획!$S$4:$S$83="서울병원")*파견수련계획!$W$4:$W$83))+IF($AG347="서울병원",MAX(0,DAY(EOMONTH(요약!$B$3,0))-N($X347)),0))</f>
        <v/>
      </c>
      <c r="AI347" s="17">
        <f>IF($B347="","",IF(TRIM($J347&amp;"")="",0,SUMPRODUCT((파견수련계획!$Q$4:$Q$83=TRIM($J347&amp;""))*(파견수련계획!$S$4:$S$83="구리병원")*파견수련계획!$W$4:$W$83))+IF($AG347="구리병원",MAX(0,DAY(EOMONTH(요약!$B$3,0))-N($X347)),0))</f>
        <v/>
      </c>
      <c r="AJ347" s="10">
        <f>IF(OR($B347="",TRIM($J347&amp;"")=""),"",IFERROR(MATCH(TRIM($J347&amp;"")&amp;"|월",파견수련계획!$Z$4:$Z$83,0),""))</f>
        <v/>
      </c>
      <c r="AK347" s="10">
        <f>IF(OR($B347="",TRIM($J347&amp;"")=""),"",IFERROR(MATCH(TRIM($J347&amp;"")&amp;"|다기관",파견수련계획!$AE$4:$AE$83,0),""))</f>
        <v/>
      </c>
      <c r="AL347" s="10">
        <f>IF($AK347="","","다기관 "&amp;TEXT(INDEX(파견수련계획!$AB$4:$AB$83,$AK347),"yyyy-mm-dd")&amp;"~"&amp;IF(ISNUMBER(INDEX(파견수련계획!$AC$4:$AC$83,$AK347)),TEXT(INDEX(파견수련계획!$AC$4:$AC$83,$AK347),"yyyy-mm-dd"),""))</f>
        <v/>
      </c>
    </row>
    <row r="348">
      <c r="A348" s="10">
        <f>IF(B348="","",ROW()-1)</f>
        <v/>
      </c>
      <c r="B348" s="18" t="n"/>
      <c r="C348" s="10">
        <f>IF($AB348="","",IF(INDEX(기본자료!$C$2:$C$1001,$AB348)="","",INDEX(기본자료!$C$2:$C$1001,$AB348)))</f>
        <v/>
      </c>
      <c r="D348" s="10">
        <f>IF($AB348="","",IF(INDEX(기본자료!$J$2:$J$1001,$AB348)="","",INDEX(기본자료!$J$2:$J$1001,$AB348)))</f>
        <v/>
      </c>
      <c r="E348" s="11">
        <f>IF($AB348="","",IF(INDEX(기본자료!$K$2:$K$1001,$AB348)="","",IF(NOT(ISNUMBER(INDEX(기본자료!$K$2:$K$1001,$AB348))),INDEX(기본자료!$K$2:$K$1001,$AB348),IF(INDEX(기본자료!$K$2:$K$1001,$AB348)&lt;1000000,INDEX(기본자료!$K$2:$K$1001,$AB348),IF(AND(INDEX(기본자료!$K$2:$K$1001,$AB348)&gt;=10000101,INT(MOD(INDEX(기본자료!$K$2:$K$1001,$AB348),10000)/100)&gt;=1,INT(MOD(INDEX(기본자료!$K$2:$K$1001,$AB348),10000)/100)&lt;=12,MOD(INDEX(기본자료!$K$2:$K$1001,$AB348),100)&gt;=1,MOD(INDEX(기본자료!$K$2:$K$1001,$AB348),100)&lt;=31),DATE(INT(INDEX(기본자료!$K$2:$K$1001,$AB348)/10000),INT(MOD(INDEX(기본자료!$K$2:$K$1001,$AB348),10000)/100),MOD(INDEX(기본자료!$K$2:$K$1001,$AB348),100)),INDEX(기본자료!$K$2:$K$1001,$AB348)&amp;"")))))</f>
        <v/>
      </c>
      <c r="F348" s="10">
        <f>IF($AB348="","",IF(INDEX(기본자료!$D$2:$D$1001,$AB348)="","",INDEX(기본자료!$D$2:$D$1001,$AB348)))</f>
        <v/>
      </c>
      <c r="G348" s="10">
        <f>IF($AB348="","",IF(INDEX(기본자료!$E$2:$E$1001,$AB348)="","",INDEX(기본자료!$E$2:$E$1001,$AB348)))</f>
        <v/>
      </c>
      <c r="H348" s="10">
        <f>IF($AB348="","",IF(INDEX(기본자료!$F$2:$F$1001,$AB348)="","",INDEX(기본자료!$F$2:$F$1001,$AB348)))</f>
        <v/>
      </c>
      <c r="I348" s="11">
        <f>IF($AB348="","",IF(INDEX(기본자료!$G$2:$G$1001,$AB348)="","",IF(NOT(ISNUMBER(INDEX(기본자료!$G$2:$G$1001,$AB348))),INDEX(기본자료!$G$2:$G$1001,$AB348),IF(INDEX(기본자료!$G$2:$G$1001,$AB348)&lt;1000000,INDEX(기본자료!$G$2:$G$1001,$AB348),IF(AND(INDEX(기본자료!$G$2:$G$1001,$AB348)&gt;=10000101,INT(MOD(INDEX(기본자료!$G$2:$G$1001,$AB348),10000)/100)&gt;=1,INT(MOD(INDEX(기본자료!$G$2:$G$1001,$AB348),10000)/100)&lt;=12,MOD(INDEX(기본자료!$G$2:$G$1001,$AB348),100)&gt;=1,MOD(INDEX(기본자료!$G$2:$G$1001,$AB348),100)&lt;=31),DATE(INT(INDEX(기본자료!$G$2:$G$1001,$AB348)/10000),INT(MOD(INDEX(기본자료!$G$2:$G$1001,$AB348),10000)/100),MOD(INDEX(기본자료!$G$2:$G$1001,$AB348),100)),INDEX(기본자료!$G$2:$G$1001,$AB348)&amp;"")))))</f>
        <v/>
      </c>
      <c r="J348" s="10">
        <f>IF($AB348="","",IF(INDEX(기본자료!$H$2:$H$1001,$AB348)="","",INDEX(기본자료!$H$2:$H$1001,$AB348)))</f>
        <v/>
      </c>
      <c r="K348" s="10">
        <f>IF($AB348="","",IF(INDEX(기본자료!$I$2:$I$1001,$AB348)="","",INDEX(기본자료!$I$2:$I$1001,$AB348)))</f>
        <v/>
      </c>
      <c r="L348" s="10">
        <f>IF($AB348="","",IF(INDEX(기본자료!$A$2:$A$1001,$AB348)="","",INDEX(기본자료!$A$2:$A$1001,$AB348)))</f>
        <v/>
      </c>
      <c r="M348" s="15" t="n"/>
      <c r="N348" s="10">
        <f>IF($B348="","",IF(AND($U348="파견중",$Q348&lt;&gt;""),$Q348,IF(AND($AD348&lt;&gt;"",LEFT($AD348,1)&lt;&gt;"⚠"),LEFT($AD348,FIND(" ",$AD348)-1),IF($H348="","",IF(RIGHT($H348,2)="병원",$H348,$H348&amp;"병원")))))</f>
        <v/>
      </c>
      <c r="O348" s="10">
        <f>IF($B348="","",IF(AND($U348="파견중",$Q348&lt;&gt;""),IF($R348&lt;&gt;"",$R348,"파견과 미입력"),IF(AND($AD348&lt;&gt;"",LEFT($AD348,1)&lt;&gt;"⚠"),MID($AD348,FIND(" ",$AD348)+1,60),IF($F348="","",IF($F348="인턴","수련교육부(인턴)",$F348)))))</f>
        <v/>
      </c>
      <c r="P348" s="10">
        <f>IF($B348="","",IF($AK348&lt;&gt;"",IF(AND(TODAY()&gt;=INDEX(파견수련계획!$AB$4:$AB$83,$AK348),OR(NOT(ISNUMBER(INDEX(파견수련계획!$AC$4:$AC$83,$AK348))),TODAY()&lt;=INDEX(파견수련계획!$AC$4:$AC$83,$AK348))),"다기관",IF($AF348="","",INDEX(파견수련계획!$T$4:$T$83,$AF348))),IF($AF348="","",INDEX(파견수련계획!$T$4:$T$83,$AF348))))</f>
        <v/>
      </c>
      <c r="Q348" s="10">
        <f>IF($AF348="","",INDEX(파견수련계획!$S$4:$S$83,$AF348))</f>
        <v/>
      </c>
      <c r="R348" s="10">
        <f>IF($AF348="","",INDEX(파견수련계획!$U$4:$U$83,$AF348))</f>
        <v/>
      </c>
      <c r="S348" s="11">
        <f>IF($AF348="","",IF(INDEX(파견수련계획!$H$4:$H$83,$AF348)="","",INDEX(파견수련계획!$H$4:$H$83,$AF348)))</f>
        <v/>
      </c>
      <c r="T348" s="11">
        <f>IF($AF348="","",IF(INDEX(파견수련계획!$I$4:$I$83,$AF348)="","",INDEX(파견수련계획!$I$4:$I$83,$AF348)))</f>
        <v/>
      </c>
      <c r="U348" s="10">
        <f>IF($AF348="","",INDEX(파견수련계획!$X$4:$X$83,$AF348))</f>
        <v/>
      </c>
      <c r="V348" s="17">
        <f>IF($AF348="","",INDEX(파견수련계획!$V$4:$V$83,$AF348))</f>
        <v/>
      </c>
      <c r="W348" s="17">
        <f>IF(AND($U348="파견중",$T348&lt;&gt;""),$T348-TODAY(),"")</f>
        <v/>
      </c>
      <c r="X348" s="17">
        <f>IF(OR($B348="",TRIM($J348&amp;"")=""),"",SUMPRODUCT((파견수련계획!$Q$4:$Q$83=TRIM($J348&amp;""))*파견수련계획!$W$4:$W$83))</f>
        <v/>
      </c>
      <c r="Y348" s="10">
        <f>IF($B348="","",IF($AG348="","",IF(IF(TRIM($J348&amp;"")="",0,SUMPRODUCT((파견수련계획!$Q$4:$Q$83=TRIM($J348&amp;""))*파견수련계획!$AD$4:$AD$83))&gt;0,$AE348,IF(N($X348)&lt;=0,$AG348,IF($AH348+$AI348=DAY(EOMONTH(요약!$B$3,0)),IF(AND($AH348&gt;=요약!$E$3,$AI348&lt;요약!$E$3),"서울병원",IF(AND($AI348&gt;=요약!$E$3,$AH348&lt;요약!$E$3),"구리병원","⚠15일 판정불가(서울 "&amp;$AH348&amp;"일/구리 "&amp;$AI348&amp;"일)")),IF($AJ348="",$AE348,IF(INDEX(파견수련계획!$T$4:$T$83,$AJ348)="통합수련",INDEX(파견수련계획!$S$4:$S$83,$AJ348),$AE348)))))))</f>
        <v/>
      </c>
      <c r="Z348" s="19">
        <f>IF($B348="","",IF($AB348="","기본자료에 없는 사번",IF(COUNTIF($B$2:$B$401,$B348)&gt;1,"중복 사번",IF($AE348="","소속(입사장소) 입력",IF(IF(TRIM($J348&amp;"")="",0,SUMPRODUCT((파견수련계획!$Q$4:$Q$83=TRIM($J348&amp;""))*(파견수련계획!$AA$4:$AA$83&lt;&gt;"")))&gt;0,"파견수련계획 입력오류 확인",IF(LEFT($Y348,1)="⚠","서울·구리 15일 판정 불가(양쪽 모두 이상/미만)",IF(IF($AC348="",0,N(INDEX(인턴근무계획!$T$3:$T$62,$AC348)))&gt;0,"인턴계획 입력오류 확인",IF(AND($AC348&lt;&gt;"",$U348&lt;&gt;"파견중",$N348&lt;&gt;$AE348),"인턴 타지역 근무: 파견 여부 확인","정상"))))))))</f>
        <v/>
      </c>
      <c r="AA348" s="5" t="n"/>
      <c r="AB348" s="10">
        <f>IF($B348="","",IFERROR(MATCH($B348,기본자료!$B$2:$B$1001,0),IFERROR(MATCH($B348&amp;"",기본자료!$B$2:$B$1001,0),IFERROR(MATCH(VALUE($B348),기본자료!$B$2:$B$1001,0),""))))</f>
        <v/>
      </c>
      <c r="AC348" s="10">
        <f>IF($B348="","",IFERROR(MATCH($B348,인턴근무계획!$D$3:$D$62,0),IFERROR(MATCH($B348&amp;"",인턴근무계획!$D$3:$D$62,0),IFERROR(MATCH(VALUE($B348),인턴근무계획!$D$3:$D$62,0),""))))</f>
        <v/>
      </c>
      <c r="AD348" s="10">
        <f>IF(OR($AC348="",인턴현황!$G$3=""),"",INDEX(인턴근무계획!$M$3:$R$62,$AC348,인턴현황!$G$3)&amp;"")</f>
        <v/>
      </c>
      <c r="AE348" s="10">
        <f>IF($B348="","",IF($M348&lt;&gt;"",$M348,IF($AF348&lt;&gt;"",IF(LEFT(INDEX(파견수련계획!$R$4:$R$83,$AF348),1)&lt;&gt;"⚠",INDEX(파견수련계획!$R$4:$R$83,$AF348),IF($H348="","",IF(RIGHT($H348,2)="병원",$H348,$H348&amp;"병원"))),IF($H348="","",IF(RIGHT($H348,2)="병원",$H348,$H348&amp;"병원")))))</f>
        <v/>
      </c>
      <c r="AF348" s="10">
        <f>IF(OR($B348="",TRIM($J348&amp;"")=""),"",IFERROR(MATCH(TRIM($J348&amp;"")&amp;"|파견중",파견수련계획!$Y$4:$Y$83,0),IFERROR(MATCH(TRIM($J348&amp;"")&amp;"|파견예정",파견수련계획!$Y$4:$Y$83,0),IFERROR(MATCH(TRIM($J348&amp;"")&amp;"|파견종료",파견수련계획!$Y$4:$Y$83,0),""))))</f>
        <v/>
      </c>
      <c r="AG348" s="10">
        <f>IF($B348="","",IF(AND(IF(OR($AC348="",인턴현황!$K$2=""),"",INDEX(인턴근무계획!$M$3:$R$62,$AC348,인턴현황!$K$2)&amp;"")&lt;&gt;"",LEFT(IF(OR($AC348="",인턴현황!$K$2=""),"",INDEX(인턴근무계획!$M$3:$R$62,$AC348,인턴현황!$K$2)&amp;""),1)&lt;&gt;"⚠"),LEFT(IF(OR($AC348="",인턴현황!$K$2=""),"",INDEX(인턴근무계획!$M$3:$R$62,$AC348,인턴현황!$K$2)&amp;""),FIND(" ",IF(OR($AC348="",인턴현황!$K$2=""),"",INDEX(인턴근무계획!$M$3:$R$62,$AC348,인턴현황!$K$2)&amp;""))-1),$AE348))</f>
        <v/>
      </c>
      <c r="AH348" s="17">
        <f>IF($B348="","",IF(TRIM($J348&amp;"")="",0,SUMPRODUCT((파견수련계획!$Q$4:$Q$83=TRIM($J348&amp;""))*(파견수련계획!$S$4:$S$83="서울병원")*파견수련계획!$W$4:$W$83))+IF($AG348="서울병원",MAX(0,DAY(EOMONTH(요약!$B$3,0))-N($X348)),0))</f>
        <v/>
      </c>
      <c r="AI348" s="17">
        <f>IF($B348="","",IF(TRIM($J348&amp;"")="",0,SUMPRODUCT((파견수련계획!$Q$4:$Q$83=TRIM($J348&amp;""))*(파견수련계획!$S$4:$S$83="구리병원")*파견수련계획!$W$4:$W$83))+IF($AG348="구리병원",MAX(0,DAY(EOMONTH(요약!$B$3,0))-N($X348)),0))</f>
        <v/>
      </c>
      <c r="AJ348" s="10">
        <f>IF(OR($B348="",TRIM($J348&amp;"")=""),"",IFERROR(MATCH(TRIM($J348&amp;"")&amp;"|월",파견수련계획!$Z$4:$Z$83,0),""))</f>
        <v/>
      </c>
      <c r="AK348" s="10">
        <f>IF(OR($B348="",TRIM($J348&amp;"")=""),"",IFERROR(MATCH(TRIM($J348&amp;"")&amp;"|다기관",파견수련계획!$AE$4:$AE$83,0),""))</f>
        <v/>
      </c>
      <c r="AL348" s="10">
        <f>IF($AK348="","","다기관 "&amp;TEXT(INDEX(파견수련계획!$AB$4:$AB$83,$AK348),"yyyy-mm-dd")&amp;"~"&amp;IF(ISNUMBER(INDEX(파견수련계획!$AC$4:$AC$83,$AK348)),TEXT(INDEX(파견수련계획!$AC$4:$AC$83,$AK348),"yyyy-mm-dd"),""))</f>
        <v/>
      </c>
    </row>
    <row r="349">
      <c r="A349" s="10">
        <f>IF(B349="","",ROW()-1)</f>
        <v/>
      </c>
      <c r="B349" s="18" t="n"/>
      <c r="C349" s="10">
        <f>IF($AB349="","",IF(INDEX(기본자료!$C$2:$C$1001,$AB349)="","",INDEX(기본자료!$C$2:$C$1001,$AB349)))</f>
        <v/>
      </c>
      <c r="D349" s="10">
        <f>IF($AB349="","",IF(INDEX(기본자료!$J$2:$J$1001,$AB349)="","",INDEX(기본자료!$J$2:$J$1001,$AB349)))</f>
        <v/>
      </c>
      <c r="E349" s="11">
        <f>IF($AB349="","",IF(INDEX(기본자료!$K$2:$K$1001,$AB349)="","",IF(NOT(ISNUMBER(INDEX(기본자료!$K$2:$K$1001,$AB349))),INDEX(기본자료!$K$2:$K$1001,$AB349),IF(INDEX(기본자료!$K$2:$K$1001,$AB349)&lt;1000000,INDEX(기본자료!$K$2:$K$1001,$AB349),IF(AND(INDEX(기본자료!$K$2:$K$1001,$AB349)&gt;=10000101,INT(MOD(INDEX(기본자료!$K$2:$K$1001,$AB349),10000)/100)&gt;=1,INT(MOD(INDEX(기본자료!$K$2:$K$1001,$AB349),10000)/100)&lt;=12,MOD(INDEX(기본자료!$K$2:$K$1001,$AB349),100)&gt;=1,MOD(INDEX(기본자료!$K$2:$K$1001,$AB349),100)&lt;=31),DATE(INT(INDEX(기본자료!$K$2:$K$1001,$AB349)/10000),INT(MOD(INDEX(기본자료!$K$2:$K$1001,$AB349),10000)/100),MOD(INDEX(기본자료!$K$2:$K$1001,$AB349),100)),INDEX(기본자료!$K$2:$K$1001,$AB349)&amp;"")))))</f>
        <v/>
      </c>
      <c r="F349" s="10">
        <f>IF($AB349="","",IF(INDEX(기본자료!$D$2:$D$1001,$AB349)="","",INDEX(기본자료!$D$2:$D$1001,$AB349)))</f>
        <v/>
      </c>
      <c r="G349" s="10">
        <f>IF($AB349="","",IF(INDEX(기본자료!$E$2:$E$1001,$AB349)="","",INDEX(기본자료!$E$2:$E$1001,$AB349)))</f>
        <v/>
      </c>
      <c r="H349" s="10">
        <f>IF($AB349="","",IF(INDEX(기본자료!$F$2:$F$1001,$AB349)="","",INDEX(기본자료!$F$2:$F$1001,$AB349)))</f>
        <v/>
      </c>
      <c r="I349" s="11">
        <f>IF($AB349="","",IF(INDEX(기본자료!$G$2:$G$1001,$AB349)="","",IF(NOT(ISNUMBER(INDEX(기본자료!$G$2:$G$1001,$AB349))),INDEX(기본자료!$G$2:$G$1001,$AB349),IF(INDEX(기본자료!$G$2:$G$1001,$AB349)&lt;1000000,INDEX(기본자료!$G$2:$G$1001,$AB349),IF(AND(INDEX(기본자료!$G$2:$G$1001,$AB349)&gt;=10000101,INT(MOD(INDEX(기본자료!$G$2:$G$1001,$AB349),10000)/100)&gt;=1,INT(MOD(INDEX(기본자료!$G$2:$G$1001,$AB349),10000)/100)&lt;=12,MOD(INDEX(기본자료!$G$2:$G$1001,$AB349),100)&gt;=1,MOD(INDEX(기본자료!$G$2:$G$1001,$AB349),100)&lt;=31),DATE(INT(INDEX(기본자료!$G$2:$G$1001,$AB349)/10000),INT(MOD(INDEX(기본자료!$G$2:$G$1001,$AB349),10000)/100),MOD(INDEX(기본자료!$G$2:$G$1001,$AB349),100)),INDEX(기본자료!$G$2:$G$1001,$AB349)&amp;"")))))</f>
        <v/>
      </c>
      <c r="J349" s="10">
        <f>IF($AB349="","",IF(INDEX(기본자료!$H$2:$H$1001,$AB349)="","",INDEX(기본자료!$H$2:$H$1001,$AB349)))</f>
        <v/>
      </c>
      <c r="K349" s="10">
        <f>IF($AB349="","",IF(INDEX(기본자료!$I$2:$I$1001,$AB349)="","",INDEX(기본자료!$I$2:$I$1001,$AB349)))</f>
        <v/>
      </c>
      <c r="L349" s="10">
        <f>IF($AB349="","",IF(INDEX(기본자료!$A$2:$A$1001,$AB349)="","",INDEX(기본자료!$A$2:$A$1001,$AB349)))</f>
        <v/>
      </c>
      <c r="M349" s="15" t="n"/>
      <c r="N349" s="10">
        <f>IF($B349="","",IF(AND($U349="파견중",$Q349&lt;&gt;""),$Q349,IF(AND($AD349&lt;&gt;"",LEFT($AD349,1)&lt;&gt;"⚠"),LEFT($AD349,FIND(" ",$AD349)-1),IF($H349="","",IF(RIGHT($H349,2)="병원",$H349,$H349&amp;"병원")))))</f>
        <v/>
      </c>
      <c r="O349" s="10">
        <f>IF($B349="","",IF(AND($U349="파견중",$Q349&lt;&gt;""),IF($R349&lt;&gt;"",$R349,"파견과 미입력"),IF(AND($AD349&lt;&gt;"",LEFT($AD349,1)&lt;&gt;"⚠"),MID($AD349,FIND(" ",$AD349)+1,60),IF($F349="","",IF($F349="인턴","수련교육부(인턴)",$F349)))))</f>
        <v/>
      </c>
      <c r="P349" s="10">
        <f>IF($B349="","",IF($AK349&lt;&gt;"",IF(AND(TODAY()&gt;=INDEX(파견수련계획!$AB$4:$AB$83,$AK349),OR(NOT(ISNUMBER(INDEX(파견수련계획!$AC$4:$AC$83,$AK349))),TODAY()&lt;=INDEX(파견수련계획!$AC$4:$AC$83,$AK349))),"다기관",IF($AF349="","",INDEX(파견수련계획!$T$4:$T$83,$AF349))),IF($AF349="","",INDEX(파견수련계획!$T$4:$T$83,$AF349))))</f>
        <v/>
      </c>
      <c r="Q349" s="10">
        <f>IF($AF349="","",INDEX(파견수련계획!$S$4:$S$83,$AF349))</f>
        <v/>
      </c>
      <c r="R349" s="10">
        <f>IF($AF349="","",INDEX(파견수련계획!$U$4:$U$83,$AF349))</f>
        <v/>
      </c>
      <c r="S349" s="11">
        <f>IF($AF349="","",IF(INDEX(파견수련계획!$H$4:$H$83,$AF349)="","",INDEX(파견수련계획!$H$4:$H$83,$AF349)))</f>
        <v/>
      </c>
      <c r="T349" s="11">
        <f>IF($AF349="","",IF(INDEX(파견수련계획!$I$4:$I$83,$AF349)="","",INDEX(파견수련계획!$I$4:$I$83,$AF349)))</f>
        <v/>
      </c>
      <c r="U349" s="10">
        <f>IF($AF349="","",INDEX(파견수련계획!$X$4:$X$83,$AF349))</f>
        <v/>
      </c>
      <c r="V349" s="17">
        <f>IF($AF349="","",INDEX(파견수련계획!$V$4:$V$83,$AF349))</f>
        <v/>
      </c>
      <c r="W349" s="17">
        <f>IF(AND($U349="파견중",$T349&lt;&gt;""),$T349-TODAY(),"")</f>
        <v/>
      </c>
      <c r="X349" s="17">
        <f>IF(OR($B349="",TRIM($J349&amp;"")=""),"",SUMPRODUCT((파견수련계획!$Q$4:$Q$83=TRIM($J349&amp;""))*파견수련계획!$W$4:$W$83))</f>
        <v/>
      </c>
      <c r="Y349" s="10">
        <f>IF($B349="","",IF($AG349="","",IF(IF(TRIM($J349&amp;"")="",0,SUMPRODUCT((파견수련계획!$Q$4:$Q$83=TRIM($J349&amp;""))*파견수련계획!$AD$4:$AD$83))&gt;0,$AE349,IF(N($X349)&lt;=0,$AG349,IF($AH349+$AI349=DAY(EOMONTH(요약!$B$3,0)),IF(AND($AH349&gt;=요약!$E$3,$AI349&lt;요약!$E$3),"서울병원",IF(AND($AI349&gt;=요약!$E$3,$AH349&lt;요약!$E$3),"구리병원","⚠15일 판정불가(서울 "&amp;$AH349&amp;"일/구리 "&amp;$AI349&amp;"일)")),IF($AJ349="",$AE349,IF(INDEX(파견수련계획!$T$4:$T$83,$AJ349)="통합수련",INDEX(파견수련계획!$S$4:$S$83,$AJ349),$AE349)))))))</f>
        <v/>
      </c>
      <c r="Z349" s="19">
        <f>IF($B349="","",IF($AB349="","기본자료에 없는 사번",IF(COUNTIF($B$2:$B$401,$B349)&gt;1,"중복 사번",IF($AE349="","소속(입사장소) 입력",IF(IF(TRIM($J349&amp;"")="",0,SUMPRODUCT((파견수련계획!$Q$4:$Q$83=TRIM($J349&amp;""))*(파견수련계획!$AA$4:$AA$83&lt;&gt;"")))&gt;0,"파견수련계획 입력오류 확인",IF(LEFT($Y349,1)="⚠","서울·구리 15일 판정 불가(양쪽 모두 이상/미만)",IF(IF($AC349="",0,N(INDEX(인턴근무계획!$T$3:$T$62,$AC349)))&gt;0,"인턴계획 입력오류 확인",IF(AND($AC349&lt;&gt;"",$U349&lt;&gt;"파견중",$N349&lt;&gt;$AE349),"인턴 타지역 근무: 파견 여부 확인","정상"))))))))</f>
        <v/>
      </c>
      <c r="AA349" s="5" t="n"/>
      <c r="AB349" s="10">
        <f>IF($B349="","",IFERROR(MATCH($B349,기본자료!$B$2:$B$1001,0),IFERROR(MATCH($B349&amp;"",기본자료!$B$2:$B$1001,0),IFERROR(MATCH(VALUE($B349),기본자료!$B$2:$B$1001,0),""))))</f>
        <v/>
      </c>
      <c r="AC349" s="10">
        <f>IF($B349="","",IFERROR(MATCH($B349,인턴근무계획!$D$3:$D$62,0),IFERROR(MATCH($B349&amp;"",인턴근무계획!$D$3:$D$62,0),IFERROR(MATCH(VALUE($B349),인턴근무계획!$D$3:$D$62,0),""))))</f>
        <v/>
      </c>
      <c r="AD349" s="10">
        <f>IF(OR($AC349="",인턴현황!$G$3=""),"",INDEX(인턴근무계획!$M$3:$R$62,$AC349,인턴현황!$G$3)&amp;"")</f>
        <v/>
      </c>
      <c r="AE349" s="10">
        <f>IF($B349="","",IF($M349&lt;&gt;"",$M349,IF($AF349&lt;&gt;"",IF(LEFT(INDEX(파견수련계획!$R$4:$R$83,$AF349),1)&lt;&gt;"⚠",INDEX(파견수련계획!$R$4:$R$83,$AF349),IF($H349="","",IF(RIGHT($H349,2)="병원",$H349,$H349&amp;"병원"))),IF($H349="","",IF(RIGHT($H349,2)="병원",$H349,$H349&amp;"병원")))))</f>
        <v/>
      </c>
      <c r="AF349" s="10">
        <f>IF(OR($B349="",TRIM($J349&amp;"")=""),"",IFERROR(MATCH(TRIM($J349&amp;"")&amp;"|파견중",파견수련계획!$Y$4:$Y$83,0),IFERROR(MATCH(TRIM($J349&amp;"")&amp;"|파견예정",파견수련계획!$Y$4:$Y$83,0),IFERROR(MATCH(TRIM($J349&amp;"")&amp;"|파견종료",파견수련계획!$Y$4:$Y$83,0),""))))</f>
        <v/>
      </c>
      <c r="AG349" s="10">
        <f>IF($B349="","",IF(AND(IF(OR($AC349="",인턴현황!$K$2=""),"",INDEX(인턴근무계획!$M$3:$R$62,$AC349,인턴현황!$K$2)&amp;"")&lt;&gt;"",LEFT(IF(OR($AC349="",인턴현황!$K$2=""),"",INDEX(인턴근무계획!$M$3:$R$62,$AC349,인턴현황!$K$2)&amp;""),1)&lt;&gt;"⚠"),LEFT(IF(OR($AC349="",인턴현황!$K$2=""),"",INDEX(인턴근무계획!$M$3:$R$62,$AC349,인턴현황!$K$2)&amp;""),FIND(" ",IF(OR($AC349="",인턴현황!$K$2=""),"",INDEX(인턴근무계획!$M$3:$R$62,$AC349,인턴현황!$K$2)&amp;""))-1),$AE349))</f>
        <v/>
      </c>
      <c r="AH349" s="17">
        <f>IF($B349="","",IF(TRIM($J349&amp;"")="",0,SUMPRODUCT((파견수련계획!$Q$4:$Q$83=TRIM($J349&amp;""))*(파견수련계획!$S$4:$S$83="서울병원")*파견수련계획!$W$4:$W$83))+IF($AG349="서울병원",MAX(0,DAY(EOMONTH(요약!$B$3,0))-N($X349)),0))</f>
        <v/>
      </c>
      <c r="AI349" s="17">
        <f>IF($B349="","",IF(TRIM($J349&amp;"")="",0,SUMPRODUCT((파견수련계획!$Q$4:$Q$83=TRIM($J349&amp;""))*(파견수련계획!$S$4:$S$83="구리병원")*파견수련계획!$W$4:$W$83))+IF($AG349="구리병원",MAX(0,DAY(EOMONTH(요약!$B$3,0))-N($X349)),0))</f>
        <v/>
      </c>
      <c r="AJ349" s="10">
        <f>IF(OR($B349="",TRIM($J349&amp;"")=""),"",IFERROR(MATCH(TRIM($J349&amp;"")&amp;"|월",파견수련계획!$Z$4:$Z$83,0),""))</f>
        <v/>
      </c>
      <c r="AK349" s="10">
        <f>IF(OR($B349="",TRIM($J349&amp;"")=""),"",IFERROR(MATCH(TRIM($J349&amp;"")&amp;"|다기관",파견수련계획!$AE$4:$AE$83,0),""))</f>
        <v/>
      </c>
      <c r="AL349" s="10">
        <f>IF($AK349="","","다기관 "&amp;TEXT(INDEX(파견수련계획!$AB$4:$AB$83,$AK349),"yyyy-mm-dd")&amp;"~"&amp;IF(ISNUMBER(INDEX(파견수련계획!$AC$4:$AC$83,$AK349)),TEXT(INDEX(파견수련계획!$AC$4:$AC$83,$AK349),"yyyy-mm-dd"),""))</f>
        <v/>
      </c>
    </row>
    <row r="350">
      <c r="A350" s="10">
        <f>IF(B350="","",ROW()-1)</f>
        <v/>
      </c>
      <c r="B350" s="18" t="n"/>
      <c r="C350" s="10">
        <f>IF($AB350="","",IF(INDEX(기본자료!$C$2:$C$1001,$AB350)="","",INDEX(기본자료!$C$2:$C$1001,$AB350)))</f>
        <v/>
      </c>
      <c r="D350" s="10">
        <f>IF($AB350="","",IF(INDEX(기본자료!$J$2:$J$1001,$AB350)="","",INDEX(기본자료!$J$2:$J$1001,$AB350)))</f>
        <v/>
      </c>
      <c r="E350" s="11">
        <f>IF($AB350="","",IF(INDEX(기본자료!$K$2:$K$1001,$AB350)="","",IF(NOT(ISNUMBER(INDEX(기본자료!$K$2:$K$1001,$AB350))),INDEX(기본자료!$K$2:$K$1001,$AB350),IF(INDEX(기본자료!$K$2:$K$1001,$AB350)&lt;1000000,INDEX(기본자료!$K$2:$K$1001,$AB350),IF(AND(INDEX(기본자료!$K$2:$K$1001,$AB350)&gt;=10000101,INT(MOD(INDEX(기본자료!$K$2:$K$1001,$AB350),10000)/100)&gt;=1,INT(MOD(INDEX(기본자료!$K$2:$K$1001,$AB350),10000)/100)&lt;=12,MOD(INDEX(기본자료!$K$2:$K$1001,$AB350),100)&gt;=1,MOD(INDEX(기본자료!$K$2:$K$1001,$AB350),100)&lt;=31),DATE(INT(INDEX(기본자료!$K$2:$K$1001,$AB350)/10000),INT(MOD(INDEX(기본자료!$K$2:$K$1001,$AB350),10000)/100),MOD(INDEX(기본자료!$K$2:$K$1001,$AB350),100)),INDEX(기본자료!$K$2:$K$1001,$AB350)&amp;"")))))</f>
        <v/>
      </c>
      <c r="F350" s="10">
        <f>IF($AB350="","",IF(INDEX(기본자료!$D$2:$D$1001,$AB350)="","",INDEX(기본자료!$D$2:$D$1001,$AB350)))</f>
        <v/>
      </c>
      <c r="G350" s="10">
        <f>IF($AB350="","",IF(INDEX(기본자료!$E$2:$E$1001,$AB350)="","",INDEX(기본자료!$E$2:$E$1001,$AB350)))</f>
        <v/>
      </c>
      <c r="H350" s="10">
        <f>IF($AB350="","",IF(INDEX(기본자료!$F$2:$F$1001,$AB350)="","",INDEX(기본자료!$F$2:$F$1001,$AB350)))</f>
        <v/>
      </c>
      <c r="I350" s="11">
        <f>IF($AB350="","",IF(INDEX(기본자료!$G$2:$G$1001,$AB350)="","",IF(NOT(ISNUMBER(INDEX(기본자료!$G$2:$G$1001,$AB350))),INDEX(기본자료!$G$2:$G$1001,$AB350),IF(INDEX(기본자료!$G$2:$G$1001,$AB350)&lt;1000000,INDEX(기본자료!$G$2:$G$1001,$AB350),IF(AND(INDEX(기본자료!$G$2:$G$1001,$AB350)&gt;=10000101,INT(MOD(INDEX(기본자료!$G$2:$G$1001,$AB350),10000)/100)&gt;=1,INT(MOD(INDEX(기본자료!$G$2:$G$1001,$AB350),10000)/100)&lt;=12,MOD(INDEX(기본자료!$G$2:$G$1001,$AB350),100)&gt;=1,MOD(INDEX(기본자료!$G$2:$G$1001,$AB350),100)&lt;=31),DATE(INT(INDEX(기본자료!$G$2:$G$1001,$AB350)/10000),INT(MOD(INDEX(기본자료!$G$2:$G$1001,$AB350),10000)/100),MOD(INDEX(기본자료!$G$2:$G$1001,$AB350),100)),INDEX(기본자료!$G$2:$G$1001,$AB350)&amp;"")))))</f>
        <v/>
      </c>
      <c r="J350" s="10">
        <f>IF($AB350="","",IF(INDEX(기본자료!$H$2:$H$1001,$AB350)="","",INDEX(기본자료!$H$2:$H$1001,$AB350)))</f>
        <v/>
      </c>
      <c r="K350" s="10">
        <f>IF($AB350="","",IF(INDEX(기본자료!$I$2:$I$1001,$AB350)="","",INDEX(기본자료!$I$2:$I$1001,$AB350)))</f>
        <v/>
      </c>
      <c r="L350" s="10">
        <f>IF($AB350="","",IF(INDEX(기본자료!$A$2:$A$1001,$AB350)="","",INDEX(기본자료!$A$2:$A$1001,$AB350)))</f>
        <v/>
      </c>
      <c r="M350" s="15" t="n"/>
      <c r="N350" s="10">
        <f>IF($B350="","",IF(AND($U350="파견중",$Q350&lt;&gt;""),$Q350,IF(AND($AD350&lt;&gt;"",LEFT($AD350,1)&lt;&gt;"⚠"),LEFT($AD350,FIND(" ",$AD350)-1),IF($H350="","",IF(RIGHT($H350,2)="병원",$H350,$H350&amp;"병원")))))</f>
        <v/>
      </c>
      <c r="O350" s="10">
        <f>IF($B350="","",IF(AND($U350="파견중",$Q350&lt;&gt;""),IF($R350&lt;&gt;"",$R350,"파견과 미입력"),IF(AND($AD350&lt;&gt;"",LEFT($AD350,1)&lt;&gt;"⚠"),MID($AD350,FIND(" ",$AD350)+1,60),IF($F350="","",IF($F350="인턴","수련교육부(인턴)",$F350)))))</f>
        <v/>
      </c>
      <c r="P350" s="10">
        <f>IF($B350="","",IF($AK350&lt;&gt;"",IF(AND(TODAY()&gt;=INDEX(파견수련계획!$AB$4:$AB$83,$AK350),OR(NOT(ISNUMBER(INDEX(파견수련계획!$AC$4:$AC$83,$AK350))),TODAY()&lt;=INDEX(파견수련계획!$AC$4:$AC$83,$AK350))),"다기관",IF($AF350="","",INDEX(파견수련계획!$T$4:$T$83,$AF350))),IF($AF350="","",INDEX(파견수련계획!$T$4:$T$83,$AF350))))</f>
        <v/>
      </c>
      <c r="Q350" s="10">
        <f>IF($AF350="","",INDEX(파견수련계획!$S$4:$S$83,$AF350))</f>
        <v/>
      </c>
      <c r="R350" s="10">
        <f>IF($AF350="","",INDEX(파견수련계획!$U$4:$U$83,$AF350))</f>
        <v/>
      </c>
      <c r="S350" s="11">
        <f>IF($AF350="","",IF(INDEX(파견수련계획!$H$4:$H$83,$AF350)="","",INDEX(파견수련계획!$H$4:$H$83,$AF350)))</f>
        <v/>
      </c>
      <c r="T350" s="11">
        <f>IF($AF350="","",IF(INDEX(파견수련계획!$I$4:$I$83,$AF350)="","",INDEX(파견수련계획!$I$4:$I$83,$AF350)))</f>
        <v/>
      </c>
      <c r="U350" s="10">
        <f>IF($AF350="","",INDEX(파견수련계획!$X$4:$X$83,$AF350))</f>
        <v/>
      </c>
      <c r="V350" s="17">
        <f>IF($AF350="","",INDEX(파견수련계획!$V$4:$V$83,$AF350))</f>
        <v/>
      </c>
      <c r="W350" s="17">
        <f>IF(AND($U350="파견중",$T350&lt;&gt;""),$T350-TODAY(),"")</f>
        <v/>
      </c>
      <c r="X350" s="17">
        <f>IF(OR($B350="",TRIM($J350&amp;"")=""),"",SUMPRODUCT((파견수련계획!$Q$4:$Q$83=TRIM($J350&amp;""))*파견수련계획!$W$4:$W$83))</f>
        <v/>
      </c>
      <c r="Y350" s="10">
        <f>IF($B350="","",IF($AG350="","",IF(IF(TRIM($J350&amp;"")="",0,SUMPRODUCT((파견수련계획!$Q$4:$Q$83=TRIM($J350&amp;""))*파견수련계획!$AD$4:$AD$83))&gt;0,$AE350,IF(N($X350)&lt;=0,$AG350,IF($AH350+$AI350=DAY(EOMONTH(요약!$B$3,0)),IF(AND($AH350&gt;=요약!$E$3,$AI350&lt;요약!$E$3),"서울병원",IF(AND($AI350&gt;=요약!$E$3,$AH350&lt;요약!$E$3),"구리병원","⚠15일 판정불가(서울 "&amp;$AH350&amp;"일/구리 "&amp;$AI350&amp;"일)")),IF($AJ350="",$AE350,IF(INDEX(파견수련계획!$T$4:$T$83,$AJ350)="통합수련",INDEX(파견수련계획!$S$4:$S$83,$AJ350),$AE350)))))))</f>
        <v/>
      </c>
      <c r="Z350" s="19">
        <f>IF($B350="","",IF($AB350="","기본자료에 없는 사번",IF(COUNTIF($B$2:$B$401,$B350)&gt;1,"중복 사번",IF($AE350="","소속(입사장소) 입력",IF(IF(TRIM($J350&amp;"")="",0,SUMPRODUCT((파견수련계획!$Q$4:$Q$83=TRIM($J350&amp;""))*(파견수련계획!$AA$4:$AA$83&lt;&gt;"")))&gt;0,"파견수련계획 입력오류 확인",IF(LEFT($Y350,1)="⚠","서울·구리 15일 판정 불가(양쪽 모두 이상/미만)",IF(IF($AC350="",0,N(INDEX(인턴근무계획!$T$3:$T$62,$AC350)))&gt;0,"인턴계획 입력오류 확인",IF(AND($AC350&lt;&gt;"",$U350&lt;&gt;"파견중",$N350&lt;&gt;$AE350),"인턴 타지역 근무: 파견 여부 확인","정상"))))))))</f>
        <v/>
      </c>
      <c r="AA350" s="5" t="n"/>
      <c r="AB350" s="10">
        <f>IF($B350="","",IFERROR(MATCH($B350,기본자료!$B$2:$B$1001,0),IFERROR(MATCH($B350&amp;"",기본자료!$B$2:$B$1001,0),IFERROR(MATCH(VALUE($B350),기본자료!$B$2:$B$1001,0),""))))</f>
        <v/>
      </c>
      <c r="AC350" s="10">
        <f>IF($B350="","",IFERROR(MATCH($B350,인턴근무계획!$D$3:$D$62,0),IFERROR(MATCH($B350&amp;"",인턴근무계획!$D$3:$D$62,0),IFERROR(MATCH(VALUE($B350),인턴근무계획!$D$3:$D$62,0),""))))</f>
        <v/>
      </c>
      <c r="AD350" s="10">
        <f>IF(OR($AC350="",인턴현황!$G$3=""),"",INDEX(인턴근무계획!$M$3:$R$62,$AC350,인턴현황!$G$3)&amp;"")</f>
        <v/>
      </c>
      <c r="AE350" s="10">
        <f>IF($B350="","",IF($M350&lt;&gt;"",$M350,IF($AF350&lt;&gt;"",IF(LEFT(INDEX(파견수련계획!$R$4:$R$83,$AF350),1)&lt;&gt;"⚠",INDEX(파견수련계획!$R$4:$R$83,$AF350),IF($H350="","",IF(RIGHT($H350,2)="병원",$H350,$H350&amp;"병원"))),IF($H350="","",IF(RIGHT($H350,2)="병원",$H350,$H350&amp;"병원")))))</f>
        <v/>
      </c>
      <c r="AF350" s="10">
        <f>IF(OR($B350="",TRIM($J350&amp;"")=""),"",IFERROR(MATCH(TRIM($J350&amp;"")&amp;"|파견중",파견수련계획!$Y$4:$Y$83,0),IFERROR(MATCH(TRIM($J350&amp;"")&amp;"|파견예정",파견수련계획!$Y$4:$Y$83,0),IFERROR(MATCH(TRIM($J350&amp;"")&amp;"|파견종료",파견수련계획!$Y$4:$Y$83,0),""))))</f>
        <v/>
      </c>
      <c r="AG350" s="10">
        <f>IF($B350="","",IF(AND(IF(OR($AC350="",인턴현황!$K$2=""),"",INDEX(인턴근무계획!$M$3:$R$62,$AC350,인턴현황!$K$2)&amp;"")&lt;&gt;"",LEFT(IF(OR($AC350="",인턴현황!$K$2=""),"",INDEX(인턴근무계획!$M$3:$R$62,$AC350,인턴현황!$K$2)&amp;""),1)&lt;&gt;"⚠"),LEFT(IF(OR($AC350="",인턴현황!$K$2=""),"",INDEX(인턴근무계획!$M$3:$R$62,$AC350,인턴현황!$K$2)&amp;""),FIND(" ",IF(OR($AC350="",인턴현황!$K$2=""),"",INDEX(인턴근무계획!$M$3:$R$62,$AC350,인턴현황!$K$2)&amp;""))-1),$AE350))</f>
        <v/>
      </c>
      <c r="AH350" s="17">
        <f>IF($B350="","",IF(TRIM($J350&amp;"")="",0,SUMPRODUCT((파견수련계획!$Q$4:$Q$83=TRIM($J350&amp;""))*(파견수련계획!$S$4:$S$83="서울병원")*파견수련계획!$W$4:$W$83))+IF($AG350="서울병원",MAX(0,DAY(EOMONTH(요약!$B$3,0))-N($X350)),0))</f>
        <v/>
      </c>
      <c r="AI350" s="17">
        <f>IF($B350="","",IF(TRIM($J350&amp;"")="",0,SUMPRODUCT((파견수련계획!$Q$4:$Q$83=TRIM($J350&amp;""))*(파견수련계획!$S$4:$S$83="구리병원")*파견수련계획!$W$4:$W$83))+IF($AG350="구리병원",MAX(0,DAY(EOMONTH(요약!$B$3,0))-N($X350)),0))</f>
        <v/>
      </c>
      <c r="AJ350" s="10">
        <f>IF(OR($B350="",TRIM($J350&amp;"")=""),"",IFERROR(MATCH(TRIM($J350&amp;"")&amp;"|월",파견수련계획!$Z$4:$Z$83,0),""))</f>
        <v/>
      </c>
      <c r="AK350" s="10">
        <f>IF(OR($B350="",TRIM($J350&amp;"")=""),"",IFERROR(MATCH(TRIM($J350&amp;"")&amp;"|다기관",파견수련계획!$AE$4:$AE$83,0),""))</f>
        <v/>
      </c>
      <c r="AL350" s="10">
        <f>IF($AK350="","","다기관 "&amp;TEXT(INDEX(파견수련계획!$AB$4:$AB$83,$AK350),"yyyy-mm-dd")&amp;"~"&amp;IF(ISNUMBER(INDEX(파견수련계획!$AC$4:$AC$83,$AK350)),TEXT(INDEX(파견수련계획!$AC$4:$AC$83,$AK350),"yyyy-mm-dd"),""))</f>
        <v/>
      </c>
    </row>
    <row r="351">
      <c r="A351" s="10">
        <f>IF(B351="","",ROW()-1)</f>
        <v/>
      </c>
      <c r="B351" s="18" t="n"/>
      <c r="C351" s="10">
        <f>IF($AB351="","",IF(INDEX(기본자료!$C$2:$C$1001,$AB351)="","",INDEX(기본자료!$C$2:$C$1001,$AB351)))</f>
        <v/>
      </c>
      <c r="D351" s="10">
        <f>IF($AB351="","",IF(INDEX(기본자료!$J$2:$J$1001,$AB351)="","",INDEX(기본자료!$J$2:$J$1001,$AB351)))</f>
        <v/>
      </c>
      <c r="E351" s="11">
        <f>IF($AB351="","",IF(INDEX(기본자료!$K$2:$K$1001,$AB351)="","",IF(NOT(ISNUMBER(INDEX(기본자료!$K$2:$K$1001,$AB351))),INDEX(기본자료!$K$2:$K$1001,$AB351),IF(INDEX(기본자료!$K$2:$K$1001,$AB351)&lt;1000000,INDEX(기본자료!$K$2:$K$1001,$AB351),IF(AND(INDEX(기본자료!$K$2:$K$1001,$AB351)&gt;=10000101,INT(MOD(INDEX(기본자료!$K$2:$K$1001,$AB351),10000)/100)&gt;=1,INT(MOD(INDEX(기본자료!$K$2:$K$1001,$AB351),10000)/100)&lt;=12,MOD(INDEX(기본자료!$K$2:$K$1001,$AB351),100)&gt;=1,MOD(INDEX(기본자료!$K$2:$K$1001,$AB351),100)&lt;=31),DATE(INT(INDEX(기본자료!$K$2:$K$1001,$AB351)/10000),INT(MOD(INDEX(기본자료!$K$2:$K$1001,$AB351),10000)/100),MOD(INDEX(기본자료!$K$2:$K$1001,$AB351),100)),INDEX(기본자료!$K$2:$K$1001,$AB351)&amp;"")))))</f>
        <v/>
      </c>
      <c r="F351" s="10">
        <f>IF($AB351="","",IF(INDEX(기본자료!$D$2:$D$1001,$AB351)="","",INDEX(기본자료!$D$2:$D$1001,$AB351)))</f>
        <v/>
      </c>
      <c r="G351" s="10">
        <f>IF($AB351="","",IF(INDEX(기본자료!$E$2:$E$1001,$AB351)="","",INDEX(기본자료!$E$2:$E$1001,$AB351)))</f>
        <v/>
      </c>
      <c r="H351" s="10">
        <f>IF($AB351="","",IF(INDEX(기본자료!$F$2:$F$1001,$AB351)="","",INDEX(기본자료!$F$2:$F$1001,$AB351)))</f>
        <v/>
      </c>
      <c r="I351" s="11">
        <f>IF($AB351="","",IF(INDEX(기본자료!$G$2:$G$1001,$AB351)="","",IF(NOT(ISNUMBER(INDEX(기본자료!$G$2:$G$1001,$AB351))),INDEX(기본자료!$G$2:$G$1001,$AB351),IF(INDEX(기본자료!$G$2:$G$1001,$AB351)&lt;1000000,INDEX(기본자료!$G$2:$G$1001,$AB351),IF(AND(INDEX(기본자료!$G$2:$G$1001,$AB351)&gt;=10000101,INT(MOD(INDEX(기본자료!$G$2:$G$1001,$AB351),10000)/100)&gt;=1,INT(MOD(INDEX(기본자료!$G$2:$G$1001,$AB351),10000)/100)&lt;=12,MOD(INDEX(기본자료!$G$2:$G$1001,$AB351),100)&gt;=1,MOD(INDEX(기본자료!$G$2:$G$1001,$AB351),100)&lt;=31),DATE(INT(INDEX(기본자료!$G$2:$G$1001,$AB351)/10000),INT(MOD(INDEX(기본자료!$G$2:$G$1001,$AB351),10000)/100),MOD(INDEX(기본자료!$G$2:$G$1001,$AB351),100)),INDEX(기본자료!$G$2:$G$1001,$AB351)&amp;"")))))</f>
        <v/>
      </c>
      <c r="J351" s="10">
        <f>IF($AB351="","",IF(INDEX(기본자료!$H$2:$H$1001,$AB351)="","",INDEX(기본자료!$H$2:$H$1001,$AB351)))</f>
        <v/>
      </c>
      <c r="K351" s="10">
        <f>IF($AB351="","",IF(INDEX(기본자료!$I$2:$I$1001,$AB351)="","",INDEX(기본자료!$I$2:$I$1001,$AB351)))</f>
        <v/>
      </c>
      <c r="L351" s="10">
        <f>IF($AB351="","",IF(INDEX(기본자료!$A$2:$A$1001,$AB351)="","",INDEX(기본자료!$A$2:$A$1001,$AB351)))</f>
        <v/>
      </c>
      <c r="M351" s="15" t="n"/>
      <c r="N351" s="10">
        <f>IF($B351="","",IF(AND($U351="파견중",$Q351&lt;&gt;""),$Q351,IF(AND($AD351&lt;&gt;"",LEFT($AD351,1)&lt;&gt;"⚠"),LEFT($AD351,FIND(" ",$AD351)-1),IF($H351="","",IF(RIGHT($H351,2)="병원",$H351,$H351&amp;"병원")))))</f>
        <v/>
      </c>
      <c r="O351" s="10">
        <f>IF($B351="","",IF(AND($U351="파견중",$Q351&lt;&gt;""),IF($R351&lt;&gt;"",$R351,"파견과 미입력"),IF(AND($AD351&lt;&gt;"",LEFT($AD351,1)&lt;&gt;"⚠"),MID($AD351,FIND(" ",$AD351)+1,60),IF($F351="","",IF($F351="인턴","수련교육부(인턴)",$F351)))))</f>
        <v/>
      </c>
      <c r="P351" s="10">
        <f>IF($B351="","",IF($AK351&lt;&gt;"",IF(AND(TODAY()&gt;=INDEX(파견수련계획!$AB$4:$AB$83,$AK351),OR(NOT(ISNUMBER(INDEX(파견수련계획!$AC$4:$AC$83,$AK351))),TODAY()&lt;=INDEX(파견수련계획!$AC$4:$AC$83,$AK351))),"다기관",IF($AF351="","",INDEX(파견수련계획!$T$4:$T$83,$AF351))),IF($AF351="","",INDEX(파견수련계획!$T$4:$T$83,$AF351))))</f>
        <v/>
      </c>
      <c r="Q351" s="10">
        <f>IF($AF351="","",INDEX(파견수련계획!$S$4:$S$83,$AF351))</f>
        <v/>
      </c>
      <c r="R351" s="10">
        <f>IF($AF351="","",INDEX(파견수련계획!$U$4:$U$83,$AF351))</f>
        <v/>
      </c>
      <c r="S351" s="11">
        <f>IF($AF351="","",IF(INDEX(파견수련계획!$H$4:$H$83,$AF351)="","",INDEX(파견수련계획!$H$4:$H$83,$AF351)))</f>
        <v/>
      </c>
      <c r="T351" s="11">
        <f>IF($AF351="","",IF(INDEX(파견수련계획!$I$4:$I$83,$AF351)="","",INDEX(파견수련계획!$I$4:$I$83,$AF351)))</f>
        <v/>
      </c>
      <c r="U351" s="10">
        <f>IF($AF351="","",INDEX(파견수련계획!$X$4:$X$83,$AF351))</f>
        <v/>
      </c>
      <c r="V351" s="17">
        <f>IF($AF351="","",INDEX(파견수련계획!$V$4:$V$83,$AF351))</f>
        <v/>
      </c>
      <c r="W351" s="17">
        <f>IF(AND($U351="파견중",$T351&lt;&gt;""),$T351-TODAY(),"")</f>
        <v/>
      </c>
      <c r="X351" s="17">
        <f>IF(OR($B351="",TRIM($J351&amp;"")=""),"",SUMPRODUCT((파견수련계획!$Q$4:$Q$83=TRIM($J351&amp;""))*파견수련계획!$W$4:$W$83))</f>
        <v/>
      </c>
      <c r="Y351" s="10">
        <f>IF($B351="","",IF($AG351="","",IF(IF(TRIM($J351&amp;"")="",0,SUMPRODUCT((파견수련계획!$Q$4:$Q$83=TRIM($J351&amp;""))*파견수련계획!$AD$4:$AD$83))&gt;0,$AE351,IF(N($X351)&lt;=0,$AG351,IF($AH351+$AI351=DAY(EOMONTH(요약!$B$3,0)),IF(AND($AH351&gt;=요약!$E$3,$AI351&lt;요약!$E$3),"서울병원",IF(AND($AI351&gt;=요약!$E$3,$AH351&lt;요약!$E$3),"구리병원","⚠15일 판정불가(서울 "&amp;$AH351&amp;"일/구리 "&amp;$AI351&amp;"일)")),IF($AJ351="",$AE351,IF(INDEX(파견수련계획!$T$4:$T$83,$AJ351)="통합수련",INDEX(파견수련계획!$S$4:$S$83,$AJ351),$AE351)))))))</f>
        <v/>
      </c>
      <c r="Z351" s="19">
        <f>IF($B351="","",IF($AB351="","기본자료에 없는 사번",IF(COUNTIF($B$2:$B$401,$B351)&gt;1,"중복 사번",IF($AE351="","소속(입사장소) 입력",IF(IF(TRIM($J351&amp;"")="",0,SUMPRODUCT((파견수련계획!$Q$4:$Q$83=TRIM($J351&amp;""))*(파견수련계획!$AA$4:$AA$83&lt;&gt;"")))&gt;0,"파견수련계획 입력오류 확인",IF(LEFT($Y351,1)="⚠","서울·구리 15일 판정 불가(양쪽 모두 이상/미만)",IF(IF($AC351="",0,N(INDEX(인턴근무계획!$T$3:$T$62,$AC351)))&gt;0,"인턴계획 입력오류 확인",IF(AND($AC351&lt;&gt;"",$U351&lt;&gt;"파견중",$N351&lt;&gt;$AE351),"인턴 타지역 근무: 파견 여부 확인","정상"))))))))</f>
        <v/>
      </c>
      <c r="AA351" s="5" t="n"/>
      <c r="AB351" s="10">
        <f>IF($B351="","",IFERROR(MATCH($B351,기본자료!$B$2:$B$1001,0),IFERROR(MATCH($B351&amp;"",기본자료!$B$2:$B$1001,0),IFERROR(MATCH(VALUE($B351),기본자료!$B$2:$B$1001,0),""))))</f>
        <v/>
      </c>
      <c r="AC351" s="10">
        <f>IF($B351="","",IFERROR(MATCH($B351,인턴근무계획!$D$3:$D$62,0),IFERROR(MATCH($B351&amp;"",인턴근무계획!$D$3:$D$62,0),IFERROR(MATCH(VALUE($B351),인턴근무계획!$D$3:$D$62,0),""))))</f>
        <v/>
      </c>
      <c r="AD351" s="10">
        <f>IF(OR($AC351="",인턴현황!$G$3=""),"",INDEX(인턴근무계획!$M$3:$R$62,$AC351,인턴현황!$G$3)&amp;"")</f>
        <v/>
      </c>
      <c r="AE351" s="10">
        <f>IF($B351="","",IF($M351&lt;&gt;"",$M351,IF($AF351&lt;&gt;"",IF(LEFT(INDEX(파견수련계획!$R$4:$R$83,$AF351),1)&lt;&gt;"⚠",INDEX(파견수련계획!$R$4:$R$83,$AF351),IF($H351="","",IF(RIGHT($H351,2)="병원",$H351,$H351&amp;"병원"))),IF($H351="","",IF(RIGHT($H351,2)="병원",$H351,$H351&amp;"병원")))))</f>
        <v/>
      </c>
      <c r="AF351" s="10">
        <f>IF(OR($B351="",TRIM($J351&amp;"")=""),"",IFERROR(MATCH(TRIM($J351&amp;"")&amp;"|파견중",파견수련계획!$Y$4:$Y$83,0),IFERROR(MATCH(TRIM($J351&amp;"")&amp;"|파견예정",파견수련계획!$Y$4:$Y$83,0),IFERROR(MATCH(TRIM($J351&amp;"")&amp;"|파견종료",파견수련계획!$Y$4:$Y$83,0),""))))</f>
        <v/>
      </c>
      <c r="AG351" s="10">
        <f>IF($B351="","",IF(AND(IF(OR($AC351="",인턴현황!$K$2=""),"",INDEX(인턴근무계획!$M$3:$R$62,$AC351,인턴현황!$K$2)&amp;"")&lt;&gt;"",LEFT(IF(OR($AC351="",인턴현황!$K$2=""),"",INDEX(인턴근무계획!$M$3:$R$62,$AC351,인턴현황!$K$2)&amp;""),1)&lt;&gt;"⚠"),LEFT(IF(OR($AC351="",인턴현황!$K$2=""),"",INDEX(인턴근무계획!$M$3:$R$62,$AC351,인턴현황!$K$2)&amp;""),FIND(" ",IF(OR($AC351="",인턴현황!$K$2=""),"",INDEX(인턴근무계획!$M$3:$R$62,$AC351,인턴현황!$K$2)&amp;""))-1),$AE351))</f>
        <v/>
      </c>
      <c r="AH351" s="17">
        <f>IF($B351="","",IF(TRIM($J351&amp;"")="",0,SUMPRODUCT((파견수련계획!$Q$4:$Q$83=TRIM($J351&amp;""))*(파견수련계획!$S$4:$S$83="서울병원")*파견수련계획!$W$4:$W$83))+IF($AG351="서울병원",MAX(0,DAY(EOMONTH(요약!$B$3,0))-N($X351)),0))</f>
        <v/>
      </c>
      <c r="AI351" s="17">
        <f>IF($B351="","",IF(TRIM($J351&amp;"")="",0,SUMPRODUCT((파견수련계획!$Q$4:$Q$83=TRIM($J351&amp;""))*(파견수련계획!$S$4:$S$83="구리병원")*파견수련계획!$W$4:$W$83))+IF($AG351="구리병원",MAX(0,DAY(EOMONTH(요약!$B$3,0))-N($X351)),0))</f>
        <v/>
      </c>
      <c r="AJ351" s="10">
        <f>IF(OR($B351="",TRIM($J351&amp;"")=""),"",IFERROR(MATCH(TRIM($J351&amp;"")&amp;"|월",파견수련계획!$Z$4:$Z$83,0),""))</f>
        <v/>
      </c>
      <c r="AK351" s="10">
        <f>IF(OR($B351="",TRIM($J351&amp;"")=""),"",IFERROR(MATCH(TRIM($J351&amp;"")&amp;"|다기관",파견수련계획!$AE$4:$AE$83,0),""))</f>
        <v/>
      </c>
      <c r="AL351" s="10">
        <f>IF($AK351="","","다기관 "&amp;TEXT(INDEX(파견수련계획!$AB$4:$AB$83,$AK351),"yyyy-mm-dd")&amp;"~"&amp;IF(ISNUMBER(INDEX(파견수련계획!$AC$4:$AC$83,$AK351)),TEXT(INDEX(파견수련계획!$AC$4:$AC$83,$AK351),"yyyy-mm-dd"),""))</f>
        <v/>
      </c>
    </row>
    <row r="352">
      <c r="A352" s="10">
        <f>IF(B352="","",ROW()-1)</f>
        <v/>
      </c>
      <c r="B352" s="18" t="n"/>
      <c r="C352" s="10">
        <f>IF($AB352="","",IF(INDEX(기본자료!$C$2:$C$1001,$AB352)="","",INDEX(기본자료!$C$2:$C$1001,$AB352)))</f>
        <v/>
      </c>
      <c r="D352" s="10">
        <f>IF($AB352="","",IF(INDEX(기본자료!$J$2:$J$1001,$AB352)="","",INDEX(기본자료!$J$2:$J$1001,$AB352)))</f>
        <v/>
      </c>
      <c r="E352" s="11">
        <f>IF($AB352="","",IF(INDEX(기본자료!$K$2:$K$1001,$AB352)="","",IF(NOT(ISNUMBER(INDEX(기본자료!$K$2:$K$1001,$AB352))),INDEX(기본자료!$K$2:$K$1001,$AB352),IF(INDEX(기본자료!$K$2:$K$1001,$AB352)&lt;1000000,INDEX(기본자료!$K$2:$K$1001,$AB352),IF(AND(INDEX(기본자료!$K$2:$K$1001,$AB352)&gt;=10000101,INT(MOD(INDEX(기본자료!$K$2:$K$1001,$AB352),10000)/100)&gt;=1,INT(MOD(INDEX(기본자료!$K$2:$K$1001,$AB352),10000)/100)&lt;=12,MOD(INDEX(기본자료!$K$2:$K$1001,$AB352),100)&gt;=1,MOD(INDEX(기본자료!$K$2:$K$1001,$AB352),100)&lt;=31),DATE(INT(INDEX(기본자료!$K$2:$K$1001,$AB352)/10000),INT(MOD(INDEX(기본자료!$K$2:$K$1001,$AB352),10000)/100),MOD(INDEX(기본자료!$K$2:$K$1001,$AB352),100)),INDEX(기본자료!$K$2:$K$1001,$AB352)&amp;"")))))</f>
        <v/>
      </c>
      <c r="F352" s="10">
        <f>IF($AB352="","",IF(INDEX(기본자료!$D$2:$D$1001,$AB352)="","",INDEX(기본자료!$D$2:$D$1001,$AB352)))</f>
        <v/>
      </c>
      <c r="G352" s="10">
        <f>IF($AB352="","",IF(INDEX(기본자료!$E$2:$E$1001,$AB352)="","",INDEX(기본자료!$E$2:$E$1001,$AB352)))</f>
        <v/>
      </c>
      <c r="H352" s="10">
        <f>IF($AB352="","",IF(INDEX(기본자료!$F$2:$F$1001,$AB352)="","",INDEX(기본자료!$F$2:$F$1001,$AB352)))</f>
        <v/>
      </c>
      <c r="I352" s="11">
        <f>IF($AB352="","",IF(INDEX(기본자료!$G$2:$G$1001,$AB352)="","",IF(NOT(ISNUMBER(INDEX(기본자료!$G$2:$G$1001,$AB352))),INDEX(기본자료!$G$2:$G$1001,$AB352),IF(INDEX(기본자료!$G$2:$G$1001,$AB352)&lt;1000000,INDEX(기본자료!$G$2:$G$1001,$AB352),IF(AND(INDEX(기본자료!$G$2:$G$1001,$AB352)&gt;=10000101,INT(MOD(INDEX(기본자료!$G$2:$G$1001,$AB352),10000)/100)&gt;=1,INT(MOD(INDEX(기본자료!$G$2:$G$1001,$AB352),10000)/100)&lt;=12,MOD(INDEX(기본자료!$G$2:$G$1001,$AB352),100)&gt;=1,MOD(INDEX(기본자료!$G$2:$G$1001,$AB352),100)&lt;=31),DATE(INT(INDEX(기본자료!$G$2:$G$1001,$AB352)/10000),INT(MOD(INDEX(기본자료!$G$2:$G$1001,$AB352),10000)/100),MOD(INDEX(기본자료!$G$2:$G$1001,$AB352),100)),INDEX(기본자료!$G$2:$G$1001,$AB352)&amp;"")))))</f>
        <v/>
      </c>
      <c r="J352" s="10">
        <f>IF($AB352="","",IF(INDEX(기본자료!$H$2:$H$1001,$AB352)="","",INDEX(기본자료!$H$2:$H$1001,$AB352)))</f>
        <v/>
      </c>
      <c r="K352" s="10">
        <f>IF($AB352="","",IF(INDEX(기본자료!$I$2:$I$1001,$AB352)="","",INDEX(기본자료!$I$2:$I$1001,$AB352)))</f>
        <v/>
      </c>
      <c r="L352" s="10">
        <f>IF($AB352="","",IF(INDEX(기본자료!$A$2:$A$1001,$AB352)="","",INDEX(기본자료!$A$2:$A$1001,$AB352)))</f>
        <v/>
      </c>
      <c r="M352" s="15" t="n"/>
      <c r="N352" s="10">
        <f>IF($B352="","",IF(AND($U352="파견중",$Q352&lt;&gt;""),$Q352,IF(AND($AD352&lt;&gt;"",LEFT($AD352,1)&lt;&gt;"⚠"),LEFT($AD352,FIND(" ",$AD352)-1),IF($H352="","",IF(RIGHT($H352,2)="병원",$H352,$H352&amp;"병원")))))</f>
        <v/>
      </c>
      <c r="O352" s="10">
        <f>IF($B352="","",IF(AND($U352="파견중",$Q352&lt;&gt;""),IF($R352&lt;&gt;"",$R352,"파견과 미입력"),IF(AND($AD352&lt;&gt;"",LEFT($AD352,1)&lt;&gt;"⚠"),MID($AD352,FIND(" ",$AD352)+1,60),IF($F352="","",IF($F352="인턴","수련교육부(인턴)",$F352)))))</f>
        <v/>
      </c>
      <c r="P352" s="10">
        <f>IF($B352="","",IF($AK352&lt;&gt;"",IF(AND(TODAY()&gt;=INDEX(파견수련계획!$AB$4:$AB$83,$AK352),OR(NOT(ISNUMBER(INDEX(파견수련계획!$AC$4:$AC$83,$AK352))),TODAY()&lt;=INDEX(파견수련계획!$AC$4:$AC$83,$AK352))),"다기관",IF($AF352="","",INDEX(파견수련계획!$T$4:$T$83,$AF352))),IF($AF352="","",INDEX(파견수련계획!$T$4:$T$83,$AF352))))</f>
        <v/>
      </c>
      <c r="Q352" s="10">
        <f>IF($AF352="","",INDEX(파견수련계획!$S$4:$S$83,$AF352))</f>
        <v/>
      </c>
      <c r="R352" s="10">
        <f>IF($AF352="","",INDEX(파견수련계획!$U$4:$U$83,$AF352))</f>
        <v/>
      </c>
      <c r="S352" s="11">
        <f>IF($AF352="","",IF(INDEX(파견수련계획!$H$4:$H$83,$AF352)="","",INDEX(파견수련계획!$H$4:$H$83,$AF352)))</f>
        <v/>
      </c>
      <c r="T352" s="11">
        <f>IF($AF352="","",IF(INDEX(파견수련계획!$I$4:$I$83,$AF352)="","",INDEX(파견수련계획!$I$4:$I$83,$AF352)))</f>
        <v/>
      </c>
      <c r="U352" s="10">
        <f>IF($AF352="","",INDEX(파견수련계획!$X$4:$X$83,$AF352))</f>
        <v/>
      </c>
      <c r="V352" s="17">
        <f>IF($AF352="","",INDEX(파견수련계획!$V$4:$V$83,$AF352))</f>
        <v/>
      </c>
      <c r="W352" s="17">
        <f>IF(AND($U352="파견중",$T352&lt;&gt;""),$T352-TODAY(),"")</f>
        <v/>
      </c>
      <c r="X352" s="17">
        <f>IF(OR($B352="",TRIM($J352&amp;"")=""),"",SUMPRODUCT((파견수련계획!$Q$4:$Q$83=TRIM($J352&amp;""))*파견수련계획!$W$4:$W$83))</f>
        <v/>
      </c>
      <c r="Y352" s="10">
        <f>IF($B352="","",IF($AG352="","",IF(IF(TRIM($J352&amp;"")="",0,SUMPRODUCT((파견수련계획!$Q$4:$Q$83=TRIM($J352&amp;""))*파견수련계획!$AD$4:$AD$83))&gt;0,$AE352,IF(N($X352)&lt;=0,$AG352,IF($AH352+$AI352=DAY(EOMONTH(요약!$B$3,0)),IF(AND($AH352&gt;=요약!$E$3,$AI352&lt;요약!$E$3),"서울병원",IF(AND($AI352&gt;=요약!$E$3,$AH352&lt;요약!$E$3),"구리병원","⚠15일 판정불가(서울 "&amp;$AH352&amp;"일/구리 "&amp;$AI352&amp;"일)")),IF($AJ352="",$AE352,IF(INDEX(파견수련계획!$T$4:$T$83,$AJ352)="통합수련",INDEX(파견수련계획!$S$4:$S$83,$AJ352),$AE352)))))))</f>
        <v/>
      </c>
      <c r="Z352" s="19">
        <f>IF($B352="","",IF($AB352="","기본자료에 없는 사번",IF(COUNTIF($B$2:$B$401,$B352)&gt;1,"중복 사번",IF($AE352="","소속(입사장소) 입력",IF(IF(TRIM($J352&amp;"")="",0,SUMPRODUCT((파견수련계획!$Q$4:$Q$83=TRIM($J352&amp;""))*(파견수련계획!$AA$4:$AA$83&lt;&gt;"")))&gt;0,"파견수련계획 입력오류 확인",IF(LEFT($Y352,1)="⚠","서울·구리 15일 판정 불가(양쪽 모두 이상/미만)",IF(IF($AC352="",0,N(INDEX(인턴근무계획!$T$3:$T$62,$AC352)))&gt;0,"인턴계획 입력오류 확인",IF(AND($AC352&lt;&gt;"",$U352&lt;&gt;"파견중",$N352&lt;&gt;$AE352),"인턴 타지역 근무: 파견 여부 확인","정상"))))))))</f>
        <v/>
      </c>
      <c r="AA352" s="5" t="n"/>
      <c r="AB352" s="10">
        <f>IF($B352="","",IFERROR(MATCH($B352,기본자료!$B$2:$B$1001,0),IFERROR(MATCH($B352&amp;"",기본자료!$B$2:$B$1001,0),IFERROR(MATCH(VALUE($B352),기본자료!$B$2:$B$1001,0),""))))</f>
        <v/>
      </c>
      <c r="AC352" s="10">
        <f>IF($B352="","",IFERROR(MATCH($B352,인턴근무계획!$D$3:$D$62,0),IFERROR(MATCH($B352&amp;"",인턴근무계획!$D$3:$D$62,0),IFERROR(MATCH(VALUE($B352),인턴근무계획!$D$3:$D$62,0),""))))</f>
        <v/>
      </c>
      <c r="AD352" s="10">
        <f>IF(OR($AC352="",인턴현황!$G$3=""),"",INDEX(인턴근무계획!$M$3:$R$62,$AC352,인턴현황!$G$3)&amp;"")</f>
        <v/>
      </c>
      <c r="AE352" s="10">
        <f>IF($B352="","",IF($M352&lt;&gt;"",$M352,IF($AF352&lt;&gt;"",IF(LEFT(INDEX(파견수련계획!$R$4:$R$83,$AF352),1)&lt;&gt;"⚠",INDEX(파견수련계획!$R$4:$R$83,$AF352),IF($H352="","",IF(RIGHT($H352,2)="병원",$H352,$H352&amp;"병원"))),IF($H352="","",IF(RIGHT($H352,2)="병원",$H352,$H352&amp;"병원")))))</f>
        <v/>
      </c>
      <c r="AF352" s="10">
        <f>IF(OR($B352="",TRIM($J352&amp;"")=""),"",IFERROR(MATCH(TRIM($J352&amp;"")&amp;"|파견중",파견수련계획!$Y$4:$Y$83,0),IFERROR(MATCH(TRIM($J352&amp;"")&amp;"|파견예정",파견수련계획!$Y$4:$Y$83,0),IFERROR(MATCH(TRIM($J352&amp;"")&amp;"|파견종료",파견수련계획!$Y$4:$Y$83,0),""))))</f>
        <v/>
      </c>
      <c r="AG352" s="10">
        <f>IF($B352="","",IF(AND(IF(OR($AC352="",인턴현황!$K$2=""),"",INDEX(인턴근무계획!$M$3:$R$62,$AC352,인턴현황!$K$2)&amp;"")&lt;&gt;"",LEFT(IF(OR($AC352="",인턴현황!$K$2=""),"",INDEX(인턴근무계획!$M$3:$R$62,$AC352,인턴현황!$K$2)&amp;""),1)&lt;&gt;"⚠"),LEFT(IF(OR($AC352="",인턴현황!$K$2=""),"",INDEX(인턴근무계획!$M$3:$R$62,$AC352,인턴현황!$K$2)&amp;""),FIND(" ",IF(OR($AC352="",인턴현황!$K$2=""),"",INDEX(인턴근무계획!$M$3:$R$62,$AC352,인턴현황!$K$2)&amp;""))-1),$AE352))</f>
        <v/>
      </c>
      <c r="AH352" s="17">
        <f>IF($B352="","",IF(TRIM($J352&amp;"")="",0,SUMPRODUCT((파견수련계획!$Q$4:$Q$83=TRIM($J352&amp;""))*(파견수련계획!$S$4:$S$83="서울병원")*파견수련계획!$W$4:$W$83))+IF($AG352="서울병원",MAX(0,DAY(EOMONTH(요약!$B$3,0))-N($X352)),0))</f>
        <v/>
      </c>
      <c r="AI352" s="17">
        <f>IF($B352="","",IF(TRIM($J352&amp;"")="",0,SUMPRODUCT((파견수련계획!$Q$4:$Q$83=TRIM($J352&amp;""))*(파견수련계획!$S$4:$S$83="구리병원")*파견수련계획!$W$4:$W$83))+IF($AG352="구리병원",MAX(0,DAY(EOMONTH(요약!$B$3,0))-N($X352)),0))</f>
        <v/>
      </c>
      <c r="AJ352" s="10">
        <f>IF(OR($B352="",TRIM($J352&amp;"")=""),"",IFERROR(MATCH(TRIM($J352&amp;"")&amp;"|월",파견수련계획!$Z$4:$Z$83,0),""))</f>
        <v/>
      </c>
      <c r="AK352" s="10">
        <f>IF(OR($B352="",TRIM($J352&amp;"")=""),"",IFERROR(MATCH(TRIM($J352&amp;"")&amp;"|다기관",파견수련계획!$AE$4:$AE$83,0),""))</f>
        <v/>
      </c>
      <c r="AL352" s="10">
        <f>IF($AK352="","","다기관 "&amp;TEXT(INDEX(파견수련계획!$AB$4:$AB$83,$AK352),"yyyy-mm-dd")&amp;"~"&amp;IF(ISNUMBER(INDEX(파견수련계획!$AC$4:$AC$83,$AK352)),TEXT(INDEX(파견수련계획!$AC$4:$AC$83,$AK352),"yyyy-mm-dd"),""))</f>
        <v/>
      </c>
    </row>
    <row r="353">
      <c r="A353" s="10">
        <f>IF(B353="","",ROW()-1)</f>
        <v/>
      </c>
      <c r="B353" s="18" t="n"/>
      <c r="C353" s="10">
        <f>IF($AB353="","",IF(INDEX(기본자료!$C$2:$C$1001,$AB353)="","",INDEX(기본자료!$C$2:$C$1001,$AB353)))</f>
        <v/>
      </c>
      <c r="D353" s="10">
        <f>IF($AB353="","",IF(INDEX(기본자료!$J$2:$J$1001,$AB353)="","",INDEX(기본자료!$J$2:$J$1001,$AB353)))</f>
        <v/>
      </c>
      <c r="E353" s="11">
        <f>IF($AB353="","",IF(INDEX(기본자료!$K$2:$K$1001,$AB353)="","",IF(NOT(ISNUMBER(INDEX(기본자료!$K$2:$K$1001,$AB353))),INDEX(기본자료!$K$2:$K$1001,$AB353),IF(INDEX(기본자료!$K$2:$K$1001,$AB353)&lt;1000000,INDEX(기본자료!$K$2:$K$1001,$AB353),IF(AND(INDEX(기본자료!$K$2:$K$1001,$AB353)&gt;=10000101,INT(MOD(INDEX(기본자료!$K$2:$K$1001,$AB353),10000)/100)&gt;=1,INT(MOD(INDEX(기본자료!$K$2:$K$1001,$AB353),10000)/100)&lt;=12,MOD(INDEX(기본자료!$K$2:$K$1001,$AB353),100)&gt;=1,MOD(INDEX(기본자료!$K$2:$K$1001,$AB353),100)&lt;=31),DATE(INT(INDEX(기본자료!$K$2:$K$1001,$AB353)/10000),INT(MOD(INDEX(기본자료!$K$2:$K$1001,$AB353),10000)/100),MOD(INDEX(기본자료!$K$2:$K$1001,$AB353),100)),INDEX(기본자료!$K$2:$K$1001,$AB353)&amp;"")))))</f>
        <v/>
      </c>
      <c r="F353" s="10">
        <f>IF($AB353="","",IF(INDEX(기본자료!$D$2:$D$1001,$AB353)="","",INDEX(기본자료!$D$2:$D$1001,$AB353)))</f>
        <v/>
      </c>
      <c r="G353" s="10">
        <f>IF($AB353="","",IF(INDEX(기본자료!$E$2:$E$1001,$AB353)="","",INDEX(기본자료!$E$2:$E$1001,$AB353)))</f>
        <v/>
      </c>
      <c r="H353" s="10">
        <f>IF($AB353="","",IF(INDEX(기본자료!$F$2:$F$1001,$AB353)="","",INDEX(기본자료!$F$2:$F$1001,$AB353)))</f>
        <v/>
      </c>
      <c r="I353" s="11">
        <f>IF($AB353="","",IF(INDEX(기본자료!$G$2:$G$1001,$AB353)="","",IF(NOT(ISNUMBER(INDEX(기본자료!$G$2:$G$1001,$AB353))),INDEX(기본자료!$G$2:$G$1001,$AB353),IF(INDEX(기본자료!$G$2:$G$1001,$AB353)&lt;1000000,INDEX(기본자료!$G$2:$G$1001,$AB353),IF(AND(INDEX(기본자료!$G$2:$G$1001,$AB353)&gt;=10000101,INT(MOD(INDEX(기본자료!$G$2:$G$1001,$AB353),10000)/100)&gt;=1,INT(MOD(INDEX(기본자료!$G$2:$G$1001,$AB353),10000)/100)&lt;=12,MOD(INDEX(기본자료!$G$2:$G$1001,$AB353),100)&gt;=1,MOD(INDEX(기본자료!$G$2:$G$1001,$AB353),100)&lt;=31),DATE(INT(INDEX(기본자료!$G$2:$G$1001,$AB353)/10000),INT(MOD(INDEX(기본자료!$G$2:$G$1001,$AB353),10000)/100),MOD(INDEX(기본자료!$G$2:$G$1001,$AB353),100)),INDEX(기본자료!$G$2:$G$1001,$AB353)&amp;"")))))</f>
        <v/>
      </c>
      <c r="J353" s="10">
        <f>IF($AB353="","",IF(INDEX(기본자료!$H$2:$H$1001,$AB353)="","",INDEX(기본자료!$H$2:$H$1001,$AB353)))</f>
        <v/>
      </c>
      <c r="K353" s="10">
        <f>IF($AB353="","",IF(INDEX(기본자료!$I$2:$I$1001,$AB353)="","",INDEX(기본자료!$I$2:$I$1001,$AB353)))</f>
        <v/>
      </c>
      <c r="L353" s="10">
        <f>IF($AB353="","",IF(INDEX(기본자료!$A$2:$A$1001,$AB353)="","",INDEX(기본자료!$A$2:$A$1001,$AB353)))</f>
        <v/>
      </c>
      <c r="M353" s="15" t="n"/>
      <c r="N353" s="10">
        <f>IF($B353="","",IF(AND($U353="파견중",$Q353&lt;&gt;""),$Q353,IF(AND($AD353&lt;&gt;"",LEFT($AD353,1)&lt;&gt;"⚠"),LEFT($AD353,FIND(" ",$AD353)-1),IF($H353="","",IF(RIGHT($H353,2)="병원",$H353,$H353&amp;"병원")))))</f>
        <v/>
      </c>
      <c r="O353" s="10">
        <f>IF($B353="","",IF(AND($U353="파견중",$Q353&lt;&gt;""),IF($R353&lt;&gt;"",$R353,"파견과 미입력"),IF(AND($AD353&lt;&gt;"",LEFT($AD353,1)&lt;&gt;"⚠"),MID($AD353,FIND(" ",$AD353)+1,60),IF($F353="","",IF($F353="인턴","수련교육부(인턴)",$F353)))))</f>
        <v/>
      </c>
      <c r="P353" s="10">
        <f>IF($B353="","",IF($AK353&lt;&gt;"",IF(AND(TODAY()&gt;=INDEX(파견수련계획!$AB$4:$AB$83,$AK353),OR(NOT(ISNUMBER(INDEX(파견수련계획!$AC$4:$AC$83,$AK353))),TODAY()&lt;=INDEX(파견수련계획!$AC$4:$AC$83,$AK353))),"다기관",IF($AF353="","",INDEX(파견수련계획!$T$4:$T$83,$AF353))),IF($AF353="","",INDEX(파견수련계획!$T$4:$T$83,$AF353))))</f>
        <v/>
      </c>
      <c r="Q353" s="10">
        <f>IF($AF353="","",INDEX(파견수련계획!$S$4:$S$83,$AF353))</f>
        <v/>
      </c>
      <c r="R353" s="10">
        <f>IF($AF353="","",INDEX(파견수련계획!$U$4:$U$83,$AF353))</f>
        <v/>
      </c>
      <c r="S353" s="11">
        <f>IF($AF353="","",IF(INDEX(파견수련계획!$H$4:$H$83,$AF353)="","",INDEX(파견수련계획!$H$4:$H$83,$AF353)))</f>
        <v/>
      </c>
      <c r="T353" s="11">
        <f>IF($AF353="","",IF(INDEX(파견수련계획!$I$4:$I$83,$AF353)="","",INDEX(파견수련계획!$I$4:$I$83,$AF353)))</f>
        <v/>
      </c>
      <c r="U353" s="10">
        <f>IF($AF353="","",INDEX(파견수련계획!$X$4:$X$83,$AF353))</f>
        <v/>
      </c>
      <c r="V353" s="17">
        <f>IF($AF353="","",INDEX(파견수련계획!$V$4:$V$83,$AF353))</f>
        <v/>
      </c>
      <c r="W353" s="17">
        <f>IF(AND($U353="파견중",$T353&lt;&gt;""),$T353-TODAY(),"")</f>
        <v/>
      </c>
      <c r="X353" s="17">
        <f>IF(OR($B353="",TRIM($J353&amp;"")=""),"",SUMPRODUCT((파견수련계획!$Q$4:$Q$83=TRIM($J353&amp;""))*파견수련계획!$W$4:$W$83))</f>
        <v/>
      </c>
      <c r="Y353" s="10">
        <f>IF($B353="","",IF($AG353="","",IF(IF(TRIM($J353&amp;"")="",0,SUMPRODUCT((파견수련계획!$Q$4:$Q$83=TRIM($J353&amp;""))*파견수련계획!$AD$4:$AD$83))&gt;0,$AE353,IF(N($X353)&lt;=0,$AG353,IF($AH353+$AI353=DAY(EOMONTH(요약!$B$3,0)),IF(AND($AH353&gt;=요약!$E$3,$AI353&lt;요약!$E$3),"서울병원",IF(AND($AI353&gt;=요약!$E$3,$AH353&lt;요약!$E$3),"구리병원","⚠15일 판정불가(서울 "&amp;$AH353&amp;"일/구리 "&amp;$AI353&amp;"일)")),IF($AJ353="",$AE353,IF(INDEX(파견수련계획!$T$4:$T$83,$AJ353)="통합수련",INDEX(파견수련계획!$S$4:$S$83,$AJ353),$AE353)))))))</f>
        <v/>
      </c>
      <c r="Z353" s="19">
        <f>IF($B353="","",IF($AB353="","기본자료에 없는 사번",IF(COUNTIF($B$2:$B$401,$B353)&gt;1,"중복 사번",IF($AE353="","소속(입사장소) 입력",IF(IF(TRIM($J353&amp;"")="",0,SUMPRODUCT((파견수련계획!$Q$4:$Q$83=TRIM($J353&amp;""))*(파견수련계획!$AA$4:$AA$83&lt;&gt;"")))&gt;0,"파견수련계획 입력오류 확인",IF(LEFT($Y353,1)="⚠","서울·구리 15일 판정 불가(양쪽 모두 이상/미만)",IF(IF($AC353="",0,N(INDEX(인턴근무계획!$T$3:$T$62,$AC353)))&gt;0,"인턴계획 입력오류 확인",IF(AND($AC353&lt;&gt;"",$U353&lt;&gt;"파견중",$N353&lt;&gt;$AE353),"인턴 타지역 근무: 파견 여부 확인","정상"))))))))</f>
        <v/>
      </c>
      <c r="AA353" s="5" t="n"/>
      <c r="AB353" s="10">
        <f>IF($B353="","",IFERROR(MATCH($B353,기본자료!$B$2:$B$1001,0),IFERROR(MATCH($B353&amp;"",기본자료!$B$2:$B$1001,0),IFERROR(MATCH(VALUE($B353),기본자료!$B$2:$B$1001,0),""))))</f>
        <v/>
      </c>
      <c r="AC353" s="10">
        <f>IF($B353="","",IFERROR(MATCH($B353,인턴근무계획!$D$3:$D$62,0),IFERROR(MATCH($B353&amp;"",인턴근무계획!$D$3:$D$62,0),IFERROR(MATCH(VALUE($B353),인턴근무계획!$D$3:$D$62,0),""))))</f>
        <v/>
      </c>
      <c r="AD353" s="10">
        <f>IF(OR($AC353="",인턴현황!$G$3=""),"",INDEX(인턴근무계획!$M$3:$R$62,$AC353,인턴현황!$G$3)&amp;"")</f>
        <v/>
      </c>
      <c r="AE353" s="10">
        <f>IF($B353="","",IF($M353&lt;&gt;"",$M353,IF($AF353&lt;&gt;"",IF(LEFT(INDEX(파견수련계획!$R$4:$R$83,$AF353),1)&lt;&gt;"⚠",INDEX(파견수련계획!$R$4:$R$83,$AF353),IF($H353="","",IF(RIGHT($H353,2)="병원",$H353,$H353&amp;"병원"))),IF($H353="","",IF(RIGHT($H353,2)="병원",$H353,$H353&amp;"병원")))))</f>
        <v/>
      </c>
      <c r="AF353" s="10">
        <f>IF(OR($B353="",TRIM($J353&amp;"")=""),"",IFERROR(MATCH(TRIM($J353&amp;"")&amp;"|파견중",파견수련계획!$Y$4:$Y$83,0),IFERROR(MATCH(TRIM($J353&amp;"")&amp;"|파견예정",파견수련계획!$Y$4:$Y$83,0),IFERROR(MATCH(TRIM($J353&amp;"")&amp;"|파견종료",파견수련계획!$Y$4:$Y$83,0),""))))</f>
        <v/>
      </c>
      <c r="AG353" s="10">
        <f>IF($B353="","",IF(AND(IF(OR($AC353="",인턴현황!$K$2=""),"",INDEX(인턴근무계획!$M$3:$R$62,$AC353,인턴현황!$K$2)&amp;"")&lt;&gt;"",LEFT(IF(OR($AC353="",인턴현황!$K$2=""),"",INDEX(인턴근무계획!$M$3:$R$62,$AC353,인턴현황!$K$2)&amp;""),1)&lt;&gt;"⚠"),LEFT(IF(OR($AC353="",인턴현황!$K$2=""),"",INDEX(인턴근무계획!$M$3:$R$62,$AC353,인턴현황!$K$2)&amp;""),FIND(" ",IF(OR($AC353="",인턴현황!$K$2=""),"",INDEX(인턴근무계획!$M$3:$R$62,$AC353,인턴현황!$K$2)&amp;""))-1),$AE353))</f>
        <v/>
      </c>
      <c r="AH353" s="17">
        <f>IF($B353="","",IF(TRIM($J353&amp;"")="",0,SUMPRODUCT((파견수련계획!$Q$4:$Q$83=TRIM($J353&amp;""))*(파견수련계획!$S$4:$S$83="서울병원")*파견수련계획!$W$4:$W$83))+IF($AG353="서울병원",MAX(0,DAY(EOMONTH(요약!$B$3,0))-N($X353)),0))</f>
        <v/>
      </c>
      <c r="AI353" s="17">
        <f>IF($B353="","",IF(TRIM($J353&amp;"")="",0,SUMPRODUCT((파견수련계획!$Q$4:$Q$83=TRIM($J353&amp;""))*(파견수련계획!$S$4:$S$83="구리병원")*파견수련계획!$W$4:$W$83))+IF($AG353="구리병원",MAX(0,DAY(EOMONTH(요약!$B$3,0))-N($X353)),0))</f>
        <v/>
      </c>
      <c r="AJ353" s="10">
        <f>IF(OR($B353="",TRIM($J353&amp;"")=""),"",IFERROR(MATCH(TRIM($J353&amp;"")&amp;"|월",파견수련계획!$Z$4:$Z$83,0),""))</f>
        <v/>
      </c>
      <c r="AK353" s="10">
        <f>IF(OR($B353="",TRIM($J353&amp;"")=""),"",IFERROR(MATCH(TRIM($J353&amp;"")&amp;"|다기관",파견수련계획!$AE$4:$AE$83,0),""))</f>
        <v/>
      </c>
      <c r="AL353" s="10">
        <f>IF($AK353="","","다기관 "&amp;TEXT(INDEX(파견수련계획!$AB$4:$AB$83,$AK353),"yyyy-mm-dd")&amp;"~"&amp;IF(ISNUMBER(INDEX(파견수련계획!$AC$4:$AC$83,$AK353)),TEXT(INDEX(파견수련계획!$AC$4:$AC$83,$AK353),"yyyy-mm-dd"),""))</f>
        <v/>
      </c>
    </row>
    <row r="354">
      <c r="A354" s="10">
        <f>IF(B354="","",ROW()-1)</f>
        <v/>
      </c>
      <c r="B354" s="18" t="n"/>
      <c r="C354" s="10">
        <f>IF($AB354="","",IF(INDEX(기본자료!$C$2:$C$1001,$AB354)="","",INDEX(기본자료!$C$2:$C$1001,$AB354)))</f>
        <v/>
      </c>
      <c r="D354" s="10">
        <f>IF($AB354="","",IF(INDEX(기본자료!$J$2:$J$1001,$AB354)="","",INDEX(기본자료!$J$2:$J$1001,$AB354)))</f>
        <v/>
      </c>
      <c r="E354" s="11">
        <f>IF($AB354="","",IF(INDEX(기본자료!$K$2:$K$1001,$AB354)="","",IF(NOT(ISNUMBER(INDEX(기본자료!$K$2:$K$1001,$AB354))),INDEX(기본자료!$K$2:$K$1001,$AB354),IF(INDEX(기본자료!$K$2:$K$1001,$AB354)&lt;1000000,INDEX(기본자료!$K$2:$K$1001,$AB354),IF(AND(INDEX(기본자료!$K$2:$K$1001,$AB354)&gt;=10000101,INT(MOD(INDEX(기본자료!$K$2:$K$1001,$AB354),10000)/100)&gt;=1,INT(MOD(INDEX(기본자료!$K$2:$K$1001,$AB354),10000)/100)&lt;=12,MOD(INDEX(기본자료!$K$2:$K$1001,$AB354),100)&gt;=1,MOD(INDEX(기본자료!$K$2:$K$1001,$AB354),100)&lt;=31),DATE(INT(INDEX(기본자료!$K$2:$K$1001,$AB354)/10000),INT(MOD(INDEX(기본자료!$K$2:$K$1001,$AB354),10000)/100),MOD(INDEX(기본자료!$K$2:$K$1001,$AB354),100)),INDEX(기본자료!$K$2:$K$1001,$AB354)&amp;"")))))</f>
        <v/>
      </c>
      <c r="F354" s="10">
        <f>IF($AB354="","",IF(INDEX(기본자료!$D$2:$D$1001,$AB354)="","",INDEX(기본자료!$D$2:$D$1001,$AB354)))</f>
        <v/>
      </c>
      <c r="G354" s="10">
        <f>IF($AB354="","",IF(INDEX(기본자료!$E$2:$E$1001,$AB354)="","",INDEX(기본자료!$E$2:$E$1001,$AB354)))</f>
        <v/>
      </c>
      <c r="H354" s="10">
        <f>IF($AB354="","",IF(INDEX(기본자료!$F$2:$F$1001,$AB354)="","",INDEX(기본자료!$F$2:$F$1001,$AB354)))</f>
        <v/>
      </c>
      <c r="I354" s="11">
        <f>IF($AB354="","",IF(INDEX(기본자료!$G$2:$G$1001,$AB354)="","",IF(NOT(ISNUMBER(INDEX(기본자료!$G$2:$G$1001,$AB354))),INDEX(기본자료!$G$2:$G$1001,$AB354),IF(INDEX(기본자료!$G$2:$G$1001,$AB354)&lt;1000000,INDEX(기본자료!$G$2:$G$1001,$AB354),IF(AND(INDEX(기본자료!$G$2:$G$1001,$AB354)&gt;=10000101,INT(MOD(INDEX(기본자료!$G$2:$G$1001,$AB354),10000)/100)&gt;=1,INT(MOD(INDEX(기본자료!$G$2:$G$1001,$AB354),10000)/100)&lt;=12,MOD(INDEX(기본자료!$G$2:$G$1001,$AB354),100)&gt;=1,MOD(INDEX(기본자료!$G$2:$G$1001,$AB354),100)&lt;=31),DATE(INT(INDEX(기본자료!$G$2:$G$1001,$AB354)/10000),INT(MOD(INDEX(기본자료!$G$2:$G$1001,$AB354),10000)/100),MOD(INDEX(기본자료!$G$2:$G$1001,$AB354),100)),INDEX(기본자료!$G$2:$G$1001,$AB354)&amp;"")))))</f>
        <v/>
      </c>
      <c r="J354" s="10">
        <f>IF($AB354="","",IF(INDEX(기본자료!$H$2:$H$1001,$AB354)="","",INDEX(기본자료!$H$2:$H$1001,$AB354)))</f>
        <v/>
      </c>
      <c r="K354" s="10">
        <f>IF($AB354="","",IF(INDEX(기본자료!$I$2:$I$1001,$AB354)="","",INDEX(기본자료!$I$2:$I$1001,$AB354)))</f>
        <v/>
      </c>
      <c r="L354" s="10">
        <f>IF($AB354="","",IF(INDEX(기본자료!$A$2:$A$1001,$AB354)="","",INDEX(기본자료!$A$2:$A$1001,$AB354)))</f>
        <v/>
      </c>
      <c r="M354" s="15" t="n"/>
      <c r="N354" s="10">
        <f>IF($B354="","",IF(AND($U354="파견중",$Q354&lt;&gt;""),$Q354,IF(AND($AD354&lt;&gt;"",LEFT($AD354,1)&lt;&gt;"⚠"),LEFT($AD354,FIND(" ",$AD354)-1),IF($H354="","",IF(RIGHT($H354,2)="병원",$H354,$H354&amp;"병원")))))</f>
        <v/>
      </c>
      <c r="O354" s="10">
        <f>IF($B354="","",IF(AND($U354="파견중",$Q354&lt;&gt;""),IF($R354&lt;&gt;"",$R354,"파견과 미입력"),IF(AND($AD354&lt;&gt;"",LEFT($AD354,1)&lt;&gt;"⚠"),MID($AD354,FIND(" ",$AD354)+1,60),IF($F354="","",IF($F354="인턴","수련교육부(인턴)",$F354)))))</f>
        <v/>
      </c>
      <c r="P354" s="10">
        <f>IF($B354="","",IF($AK354&lt;&gt;"",IF(AND(TODAY()&gt;=INDEX(파견수련계획!$AB$4:$AB$83,$AK354),OR(NOT(ISNUMBER(INDEX(파견수련계획!$AC$4:$AC$83,$AK354))),TODAY()&lt;=INDEX(파견수련계획!$AC$4:$AC$83,$AK354))),"다기관",IF($AF354="","",INDEX(파견수련계획!$T$4:$T$83,$AF354))),IF($AF354="","",INDEX(파견수련계획!$T$4:$T$83,$AF354))))</f>
        <v/>
      </c>
      <c r="Q354" s="10">
        <f>IF($AF354="","",INDEX(파견수련계획!$S$4:$S$83,$AF354))</f>
        <v/>
      </c>
      <c r="R354" s="10">
        <f>IF($AF354="","",INDEX(파견수련계획!$U$4:$U$83,$AF354))</f>
        <v/>
      </c>
      <c r="S354" s="11">
        <f>IF($AF354="","",IF(INDEX(파견수련계획!$H$4:$H$83,$AF354)="","",INDEX(파견수련계획!$H$4:$H$83,$AF354)))</f>
        <v/>
      </c>
      <c r="T354" s="11">
        <f>IF($AF354="","",IF(INDEX(파견수련계획!$I$4:$I$83,$AF354)="","",INDEX(파견수련계획!$I$4:$I$83,$AF354)))</f>
        <v/>
      </c>
      <c r="U354" s="10">
        <f>IF($AF354="","",INDEX(파견수련계획!$X$4:$X$83,$AF354))</f>
        <v/>
      </c>
      <c r="V354" s="17">
        <f>IF($AF354="","",INDEX(파견수련계획!$V$4:$V$83,$AF354))</f>
        <v/>
      </c>
      <c r="W354" s="17">
        <f>IF(AND($U354="파견중",$T354&lt;&gt;""),$T354-TODAY(),"")</f>
        <v/>
      </c>
      <c r="X354" s="17">
        <f>IF(OR($B354="",TRIM($J354&amp;"")=""),"",SUMPRODUCT((파견수련계획!$Q$4:$Q$83=TRIM($J354&amp;""))*파견수련계획!$W$4:$W$83))</f>
        <v/>
      </c>
      <c r="Y354" s="10">
        <f>IF($B354="","",IF($AG354="","",IF(IF(TRIM($J354&amp;"")="",0,SUMPRODUCT((파견수련계획!$Q$4:$Q$83=TRIM($J354&amp;""))*파견수련계획!$AD$4:$AD$83))&gt;0,$AE354,IF(N($X354)&lt;=0,$AG354,IF($AH354+$AI354=DAY(EOMONTH(요약!$B$3,0)),IF(AND($AH354&gt;=요약!$E$3,$AI354&lt;요약!$E$3),"서울병원",IF(AND($AI354&gt;=요약!$E$3,$AH354&lt;요약!$E$3),"구리병원","⚠15일 판정불가(서울 "&amp;$AH354&amp;"일/구리 "&amp;$AI354&amp;"일)")),IF($AJ354="",$AE354,IF(INDEX(파견수련계획!$T$4:$T$83,$AJ354)="통합수련",INDEX(파견수련계획!$S$4:$S$83,$AJ354),$AE354)))))))</f>
        <v/>
      </c>
      <c r="Z354" s="19">
        <f>IF($B354="","",IF($AB354="","기본자료에 없는 사번",IF(COUNTIF($B$2:$B$401,$B354)&gt;1,"중복 사번",IF($AE354="","소속(입사장소) 입력",IF(IF(TRIM($J354&amp;"")="",0,SUMPRODUCT((파견수련계획!$Q$4:$Q$83=TRIM($J354&amp;""))*(파견수련계획!$AA$4:$AA$83&lt;&gt;"")))&gt;0,"파견수련계획 입력오류 확인",IF(LEFT($Y354,1)="⚠","서울·구리 15일 판정 불가(양쪽 모두 이상/미만)",IF(IF($AC354="",0,N(INDEX(인턴근무계획!$T$3:$T$62,$AC354)))&gt;0,"인턴계획 입력오류 확인",IF(AND($AC354&lt;&gt;"",$U354&lt;&gt;"파견중",$N354&lt;&gt;$AE354),"인턴 타지역 근무: 파견 여부 확인","정상"))))))))</f>
        <v/>
      </c>
      <c r="AA354" s="5" t="n"/>
      <c r="AB354" s="10">
        <f>IF($B354="","",IFERROR(MATCH($B354,기본자료!$B$2:$B$1001,0),IFERROR(MATCH($B354&amp;"",기본자료!$B$2:$B$1001,0),IFERROR(MATCH(VALUE($B354),기본자료!$B$2:$B$1001,0),""))))</f>
        <v/>
      </c>
      <c r="AC354" s="10">
        <f>IF($B354="","",IFERROR(MATCH($B354,인턴근무계획!$D$3:$D$62,0),IFERROR(MATCH($B354&amp;"",인턴근무계획!$D$3:$D$62,0),IFERROR(MATCH(VALUE($B354),인턴근무계획!$D$3:$D$62,0),""))))</f>
        <v/>
      </c>
      <c r="AD354" s="10">
        <f>IF(OR($AC354="",인턴현황!$G$3=""),"",INDEX(인턴근무계획!$M$3:$R$62,$AC354,인턴현황!$G$3)&amp;"")</f>
        <v/>
      </c>
      <c r="AE354" s="10">
        <f>IF($B354="","",IF($M354&lt;&gt;"",$M354,IF($AF354&lt;&gt;"",IF(LEFT(INDEX(파견수련계획!$R$4:$R$83,$AF354),1)&lt;&gt;"⚠",INDEX(파견수련계획!$R$4:$R$83,$AF354),IF($H354="","",IF(RIGHT($H354,2)="병원",$H354,$H354&amp;"병원"))),IF($H354="","",IF(RIGHT($H354,2)="병원",$H354,$H354&amp;"병원")))))</f>
        <v/>
      </c>
      <c r="AF354" s="10">
        <f>IF(OR($B354="",TRIM($J354&amp;"")=""),"",IFERROR(MATCH(TRIM($J354&amp;"")&amp;"|파견중",파견수련계획!$Y$4:$Y$83,0),IFERROR(MATCH(TRIM($J354&amp;"")&amp;"|파견예정",파견수련계획!$Y$4:$Y$83,0),IFERROR(MATCH(TRIM($J354&amp;"")&amp;"|파견종료",파견수련계획!$Y$4:$Y$83,0),""))))</f>
        <v/>
      </c>
      <c r="AG354" s="10">
        <f>IF($B354="","",IF(AND(IF(OR($AC354="",인턴현황!$K$2=""),"",INDEX(인턴근무계획!$M$3:$R$62,$AC354,인턴현황!$K$2)&amp;"")&lt;&gt;"",LEFT(IF(OR($AC354="",인턴현황!$K$2=""),"",INDEX(인턴근무계획!$M$3:$R$62,$AC354,인턴현황!$K$2)&amp;""),1)&lt;&gt;"⚠"),LEFT(IF(OR($AC354="",인턴현황!$K$2=""),"",INDEX(인턴근무계획!$M$3:$R$62,$AC354,인턴현황!$K$2)&amp;""),FIND(" ",IF(OR($AC354="",인턴현황!$K$2=""),"",INDEX(인턴근무계획!$M$3:$R$62,$AC354,인턴현황!$K$2)&amp;""))-1),$AE354))</f>
        <v/>
      </c>
      <c r="AH354" s="17">
        <f>IF($B354="","",IF(TRIM($J354&amp;"")="",0,SUMPRODUCT((파견수련계획!$Q$4:$Q$83=TRIM($J354&amp;""))*(파견수련계획!$S$4:$S$83="서울병원")*파견수련계획!$W$4:$W$83))+IF($AG354="서울병원",MAX(0,DAY(EOMONTH(요약!$B$3,0))-N($X354)),0))</f>
        <v/>
      </c>
      <c r="AI354" s="17">
        <f>IF($B354="","",IF(TRIM($J354&amp;"")="",0,SUMPRODUCT((파견수련계획!$Q$4:$Q$83=TRIM($J354&amp;""))*(파견수련계획!$S$4:$S$83="구리병원")*파견수련계획!$W$4:$W$83))+IF($AG354="구리병원",MAX(0,DAY(EOMONTH(요약!$B$3,0))-N($X354)),0))</f>
        <v/>
      </c>
      <c r="AJ354" s="10">
        <f>IF(OR($B354="",TRIM($J354&amp;"")=""),"",IFERROR(MATCH(TRIM($J354&amp;"")&amp;"|월",파견수련계획!$Z$4:$Z$83,0),""))</f>
        <v/>
      </c>
      <c r="AK354" s="10">
        <f>IF(OR($B354="",TRIM($J354&amp;"")=""),"",IFERROR(MATCH(TRIM($J354&amp;"")&amp;"|다기관",파견수련계획!$AE$4:$AE$83,0),""))</f>
        <v/>
      </c>
      <c r="AL354" s="10">
        <f>IF($AK354="","","다기관 "&amp;TEXT(INDEX(파견수련계획!$AB$4:$AB$83,$AK354),"yyyy-mm-dd")&amp;"~"&amp;IF(ISNUMBER(INDEX(파견수련계획!$AC$4:$AC$83,$AK354)),TEXT(INDEX(파견수련계획!$AC$4:$AC$83,$AK354),"yyyy-mm-dd"),""))</f>
        <v/>
      </c>
    </row>
    <row r="355">
      <c r="A355" s="10">
        <f>IF(B355="","",ROW()-1)</f>
        <v/>
      </c>
      <c r="B355" s="18" t="n"/>
      <c r="C355" s="10">
        <f>IF($AB355="","",IF(INDEX(기본자료!$C$2:$C$1001,$AB355)="","",INDEX(기본자료!$C$2:$C$1001,$AB355)))</f>
        <v/>
      </c>
      <c r="D355" s="10">
        <f>IF($AB355="","",IF(INDEX(기본자료!$J$2:$J$1001,$AB355)="","",INDEX(기본자료!$J$2:$J$1001,$AB355)))</f>
        <v/>
      </c>
      <c r="E355" s="11">
        <f>IF($AB355="","",IF(INDEX(기본자료!$K$2:$K$1001,$AB355)="","",IF(NOT(ISNUMBER(INDEX(기본자료!$K$2:$K$1001,$AB355))),INDEX(기본자료!$K$2:$K$1001,$AB355),IF(INDEX(기본자료!$K$2:$K$1001,$AB355)&lt;1000000,INDEX(기본자료!$K$2:$K$1001,$AB355),IF(AND(INDEX(기본자료!$K$2:$K$1001,$AB355)&gt;=10000101,INT(MOD(INDEX(기본자료!$K$2:$K$1001,$AB355),10000)/100)&gt;=1,INT(MOD(INDEX(기본자료!$K$2:$K$1001,$AB355),10000)/100)&lt;=12,MOD(INDEX(기본자료!$K$2:$K$1001,$AB355),100)&gt;=1,MOD(INDEX(기본자료!$K$2:$K$1001,$AB355),100)&lt;=31),DATE(INT(INDEX(기본자료!$K$2:$K$1001,$AB355)/10000),INT(MOD(INDEX(기본자료!$K$2:$K$1001,$AB355),10000)/100),MOD(INDEX(기본자료!$K$2:$K$1001,$AB355),100)),INDEX(기본자료!$K$2:$K$1001,$AB355)&amp;"")))))</f>
        <v/>
      </c>
      <c r="F355" s="10">
        <f>IF($AB355="","",IF(INDEX(기본자료!$D$2:$D$1001,$AB355)="","",INDEX(기본자료!$D$2:$D$1001,$AB355)))</f>
        <v/>
      </c>
      <c r="G355" s="10">
        <f>IF($AB355="","",IF(INDEX(기본자료!$E$2:$E$1001,$AB355)="","",INDEX(기본자료!$E$2:$E$1001,$AB355)))</f>
        <v/>
      </c>
      <c r="H355" s="10">
        <f>IF($AB355="","",IF(INDEX(기본자료!$F$2:$F$1001,$AB355)="","",INDEX(기본자료!$F$2:$F$1001,$AB355)))</f>
        <v/>
      </c>
      <c r="I355" s="11">
        <f>IF($AB355="","",IF(INDEX(기본자료!$G$2:$G$1001,$AB355)="","",IF(NOT(ISNUMBER(INDEX(기본자료!$G$2:$G$1001,$AB355))),INDEX(기본자료!$G$2:$G$1001,$AB355),IF(INDEX(기본자료!$G$2:$G$1001,$AB355)&lt;1000000,INDEX(기본자료!$G$2:$G$1001,$AB355),IF(AND(INDEX(기본자료!$G$2:$G$1001,$AB355)&gt;=10000101,INT(MOD(INDEX(기본자료!$G$2:$G$1001,$AB355),10000)/100)&gt;=1,INT(MOD(INDEX(기본자료!$G$2:$G$1001,$AB355),10000)/100)&lt;=12,MOD(INDEX(기본자료!$G$2:$G$1001,$AB355),100)&gt;=1,MOD(INDEX(기본자료!$G$2:$G$1001,$AB355),100)&lt;=31),DATE(INT(INDEX(기본자료!$G$2:$G$1001,$AB355)/10000),INT(MOD(INDEX(기본자료!$G$2:$G$1001,$AB355),10000)/100),MOD(INDEX(기본자료!$G$2:$G$1001,$AB355),100)),INDEX(기본자료!$G$2:$G$1001,$AB355)&amp;"")))))</f>
        <v/>
      </c>
      <c r="J355" s="10">
        <f>IF($AB355="","",IF(INDEX(기본자료!$H$2:$H$1001,$AB355)="","",INDEX(기본자료!$H$2:$H$1001,$AB355)))</f>
        <v/>
      </c>
      <c r="K355" s="10">
        <f>IF($AB355="","",IF(INDEX(기본자료!$I$2:$I$1001,$AB355)="","",INDEX(기본자료!$I$2:$I$1001,$AB355)))</f>
        <v/>
      </c>
      <c r="L355" s="10">
        <f>IF($AB355="","",IF(INDEX(기본자료!$A$2:$A$1001,$AB355)="","",INDEX(기본자료!$A$2:$A$1001,$AB355)))</f>
        <v/>
      </c>
      <c r="M355" s="15" t="n"/>
      <c r="N355" s="10">
        <f>IF($B355="","",IF(AND($U355="파견중",$Q355&lt;&gt;""),$Q355,IF(AND($AD355&lt;&gt;"",LEFT($AD355,1)&lt;&gt;"⚠"),LEFT($AD355,FIND(" ",$AD355)-1),IF($H355="","",IF(RIGHT($H355,2)="병원",$H355,$H355&amp;"병원")))))</f>
        <v/>
      </c>
      <c r="O355" s="10">
        <f>IF($B355="","",IF(AND($U355="파견중",$Q355&lt;&gt;""),IF($R355&lt;&gt;"",$R355,"파견과 미입력"),IF(AND($AD355&lt;&gt;"",LEFT($AD355,1)&lt;&gt;"⚠"),MID($AD355,FIND(" ",$AD355)+1,60),IF($F355="","",IF($F355="인턴","수련교육부(인턴)",$F355)))))</f>
        <v/>
      </c>
      <c r="P355" s="10">
        <f>IF($B355="","",IF($AK355&lt;&gt;"",IF(AND(TODAY()&gt;=INDEX(파견수련계획!$AB$4:$AB$83,$AK355),OR(NOT(ISNUMBER(INDEX(파견수련계획!$AC$4:$AC$83,$AK355))),TODAY()&lt;=INDEX(파견수련계획!$AC$4:$AC$83,$AK355))),"다기관",IF($AF355="","",INDEX(파견수련계획!$T$4:$T$83,$AF355))),IF($AF355="","",INDEX(파견수련계획!$T$4:$T$83,$AF355))))</f>
        <v/>
      </c>
      <c r="Q355" s="10">
        <f>IF($AF355="","",INDEX(파견수련계획!$S$4:$S$83,$AF355))</f>
        <v/>
      </c>
      <c r="R355" s="10">
        <f>IF($AF355="","",INDEX(파견수련계획!$U$4:$U$83,$AF355))</f>
        <v/>
      </c>
      <c r="S355" s="11">
        <f>IF($AF355="","",IF(INDEX(파견수련계획!$H$4:$H$83,$AF355)="","",INDEX(파견수련계획!$H$4:$H$83,$AF355)))</f>
        <v/>
      </c>
      <c r="T355" s="11">
        <f>IF($AF355="","",IF(INDEX(파견수련계획!$I$4:$I$83,$AF355)="","",INDEX(파견수련계획!$I$4:$I$83,$AF355)))</f>
        <v/>
      </c>
      <c r="U355" s="10">
        <f>IF($AF355="","",INDEX(파견수련계획!$X$4:$X$83,$AF355))</f>
        <v/>
      </c>
      <c r="V355" s="17">
        <f>IF($AF355="","",INDEX(파견수련계획!$V$4:$V$83,$AF355))</f>
        <v/>
      </c>
      <c r="W355" s="17">
        <f>IF(AND($U355="파견중",$T355&lt;&gt;""),$T355-TODAY(),"")</f>
        <v/>
      </c>
      <c r="X355" s="17">
        <f>IF(OR($B355="",TRIM($J355&amp;"")=""),"",SUMPRODUCT((파견수련계획!$Q$4:$Q$83=TRIM($J355&amp;""))*파견수련계획!$W$4:$W$83))</f>
        <v/>
      </c>
      <c r="Y355" s="10">
        <f>IF($B355="","",IF($AG355="","",IF(IF(TRIM($J355&amp;"")="",0,SUMPRODUCT((파견수련계획!$Q$4:$Q$83=TRIM($J355&amp;""))*파견수련계획!$AD$4:$AD$83))&gt;0,$AE355,IF(N($X355)&lt;=0,$AG355,IF($AH355+$AI355=DAY(EOMONTH(요약!$B$3,0)),IF(AND($AH355&gt;=요약!$E$3,$AI355&lt;요약!$E$3),"서울병원",IF(AND($AI355&gt;=요약!$E$3,$AH355&lt;요약!$E$3),"구리병원","⚠15일 판정불가(서울 "&amp;$AH355&amp;"일/구리 "&amp;$AI355&amp;"일)")),IF($AJ355="",$AE355,IF(INDEX(파견수련계획!$T$4:$T$83,$AJ355)="통합수련",INDEX(파견수련계획!$S$4:$S$83,$AJ355),$AE355)))))))</f>
        <v/>
      </c>
      <c r="Z355" s="19">
        <f>IF($B355="","",IF($AB355="","기본자료에 없는 사번",IF(COUNTIF($B$2:$B$401,$B355)&gt;1,"중복 사번",IF($AE355="","소속(입사장소) 입력",IF(IF(TRIM($J355&amp;"")="",0,SUMPRODUCT((파견수련계획!$Q$4:$Q$83=TRIM($J355&amp;""))*(파견수련계획!$AA$4:$AA$83&lt;&gt;"")))&gt;0,"파견수련계획 입력오류 확인",IF(LEFT($Y355,1)="⚠","서울·구리 15일 판정 불가(양쪽 모두 이상/미만)",IF(IF($AC355="",0,N(INDEX(인턴근무계획!$T$3:$T$62,$AC355)))&gt;0,"인턴계획 입력오류 확인",IF(AND($AC355&lt;&gt;"",$U355&lt;&gt;"파견중",$N355&lt;&gt;$AE355),"인턴 타지역 근무: 파견 여부 확인","정상"))))))))</f>
        <v/>
      </c>
      <c r="AA355" s="5" t="n"/>
      <c r="AB355" s="10">
        <f>IF($B355="","",IFERROR(MATCH($B355,기본자료!$B$2:$B$1001,0),IFERROR(MATCH($B355&amp;"",기본자료!$B$2:$B$1001,0),IFERROR(MATCH(VALUE($B355),기본자료!$B$2:$B$1001,0),""))))</f>
        <v/>
      </c>
      <c r="AC355" s="10">
        <f>IF($B355="","",IFERROR(MATCH($B355,인턴근무계획!$D$3:$D$62,0),IFERROR(MATCH($B355&amp;"",인턴근무계획!$D$3:$D$62,0),IFERROR(MATCH(VALUE($B355),인턴근무계획!$D$3:$D$62,0),""))))</f>
        <v/>
      </c>
      <c r="AD355" s="10">
        <f>IF(OR($AC355="",인턴현황!$G$3=""),"",INDEX(인턴근무계획!$M$3:$R$62,$AC355,인턴현황!$G$3)&amp;"")</f>
        <v/>
      </c>
      <c r="AE355" s="10">
        <f>IF($B355="","",IF($M355&lt;&gt;"",$M355,IF($AF355&lt;&gt;"",IF(LEFT(INDEX(파견수련계획!$R$4:$R$83,$AF355),1)&lt;&gt;"⚠",INDEX(파견수련계획!$R$4:$R$83,$AF355),IF($H355="","",IF(RIGHT($H355,2)="병원",$H355,$H355&amp;"병원"))),IF($H355="","",IF(RIGHT($H355,2)="병원",$H355,$H355&amp;"병원")))))</f>
        <v/>
      </c>
      <c r="AF355" s="10">
        <f>IF(OR($B355="",TRIM($J355&amp;"")=""),"",IFERROR(MATCH(TRIM($J355&amp;"")&amp;"|파견중",파견수련계획!$Y$4:$Y$83,0),IFERROR(MATCH(TRIM($J355&amp;"")&amp;"|파견예정",파견수련계획!$Y$4:$Y$83,0),IFERROR(MATCH(TRIM($J355&amp;"")&amp;"|파견종료",파견수련계획!$Y$4:$Y$83,0),""))))</f>
        <v/>
      </c>
      <c r="AG355" s="10">
        <f>IF($B355="","",IF(AND(IF(OR($AC355="",인턴현황!$K$2=""),"",INDEX(인턴근무계획!$M$3:$R$62,$AC355,인턴현황!$K$2)&amp;"")&lt;&gt;"",LEFT(IF(OR($AC355="",인턴현황!$K$2=""),"",INDEX(인턴근무계획!$M$3:$R$62,$AC355,인턴현황!$K$2)&amp;""),1)&lt;&gt;"⚠"),LEFT(IF(OR($AC355="",인턴현황!$K$2=""),"",INDEX(인턴근무계획!$M$3:$R$62,$AC355,인턴현황!$K$2)&amp;""),FIND(" ",IF(OR($AC355="",인턴현황!$K$2=""),"",INDEX(인턴근무계획!$M$3:$R$62,$AC355,인턴현황!$K$2)&amp;""))-1),$AE355))</f>
        <v/>
      </c>
      <c r="AH355" s="17">
        <f>IF($B355="","",IF(TRIM($J355&amp;"")="",0,SUMPRODUCT((파견수련계획!$Q$4:$Q$83=TRIM($J355&amp;""))*(파견수련계획!$S$4:$S$83="서울병원")*파견수련계획!$W$4:$W$83))+IF($AG355="서울병원",MAX(0,DAY(EOMONTH(요약!$B$3,0))-N($X355)),0))</f>
        <v/>
      </c>
      <c r="AI355" s="17">
        <f>IF($B355="","",IF(TRIM($J355&amp;"")="",0,SUMPRODUCT((파견수련계획!$Q$4:$Q$83=TRIM($J355&amp;""))*(파견수련계획!$S$4:$S$83="구리병원")*파견수련계획!$W$4:$W$83))+IF($AG355="구리병원",MAX(0,DAY(EOMONTH(요약!$B$3,0))-N($X355)),0))</f>
        <v/>
      </c>
      <c r="AJ355" s="10">
        <f>IF(OR($B355="",TRIM($J355&amp;"")=""),"",IFERROR(MATCH(TRIM($J355&amp;"")&amp;"|월",파견수련계획!$Z$4:$Z$83,0),""))</f>
        <v/>
      </c>
      <c r="AK355" s="10">
        <f>IF(OR($B355="",TRIM($J355&amp;"")=""),"",IFERROR(MATCH(TRIM($J355&amp;"")&amp;"|다기관",파견수련계획!$AE$4:$AE$83,0),""))</f>
        <v/>
      </c>
      <c r="AL355" s="10">
        <f>IF($AK355="","","다기관 "&amp;TEXT(INDEX(파견수련계획!$AB$4:$AB$83,$AK355),"yyyy-mm-dd")&amp;"~"&amp;IF(ISNUMBER(INDEX(파견수련계획!$AC$4:$AC$83,$AK355)),TEXT(INDEX(파견수련계획!$AC$4:$AC$83,$AK355),"yyyy-mm-dd"),""))</f>
        <v/>
      </c>
    </row>
    <row r="356">
      <c r="A356" s="10">
        <f>IF(B356="","",ROW()-1)</f>
        <v/>
      </c>
      <c r="B356" s="18" t="n"/>
      <c r="C356" s="10">
        <f>IF($AB356="","",IF(INDEX(기본자료!$C$2:$C$1001,$AB356)="","",INDEX(기본자료!$C$2:$C$1001,$AB356)))</f>
        <v/>
      </c>
      <c r="D356" s="10">
        <f>IF($AB356="","",IF(INDEX(기본자료!$J$2:$J$1001,$AB356)="","",INDEX(기본자료!$J$2:$J$1001,$AB356)))</f>
        <v/>
      </c>
      <c r="E356" s="11">
        <f>IF($AB356="","",IF(INDEX(기본자료!$K$2:$K$1001,$AB356)="","",IF(NOT(ISNUMBER(INDEX(기본자료!$K$2:$K$1001,$AB356))),INDEX(기본자료!$K$2:$K$1001,$AB356),IF(INDEX(기본자료!$K$2:$K$1001,$AB356)&lt;1000000,INDEX(기본자료!$K$2:$K$1001,$AB356),IF(AND(INDEX(기본자료!$K$2:$K$1001,$AB356)&gt;=10000101,INT(MOD(INDEX(기본자료!$K$2:$K$1001,$AB356),10000)/100)&gt;=1,INT(MOD(INDEX(기본자료!$K$2:$K$1001,$AB356),10000)/100)&lt;=12,MOD(INDEX(기본자료!$K$2:$K$1001,$AB356),100)&gt;=1,MOD(INDEX(기본자료!$K$2:$K$1001,$AB356),100)&lt;=31),DATE(INT(INDEX(기본자료!$K$2:$K$1001,$AB356)/10000),INT(MOD(INDEX(기본자료!$K$2:$K$1001,$AB356),10000)/100),MOD(INDEX(기본자료!$K$2:$K$1001,$AB356),100)),INDEX(기본자료!$K$2:$K$1001,$AB356)&amp;"")))))</f>
        <v/>
      </c>
      <c r="F356" s="10">
        <f>IF($AB356="","",IF(INDEX(기본자료!$D$2:$D$1001,$AB356)="","",INDEX(기본자료!$D$2:$D$1001,$AB356)))</f>
        <v/>
      </c>
      <c r="G356" s="10">
        <f>IF($AB356="","",IF(INDEX(기본자료!$E$2:$E$1001,$AB356)="","",INDEX(기본자료!$E$2:$E$1001,$AB356)))</f>
        <v/>
      </c>
      <c r="H356" s="10">
        <f>IF($AB356="","",IF(INDEX(기본자료!$F$2:$F$1001,$AB356)="","",INDEX(기본자료!$F$2:$F$1001,$AB356)))</f>
        <v/>
      </c>
      <c r="I356" s="11">
        <f>IF($AB356="","",IF(INDEX(기본자료!$G$2:$G$1001,$AB356)="","",IF(NOT(ISNUMBER(INDEX(기본자료!$G$2:$G$1001,$AB356))),INDEX(기본자료!$G$2:$G$1001,$AB356),IF(INDEX(기본자료!$G$2:$G$1001,$AB356)&lt;1000000,INDEX(기본자료!$G$2:$G$1001,$AB356),IF(AND(INDEX(기본자료!$G$2:$G$1001,$AB356)&gt;=10000101,INT(MOD(INDEX(기본자료!$G$2:$G$1001,$AB356),10000)/100)&gt;=1,INT(MOD(INDEX(기본자료!$G$2:$G$1001,$AB356),10000)/100)&lt;=12,MOD(INDEX(기본자료!$G$2:$G$1001,$AB356),100)&gt;=1,MOD(INDEX(기본자료!$G$2:$G$1001,$AB356),100)&lt;=31),DATE(INT(INDEX(기본자료!$G$2:$G$1001,$AB356)/10000),INT(MOD(INDEX(기본자료!$G$2:$G$1001,$AB356),10000)/100),MOD(INDEX(기본자료!$G$2:$G$1001,$AB356),100)),INDEX(기본자료!$G$2:$G$1001,$AB356)&amp;"")))))</f>
        <v/>
      </c>
      <c r="J356" s="10">
        <f>IF($AB356="","",IF(INDEX(기본자료!$H$2:$H$1001,$AB356)="","",INDEX(기본자료!$H$2:$H$1001,$AB356)))</f>
        <v/>
      </c>
      <c r="K356" s="10">
        <f>IF($AB356="","",IF(INDEX(기본자료!$I$2:$I$1001,$AB356)="","",INDEX(기본자료!$I$2:$I$1001,$AB356)))</f>
        <v/>
      </c>
      <c r="L356" s="10">
        <f>IF($AB356="","",IF(INDEX(기본자료!$A$2:$A$1001,$AB356)="","",INDEX(기본자료!$A$2:$A$1001,$AB356)))</f>
        <v/>
      </c>
      <c r="M356" s="15" t="n"/>
      <c r="N356" s="10">
        <f>IF($B356="","",IF(AND($U356="파견중",$Q356&lt;&gt;""),$Q356,IF(AND($AD356&lt;&gt;"",LEFT($AD356,1)&lt;&gt;"⚠"),LEFT($AD356,FIND(" ",$AD356)-1),IF($H356="","",IF(RIGHT($H356,2)="병원",$H356,$H356&amp;"병원")))))</f>
        <v/>
      </c>
      <c r="O356" s="10">
        <f>IF($B356="","",IF(AND($U356="파견중",$Q356&lt;&gt;""),IF($R356&lt;&gt;"",$R356,"파견과 미입력"),IF(AND($AD356&lt;&gt;"",LEFT($AD356,1)&lt;&gt;"⚠"),MID($AD356,FIND(" ",$AD356)+1,60),IF($F356="","",IF($F356="인턴","수련교육부(인턴)",$F356)))))</f>
        <v/>
      </c>
      <c r="P356" s="10">
        <f>IF($B356="","",IF($AK356&lt;&gt;"",IF(AND(TODAY()&gt;=INDEX(파견수련계획!$AB$4:$AB$83,$AK356),OR(NOT(ISNUMBER(INDEX(파견수련계획!$AC$4:$AC$83,$AK356))),TODAY()&lt;=INDEX(파견수련계획!$AC$4:$AC$83,$AK356))),"다기관",IF($AF356="","",INDEX(파견수련계획!$T$4:$T$83,$AF356))),IF($AF356="","",INDEX(파견수련계획!$T$4:$T$83,$AF356))))</f>
        <v/>
      </c>
      <c r="Q356" s="10">
        <f>IF($AF356="","",INDEX(파견수련계획!$S$4:$S$83,$AF356))</f>
        <v/>
      </c>
      <c r="R356" s="10">
        <f>IF($AF356="","",INDEX(파견수련계획!$U$4:$U$83,$AF356))</f>
        <v/>
      </c>
      <c r="S356" s="11">
        <f>IF($AF356="","",IF(INDEX(파견수련계획!$H$4:$H$83,$AF356)="","",INDEX(파견수련계획!$H$4:$H$83,$AF356)))</f>
        <v/>
      </c>
      <c r="T356" s="11">
        <f>IF($AF356="","",IF(INDEX(파견수련계획!$I$4:$I$83,$AF356)="","",INDEX(파견수련계획!$I$4:$I$83,$AF356)))</f>
        <v/>
      </c>
      <c r="U356" s="10">
        <f>IF($AF356="","",INDEX(파견수련계획!$X$4:$X$83,$AF356))</f>
        <v/>
      </c>
      <c r="V356" s="17">
        <f>IF($AF356="","",INDEX(파견수련계획!$V$4:$V$83,$AF356))</f>
        <v/>
      </c>
      <c r="W356" s="17">
        <f>IF(AND($U356="파견중",$T356&lt;&gt;""),$T356-TODAY(),"")</f>
        <v/>
      </c>
      <c r="X356" s="17">
        <f>IF(OR($B356="",TRIM($J356&amp;"")=""),"",SUMPRODUCT((파견수련계획!$Q$4:$Q$83=TRIM($J356&amp;""))*파견수련계획!$W$4:$W$83))</f>
        <v/>
      </c>
      <c r="Y356" s="10">
        <f>IF($B356="","",IF($AG356="","",IF(IF(TRIM($J356&amp;"")="",0,SUMPRODUCT((파견수련계획!$Q$4:$Q$83=TRIM($J356&amp;""))*파견수련계획!$AD$4:$AD$83))&gt;0,$AE356,IF(N($X356)&lt;=0,$AG356,IF($AH356+$AI356=DAY(EOMONTH(요약!$B$3,0)),IF(AND($AH356&gt;=요약!$E$3,$AI356&lt;요약!$E$3),"서울병원",IF(AND($AI356&gt;=요약!$E$3,$AH356&lt;요약!$E$3),"구리병원","⚠15일 판정불가(서울 "&amp;$AH356&amp;"일/구리 "&amp;$AI356&amp;"일)")),IF($AJ356="",$AE356,IF(INDEX(파견수련계획!$T$4:$T$83,$AJ356)="통합수련",INDEX(파견수련계획!$S$4:$S$83,$AJ356),$AE356)))))))</f>
        <v/>
      </c>
      <c r="Z356" s="19">
        <f>IF($B356="","",IF($AB356="","기본자료에 없는 사번",IF(COUNTIF($B$2:$B$401,$B356)&gt;1,"중복 사번",IF($AE356="","소속(입사장소) 입력",IF(IF(TRIM($J356&amp;"")="",0,SUMPRODUCT((파견수련계획!$Q$4:$Q$83=TRIM($J356&amp;""))*(파견수련계획!$AA$4:$AA$83&lt;&gt;"")))&gt;0,"파견수련계획 입력오류 확인",IF(LEFT($Y356,1)="⚠","서울·구리 15일 판정 불가(양쪽 모두 이상/미만)",IF(IF($AC356="",0,N(INDEX(인턴근무계획!$T$3:$T$62,$AC356)))&gt;0,"인턴계획 입력오류 확인",IF(AND($AC356&lt;&gt;"",$U356&lt;&gt;"파견중",$N356&lt;&gt;$AE356),"인턴 타지역 근무: 파견 여부 확인","정상"))))))))</f>
        <v/>
      </c>
      <c r="AA356" s="5" t="n"/>
      <c r="AB356" s="10">
        <f>IF($B356="","",IFERROR(MATCH($B356,기본자료!$B$2:$B$1001,0),IFERROR(MATCH($B356&amp;"",기본자료!$B$2:$B$1001,0),IFERROR(MATCH(VALUE($B356),기본자료!$B$2:$B$1001,0),""))))</f>
        <v/>
      </c>
      <c r="AC356" s="10">
        <f>IF($B356="","",IFERROR(MATCH($B356,인턴근무계획!$D$3:$D$62,0),IFERROR(MATCH($B356&amp;"",인턴근무계획!$D$3:$D$62,0),IFERROR(MATCH(VALUE($B356),인턴근무계획!$D$3:$D$62,0),""))))</f>
        <v/>
      </c>
      <c r="AD356" s="10">
        <f>IF(OR($AC356="",인턴현황!$G$3=""),"",INDEX(인턴근무계획!$M$3:$R$62,$AC356,인턴현황!$G$3)&amp;"")</f>
        <v/>
      </c>
      <c r="AE356" s="10">
        <f>IF($B356="","",IF($M356&lt;&gt;"",$M356,IF($AF356&lt;&gt;"",IF(LEFT(INDEX(파견수련계획!$R$4:$R$83,$AF356),1)&lt;&gt;"⚠",INDEX(파견수련계획!$R$4:$R$83,$AF356),IF($H356="","",IF(RIGHT($H356,2)="병원",$H356,$H356&amp;"병원"))),IF($H356="","",IF(RIGHT($H356,2)="병원",$H356,$H356&amp;"병원")))))</f>
        <v/>
      </c>
      <c r="AF356" s="10">
        <f>IF(OR($B356="",TRIM($J356&amp;"")=""),"",IFERROR(MATCH(TRIM($J356&amp;"")&amp;"|파견중",파견수련계획!$Y$4:$Y$83,0),IFERROR(MATCH(TRIM($J356&amp;"")&amp;"|파견예정",파견수련계획!$Y$4:$Y$83,0),IFERROR(MATCH(TRIM($J356&amp;"")&amp;"|파견종료",파견수련계획!$Y$4:$Y$83,0),""))))</f>
        <v/>
      </c>
      <c r="AG356" s="10">
        <f>IF($B356="","",IF(AND(IF(OR($AC356="",인턴현황!$K$2=""),"",INDEX(인턴근무계획!$M$3:$R$62,$AC356,인턴현황!$K$2)&amp;"")&lt;&gt;"",LEFT(IF(OR($AC356="",인턴현황!$K$2=""),"",INDEX(인턴근무계획!$M$3:$R$62,$AC356,인턴현황!$K$2)&amp;""),1)&lt;&gt;"⚠"),LEFT(IF(OR($AC356="",인턴현황!$K$2=""),"",INDEX(인턴근무계획!$M$3:$R$62,$AC356,인턴현황!$K$2)&amp;""),FIND(" ",IF(OR($AC356="",인턴현황!$K$2=""),"",INDEX(인턴근무계획!$M$3:$R$62,$AC356,인턴현황!$K$2)&amp;""))-1),$AE356))</f>
        <v/>
      </c>
      <c r="AH356" s="17">
        <f>IF($B356="","",IF(TRIM($J356&amp;"")="",0,SUMPRODUCT((파견수련계획!$Q$4:$Q$83=TRIM($J356&amp;""))*(파견수련계획!$S$4:$S$83="서울병원")*파견수련계획!$W$4:$W$83))+IF($AG356="서울병원",MAX(0,DAY(EOMONTH(요약!$B$3,0))-N($X356)),0))</f>
        <v/>
      </c>
      <c r="AI356" s="17">
        <f>IF($B356="","",IF(TRIM($J356&amp;"")="",0,SUMPRODUCT((파견수련계획!$Q$4:$Q$83=TRIM($J356&amp;""))*(파견수련계획!$S$4:$S$83="구리병원")*파견수련계획!$W$4:$W$83))+IF($AG356="구리병원",MAX(0,DAY(EOMONTH(요약!$B$3,0))-N($X356)),0))</f>
        <v/>
      </c>
      <c r="AJ356" s="10">
        <f>IF(OR($B356="",TRIM($J356&amp;"")=""),"",IFERROR(MATCH(TRIM($J356&amp;"")&amp;"|월",파견수련계획!$Z$4:$Z$83,0),""))</f>
        <v/>
      </c>
      <c r="AK356" s="10">
        <f>IF(OR($B356="",TRIM($J356&amp;"")=""),"",IFERROR(MATCH(TRIM($J356&amp;"")&amp;"|다기관",파견수련계획!$AE$4:$AE$83,0),""))</f>
        <v/>
      </c>
      <c r="AL356" s="10">
        <f>IF($AK356="","","다기관 "&amp;TEXT(INDEX(파견수련계획!$AB$4:$AB$83,$AK356),"yyyy-mm-dd")&amp;"~"&amp;IF(ISNUMBER(INDEX(파견수련계획!$AC$4:$AC$83,$AK356)),TEXT(INDEX(파견수련계획!$AC$4:$AC$83,$AK356),"yyyy-mm-dd"),""))</f>
        <v/>
      </c>
    </row>
    <row r="357">
      <c r="A357" s="10">
        <f>IF(B357="","",ROW()-1)</f>
        <v/>
      </c>
      <c r="B357" s="18" t="n"/>
      <c r="C357" s="10">
        <f>IF($AB357="","",IF(INDEX(기본자료!$C$2:$C$1001,$AB357)="","",INDEX(기본자료!$C$2:$C$1001,$AB357)))</f>
        <v/>
      </c>
      <c r="D357" s="10">
        <f>IF($AB357="","",IF(INDEX(기본자료!$J$2:$J$1001,$AB357)="","",INDEX(기본자료!$J$2:$J$1001,$AB357)))</f>
        <v/>
      </c>
      <c r="E357" s="11">
        <f>IF($AB357="","",IF(INDEX(기본자료!$K$2:$K$1001,$AB357)="","",IF(NOT(ISNUMBER(INDEX(기본자료!$K$2:$K$1001,$AB357))),INDEX(기본자료!$K$2:$K$1001,$AB357),IF(INDEX(기본자료!$K$2:$K$1001,$AB357)&lt;1000000,INDEX(기본자료!$K$2:$K$1001,$AB357),IF(AND(INDEX(기본자료!$K$2:$K$1001,$AB357)&gt;=10000101,INT(MOD(INDEX(기본자료!$K$2:$K$1001,$AB357),10000)/100)&gt;=1,INT(MOD(INDEX(기본자료!$K$2:$K$1001,$AB357),10000)/100)&lt;=12,MOD(INDEX(기본자료!$K$2:$K$1001,$AB357),100)&gt;=1,MOD(INDEX(기본자료!$K$2:$K$1001,$AB357),100)&lt;=31),DATE(INT(INDEX(기본자료!$K$2:$K$1001,$AB357)/10000),INT(MOD(INDEX(기본자료!$K$2:$K$1001,$AB357),10000)/100),MOD(INDEX(기본자료!$K$2:$K$1001,$AB357),100)),INDEX(기본자료!$K$2:$K$1001,$AB357)&amp;"")))))</f>
        <v/>
      </c>
      <c r="F357" s="10">
        <f>IF($AB357="","",IF(INDEX(기본자료!$D$2:$D$1001,$AB357)="","",INDEX(기본자료!$D$2:$D$1001,$AB357)))</f>
        <v/>
      </c>
      <c r="G357" s="10">
        <f>IF($AB357="","",IF(INDEX(기본자료!$E$2:$E$1001,$AB357)="","",INDEX(기본자료!$E$2:$E$1001,$AB357)))</f>
        <v/>
      </c>
      <c r="H357" s="10">
        <f>IF($AB357="","",IF(INDEX(기본자료!$F$2:$F$1001,$AB357)="","",INDEX(기본자료!$F$2:$F$1001,$AB357)))</f>
        <v/>
      </c>
      <c r="I357" s="11">
        <f>IF($AB357="","",IF(INDEX(기본자료!$G$2:$G$1001,$AB357)="","",IF(NOT(ISNUMBER(INDEX(기본자료!$G$2:$G$1001,$AB357))),INDEX(기본자료!$G$2:$G$1001,$AB357),IF(INDEX(기본자료!$G$2:$G$1001,$AB357)&lt;1000000,INDEX(기본자료!$G$2:$G$1001,$AB357),IF(AND(INDEX(기본자료!$G$2:$G$1001,$AB357)&gt;=10000101,INT(MOD(INDEX(기본자료!$G$2:$G$1001,$AB357),10000)/100)&gt;=1,INT(MOD(INDEX(기본자료!$G$2:$G$1001,$AB357),10000)/100)&lt;=12,MOD(INDEX(기본자료!$G$2:$G$1001,$AB357),100)&gt;=1,MOD(INDEX(기본자료!$G$2:$G$1001,$AB357),100)&lt;=31),DATE(INT(INDEX(기본자료!$G$2:$G$1001,$AB357)/10000),INT(MOD(INDEX(기본자료!$G$2:$G$1001,$AB357),10000)/100),MOD(INDEX(기본자료!$G$2:$G$1001,$AB357),100)),INDEX(기본자료!$G$2:$G$1001,$AB357)&amp;"")))))</f>
        <v/>
      </c>
      <c r="J357" s="10">
        <f>IF($AB357="","",IF(INDEX(기본자료!$H$2:$H$1001,$AB357)="","",INDEX(기본자료!$H$2:$H$1001,$AB357)))</f>
        <v/>
      </c>
      <c r="K357" s="10">
        <f>IF($AB357="","",IF(INDEX(기본자료!$I$2:$I$1001,$AB357)="","",INDEX(기본자료!$I$2:$I$1001,$AB357)))</f>
        <v/>
      </c>
      <c r="L357" s="10">
        <f>IF($AB357="","",IF(INDEX(기본자료!$A$2:$A$1001,$AB357)="","",INDEX(기본자료!$A$2:$A$1001,$AB357)))</f>
        <v/>
      </c>
      <c r="M357" s="15" t="n"/>
      <c r="N357" s="10">
        <f>IF($B357="","",IF(AND($U357="파견중",$Q357&lt;&gt;""),$Q357,IF(AND($AD357&lt;&gt;"",LEFT($AD357,1)&lt;&gt;"⚠"),LEFT($AD357,FIND(" ",$AD357)-1),IF($H357="","",IF(RIGHT($H357,2)="병원",$H357,$H357&amp;"병원")))))</f>
        <v/>
      </c>
      <c r="O357" s="10">
        <f>IF($B357="","",IF(AND($U357="파견중",$Q357&lt;&gt;""),IF($R357&lt;&gt;"",$R357,"파견과 미입력"),IF(AND($AD357&lt;&gt;"",LEFT($AD357,1)&lt;&gt;"⚠"),MID($AD357,FIND(" ",$AD357)+1,60),IF($F357="","",IF($F357="인턴","수련교육부(인턴)",$F357)))))</f>
        <v/>
      </c>
      <c r="P357" s="10">
        <f>IF($B357="","",IF($AK357&lt;&gt;"",IF(AND(TODAY()&gt;=INDEX(파견수련계획!$AB$4:$AB$83,$AK357),OR(NOT(ISNUMBER(INDEX(파견수련계획!$AC$4:$AC$83,$AK357))),TODAY()&lt;=INDEX(파견수련계획!$AC$4:$AC$83,$AK357))),"다기관",IF($AF357="","",INDEX(파견수련계획!$T$4:$T$83,$AF357))),IF($AF357="","",INDEX(파견수련계획!$T$4:$T$83,$AF357))))</f>
        <v/>
      </c>
      <c r="Q357" s="10">
        <f>IF($AF357="","",INDEX(파견수련계획!$S$4:$S$83,$AF357))</f>
        <v/>
      </c>
      <c r="R357" s="10">
        <f>IF($AF357="","",INDEX(파견수련계획!$U$4:$U$83,$AF357))</f>
        <v/>
      </c>
      <c r="S357" s="11">
        <f>IF($AF357="","",IF(INDEX(파견수련계획!$H$4:$H$83,$AF357)="","",INDEX(파견수련계획!$H$4:$H$83,$AF357)))</f>
        <v/>
      </c>
      <c r="T357" s="11">
        <f>IF($AF357="","",IF(INDEX(파견수련계획!$I$4:$I$83,$AF357)="","",INDEX(파견수련계획!$I$4:$I$83,$AF357)))</f>
        <v/>
      </c>
      <c r="U357" s="10">
        <f>IF($AF357="","",INDEX(파견수련계획!$X$4:$X$83,$AF357))</f>
        <v/>
      </c>
      <c r="V357" s="17">
        <f>IF($AF357="","",INDEX(파견수련계획!$V$4:$V$83,$AF357))</f>
        <v/>
      </c>
      <c r="W357" s="17">
        <f>IF(AND($U357="파견중",$T357&lt;&gt;""),$T357-TODAY(),"")</f>
        <v/>
      </c>
      <c r="X357" s="17">
        <f>IF(OR($B357="",TRIM($J357&amp;"")=""),"",SUMPRODUCT((파견수련계획!$Q$4:$Q$83=TRIM($J357&amp;""))*파견수련계획!$W$4:$W$83))</f>
        <v/>
      </c>
      <c r="Y357" s="10">
        <f>IF($B357="","",IF($AG357="","",IF(IF(TRIM($J357&amp;"")="",0,SUMPRODUCT((파견수련계획!$Q$4:$Q$83=TRIM($J357&amp;""))*파견수련계획!$AD$4:$AD$83))&gt;0,$AE357,IF(N($X357)&lt;=0,$AG357,IF($AH357+$AI357=DAY(EOMONTH(요약!$B$3,0)),IF(AND($AH357&gt;=요약!$E$3,$AI357&lt;요약!$E$3),"서울병원",IF(AND($AI357&gt;=요약!$E$3,$AH357&lt;요약!$E$3),"구리병원","⚠15일 판정불가(서울 "&amp;$AH357&amp;"일/구리 "&amp;$AI357&amp;"일)")),IF($AJ357="",$AE357,IF(INDEX(파견수련계획!$T$4:$T$83,$AJ357)="통합수련",INDEX(파견수련계획!$S$4:$S$83,$AJ357),$AE357)))))))</f>
        <v/>
      </c>
      <c r="Z357" s="19">
        <f>IF($B357="","",IF($AB357="","기본자료에 없는 사번",IF(COUNTIF($B$2:$B$401,$B357)&gt;1,"중복 사번",IF($AE357="","소속(입사장소) 입력",IF(IF(TRIM($J357&amp;"")="",0,SUMPRODUCT((파견수련계획!$Q$4:$Q$83=TRIM($J357&amp;""))*(파견수련계획!$AA$4:$AA$83&lt;&gt;"")))&gt;0,"파견수련계획 입력오류 확인",IF(LEFT($Y357,1)="⚠","서울·구리 15일 판정 불가(양쪽 모두 이상/미만)",IF(IF($AC357="",0,N(INDEX(인턴근무계획!$T$3:$T$62,$AC357)))&gt;0,"인턴계획 입력오류 확인",IF(AND($AC357&lt;&gt;"",$U357&lt;&gt;"파견중",$N357&lt;&gt;$AE357),"인턴 타지역 근무: 파견 여부 확인","정상"))))))))</f>
        <v/>
      </c>
      <c r="AA357" s="5" t="n"/>
      <c r="AB357" s="10">
        <f>IF($B357="","",IFERROR(MATCH($B357,기본자료!$B$2:$B$1001,0),IFERROR(MATCH($B357&amp;"",기본자료!$B$2:$B$1001,0),IFERROR(MATCH(VALUE($B357),기본자료!$B$2:$B$1001,0),""))))</f>
        <v/>
      </c>
      <c r="AC357" s="10">
        <f>IF($B357="","",IFERROR(MATCH($B357,인턴근무계획!$D$3:$D$62,0),IFERROR(MATCH($B357&amp;"",인턴근무계획!$D$3:$D$62,0),IFERROR(MATCH(VALUE($B357),인턴근무계획!$D$3:$D$62,0),""))))</f>
        <v/>
      </c>
      <c r="AD357" s="10">
        <f>IF(OR($AC357="",인턴현황!$G$3=""),"",INDEX(인턴근무계획!$M$3:$R$62,$AC357,인턴현황!$G$3)&amp;"")</f>
        <v/>
      </c>
      <c r="AE357" s="10">
        <f>IF($B357="","",IF($M357&lt;&gt;"",$M357,IF($AF357&lt;&gt;"",IF(LEFT(INDEX(파견수련계획!$R$4:$R$83,$AF357),1)&lt;&gt;"⚠",INDEX(파견수련계획!$R$4:$R$83,$AF357),IF($H357="","",IF(RIGHT($H357,2)="병원",$H357,$H357&amp;"병원"))),IF($H357="","",IF(RIGHT($H357,2)="병원",$H357,$H357&amp;"병원")))))</f>
        <v/>
      </c>
      <c r="AF357" s="10">
        <f>IF(OR($B357="",TRIM($J357&amp;"")=""),"",IFERROR(MATCH(TRIM($J357&amp;"")&amp;"|파견중",파견수련계획!$Y$4:$Y$83,0),IFERROR(MATCH(TRIM($J357&amp;"")&amp;"|파견예정",파견수련계획!$Y$4:$Y$83,0),IFERROR(MATCH(TRIM($J357&amp;"")&amp;"|파견종료",파견수련계획!$Y$4:$Y$83,0),""))))</f>
        <v/>
      </c>
      <c r="AG357" s="10">
        <f>IF($B357="","",IF(AND(IF(OR($AC357="",인턴현황!$K$2=""),"",INDEX(인턴근무계획!$M$3:$R$62,$AC357,인턴현황!$K$2)&amp;"")&lt;&gt;"",LEFT(IF(OR($AC357="",인턴현황!$K$2=""),"",INDEX(인턴근무계획!$M$3:$R$62,$AC357,인턴현황!$K$2)&amp;""),1)&lt;&gt;"⚠"),LEFT(IF(OR($AC357="",인턴현황!$K$2=""),"",INDEX(인턴근무계획!$M$3:$R$62,$AC357,인턴현황!$K$2)&amp;""),FIND(" ",IF(OR($AC357="",인턴현황!$K$2=""),"",INDEX(인턴근무계획!$M$3:$R$62,$AC357,인턴현황!$K$2)&amp;""))-1),$AE357))</f>
        <v/>
      </c>
      <c r="AH357" s="17">
        <f>IF($B357="","",IF(TRIM($J357&amp;"")="",0,SUMPRODUCT((파견수련계획!$Q$4:$Q$83=TRIM($J357&amp;""))*(파견수련계획!$S$4:$S$83="서울병원")*파견수련계획!$W$4:$W$83))+IF($AG357="서울병원",MAX(0,DAY(EOMONTH(요약!$B$3,0))-N($X357)),0))</f>
        <v/>
      </c>
      <c r="AI357" s="17">
        <f>IF($B357="","",IF(TRIM($J357&amp;"")="",0,SUMPRODUCT((파견수련계획!$Q$4:$Q$83=TRIM($J357&amp;""))*(파견수련계획!$S$4:$S$83="구리병원")*파견수련계획!$W$4:$W$83))+IF($AG357="구리병원",MAX(0,DAY(EOMONTH(요약!$B$3,0))-N($X357)),0))</f>
        <v/>
      </c>
      <c r="AJ357" s="10">
        <f>IF(OR($B357="",TRIM($J357&amp;"")=""),"",IFERROR(MATCH(TRIM($J357&amp;"")&amp;"|월",파견수련계획!$Z$4:$Z$83,0),""))</f>
        <v/>
      </c>
      <c r="AK357" s="10">
        <f>IF(OR($B357="",TRIM($J357&amp;"")=""),"",IFERROR(MATCH(TRIM($J357&amp;"")&amp;"|다기관",파견수련계획!$AE$4:$AE$83,0),""))</f>
        <v/>
      </c>
      <c r="AL357" s="10">
        <f>IF($AK357="","","다기관 "&amp;TEXT(INDEX(파견수련계획!$AB$4:$AB$83,$AK357),"yyyy-mm-dd")&amp;"~"&amp;IF(ISNUMBER(INDEX(파견수련계획!$AC$4:$AC$83,$AK357)),TEXT(INDEX(파견수련계획!$AC$4:$AC$83,$AK357),"yyyy-mm-dd"),""))</f>
        <v/>
      </c>
    </row>
    <row r="358">
      <c r="A358" s="10">
        <f>IF(B358="","",ROW()-1)</f>
        <v/>
      </c>
      <c r="B358" s="18" t="n"/>
      <c r="C358" s="10">
        <f>IF($AB358="","",IF(INDEX(기본자료!$C$2:$C$1001,$AB358)="","",INDEX(기본자료!$C$2:$C$1001,$AB358)))</f>
        <v/>
      </c>
      <c r="D358" s="10">
        <f>IF($AB358="","",IF(INDEX(기본자료!$J$2:$J$1001,$AB358)="","",INDEX(기본자료!$J$2:$J$1001,$AB358)))</f>
        <v/>
      </c>
      <c r="E358" s="11">
        <f>IF($AB358="","",IF(INDEX(기본자료!$K$2:$K$1001,$AB358)="","",IF(NOT(ISNUMBER(INDEX(기본자료!$K$2:$K$1001,$AB358))),INDEX(기본자료!$K$2:$K$1001,$AB358),IF(INDEX(기본자료!$K$2:$K$1001,$AB358)&lt;1000000,INDEX(기본자료!$K$2:$K$1001,$AB358),IF(AND(INDEX(기본자료!$K$2:$K$1001,$AB358)&gt;=10000101,INT(MOD(INDEX(기본자료!$K$2:$K$1001,$AB358),10000)/100)&gt;=1,INT(MOD(INDEX(기본자료!$K$2:$K$1001,$AB358),10000)/100)&lt;=12,MOD(INDEX(기본자료!$K$2:$K$1001,$AB358),100)&gt;=1,MOD(INDEX(기본자료!$K$2:$K$1001,$AB358),100)&lt;=31),DATE(INT(INDEX(기본자료!$K$2:$K$1001,$AB358)/10000),INT(MOD(INDEX(기본자료!$K$2:$K$1001,$AB358),10000)/100),MOD(INDEX(기본자료!$K$2:$K$1001,$AB358),100)),INDEX(기본자료!$K$2:$K$1001,$AB358)&amp;"")))))</f>
        <v/>
      </c>
      <c r="F358" s="10">
        <f>IF($AB358="","",IF(INDEX(기본자료!$D$2:$D$1001,$AB358)="","",INDEX(기본자료!$D$2:$D$1001,$AB358)))</f>
        <v/>
      </c>
      <c r="G358" s="10">
        <f>IF($AB358="","",IF(INDEX(기본자료!$E$2:$E$1001,$AB358)="","",INDEX(기본자료!$E$2:$E$1001,$AB358)))</f>
        <v/>
      </c>
      <c r="H358" s="10">
        <f>IF($AB358="","",IF(INDEX(기본자료!$F$2:$F$1001,$AB358)="","",INDEX(기본자료!$F$2:$F$1001,$AB358)))</f>
        <v/>
      </c>
      <c r="I358" s="11">
        <f>IF($AB358="","",IF(INDEX(기본자료!$G$2:$G$1001,$AB358)="","",IF(NOT(ISNUMBER(INDEX(기본자료!$G$2:$G$1001,$AB358))),INDEX(기본자료!$G$2:$G$1001,$AB358),IF(INDEX(기본자료!$G$2:$G$1001,$AB358)&lt;1000000,INDEX(기본자료!$G$2:$G$1001,$AB358),IF(AND(INDEX(기본자료!$G$2:$G$1001,$AB358)&gt;=10000101,INT(MOD(INDEX(기본자료!$G$2:$G$1001,$AB358),10000)/100)&gt;=1,INT(MOD(INDEX(기본자료!$G$2:$G$1001,$AB358),10000)/100)&lt;=12,MOD(INDEX(기본자료!$G$2:$G$1001,$AB358),100)&gt;=1,MOD(INDEX(기본자료!$G$2:$G$1001,$AB358),100)&lt;=31),DATE(INT(INDEX(기본자료!$G$2:$G$1001,$AB358)/10000),INT(MOD(INDEX(기본자료!$G$2:$G$1001,$AB358),10000)/100),MOD(INDEX(기본자료!$G$2:$G$1001,$AB358),100)),INDEX(기본자료!$G$2:$G$1001,$AB358)&amp;"")))))</f>
        <v/>
      </c>
      <c r="J358" s="10">
        <f>IF($AB358="","",IF(INDEX(기본자료!$H$2:$H$1001,$AB358)="","",INDEX(기본자료!$H$2:$H$1001,$AB358)))</f>
        <v/>
      </c>
      <c r="K358" s="10">
        <f>IF($AB358="","",IF(INDEX(기본자료!$I$2:$I$1001,$AB358)="","",INDEX(기본자료!$I$2:$I$1001,$AB358)))</f>
        <v/>
      </c>
      <c r="L358" s="10">
        <f>IF($AB358="","",IF(INDEX(기본자료!$A$2:$A$1001,$AB358)="","",INDEX(기본자료!$A$2:$A$1001,$AB358)))</f>
        <v/>
      </c>
      <c r="M358" s="15" t="n"/>
      <c r="N358" s="10">
        <f>IF($B358="","",IF(AND($U358="파견중",$Q358&lt;&gt;""),$Q358,IF(AND($AD358&lt;&gt;"",LEFT($AD358,1)&lt;&gt;"⚠"),LEFT($AD358,FIND(" ",$AD358)-1),IF($H358="","",IF(RIGHT($H358,2)="병원",$H358,$H358&amp;"병원")))))</f>
        <v/>
      </c>
      <c r="O358" s="10">
        <f>IF($B358="","",IF(AND($U358="파견중",$Q358&lt;&gt;""),IF($R358&lt;&gt;"",$R358,"파견과 미입력"),IF(AND($AD358&lt;&gt;"",LEFT($AD358,1)&lt;&gt;"⚠"),MID($AD358,FIND(" ",$AD358)+1,60),IF($F358="","",IF($F358="인턴","수련교육부(인턴)",$F358)))))</f>
        <v/>
      </c>
      <c r="P358" s="10">
        <f>IF($B358="","",IF($AK358&lt;&gt;"",IF(AND(TODAY()&gt;=INDEX(파견수련계획!$AB$4:$AB$83,$AK358),OR(NOT(ISNUMBER(INDEX(파견수련계획!$AC$4:$AC$83,$AK358))),TODAY()&lt;=INDEX(파견수련계획!$AC$4:$AC$83,$AK358))),"다기관",IF($AF358="","",INDEX(파견수련계획!$T$4:$T$83,$AF358))),IF($AF358="","",INDEX(파견수련계획!$T$4:$T$83,$AF358))))</f>
        <v/>
      </c>
      <c r="Q358" s="10">
        <f>IF($AF358="","",INDEX(파견수련계획!$S$4:$S$83,$AF358))</f>
        <v/>
      </c>
      <c r="R358" s="10">
        <f>IF($AF358="","",INDEX(파견수련계획!$U$4:$U$83,$AF358))</f>
        <v/>
      </c>
      <c r="S358" s="11">
        <f>IF($AF358="","",IF(INDEX(파견수련계획!$H$4:$H$83,$AF358)="","",INDEX(파견수련계획!$H$4:$H$83,$AF358)))</f>
        <v/>
      </c>
      <c r="T358" s="11">
        <f>IF($AF358="","",IF(INDEX(파견수련계획!$I$4:$I$83,$AF358)="","",INDEX(파견수련계획!$I$4:$I$83,$AF358)))</f>
        <v/>
      </c>
      <c r="U358" s="10">
        <f>IF($AF358="","",INDEX(파견수련계획!$X$4:$X$83,$AF358))</f>
        <v/>
      </c>
      <c r="V358" s="17">
        <f>IF($AF358="","",INDEX(파견수련계획!$V$4:$V$83,$AF358))</f>
        <v/>
      </c>
      <c r="W358" s="17">
        <f>IF(AND($U358="파견중",$T358&lt;&gt;""),$T358-TODAY(),"")</f>
        <v/>
      </c>
      <c r="X358" s="17">
        <f>IF(OR($B358="",TRIM($J358&amp;"")=""),"",SUMPRODUCT((파견수련계획!$Q$4:$Q$83=TRIM($J358&amp;""))*파견수련계획!$W$4:$W$83))</f>
        <v/>
      </c>
      <c r="Y358" s="10">
        <f>IF($B358="","",IF($AG358="","",IF(IF(TRIM($J358&amp;"")="",0,SUMPRODUCT((파견수련계획!$Q$4:$Q$83=TRIM($J358&amp;""))*파견수련계획!$AD$4:$AD$83))&gt;0,$AE358,IF(N($X358)&lt;=0,$AG358,IF($AH358+$AI358=DAY(EOMONTH(요약!$B$3,0)),IF(AND($AH358&gt;=요약!$E$3,$AI358&lt;요약!$E$3),"서울병원",IF(AND($AI358&gt;=요약!$E$3,$AH358&lt;요약!$E$3),"구리병원","⚠15일 판정불가(서울 "&amp;$AH358&amp;"일/구리 "&amp;$AI358&amp;"일)")),IF($AJ358="",$AE358,IF(INDEX(파견수련계획!$T$4:$T$83,$AJ358)="통합수련",INDEX(파견수련계획!$S$4:$S$83,$AJ358),$AE358)))))))</f>
        <v/>
      </c>
      <c r="Z358" s="19">
        <f>IF($B358="","",IF($AB358="","기본자료에 없는 사번",IF(COUNTIF($B$2:$B$401,$B358)&gt;1,"중복 사번",IF($AE358="","소속(입사장소) 입력",IF(IF(TRIM($J358&amp;"")="",0,SUMPRODUCT((파견수련계획!$Q$4:$Q$83=TRIM($J358&amp;""))*(파견수련계획!$AA$4:$AA$83&lt;&gt;"")))&gt;0,"파견수련계획 입력오류 확인",IF(LEFT($Y358,1)="⚠","서울·구리 15일 판정 불가(양쪽 모두 이상/미만)",IF(IF($AC358="",0,N(INDEX(인턴근무계획!$T$3:$T$62,$AC358)))&gt;0,"인턴계획 입력오류 확인",IF(AND($AC358&lt;&gt;"",$U358&lt;&gt;"파견중",$N358&lt;&gt;$AE358),"인턴 타지역 근무: 파견 여부 확인","정상"))))))))</f>
        <v/>
      </c>
      <c r="AA358" s="5" t="n"/>
      <c r="AB358" s="10">
        <f>IF($B358="","",IFERROR(MATCH($B358,기본자료!$B$2:$B$1001,0),IFERROR(MATCH($B358&amp;"",기본자료!$B$2:$B$1001,0),IFERROR(MATCH(VALUE($B358),기본자료!$B$2:$B$1001,0),""))))</f>
        <v/>
      </c>
      <c r="AC358" s="10">
        <f>IF($B358="","",IFERROR(MATCH($B358,인턴근무계획!$D$3:$D$62,0),IFERROR(MATCH($B358&amp;"",인턴근무계획!$D$3:$D$62,0),IFERROR(MATCH(VALUE($B358),인턴근무계획!$D$3:$D$62,0),""))))</f>
        <v/>
      </c>
      <c r="AD358" s="10">
        <f>IF(OR($AC358="",인턴현황!$G$3=""),"",INDEX(인턴근무계획!$M$3:$R$62,$AC358,인턴현황!$G$3)&amp;"")</f>
        <v/>
      </c>
      <c r="AE358" s="10">
        <f>IF($B358="","",IF($M358&lt;&gt;"",$M358,IF($AF358&lt;&gt;"",IF(LEFT(INDEX(파견수련계획!$R$4:$R$83,$AF358),1)&lt;&gt;"⚠",INDEX(파견수련계획!$R$4:$R$83,$AF358),IF($H358="","",IF(RIGHT($H358,2)="병원",$H358,$H358&amp;"병원"))),IF($H358="","",IF(RIGHT($H358,2)="병원",$H358,$H358&amp;"병원")))))</f>
        <v/>
      </c>
      <c r="AF358" s="10">
        <f>IF(OR($B358="",TRIM($J358&amp;"")=""),"",IFERROR(MATCH(TRIM($J358&amp;"")&amp;"|파견중",파견수련계획!$Y$4:$Y$83,0),IFERROR(MATCH(TRIM($J358&amp;"")&amp;"|파견예정",파견수련계획!$Y$4:$Y$83,0),IFERROR(MATCH(TRIM($J358&amp;"")&amp;"|파견종료",파견수련계획!$Y$4:$Y$83,0),""))))</f>
        <v/>
      </c>
      <c r="AG358" s="10">
        <f>IF($B358="","",IF(AND(IF(OR($AC358="",인턴현황!$K$2=""),"",INDEX(인턴근무계획!$M$3:$R$62,$AC358,인턴현황!$K$2)&amp;"")&lt;&gt;"",LEFT(IF(OR($AC358="",인턴현황!$K$2=""),"",INDEX(인턴근무계획!$M$3:$R$62,$AC358,인턴현황!$K$2)&amp;""),1)&lt;&gt;"⚠"),LEFT(IF(OR($AC358="",인턴현황!$K$2=""),"",INDEX(인턴근무계획!$M$3:$R$62,$AC358,인턴현황!$K$2)&amp;""),FIND(" ",IF(OR($AC358="",인턴현황!$K$2=""),"",INDEX(인턴근무계획!$M$3:$R$62,$AC358,인턴현황!$K$2)&amp;""))-1),$AE358))</f>
        <v/>
      </c>
      <c r="AH358" s="17">
        <f>IF($B358="","",IF(TRIM($J358&amp;"")="",0,SUMPRODUCT((파견수련계획!$Q$4:$Q$83=TRIM($J358&amp;""))*(파견수련계획!$S$4:$S$83="서울병원")*파견수련계획!$W$4:$W$83))+IF($AG358="서울병원",MAX(0,DAY(EOMONTH(요약!$B$3,0))-N($X358)),0))</f>
        <v/>
      </c>
      <c r="AI358" s="17">
        <f>IF($B358="","",IF(TRIM($J358&amp;"")="",0,SUMPRODUCT((파견수련계획!$Q$4:$Q$83=TRIM($J358&amp;""))*(파견수련계획!$S$4:$S$83="구리병원")*파견수련계획!$W$4:$W$83))+IF($AG358="구리병원",MAX(0,DAY(EOMONTH(요약!$B$3,0))-N($X358)),0))</f>
        <v/>
      </c>
      <c r="AJ358" s="10">
        <f>IF(OR($B358="",TRIM($J358&amp;"")=""),"",IFERROR(MATCH(TRIM($J358&amp;"")&amp;"|월",파견수련계획!$Z$4:$Z$83,0),""))</f>
        <v/>
      </c>
      <c r="AK358" s="10">
        <f>IF(OR($B358="",TRIM($J358&amp;"")=""),"",IFERROR(MATCH(TRIM($J358&amp;"")&amp;"|다기관",파견수련계획!$AE$4:$AE$83,0),""))</f>
        <v/>
      </c>
      <c r="AL358" s="10">
        <f>IF($AK358="","","다기관 "&amp;TEXT(INDEX(파견수련계획!$AB$4:$AB$83,$AK358),"yyyy-mm-dd")&amp;"~"&amp;IF(ISNUMBER(INDEX(파견수련계획!$AC$4:$AC$83,$AK358)),TEXT(INDEX(파견수련계획!$AC$4:$AC$83,$AK358),"yyyy-mm-dd"),""))</f>
        <v/>
      </c>
    </row>
    <row r="359">
      <c r="A359" s="10">
        <f>IF(B359="","",ROW()-1)</f>
        <v/>
      </c>
      <c r="B359" s="18" t="n"/>
      <c r="C359" s="10">
        <f>IF($AB359="","",IF(INDEX(기본자료!$C$2:$C$1001,$AB359)="","",INDEX(기본자료!$C$2:$C$1001,$AB359)))</f>
        <v/>
      </c>
      <c r="D359" s="10">
        <f>IF($AB359="","",IF(INDEX(기본자료!$J$2:$J$1001,$AB359)="","",INDEX(기본자료!$J$2:$J$1001,$AB359)))</f>
        <v/>
      </c>
      <c r="E359" s="11">
        <f>IF($AB359="","",IF(INDEX(기본자료!$K$2:$K$1001,$AB359)="","",IF(NOT(ISNUMBER(INDEX(기본자료!$K$2:$K$1001,$AB359))),INDEX(기본자료!$K$2:$K$1001,$AB359),IF(INDEX(기본자료!$K$2:$K$1001,$AB359)&lt;1000000,INDEX(기본자료!$K$2:$K$1001,$AB359),IF(AND(INDEX(기본자료!$K$2:$K$1001,$AB359)&gt;=10000101,INT(MOD(INDEX(기본자료!$K$2:$K$1001,$AB359),10000)/100)&gt;=1,INT(MOD(INDEX(기본자료!$K$2:$K$1001,$AB359),10000)/100)&lt;=12,MOD(INDEX(기본자료!$K$2:$K$1001,$AB359),100)&gt;=1,MOD(INDEX(기본자료!$K$2:$K$1001,$AB359),100)&lt;=31),DATE(INT(INDEX(기본자료!$K$2:$K$1001,$AB359)/10000),INT(MOD(INDEX(기본자료!$K$2:$K$1001,$AB359),10000)/100),MOD(INDEX(기본자료!$K$2:$K$1001,$AB359),100)),INDEX(기본자료!$K$2:$K$1001,$AB359)&amp;"")))))</f>
        <v/>
      </c>
      <c r="F359" s="10">
        <f>IF($AB359="","",IF(INDEX(기본자료!$D$2:$D$1001,$AB359)="","",INDEX(기본자료!$D$2:$D$1001,$AB359)))</f>
        <v/>
      </c>
      <c r="G359" s="10">
        <f>IF($AB359="","",IF(INDEX(기본자료!$E$2:$E$1001,$AB359)="","",INDEX(기본자료!$E$2:$E$1001,$AB359)))</f>
        <v/>
      </c>
      <c r="H359" s="10">
        <f>IF($AB359="","",IF(INDEX(기본자료!$F$2:$F$1001,$AB359)="","",INDEX(기본자료!$F$2:$F$1001,$AB359)))</f>
        <v/>
      </c>
      <c r="I359" s="11">
        <f>IF($AB359="","",IF(INDEX(기본자료!$G$2:$G$1001,$AB359)="","",IF(NOT(ISNUMBER(INDEX(기본자료!$G$2:$G$1001,$AB359))),INDEX(기본자료!$G$2:$G$1001,$AB359),IF(INDEX(기본자료!$G$2:$G$1001,$AB359)&lt;1000000,INDEX(기본자료!$G$2:$G$1001,$AB359),IF(AND(INDEX(기본자료!$G$2:$G$1001,$AB359)&gt;=10000101,INT(MOD(INDEX(기본자료!$G$2:$G$1001,$AB359),10000)/100)&gt;=1,INT(MOD(INDEX(기본자료!$G$2:$G$1001,$AB359),10000)/100)&lt;=12,MOD(INDEX(기본자료!$G$2:$G$1001,$AB359),100)&gt;=1,MOD(INDEX(기본자료!$G$2:$G$1001,$AB359),100)&lt;=31),DATE(INT(INDEX(기본자료!$G$2:$G$1001,$AB359)/10000),INT(MOD(INDEX(기본자료!$G$2:$G$1001,$AB359),10000)/100),MOD(INDEX(기본자료!$G$2:$G$1001,$AB359),100)),INDEX(기본자료!$G$2:$G$1001,$AB359)&amp;"")))))</f>
        <v/>
      </c>
      <c r="J359" s="10">
        <f>IF($AB359="","",IF(INDEX(기본자료!$H$2:$H$1001,$AB359)="","",INDEX(기본자료!$H$2:$H$1001,$AB359)))</f>
        <v/>
      </c>
      <c r="K359" s="10">
        <f>IF($AB359="","",IF(INDEX(기본자료!$I$2:$I$1001,$AB359)="","",INDEX(기본자료!$I$2:$I$1001,$AB359)))</f>
        <v/>
      </c>
      <c r="L359" s="10">
        <f>IF($AB359="","",IF(INDEX(기본자료!$A$2:$A$1001,$AB359)="","",INDEX(기본자료!$A$2:$A$1001,$AB359)))</f>
        <v/>
      </c>
      <c r="M359" s="15" t="n"/>
      <c r="N359" s="10">
        <f>IF($B359="","",IF(AND($U359="파견중",$Q359&lt;&gt;""),$Q359,IF(AND($AD359&lt;&gt;"",LEFT($AD359,1)&lt;&gt;"⚠"),LEFT($AD359,FIND(" ",$AD359)-1),IF($H359="","",IF(RIGHT($H359,2)="병원",$H359,$H359&amp;"병원")))))</f>
        <v/>
      </c>
      <c r="O359" s="10">
        <f>IF($B359="","",IF(AND($U359="파견중",$Q359&lt;&gt;""),IF($R359&lt;&gt;"",$R359,"파견과 미입력"),IF(AND($AD359&lt;&gt;"",LEFT($AD359,1)&lt;&gt;"⚠"),MID($AD359,FIND(" ",$AD359)+1,60),IF($F359="","",IF($F359="인턴","수련교육부(인턴)",$F359)))))</f>
        <v/>
      </c>
      <c r="P359" s="10">
        <f>IF($B359="","",IF($AK359&lt;&gt;"",IF(AND(TODAY()&gt;=INDEX(파견수련계획!$AB$4:$AB$83,$AK359),OR(NOT(ISNUMBER(INDEX(파견수련계획!$AC$4:$AC$83,$AK359))),TODAY()&lt;=INDEX(파견수련계획!$AC$4:$AC$83,$AK359))),"다기관",IF($AF359="","",INDEX(파견수련계획!$T$4:$T$83,$AF359))),IF($AF359="","",INDEX(파견수련계획!$T$4:$T$83,$AF359))))</f>
        <v/>
      </c>
      <c r="Q359" s="10">
        <f>IF($AF359="","",INDEX(파견수련계획!$S$4:$S$83,$AF359))</f>
        <v/>
      </c>
      <c r="R359" s="10">
        <f>IF($AF359="","",INDEX(파견수련계획!$U$4:$U$83,$AF359))</f>
        <v/>
      </c>
      <c r="S359" s="11">
        <f>IF($AF359="","",IF(INDEX(파견수련계획!$H$4:$H$83,$AF359)="","",INDEX(파견수련계획!$H$4:$H$83,$AF359)))</f>
        <v/>
      </c>
      <c r="T359" s="11">
        <f>IF($AF359="","",IF(INDEX(파견수련계획!$I$4:$I$83,$AF359)="","",INDEX(파견수련계획!$I$4:$I$83,$AF359)))</f>
        <v/>
      </c>
      <c r="U359" s="10">
        <f>IF($AF359="","",INDEX(파견수련계획!$X$4:$X$83,$AF359))</f>
        <v/>
      </c>
      <c r="V359" s="17">
        <f>IF($AF359="","",INDEX(파견수련계획!$V$4:$V$83,$AF359))</f>
        <v/>
      </c>
      <c r="W359" s="17">
        <f>IF(AND($U359="파견중",$T359&lt;&gt;""),$T359-TODAY(),"")</f>
        <v/>
      </c>
      <c r="X359" s="17">
        <f>IF(OR($B359="",TRIM($J359&amp;"")=""),"",SUMPRODUCT((파견수련계획!$Q$4:$Q$83=TRIM($J359&amp;""))*파견수련계획!$W$4:$W$83))</f>
        <v/>
      </c>
      <c r="Y359" s="10">
        <f>IF($B359="","",IF($AG359="","",IF(IF(TRIM($J359&amp;"")="",0,SUMPRODUCT((파견수련계획!$Q$4:$Q$83=TRIM($J359&amp;""))*파견수련계획!$AD$4:$AD$83))&gt;0,$AE359,IF(N($X359)&lt;=0,$AG359,IF($AH359+$AI359=DAY(EOMONTH(요약!$B$3,0)),IF(AND($AH359&gt;=요약!$E$3,$AI359&lt;요약!$E$3),"서울병원",IF(AND($AI359&gt;=요약!$E$3,$AH359&lt;요약!$E$3),"구리병원","⚠15일 판정불가(서울 "&amp;$AH359&amp;"일/구리 "&amp;$AI359&amp;"일)")),IF($AJ359="",$AE359,IF(INDEX(파견수련계획!$T$4:$T$83,$AJ359)="통합수련",INDEX(파견수련계획!$S$4:$S$83,$AJ359),$AE359)))))))</f>
        <v/>
      </c>
      <c r="Z359" s="19">
        <f>IF($B359="","",IF($AB359="","기본자료에 없는 사번",IF(COUNTIF($B$2:$B$401,$B359)&gt;1,"중복 사번",IF($AE359="","소속(입사장소) 입력",IF(IF(TRIM($J359&amp;"")="",0,SUMPRODUCT((파견수련계획!$Q$4:$Q$83=TRIM($J359&amp;""))*(파견수련계획!$AA$4:$AA$83&lt;&gt;"")))&gt;0,"파견수련계획 입력오류 확인",IF(LEFT($Y359,1)="⚠","서울·구리 15일 판정 불가(양쪽 모두 이상/미만)",IF(IF($AC359="",0,N(INDEX(인턴근무계획!$T$3:$T$62,$AC359)))&gt;0,"인턴계획 입력오류 확인",IF(AND($AC359&lt;&gt;"",$U359&lt;&gt;"파견중",$N359&lt;&gt;$AE359),"인턴 타지역 근무: 파견 여부 확인","정상"))))))))</f>
        <v/>
      </c>
      <c r="AA359" s="5" t="n"/>
      <c r="AB359" s="10">
        <f>IF($B359="","",IFERROR(MATCH($B359,기본자료!$B$2:$B$1001,0),IFERROR(MATCH($B359&amp;"",기본자료!$B$2:$B$1001,0),IFERROR(MATCH(VALUE($B359),기본자료!$B$2:$B$1001,0),""))))</f>
        <v/>
      </c>
      <c r="AC359" s="10">
        <f>IF($B359="","",IFERROR(MATCH($B359,인턴근무계획!$D$3:$D$62,0),IFERROR(MATCH($B359&amp;"",인턴근무계획!$D$3:$D$62,0),IFERROR(MATCH(VALUE($B359),인턴근무계획!$D$3:$D$62,0),""))))</f>
        <v/>
      </c>
      <c r="AD359" s="10">
        <f>IF(OR($AC359="",인턴현황!$G$3=""),"",INDEX(인턴근무계획!$M$3:$R$62,$AC359,인턴현황!$G$3)&amp;"")</f>
        <v/>
      </c>
      <c r="AE359" s="10">
        <f>IF($B359="","",IF($M359&lt;&gt;"",$M359,IF($AF359&lt;&gt;"",IF(LEFT(INDEX(파견수련계획!$R$4:$R$83,$AF359),1)&lt;&gt;"⚠",INDEX(파견수련계획!$R$4:$R$83,$AF359),IF($H359="","",IF(RIGHT($H359,2)="병원",$H359,$H359&amp;"병원"))),IF($H359="","",IF(RIGHT($H359,2)="병원",$H359,$H359&amp;"병원")))))</f>
        <v/>
      </c>
      <c r="AF359" s="10">
        <f>IF(OR($B359="",TRIM($J359&amp;"")=""),"",IFERROR(MATCH(TRIM($J359&amp;"")&amp;"|파견중",파견수련계획!$Y$4:$Y$83,0),IFERROR(MATCH(TRIM($J359&amp;"")&amp;"|파견예정",파견수련계획!$Y$4:$Y$83,0),IFERROR(MATCH(TRIM($J359&amp;"")&amp;"|파견종료",파견수련계획!$Y$4:$Y$83,0),""))))</f>
        <v/>
      </c>
      <c r="AG359" s="10">
        <f>IF($B359="","",IF(AND(IF(OR($AC359="",인턴현황!$K$2=""),"",INDEX(인턴근무계획!$M$3:$R$62,$AC359,인턴현황!$K$2)&amp;"")&lt;&gt;"",LEFT(IF(OR($AC359="",인턴현황!$K$2=""),"",INDEX(인턴근무계획!$M$3:$R$62,$AC359,인턴현황!$K$2)&amp;""),1)&lt;&gt;"⚠"),LEFT(IF(OR($AC359="",인턴현황!$K$2=""),"",INDEX(인턴근무계획!$M$3:$R$62,$AC359,인턴현황!$K$2)&amp;""),FIND(" ",IF(OR($AC359="",인턴현황!$K$2=""),"",INDEX(인턴근무계획!$M$3:$R$62,$AC359,인턴현황!$K$2)&amp;""))-1),$AE359))</f>
        <v/>
      </c>
      <c r="AH359" s="17">
        <f>IF($B359="","",IF(TRIM($J359&amp;"")="",0,SUMPRODUCT((파견수련계획!$Q$4:$Q$83=TRIM($J359&amp;""))*(파견수련계획!$S$4:$S$83="서울병원")*파견수련계획!$W$4:$W$83))+IF($AG359="서울병원",MAX(0,DAY(EOMONTH(요약!$B$3,0))-N($X359)),0))</f>
        <v/>
      </c>
      <c r="AI359" s="17">
        <f>IF($B359="","",IF(TRIM($J359&amp;"")="",0,SUMPRODUCT((파견수련계획!$Q$4:$Q$83=TRIM($J359&amp;""))*(파견수련계획!$S$4:$S$83="구리병원")*파견수련계획!$W$4:$W$83))+IF($AG359="구리병원",MAX(0,DAY(EOMONTH(요약!$B$3,0))-N($X359)),0))</f>
        <v/>
      </c>
      <c r="AJ359" s="10">
        <f>IF(OR($B359="",TRIM($J359&amp;"")=""),"",IFERROR(MATCH(TRIM($J359&amp;"")&amp;"|월",파견수련계획!$Z$4:$Z$83,0),""))</f>
        <v/>
      </c>
      <c r="AK359" s="10">
        <f>IF(OR($B359="",TRIM($J359&amp;"")=""),"",IFERROR(MATCH(TRIM($J359&amp;"")&amp;"|다기관",파견수련계획!$AE$4:$AE$83,0),""))</f>
        <v/>
      </c>
      <c r="AL359" s="10">
        <f>IF($AK359="","","다기관 "&amp;TEXT(INDEX(파견수련계획!$AB$4:$AB$83,$AK359),"yyyy-mm-dd")&amp;"~"&amp;IF(ISNUMBER(INDEX(파견수련계획!$AC$4:$AC$83,$AK359)),TEXT(INDEX(파견수련계획!$AC$4:$AC$83,$AK359),"yyyy-mm-dd"),""))</f>
        <v/>
      </c>
    </row>
    <row r="360">
      <c r="A360" s="10">
        <f>IF(B360="","",ROW()-1)</f>
        <v/>
      </c>
      <c r="B360" s="18" t="n"/>
      <c r="C360" s="10">
        <f>IF($AB360="","",IF(INDEX(기본자료!$C$2:$C$1001,$AB360)="","",INDEX(기본자료!$C$2:$C$1001,$AB360)))</f>
        <v/>
      </c>
      <c r="D360" s="10">
        <f>IF($AB360="","",IF(INDEX(기본자료!$J$2:$J$1001,$AB360)="","",INDEX(기본자료!$J$2:$J$1001,$AB360)))</f>
        <v/>
      </c>
      <c r="E360" s="11">
        <f>IF($AB360="","",IF(INDEX(기본자료!$K$2:$K$1001,$AB360)="","",IF(NOT(ISNUMBER(INDEX(기본자료!$K$2:$K$1001,$AB360))),INDEX(기본자료!$K$2:$K$1001,$AB360),IF(INDEX(기본자료!$K$2:$K$1001,$AB360)&lt;1000000,INDEX(기본자료!$K$2:$K$1001,$AB360),IF(AND(INDEX(기본자료!$K$2:$K$1001,$AB360)&gt;=10000101,INT(MOD(INDEX(기본자료!$K$2:$K$1001,$AB360),10000)/100)&gt;=1,INT(MOD(INDEX(기본자료!$K$2:$K$1001,$AB360),10000)/100)&lt;=12,MOD(INDEX(기본자료!$K$2:$K$1001,$AB360),100)&gt;=1,MOD(INDEX(기본자료!$K$2:$K$1001,$AB360),100)&lt;=31),DATE(INT(INDEX(기본자료!$K$2:$K$1001,$AB360)/10000),INT(MOD(INDEX(기본자료!$K$2:$K$1001,$AB360),10000)/100),MOD(INDEX(기본자료!$K$2:$K$1001,$AB360),100)),INDEX(기본자료!$K$2:$K$1001,$AB360)&amp;"")))))</f>
        <v/>
      </c>
      <c r="F360" s="10">
        <f>IF($AB360="","",IF(INDEX(기본자료!$D$2:$D$1001,$AB360)="","",INDEX(기본자료!$D$2:$D$1001,$AB360)))</f>
        <v/>
      </c>
      <c r="G360" s="10">
        <f>IF($AB360="","",IF(INDEX(기본자료!$E$2:$E$1001,$AB360)="","",INDEX(기본자료!$E$2:$E$1001,$AB360)))</f>
        <v/>
      </c>
      <c r="H360" s="10">
        <f>IF($AB360="","",IF(INDEX(기본자료!$F$2:$F$1001,$AB360)="","",INDEX(기본자료!$F$2:$F$1001,$AB360)))</f>
        <v/>
      </c>
      <c r="I360" s="11">
        <f>IF($AB360="","",IF(INDEX(기본자료!$G$2:$G$1001,$AB360)="","",IF(NOT(ISNUMBER(INDEX(기본자료!$G$2:$G$1001,$AB360))),INDEX(기본자료!$G$2:$G$1001,$AB360),IF(INDEX(기본자료!$G$2:$G$1001,$AB360)&lt;1000000,INDEX(기본자료!$G$2:$G$1001,$AB360),IF(AND(INDEX(기본자료!$G$2:$G$1001,$AB360)&gt;=10000101,INT(MOD(INDEX(기본자료!$G$2:$G$1001,$AB360),10000)/100)&gt;=1,INT(MOD(INDEX(기본자료!$G$2:$G$1001,$AB360),10000)/100)&lt;=12,MOD(INDEX(기본자료!$G$2:$G$1001,$AB360),100)&gt;=1,MOD(INDEX(기본자료!$G$2:$G$1001,$AB360),100)&lt;=31),DATE(INT(INDEX(기본자료!$G$2:$G$1001,$AB360)/10000),INT(MOD(INDEX(기본자료!$G$2:$G$1001,$AB360),10000)/100),MOD(INDEX(기본자료!$G$2:$G$1001,$AB360),100)),INDEX(기본자료!$G$2:$G$1001,$AB360)&amp;"")))))</f>
        <v/>
      </c>
      <c r="J360" s="10">
        <f>IF($AB360="","",IF(INDEX(기본자료!$H$2:$H$1001,$AB360)="","",INDEX(기본자료!$H$2:$H$1001,$AB360)))</f>
        <v/>
      </c>
      <c r="K360" s="10">
        <f>IF($AB360="","",IF(INDEX(기본자료!$I$2:$I$1001,$AB360)="","",INDEX(기본자료!$I$2:$I$1001,$AB360)))</f>
        <v/>
      </c>
      <c r="L360" s="10">
        <f>IF($AB360="","",IF(INDEX(기본자료!$A$2:$A$1001,$AB360)="","",INDEX(기본자료!$A$2:$A$1001,$AB360)))</f>
        <v/>
      </c>
      <c r="M360" s="15" t="n"/>
      <c r="N360" s="10">
        <f>IF($B360="","",IF(AND($U360="파견중",$Q360&lt;&gt;""),$Q360,IF(AND($AD360&lt;&gt;"",LEFT($AD360,1)&lt;&gt;"⚠"),LEFT($AD360,FIND(" ",$AD360)-1),IF($H360="","",IF(RIGHT($H360,2)="병원",$H360,$H360&amp;"병원")))))</f>
        <v/>
      </c>
      <c r="O360" s="10">
        <f>IF($B360="","",IF(AND($U360="파견중",$Q360&lt;&gt;""),IF($R360&lt;&gt;"",$R360,"파견과 미입력"),IF(AND($AD360&lt;&gt;"",LEFT($AD360,1)&lt;&gt;"⚠"),MID($AD360,FIND(" ",$AD360)+1,60),IF($F360="","",IF($F360="인턴","수련교육부(인턴)",$F360)))))</f>
        <v/>
      </c>
      <c r="P360" s="10">
        <f>IF($B360="","",IF($AK360&lt;&gt;"",IF(AND(TODAY()&gt;=INDEX(파견수련계획!$AB$4:$AB$83,$AK360),OR(NOT(ISNUMBER(INDEX(파견수련계획!$AC$4:$AC$83,$AK360))),TODAY()&lt;=INDEX(파견수련계획!$AC$4:$AC$83,$AK360))),"다기관",IF($AF360="","",INDEX(파견수련계획!$T$4:$T$83,$AF360))),IF($AF360="","",INDEX(파견수련계획!$T$4:$T$83,$AF360))))</f>
        <v/>
      </c>
      <c r="Q360" s="10">
        <f>IF($AF360="","",INDEX(파견수련계획!$S$4:$S$83,$AF360))</f>
        <v/>
      </c>
      <c r="R360" s="10">
        <f>IF($AF360="","",INDEX(파견수련계획!$U$4:$U$83,$AF360))</f>
        <v/>
      </c>
      <c r="S360" s="11">
        <f>IF($AF360="","",IF(INDEX(파견수련계획!$H$4:$H$83,$AF360)="","",INDEX(파견수련계획!$H$4:$H$83,$AF360)))</f>
        <v/>
      </c>
      <c r="T360" s="11">
        <f>IF($AF360="","",IF(INDEX(파견수련계획!$I$4:$I$83,$AF360)="","",INDEX(파견수련계획!$I$4:$I$83,$AF360)))</f>
        <v/>
      </c>
      <c r="U360" s="10">
        <f>IF($AF360="","",INDEX(파견수련계획!$X$4:$X$83,$AF360))</f>
        <v/>
      </c>
      <c r="V360" s="17">
        <f>IF($AF360="","",INDEX(파견수련계획!$V$4:$V$83,$AF360))</f>
        <v/>
      </c>
      <c r="W360" s="17">
        <f>IF(AND($U360="파견중",$T360&lt;&gt;""),$T360-TODAY(),"")</f>
        <v/>
      </c>
      <c r="X360" s="17">
        <f>IF(OR($B360="",TRIM($J360&amp;"")=""),"",SUMPRODUCT((파견수련계획!$Q$4:$Q$83=TRIM($J360&amp;""))*파견수련계획!$W$4:$W$83))</f>
        <v/>
      </c>
      <c r="Y360" s="10">
        <f>IF($B360="","",IF($AG360="","",IF(IF(TRIM($J360&amp;"")="",0,SUMPRODUCT((파견수련계획!$Q$4:$Q$83=TRIM($J360&amp;""))*파견수련계획!$AD$4:$AD$83))&gt;0,$AE360,IF(N($X360)&lt;=0,$AG360,IF($AH360+$AI360=DAY(EOMONTH(요약!$B$3,0)),IF(AND($AH360&gt;=요약!$E$3,$AI360&lt;요약!$E$3),"서울병원",IF(AND($AI360&gt;=요약!$E$3,$AH360&lt;요약!$E$3),"구리병원","⚠15일 판정불가(서울 "&amp;$AH360&amp;"일/구리 "&amp;$AI360&amp;"일)")),IF($AJ360="",$AE360,IF(INDEX(파견수련계획!$T$4:$T$83,$AJ360)="통합수련",INDEX(파견수련계획!$S$4:$S$83,$AJ360),$AE360)))))))</f>
        <v/>
      </c>
      <c r="Z360" s="19">
        <f>IF($B360="","",IF($AB360="","기본자료에 없는 사번",IF(COUNTIF($B$2:$B$401,$B360)&gt;1,"중복 사번",IF($AE360="","소속(입사장소) 입력",IF(IF(TRIM($J360&amp;"")="",0,SUMPRODUCT((파견수련계획!$Q$4:$Q$83=TRIM($J360&amp;""))*(파견수련계획!$AA$4:$AA$83&lt;&gt;"")))&gt;0,"파견수련계획 입력오류 확인",IF(LEFT($Y360,1)="⚠","서울·구리 15일 판정 불가(양쪽 모두 이상/미만)",IF(IF($AC360="",0,N(INDEX(인턴근무계획!$T$3:$T$62,$AC360)))&gt;0,"인턴계획 입력오류 확인",IF(AND($AC360&lt;&gt;"",$U360&lt;&gt;"파견중",$N360&lt;&gt;$AE360),"인턴 타지역 근무: 파견 여부 확인","정상"))))))))</f>
        <v/>
      </c>
      <c r="AA360" s="5" t="n"/>
      <c r="AB360" s="10">
        <f>IF($B360="","",IFERROR(MATCH($B360,기본자료!$B$2:$B$1001,0),IFERROR(MATCH($B360&amp;"",기본자료!$B$2:$B$1001,0),IFERROR(MATCH(VALUE($B360),기본자료!$B$2:$B$1001,0),""))))</f>
        <v/>
      </c>
      <c r="AC360" s="10">
        <f>IF($B360="","",IFERROR(MATCH($B360,인턴근무계획!$D$3:$D$62,0),IFERROR(MATCH($B360&amp;"",인턴근무계획!$D$3:$D$62,0),IFERROR(MATCH(VALUE($B360),인턴근무계획!$D$3:$D$62,0),""))))</f>
        <v/>
      </c>
      <c r="AD360" s="10">
        <f>IF(OR($AC360="",인턴현황!$G$3=""),"",INDEX(인턴근무계획!$M$3:$R$62,$AC360,인턴현황!$G$3)&amp;"")</f>
        <v/>
      </c>
      <c r="AE360" s="10">
        <f>IF($B360="","",IF($M360&lt;&gt;"",$M360,IF($AF360&lt;&gt;"",IF(LEFT(INDEX(파견수련계획!$R$4:$R$83,$AF360),1)&lt;&gt;"⚠",INDEX(파견수련계획!$R$4:$R$83,$AF360),IF($H360="","",IF(RIGHT($H360,2)="병원",$H360,$H360&amp;"병원"))),IF($H360="","",IF(RIGHT($H360,2)="병원",$H360,$H360&amp;"병원")))))</f>
        <v/>
      </c>
      <c r="AF360" s="10">
        <f>IF(OR($B360="",TRIM($J360&amp;"")=""),"",IFERROR(MATCH(TRIM($J360&amp;"")&amp;"|파견중",파견수련계획!$Y$4:$Y$83,0),IFERROR(MATCH(TRIM($J360&amp;"")&amp;"|파견예정",파견수련계획!$Y$4:$Y$83,0),IFERROR(MATCH(TRIM($J360&amp;"")&amp;"|파견종료",파견수련계획!$Y$4:$Y$83,0),""))))</f>
        <v/>
      </c>
      <c r="AG360" s="10">
        <f>IF($B360="","",IF(AND(IF(OR($AC360="",인턴현황!$K$2=""),"",INDEX(인턴근무계획!$M$3:$R$62,$AC360,인턴현황!$K$2)&amp;"")&lt;&gt;"",LEFT(IF(OR($AC360="",인턴현황!$K$2=""),"",INDEX(인턴근무계획!$M$3:$R$62,$AC360,인턴현황!$K$2)&amp;""),1)&lt;&gt;"⚠"),LEFT(IF(OR($AC360="",인턴현황!$K$2=""),"",INDEX(인턴근무계획!$M$3:$R$62,$AC360,인턴현황!$K$2)&amp;""),FIND(" ",IF(OR($AC360="",인턴현황!$K$2=""),"",INDEX(인턴근무계획!$M$3:$R$62,$AC360,인턴현황!$K$2)&amp;""))-1),$AE360))</f>
        <v/>
      </c>
      <c r="AH360" s="17">
        <f>IF($B360="","",IF(TRIM($J360&amp;"")="",0,SUMPRODUCT((파견수련계획!$Q$4:$Q$83=TRIM($J360&amp;""))*(파견수련계획!$S$4:$S$83="서울병원")*파견수련계획!$W$4:$W$83))+IF($AG360="서울병원",MAX(0,DAY(EOMONTH(요약!$B$3,0))-N($X360)),0))</f>
        <v/>
      </c>
      <c r="AI360" s="17">
        <f>IF($B360="","",IF(TRIM($J360&amp;"")="",0,SUMPRODUCT((파견수련계획!$Q$4:$Q$83=TRIM($J360&amp;""))*(파견수련계획!$S$4:$S$83="구리병원")*파견수련계획!$W$4:$W$83))+IF($AG360="구리병원",MAX(0,DAY(EOMONTH(요약!$B$3,0))-N($X360)),0))</f>
        <v/>
      </c>
      <c r="AJ360" s="10">
        <f>IF(OR($B360="",TRIM($J360&amp;"")=""),"",IFERROR(MATCH(TRIM($J360&amp;"")&amp;"|월",파견수련계획!$Z$4:$Z$83,0),""))</f>
        <v/>
      </c>
      <c r="AK360" s="10">
        <f>IF(OR($B360="",TRIM($J360&amp;"")=""),"",IFERROR(MATCH(TRIM($J360&amp;"")&amp;"|다기관",파견수련계획!$AE$4:$AE$83,0),""))</f>
        <v/>
      </c>
      <c r="AL360" s="10">
        <f>IF($AK360="","","다기관 "&amp;TEXT(INDEX(파견수련계획!$AB$4:$AB$83,$AK360),"yyyy-mm-dd")&amp;"~"&amp;IF(ISNUMBER(INDEX(파견수련계획!$AC$4:$AC$83,$AK360)),TEXT(INDEX(파견수련계획!$AC$4:$AC$83,$AK360),"yyyy-mm-dd"),""))</f>
        <v/>
      </c>
    </row>
    <row r="361">
      <c r="A361" s="10">
        <f>IF(B361="","",ROW()-1)</f>
        <v/>
      </c>
      <c r="B361" s="18" t="n"/>
      <c r="C361" s="10">
        <f>IF($AB361="","",IF(INDEX(기본자료!$C$2:$C$1001,$AB361)="","",INDEX(기본자료!$C$2:$C$1001,$AB361)))</f>
        <v/>
      </c>
      <c r="D361" s="10">
        <f>IF($AB361="","",IF(INDEX(기본자료!$J$2:$J$1001,$AB361)="","",INDEX(기본자료!$J$2:$J$1001,$AB361)))</f>
        <v/>
      </c>
      <c r="E361" s="11">
        <f>IF($AB361="","",IF(INDEX(기본자료!$K$2:$K$1001,$AB361)="","",IF(NOT(ISNUMBER(INDEX(기본자료!$K$2:$K$1001,$AB361))),INDEX(기본자료!$K$2:$K$1001,$AB361),IF(INDEX(기본자료!$K$2:$K$1001,$AB361)&lt;1000000,INDEX(기본자료!$K$2:$K$1001,$AB361),IF(AND(INDEX(기본자료!$K$2:$K$1001,$AB361)&gt;=10000101,INT(MOD(INDEX(기본자료!$K$2:$K$1001,$AB361),10000)/100)&gt;=1,INT(MOD(INDEX(기본자료!$K$2:$K$1001,$AB361),10000)/100)&lt;=12,MOD(INDEX(기본자료!$K$2:$K$1001,$AB361),100)&gt;=1,MOD(INDEX(기본자료!$K$2:$K$1001,$AB361),100)&lt;=31),DATE(INT(INDEX(기본자료!$K$2:$K$1001,$AB361)/10000),INT(MOD(INDEX(기본자료!$K$2:$K$1001,$AB361),10000)/100),MOD(INDEX(기본자료!$K$2:$K$1001,$AB361),100)),INDEX(기본자료!$K$2:$K$1001,$AB361)&amp;"")))))</f>
        <v/>
      </c>
      <c r="F361" s="10">
        <f>IF($AB361="","",IF(INDEX(기본자료!$D$2:$D$1001,$AB361)="","",INDEX(기본자료!$D$2:$D$1001,$AB361)))</f>
        <v/>
      </c>
      <c r="G361" s="10">
        <f>IF($AB361="","",IF(INDEX(기본자료!$E$2:$E$1001,$AB361)="","",INDEX(기본자료!$E$2:$E$1001,$AB361)))</f>
        <v/>
      </c>
      <c r="H361" s="10">
        <f>IF($AB361="","",IF(INDEX(기본자료!$F$2:$F$1001,$AB361)="","",INDEX(기본자료!$F$2:$F$1001,$AB361)))</f>
        <v/>
      </c>
      <c r="I361" s="11">
        <f>IF($AB361="","",IF(INDEX(기본자료!$G$2:$G$1001,$AB361)="","",IF(NOT(ISNUMBER(INDEX(기본자료!$G$2:$G$1001,$AB361))),INDEX(기본자료!$G$2:$G$1001,$AB361),IF(INDEX(기본자료!$G$2:$G$1001,$AB361)&lt;1000000,INDEX(기본자료!$G$2:$G$1001,$AB361),IF(AND(INDEX(기본자료!$G$2:$G$1001,$AB361)&gt;=10000101,INT(MOD(INDEX(기본자료!$G$2:$G$1001,$AB361),10000)/100)&gt;=1,INT(MOD(INDEX(기본자료!$G$2:$G$1001,$AB361),10000)/100)&lt;=12,MOD(INDEX(기본자료!$G$2:$G$1001,$AB361),100)&gt;=1,MOD(INDEX(기본자료!$G$2:$G$1001,$AB361),100)&lt;=31),DATE(INT(INDEX(기본자료!$G$2:$G$1001,$AB361)/10000),INT(MOD(INDEX(기본자료!$G$2:$G$1001,$AB361),10000)/100),MOD(INDEX(기본자료!$G$2:$G$1001,$AB361),100)),INDEX(기본자료!$G$2:$G$1001,$AB361)&amp;"")))))</f>
        <v/>
      </c>
      <c r="J361" s="10">
        <f>IF($AB361="","",IF(INDEX(기본자료!$H$2:$H$1001,$AB361)="","",INDEX(기본자료!$H$2:$H$1001,$AB361)))</f>
        <v/>
      </c>
      <c r="K361" s="10">
        <f>IF($AB361="","",IF(INDEX(기본자료!$I$2:$I$1001,$AB361)="","",INDEX(기본자료!$I$2:$I$1001,$AB361)))</f>
        <v/>
      </c>
      <c r="L361" s="10">
        <f>IF($AB361="","",IF(INDEX(기본자료!$A$2:$A$1001,$AB361)="","",INDEX(기본자료!$A$2:$A$1001,$AB361)))</f>
        <v/>
      </c>
      <c r="M361" s="15" t="n"/>
      <c r="N361" s="10">
        <f>IF($B361="","",IF(AND($U361="파견중",$Q361&lt;&gt;""),$Q361,IF(AND($AD361&lt;&gt;"",LEFT($AD361,1)&lt;&gt;"⚠"),LEFT($AD361,FIND(" ",$AD361)-1),IF($H361="","",IF(RIGHT($H361,2)="병원",$H361,$H361&amp;"병원")))))</f>
        <v/>
      </c>
      <c r="O361" s="10">
        <f>IF($B361="","",IF(AND($U361="파견중",$Q361&lt;&gt;""),IF($R361&lt;&gt;"",$R361,"파견과 미입력"),IF(AND($AD361&lt;&gt;"",LEFT($AD361,1)&lt;&gt;"⚠"),MID($AD361,FIND(" ",$AD361)+1,60),IF($F361="","",IF($F361="인턴","수련교육부(인턴)",$F361)))))</f>
        <v/>
      </c>
      <c r="P361" s="10">
        <f>IF($B361="","",IF($AK361&lt;&gt;"",IF(AND(TODAY()&gt;=INDEX(파견수련계획!$AB$4:$AB$83,$AK361),OR(NOT(ISNUMBER(INDEX(파견수련계획!$AC$4:$AC$83,$AK361))),TODAY()&lt;=INDEX(파견수련계획!$AC$4:$AC$83,$AK361))),"다기관",IF($AF361="","",INDEX(파견수련계획!$T$4:$T$83,$AF361))),IF($AF361="","",INDEX(파견수련계획!$T$4:$T$83,$AF361))))</f>
        <v/>
      </c>
      <c r="Q361" s="10">
        <f>IF($AF361="","",INDEX(파견수련계획!$S$4:$S$83,$AF361))</f>
        <v/>
      </c>
      <c r="R361" s="10">
        <f>IF($AF361="","",INDEX(파견수련계획!$U$4:$U$83,$AF361))</f>
        <v/>
      </c>
      <c r="S361" s="11">
        <f>IF($AF361="","",IF(INDEX(파견수련계획!$H$4:$H$83,$AF361)="","",INDEX(파견수련계획!$H$4:$H$83,$AF361)))</f>
        <v/>
      </c>
      <c r="T361" s="11">
        <f>IF($AF361="","",IF(INDEX(파견수련계획!$I$4:$I$83,$AF361)="","",INDEX(파견수련계획!$I$4:$I$83,$AF361)))</f>
        <v/>
      </c>
      <c r="U361" s="10">
        <f>IF($AF361="","",INDEX(파견수련계획!$X$4:$X$83,$AF361))</f>
        <v/>
      </c>
      <c r="V361" s="17">
        <f>IF($AF361="","",INDEX(파견수련계획!$V$4:$V$83,$AF361))</f>
        <v/>
      </c>
      <c r="W361" s="17">
        <f>IF(AND($U361="파견중",$T361&lt;&gt;""),$T361-TODAY(),"")</f>
        <v/>
      </c>
      <c r="X361" s="17">
        <f>IF(OR($B361="",TRIM($J361&amp;"")=""),"",SUMPRODUCT((파견수련계획!$Q$4:$Q$83=TRIM($J361&amp;""))*파견수련계획!$W$4:$W$83))</f>
        <v/>
      </c>
      <c r="Y361" s="10">
        <f>IF($B361="","",IF($AG361="","",IF(IF(TRIM($J361&amp;"")="",0,SUMPRODUCT((파견수련계획!$Q$4:$Q$83=TRIM($J361&amp;""))*파견수련계획!$AD$4:$AD$83))&gt;0,$AE361,IF(N($X361)&lt;=0,$AG361,IF($AH361+$AI361=DAY(EOMONTH(요약!$B$3,0)),IF(AND($AH361&gt;=요약!$E$3,$AI361&lt;요약!$E$3),"서울병원",IF(AND($AI361&gt;=요약!$E$3,$AH361&lt;요약!$E$3),"구리병원","⚠15일 판정불가(서울 "&amp;$AH361&amp;"일/구리 "&amp;$AI361&amp;"일)")),IF($AJ361="",$AE361,IF(INDEX(파견수련계획!$T$4:$T$83,$AJ361)="통합수련",INDEX(파견수련계획!$S$4:$S$83,$AJ361),$AE361)))))))</f>
        <v/>
      </c>
      <c r="Z361" s="19">
        <f>IF($B361="","",IF($AB361="","기본자료에 없는 사번",IF(COUNTIF($B$2:$B$401,$B361)&gt;1,"중복 사번",IF($AE361="","소속(입사장소) 입력",IF(IF(TRIM($J361&amp;"")="",0,SUMPRODUCT((파견수련계획!$Q$4:$Q$83=TRIM($J361&amp;""))*(파견수련계획!$AA$4:$AA$83&lt;&gt;"")))&gt;0,"파견수련계획 입력오류 확인",IF(LEFT($Y361,1)="⚠","서울·구리 15일 판정 불가(양쪽 모두 이상/미만)",IF(IF($AC361="",0,N(INDEX(인턴근무계획!$T$3:$T$62,$AC361)))&gt;0,"인턴계획 입력오류 확인",IF(AND($AC361&lt;&gt;"",$U361&lt;&gt;"파견중",$N361&lt;&gt;$AE361),"인턴 타지역 근무: 파견 여부 확인","정상"))))))))</f>
        <v/>
      </c>
      <c r="AA361" s="5" t="n"/>
      <c r="AB361" s="10">
        <f>IF($B361="","",IFERROR(MATCH($B361,기본자료!$B$2:$B$1001,0),IFERROR(MATCH($B361&amp;"",기본자료!$B$2:$B$1001,0),IFERROR(MATCH(VALUE($B361),기본자료!$B$2:$B$1001,0),""))))</f>
        <v/>
      </c>
      <c r="AC361" s="10">
        <f>IF($B361="","",IFERROR(MATCH($B361,인턴근무계획!$D$3:$D$62,0),IFERROR(MATCH($B361&amp;"",인턴근무계획!$D$3:$D$62,0),IFERROR(MATCH(VALUE($B361),인턴근무계획!$D$3:$D$62,0),""))))</f>
        <v/>
      </c>
      <c r="AD361" s="10">
        <f>IF(OR($AC361="",인턴현황!$G$3=""),"",INDEX(인턴근무계획!$M$3:$R$62,$AC361,인턴현황!$G$3)&amp;"")</f>
        <v/>
      </c>
      <c r="AE361" s="10">
        <f>IF($B361="","",IF($M361&lt;&gt;"",$M361,IF($AF361&lt;&gt;"",IF(LEFT(INDEX(파견수련계획!$R$4:$R$83,$AF361),1)&lt;&gt;"⚠",INDEX(파견수련계획!$R$4:$R$83,$AF361),IF($H361="","",IF(RIGHT($H361,2)="병원",$H361,$H361&amp;"병원"))),IF($H361="","",IF(RIGHT($H361,2)="병원",$H361,$H361&amp;"병원")))))</f>
        <v/>
      </c>
      <c r="AF361" s="10">
        <f>IF(OR($B361="",TRIM($J361&amp;"")=""),"",IFERROR(MATCH(TRIM($J361&amp;"")&amp;"|파견중",파견수련계획!$Y$4:$Y$83,0),IFERROR(MATCH(TRIM($J361&amp;"")&amp;"|파견예정",파견수련계획!$Y$4:$Y$83,0),IFERROR(MATCH(TRIM($J361&amp;"")&amp;"|파견종료",파견수련계획!$Y$4:$Y$83,0),""))))</f>
        <v/>
      </c>
      <c r="AG361" s="10">
        <f>IF($B361="","",IF(AND(IF(OR($AC361="",인턴현황!$K$2=""),"",INDEX(인턴근무계획!$M$3:$R$62,$AC361,인턴현황!$K$2)&amp;"")&lt;&gt;"",LEFT(IF(OR($AC361="",인턴현황!$K$2=""),"",INDEX(인턴근무계획!$M$3:$R$62,$AC361,인턴현황!$K$2)&amp;""),1)&lt;&gt;"⚠"),LEFT(IF(OR($AC361="",인턴현황!$K$2=""),"",INDEX(인턴근무계획!$M$3:$R$62,$AC361,인턴현황!$K$2)&amp;""),FIND(" ",IF(OR($AC361="",인턴현황!$K$2=""),"",INDEX(인턴근무계획!$M$3:$R$62,$AC361,인턴현황!$K$2)&amp;""))-1),$AE361))</f>
        <v/>
      </c>
      <c r="AH361" s="17">
        <f>IF($B361="","",IF(TRIM($J361&amp;"")="",0,SUMPRODUCT((파견수련계획!$Q$4:$Q$83=TRIM($J361&amp;""))*(파견수련계획!$S$4:$S$83="서울병원")*파견수련계획!$W$4:$W$83))+IF($AG361="서울병원",MAX(0,DAY(EOMONTH(요약!$B$3,0))-N($X361)),0))</f>
        <v/>
      </c>
      <c r="AI361" s="17">
        <f>IF($B361="","",IF(TRIM($J361&amp;"")="",0,SUMPRODUCT((파견수련계획!$Q$4:$Q$83=TRIM($J361&amp;""))*(파견수련계획!$S$4:$S$83="구리병원")*파견수련계획!$W$4:$W$83))+IF($AG361="구리병원",MAX(0,DAY(EOMONTH(요약!$B$3,0))-N($X361)),0))</f>
        <v/>
      </c>
      <c r="AJ361" s="10">
        <f>IF(OR($B361="",TRIM($J361&amp;"")=""),"",IFERROR(MATCH(TRIM($J361&amp;"")&amp;"|월",파견수련계획!$Z$4:$Z$83,0),""))</f>
        <v/>
      </c>
      <c r="AK361" s="10">
        <f>IF(OR($B361="",TRIM($J361&amp;"")=""),"",IFERROR(MATCH(TRIM($J361&amp;"")&amp;"|다기관",파견수련계획!$AE$4:$AE$83,0),""))</f>
        <v/>
      </c>
      <c r="AL361" s="10">
        <f>IF($AK361="","","다기관 "&amp;TEXT(INDEX(파견수련계획!$AB$4:$AB$83,$AK361),"yyyy-mm-dd")&amp;"~"&amp;IF(ISNUMBER(INDEX(파견수련계획!$AC$4:$AC$83,$AK361)),TEXT(INDEX(파견수련계획!$AC$4:$AC$83,$AK361),"yyyy-mm-dd"),""))</f>
        <v/>
      </c>
    </row>
    <row r="362">
      <c r="A362" s="10">
        <f>IF(B362="","",ROW()-1)</f>
        <v/>
      </c>
      <c r="B362" s="18" t="n"/>
      <c r="C362" s="10">
        <f>IF($AB362="","",IF(INDEX(기본자료!$C$2:$C$1001,$AB362)="","",INDEX(기본자료!$C$2:$C$1001,$AB362)))</f>
        <v/>
      </c>
      <c r="D362" s="10">
        <f>IF($AB362="","",IF(INDEX(기본자료!$J$2:$J$1001,$AB362)="","",INDEX(기본자료!$J$2:$J$1001,$AB362)))</f>
        <v/>
      </c>
      <c r="E362" s="11">
        <f>IF($AB362="","",IF(INDEX(기본자료!$K$2:$K$1001,$AB362)="","",IF(NOT(ISNUMBER(INDEX(기본자료!$K$2:$K$1001,$AB362))),INDEX(기본자료!$K$2:$K$1001,$AB362),IF(INDEX(기본자료!$K$2:$K$1001,$AB362)&lt;1000000,INDEX(기본자료!$K$2:$K$1001,$AB362),IF(AND(INDEX(기본자료!$K$2:$K$1001,$AB362)&gt;=10000101,INT(MOD(INDEX(기본자료!$K$2:$K$1001,$AB362),10000)/100)&gt;=1,INT(MOD(INDEX(기본자료!$K$2:$K$1001,$AB362),10000)/100)&lt;=12,MOD(INDEX(기본자료!$K$2:$K$1001,$AB362),100)&gt;=1,MOD(INDEX(기본자료!$K$2:$K$1001,$AB362),100)&lt;=31),DATE(INT(INDEX(기본자료!$K$2:$K$1001,$AB362)/10000),INT(MOD(INDEX(기본자료!$K$2:$K$1001,$AB362),10000)/100),MOD(INDEX(기본자료!$K$2:$K$1001,$AB362),100)),INDEX(기본자료!$K$2:$K$1001,$AB362)&amp;"")))))</f>
        <v/>
      </c>
      <c r="F362" s="10">
        <f>IF($AB362="","",IF(INDEX(기본자료!$D$2:$D$1001,$AB362)="","",INDEX(기본자료!$D$2:$D$1001,$AB362)))</f>
        <v/>
      </c>
      <c r="G362" s="10">
        <f>IF($AB362="","",IF(INDEX(기본자료!$E$2:$E$1001,$AB362)="","",INDEX(기본자료!$E$2:$E$1001,$AB362)))</f>
        <v/>
      </c>
      <c r="H362" s="10">
        <f>IF($AB362="","",IF(INDEX(기본자료!$F$2:$F$1001,$AB362)="","",INDEX(기본자료!$F$2:$F$1001,$AB362)))</f>
        <v/>
      </c>
      <c r="I362" s="11">
        <f>IF($AB362="","",IF(INDEX(기본자료!$G$2:$G$1001,$AB362)="","",IF(NOT(ISNUMBER(INDEX(기본자료!$G$2:$G$1001,$AB362))),INDEX(기본자료!$G$2:$G$1001,$AB362),IF(INDEX(기본자료!$G$2:$G$1001,$AB362)&lt;1000000,INDEX(기본자료!$G$2:$G$1001,$AB362),IF(AND(INDEX(기본자료!$G$2:$G$1001,$AB362)&gt;=10000101,INT(MOD(INDEX(기본자료!$G$2:$G$1001,$AB362),10000)/100)&gt;=1,INT(MOD(INDEX(기본자료!$G$2:$G$1001,$AB362),10000)/100)&lt;=12,MOD(INDEX(기본자료!$G$2:$G$1001,$AB362),100)&gt;=1,MOD(INDEX(기본자료!$G$2:$G$1001,$AB362),100)&lt;=31),DATE(INT(INDEX(기본자료!$G$2:$G$1001,$AB362)/10000),INT(MOD(INDEX(기본자료!$G$2:$G$1001,$AB362),10000)/100),MOD(INDEX(기본자료!$G$2:$G$1001,$AB362),100)),INDEX(기본자료!$G$2:$G$1001,$AB362)&amp;"")))))</f>
        <v/>
      </c>
      <c r="J362" s="10">
        <f>IF($AB362="","",IF(INDEX(기본자료!$H$2:$H$1001,$AB362)="","",INDEX(기본자료!$H$2:$H$1001,$AB362)))</f>
        <v/>
      </c>
      <c r="K362" s="10">
        <f>IF($AB362="","",IF(INDEX(기본자료!$I$2:$I$1001,$AB362)="","",INDEX(기본자료!$I$2:$I$1001,$AB362)))</f>
        <v/>
      </c>
      <c r="L362" s="10">
        <f>IF($AB362="","",IF(INDEX(기본자료!$A$2:$A$1001,$AB362)="","",INDEX(기본자료!$A$2:$A$1001,$AB362)))</f>
        <v/>
      </c>
      <c r="M362" s="15" t="n"/>
      <c r="N362" s="10">
        <f>IF($B362="","",IF(AND($U362="파견중",$Q362&lt;&gt;""),$Q362,IF(AND($AD362&lt;&gt;"",LEFT($AD362,1)&lt;&gt;"⚠"),LEFT($AD362,FIND(" ",$AD362)-1),IF($H362="","",IF(RIGHT($H362,2)="병원",$H362,$H362&amp;"병원")))))</f>
        <v/>
      </c>
      <c r="O362" s="10">
        <f>IF($B362="","",IF(AND($U362="파견중",$Q362&lt;&gt;""),IF($R362&lt;&gt;"",$R362,"파견과 미입력"),IF(AND($AD362&lt;&gt;"",LEFT($AD362,1)&lt;&gt;"⚠"),MID($AD362,FIND(" ",$AD362)+1,60),IF($F362="","",IF($F362="인턴","수련교육부(인턴)",$F362)))))</f>
        <v/>
      </c>
      <c r="P362" s="10">
        <f>IF($B362="","",IF($AK362&lt;&gt;"",IF(AND(TODAY()&gt;=INDEX(파견수련계획!$AB$4:$AB$83,$AK362),OR(NOT(ISNUMBER(INDEX(파견수련계획!$AC$4:$AC$83,$AK362))),TODAY()&lt;=INDEX(파견수련계획!$AC$4:$AC$83,$AK362))),"다기관",IF($AF362="","",INDEX(파견수련계획!$T$4:$T$83,$AF362))),IF($AF362="","",INDEX(파견수련계획!$T$4:$T$83,$AF362))))</f>
        <v/>
      </c>
      <c r="Q362" s="10">
        <f>IF($AF362="","",INDEX(파견수련계획!$S$4:$S$83,$AF362))</f>
        <v/>
      </c>
      <c r="R362" s="10">
        <f>IF($AF362="","",INDEX(파견수련계획!$U$4:$U$83,$AF362))</f>
        <v/>
      </c>
      <c r="S362" s="11">
        <f>IF($AF362="","",IF(INDEX(파견수련계획!$H$4:$H$83,$AF362)="","",INDEX(파견수련계획!$H$4:$H$83,$AF362)))</f>
        <v/>
      </c>
      <c r="T362" s="11">
        <f>IF($AF362="","",IF(INDEX(파견수련계획!$I$4:$I$83,$AF362)="","",INDEX(파견수련계획!$I$4:$I$83,$AF362)))</f>
        <v/>
      </c>
      <c r="U362" s="10">
        <f>IF($AF362="","",INDEX(파견수련계획!$X$4:$X$83,$AF362))</f>
        <v/>
      </c>
      <c r="V362" s="17">
        <f>IF($AF362="","",INDEX(파견수련계획!$V$4:$V$83,$AF362))</f>
        <v/>
      </c>
      <c r="W362" s="17">
        <f>IF(AND($U362="파견중",$T362&lt;&gt;""),$T362-TODAY(),"")</f>
        <v/>
      </c>
      <c r="X362" s="17">
        <f>IF(OR($B362="",TRIM($J362&amp;"")=""),"",SUMPRODUCT((파견수련계획!$Q$4:$Q$83=TRIM($J362&amp;""))*파견수련계획!$W$4:$W$83))</f>
        <v/>
      </c>
      <c r="Y362" s="10">
        <f>IF($B362="","",IF($AG362="","",IF(IF(TRIM($J362&amp;"")="",0,SUMPRODUCT((파견수련계획!$Q$4:$Q$83=TRIM($J362&amp;""))*파견수련계획!$AD$4:$AD$83))&gt;0,$AE362,IF(N($X362)&lt;=0,$AG362,IF($AH362+$AI362=DAY(EOMONTH(요약!$B$3,0)),IF(AND($AH362&gt;=요약!$E$3,$AI362&lt;요약!$E$3),"서울병원",IF(AND($AI362&gt;=요약!$E$3,$AH362&lt;요약!$E$3),"구리병원","⚠15일 판정불가(서울 "&amp;$AH362&amp;"일/구리 "&amp;$AI362&amp;"일)")),IF($AJ362="",$AE362,IF(INDEX(파견수련계획!$T$4:$T$83,$AJ362)="통합수련",INDEX(파견수련계획!$S$4:$S$83,$AJ362),$AE362)))))))</f>
        <v/>
      </c>
      <c r="Z362" s="19">
        <f>IF($B362="","",IF($AB362="","기본자료에 없는 사번",IF(COUNTIF($B$2:$B$401,$B362)&gt;1,"중복 사번",IF($AE362="","소속(입사장소) 입력",IF(IF(TRIM($J362&amp;"")="",0,SUMPRODUCT((파견수련계획!$Q$4:$Q$83=TRIM($J362&amp;""))*(파견수련계획!$AA$4:$AA$83&lt;&gt;"")))&gt;0,"파견수련계획 입력오류 확인",IF(LEFT($Y362,1)="⚠","서울·구리 15일 판정 불가(양쪽 모두 이상/미만)",IF(IF($AC362="",0,N(INDEX(인턴근무계획!$T$3:$T$62,$AC362)))&gt;0,"인턴계획 입력오류 확인",IF(AND($AC362&lt;&gt;"",$U362&lt;&gt;"파견중",$N362&lt;&gt;$AE362),"인턴 타지역 근무: 파견 여부 확인","정상"))))))))</f>
        <v/>
      </c>
      <c r="AA362" s="5" t="n"/>
      <c r="AB362" s="10">
        <f>IF($B362="","",IFERROR(MATCH($B362,기본자료!$B$2:$B$1001,0),IFERROR(MATCH($B362&amp;"",기본자료!$B$2:$B$1001,0),IFERROR(MATCH(VALUE($B362),기본자료!$B$2:$B$1001,0),""))))</f>
        <v/>
      </c>
      <c r="AC362" s="10">
        <f>IF($B362="","",IFERROR(MATCH($B362,인턴근무계획!$D$3:$D$62,0),IFERROR(MATCH($B362&amp;"",인턴근무계획!$D$3:$D$62,0),IFERROR(MATCH(VALUE($B362),인턴근무계획!$D$3:$D$62,0),""))))</f>
        <v/>
      </c>
      <c r="AD362" s="10">
        <f>IF(OR($AC362="",인턴현황!$G$3=""),"",INDEX(인턴근무계획!$M$3:$R$62,$AC362,인턴현황!$G$3)&amp;"")</f>
        <v/>
      </c>
      <c r="AE362" s="10">
        <f>IF($B362="","",IF($M362&lt;&gt;"",$M362,IF($AF362&lt;&gt;"",IF(LEFT(INDEX(파견수련계획!$R$4:$R$83,$AF362),1)&lt;&gt;"⚠",INDEX(파견수련계획!$R$4:$R$83,$AF362),IF($H362="","",IF(RIGHT($H362,2)="병원",$H362,$H362&amp;"병원"))),IF($H362="","",IF(RIGHT($H362,2)="병원",$H362,$H362&amp;"병원")))))</f>
        <v/>
      </c>
      <c r="AF362" s="10">
        <f>IF(OR($B362="",TRIM($J362&amp;"")=""),"",IFERROR(MATCH(TRIM($J362&amp;"")&amp;"|파견중",파견수련계획!$Y$4:$Y$83,0),IFERROR(MATCH(TRIM($J362&amp;"")&amp;"|파견예정",파견수련계획!$Y$4:$Y$83,0),IFERROR(MATCH(TRIM($J362&amp;"")&amp;"|파견종료",파견수련계획!$Y$4:$Y$83,0),""))))</f>
        <v/>
      </c>
      <c r="AG362" s="10">
        <f>IF($B362="","",IF(AND(IF(OR($AC362="",인턴현황!$K$2=""),"",INDEX(인턴근무계획!$M$3:$R$62,$AC362,인턴현황!$K$2)&amp;"")&lt;&gt;"",LEFT(IF(OR($AC362="",인턴현황!$K$2=""),"",INDEX(인턴근무계획!$M$3:$R$62,$AC362,인턴현황!$K$2)&amp;""),1)&lt;&gt;"⚠"),LEFT(IF(OR($AC362="",인턴현황!$K$2=""),"",INDEX(인턴근무계획!$M$3:$R$62,$AC362,인턴현황!$K$2)&amp;""),FIND(" ",IF(OR($AC362="",인턴현황!$K$2=""),"",INDEX(인턴근무계획!$M$3:$R$62,$AC362,인턴현황!$K$2)&amp;""))-1),$AE362))</f>
        <v/>
      </c>
      <c r="AH362" s="17">
        <f>IF($B362="","",IF(TRIM($J362&amp;"")="",0,SUMPRODUCT((파견수련계획!$Q$4:$Q$83=TRIM($J362&amp;""))*(파견수련계획!$S$4:$S$83="서울병원")*파견수련계획!$W$4:$W$83))+IF($AG362="서울병원",MAX(0,DAY(EOMONTH(요약!$B$3,0))-N($X362)),0))</f>
        <v/>
      </c>
      <c r="AI362" s="17">
        <f>IF($B362="","",IF(TRIM($J362&amp;"")="",0,SUMPRODUCT((파견수련계획!$Q$4:$Q$83=TRIM($J362&amp;""))*(파견수련계획!$S$4:$S$83="구리병원")*파견수련계획!$W$4:$W$83))+IF($AG362="구리병원",MAX(0,DAY(EOMONTH(요약!$B$3,0))-N($X362)),0))</f>
        <v/>
      </c>
      <c r="AJ362" s="10">
        <f>IF(OR($B362="",TRIM($J362&amp;"")=""),"",IFERROR(MATCH(TRIM($J362&amp;"")&amp;"|월",파견수련계획!$Z$4:$Z$83,0),""))</f>
        <v/>
      </c>
      <c r="AK362" s="10">
        <f>IF(OR($B362="",TRIM($J362&amp;"")=""),"",IFERROR(MATCH(TRIM($J362&amp;"")&amp;"|다기관",파견수련계획!$AE$4:$AE$83,0),""))</f>
        <v/>
      </c>
      <c r="AL362" s="10">
        <f>IF($AK362="","","다기관 "&amp;TEXT(INDEX(파견수련계획!$AB$4:$AB$83,$AK362),"yyyy-mm-dd")&amp;"~"&amp;IF(ISNUMBER(INDEX(파견수련계획!$AC$4:$AC$83,$AK362)),TEXT(INDEX(파견수련계획!$AC$4:$AC$83,$AK362),"yyyy-mm-dd"),""))</f>
        <v/>
      </c>
    </row>
    <row r="363">
      <c r="A363" s="10">
        <f>IF(B363="","",ROW()-1)</f>
        <v/>
      </c>
      <c r="B363" s="18" t="n"/>
      <c r="C363" s="10">
        <f>IF($AB363="","",IF(INDEX(기본자료!$C$2:$C$1001,$AB363)="","",INDEX(기본자료!$C$2:$C$1001,$AB363)))</f>
        <v/>
      </c>
      <c r="D363" s="10">
        <f>IF($AB363="","",IF(INDEX(기본자료!$J$2:$J$1001,$AB363)="","",INDEX(기본자료!$J$2:$J$1001,$AB363)))</f>
        <v/>
      </c>
      <c r="E363" s="11">
        <f>IF($AB363="","",IF(INDEX(기본자료!$K$2:$K$1001,$AB363)="","",IF(NOT(ISNUMBER(INDEX(기본자료!$K$2:$K$1001,$AB363))),INDEX(기본자료!$K$2:$K$1001,$AB363),IF(INDEX(기본자료!$K$2:$K$1001,$AB363)&lt;1000000,INDEX(기본자료!$K$2:$K$1001,$AB363),IF(AND(INDEX(기본자료!$K$2:$K$1001,$AB363)&gt;=10000101,INT(MOD(INDEX(기본자료!$K$2:$K$1001,$AB363),10000)/100)&gt;=1,INT(MOD(INDEX(기본자료!$K$2:$K$1001,$AB363),10000)/100)&lt;=12,MOD(INDEX(기본자료!$K$2:$K$1001,$AB363),100)&gt;=1,MOD(INDEX(기본자료!$K$2:$K$1001,$AB363),100)&lt;=31),DATE(INT(INDEX(기본자료!$K$2:$K$1001,$AB363)/10000),INT(MOD(INDEX(기본자료!$K$2:$K$1001,$AB363),10000)/100),MOD(INDEX(기본자료!$K$2:$K$1001,$AB363),100)),INDEX(기본자료!$K$2:$K$1001,$AB363)&amp;"")))))</f>
        <v/>
      </c>
      <c r="F363" s="10">
        <f>IF($AB363="","",IF(INDEX(기본자료!$D$2:$D$1001,$AB363)="","",INDEX(기본자료!$D$2:$D$1001,$AB363)))</f>
        <v/>
      </c>
      <c r="G363" s="10">
        <f>IF($AB363="","",IF(INDEX(기본자료!$E$2:$E$1001,$AB363)="","",INDEX(기본자료!$E$2:$E$1001,$AB363)))</f>
        <v/>
      </c>
      <c r="H363" s="10">
        <f>IF($AB363="","",IF(INDEX(기본자료!$F$2:$F$1001,$AB363)="","",INDEX(기본자료!$F$2:$F$1001,$AB363)))</f>
        <v/>
      </c>
      <c r="I363" s="11">
        <f>IF($AB363="","",IF(INDEX(기본자료!$G$2:$G$1001,$AB363)="","",IF(NOT(ISNUMBER(INDEX(기본자료!$G$2:$G$1001,$AB363))),INDEX(기본자료!$G$2:$G$1001,$AB363),IF(INDEX(기본자료!$G$2:$G$1001,$AB363)&lt;1000000,INDEX(기본자료!$G$2:$G$1001,$AB363),IF(AND(INDEX(기본자료!$G$2:$G$1001,$AB363)&gt;=10000101,INT(MOD(INDEX(기본자료!$G$2:$G$1001,$AB363),10000)/100)&gt;=1,INT(MOD(INDEX(기본자료!$G$2:$G$1001,$AB363),10000)/100)&lt;=12,MOD(INDEX(기본자료!$G$2:$G$1001,$AB363),100)&gt;=1,MOD(INDEX(기본자료!$G$2:$G$1001,$AB363),100)&lt;=31),DATE(INT(INDEX(기본자료!$G$2:$G$1001,$AB363)/10000),INT(MOD(INDEX(기본자료!$G$2:$G$1001,$AB363),10000)/100),MOD(INDEX(기본자료!$G$2:$G$1001,$AB363),100)),INDEX(기본자료!$G$2:$G$1001,$AB363)&amp;"")))))</f>
        <v/>
      </c>
      <c r="J363" s="10">
        <f>IF($AB363="","",IF(INDEX(기본자료!$H$2:$H$1001,$AB363)="","",INDEX(기본자료!$H$2:$H$1001,$AB363)))</f>
        <v/>
      </c>
      <c r="K363" s="10">
        <f>IF($AB363="","",IF(INDEX(기본자료!$I$2:$I$1001,$AB363)="","",INDEX(기본자료!$I$2:$I$1001,$AB363)))</f>
        <v/>
      </c>
      <c r="L363" s="10">
        <f>IF($AB363="","",IF(INDEX(기본자료!$A$2:$A$1001,$AB363)="","",INDEX(기본자료!$A$2:$A$1001,$AB363)))</f>
        <v/>
      </c>
      <c r="M363" s="15" t="n"/>
      <c r="N363" s="10">
        <f>IF($B363="","",IF(AND($U363="파견중",$Q363&lt;&gt;""),$Q363,IF(AND($AD363&lt;&gt;"",LEFT($AD363,1)&lt;&gt;"⚠"),LEFT($AD363,FIND(" ",$AD363)-1),IF($H363="","",IF(RIGHT($H363,2)="병원",$H363,$H363&amp;"병원")))))</f>
        <v/>
      </c>
      <c r="O363" s="10">
        <f>IF($B363="","",IF(AND($U363="파견중",$Q363&lt;&gt;""),IF($R363&lt;&gt;"",$R363,"파견과 미입력"),IF(AND($AD363&lt;&gt;"",LEFT($AD363,1)&lt;&gt;"⚠"),MID($AD363,FIND(" ",$AD363)+1,60),IF($F363="","",IF($F363="인턴","수련교육부(인턴)",$F363)))))</f>
        <v/>
      </c>
      <c r="P363" s="10">
        <f>IF($B363="","",IF($AK363&lt;&gt;"",IF(AND(TODAY()&gt;=INDEX(파견수련계획!$AB$4:$AB$83,$AK363),OR(NOT(ISNUMBER(INDEX(파견수련계획!$AC$4:$AC$83,$AK363))),TODAY()&lt;=INDEX(파견수련계획!$AC$4:$AC$83,$AK363))),"다기관",IF($AF363="","",INDEX(파견수련계획!$T$4:$T$83,$AF363))),IF($AF363="","",INDEX(파견수련계획!$T$4:$T$83,$AF363))))</f>
        <v/>
      </c>
      <c r="Q363" s="10">
        <f>IF($AF363="","",INDEX(파견수련계획!$S$4:$S$83,$AF363))</f>
        <v/>
      </c>
      <c r="R363" s="10">
        <f>IF($AF363="","",INDEX(파견수련계획!$U$4:$U$83,$AF363))</f>
        <v/>
      </c>
      <c r="S363" s="11">
        <f>IF($AF363="","",IF(INDEX(파견수련계획!$H$4:$H$83,$AF363)="","",INDEX(파견수련계획!$H$4:$H$83,$AF363)))</f>
        <v/>
      </c>
      <c r="T363" s="11">
        <f>IF($AF363="","",IF(INDEX(파견수련계획!$I$4:$I$83,$AF363)="","",INDEX(파견수련계획!$I$4:$I$83,$AF363)))</f>
        <v/>
      </c>
      <c r="U363" s="10">
        <f>IF($AF363="","",INDEX(파견수련계획!$X$4:$X$83,$AF363))</f>
        <v/>
      </c>
      <c r="V363" s="17">
        <f>IF($AF363="","",INDEX(파견수련계획!$V$4:$V$83,$AF363))</f>
        <v/>
      </c>
      <c r="W363" s="17">
        <f>IF(AND($U363="파견중",$T363&lt;&gt;""),$T363-TODAY(),"")</f>
        <v/>
      </c>
      <c r="X363" s="17">
        <f>IF(OR($B363="",TRIM($J363&amp;"")=""),"",SUMPRODUCT((파견수련계획!$Q$4:$Q$83=TRIM($J363&amp;""))*파견수련계획!$W$4:$W$83))</f>
        <v/>
      </c>
      <c r="Y363" s="10">
        <f>IF($B363="","",IF($AG363="","",IF(IF(TRIM($J363&amp;"")="",0,SUMPRODUCT((파견수련계획!$Q$4:$Q$83=TRIM($J363&amp;""))*파견수련계획!$AD$4:$AD$83))&gt;0,$AE363,IF(N($X363)&lt;=0,$AG363,IF($AH363+$AI363=DAY(EOMONTH(요약!$B$3,0)),IF(AND($AH363&gt;=요약!$E$3,$AI363&lt;요약!$E$3),"서울병원",IF(AND($AI363&gt;=요약!$E$3,$AH363&lt;요약!$E$3),"구리병원","⚠15일 판정불가(서울 "&amp;$AH363&amp;"일/구리 "&amp;$AI363&amp;"일)")),IF($AJ363="",$AE363,IF(INDEX(파견수련계획!$T$4:$T$83,$AJ363)="통합수련",INDEX(파견수련계획!$S$4:$S$83,$AJ363),$AE363)))))))</f>
        <v/>
      </c>
      <c r="Z363" s="19">
        <f>IF($B363="","",IF($AB363="","기본자료에 없는 사번",IF(COUNTIF($B$2:$B$401,$B363)&gt;1,"중복 사번",IF($AE363="","소속(입사장소) 입력",IF(IF(TRIM($J363&amp;"")="",0,SUMPRODUCT((파견수련계획!$Q$4:$Q$83=TRIM($J363&amp;""))*(파견수련계획!$AA$4:$AA$83&lt;&gt;"")))&gt;0,"파견수련계획 입력오류 확인",IF(LEFT($Y363,1)="⚠","서울·구리 15일 판정 불가(양쪽 모두 이상/미만)",IF(IF($AC363="",0,N(INDEX(인턴근무계획!$T$3:$T$62,$AC363)))&gt;0,"인턴계획 입력오류 확인",IF(AND($AC363&lt;&gt;"",$U363&lt;&gt;"파견중",$N363&lt;&gt;$AE363),"인턴 타지역 근무: 파견 여부 확인","정상"))))))))</f>
        <v/>
      </c>
      <c r="AA363" s="5" t="n"/>
      <c r="AB363" s="10">
        <f>IF($B363="","",IFERROR(MATCH($B363,기본자료!$B$2:$B$1001,0),IFERROR(MATCH($B363&amp;"",기본자료!$B$2:$B$1001,0),IFERROR(MATCH(VALUE($B363),기본자료!$B$2:$B$1001,0),""))))</f>
        <v/>
      </c>
      <c r="AC363" s="10">
        <f>IF($B363="","",IFERROR(MATCH($B363,인턴근무계획!$D$3:$D$62,0),IFERROR(MATCH($B363&amp;"",인턴근무계획!$D$3:$D$62,0),IFERROR(MATCH(VALUE($B363),인턴근무계획!$D$3:$D$62,0),""))))</f>
        <v/>
      </c>
      <c r="AD363" s="10">
        <f>IF(OR($AC363="",인턴현황!$G$3=""),"",INDEX(인턴근무계획!$M$3:$R$62,$AC363,인턴현황!$G$3)&amp;"")</f>
        <v/>
      </c>
      <c r="AE363" s="10">
        <f>IF($B363="","",IF($M363&lt;&gt;"",$M363,IF($AF363&lt;&gt;"",IF(LEFT(INDEX(파견수련계획!$R$4:$R$83,$AF363),1)&lt;&gt;"⚠",INDEX(파견수련계획!$R$4:$R$83,$AF363),IF($H363="","",IF(RIGHT($H363,2)="병원",$H363,$H363&amp;"병원"))),IF($H363="","",IF(RIGHT($H363,2)="병원",$H363,$H363&amp;"병원")))))</f>
        <v/>
      </c>
      <c r="AF363" s="10">
        <f>IF(OR($B363="",TRIM($J363&amp;"")=""),"",IFERROR(MATCH(TRIM($J363&amp;"")&amp;"|파견중",파견수련계획!$Y$4:$Y$83,0),IFERROR(MATCH(TRIM($J363&amp;"")&amp;"|파견예정",파견수련계획!$Y$4:$Y$83,0),IFERROR(MATCH(TRIM($J363&amp;"")&amp;"|파견종료",파견수련계획!$Y$4:$Y$83,0),""))))</f>
        <v/>
      </c>
      <c r="AG363" s="10">
        <f>IF($B363="","",IF(AND(IF(OR($AC363="",인턴현황!$K$2=""),"",INDEX(인턴근무계획!$M$3:$R$62,$AC363,인턴현황!$K$2)&amp;"")&lt;&gt;"",LEFT(IF(OR($AC363="",인턴현황!$K$2=""),"",INDEX(인턴근무계획!$M$3:$R$62,$AC363,인턴현황!$K$2)&amp;""),1)&lt;&gt;"⚠"),LEFT(IF(OR($AC363="",인턴현황!$K$2=""),"",INDEX(인턴근무계획!$M$3:$R$62,$AC363,인턴현황!$K$2)&amp;""),FIND(" ",IF(OR($AC363="",인턴현황!$K$2=""),"",INDEX(인턴근무계획!$M$3:$R$62,$AC363,인턴현황!$K$2)&amp;""))-1),$AE363))</f>
        <v/>
      </c>
      <c r="AH363" s="17">
        <f>IF($B363="","",IF(TRIM($J363&amp;"")="",0,SUMPRODUCT((파견수련계획!$Q$4:$Q$83=TRIM($J363&amp;""))*(파견수련계획!$S$4:$S$83="서울병원")*파견수련계획!$W$4:$W$83))+IF($AG363="서울병원",MAX(0,DAY(EOMONTH(요약!$B$3,0))-N($X363)),0))</f>
        <v/>
      </c>
      <c r="AI363" s="17">
        <f>IF($B363="","",IF(TRIM($J363&amp;"")="",0,SUMPRODUCT((파견수련계획!$Q$4:$Q$83=TRIM($J363&amp;""))*(파견수련계획!$S$4:$S$83="구리병원")*파견수련계획!$W$4:$W$83))+IF($AG363="구리병원",MAX(0,DAY(EOMONTH(요약!$B$3,0))-N($X363)),0))</f>
        <v/>
      </c>
      <c r="AJ363" s="10">
        <f>IF(OR($B363="",TRIM($J363&amp;"")=""),"",IFERROR(MATCH(TRIM($J363&amp;"")&amp;"|월",파견수련계획!$Z$4:$Z$83,0),""))</f>
        <v/>
      </c>
      <c r="AK363" s="10">
        <f>IF(OR($B363="",TRIM($J363&amp;"")=""),"",IFERROR(MATCH(TRIM($J363&amp;"")&amp;"|다기관",파견수련계획!$AE$4:$AE$83,0),""))</f>
        <v/>
      </c>
      <c r="AL363" s="10">
        <f>IF($AK363="","","다기관 "&amp;TEXT(INDEX(파견수련계획!$AB$4:$AB$83,$AK363),"yyyy-mm-dd")&amp;"~"&amp;IF(ISNUMBER(INDEX(파견수련계획!$AC$4:$AC$83,$AK363)),TEXT(INDEX(파견수련계획!$AC$4:$AC$83,$AK363),"yyyy-mm-dd"),""))</f>
        <v/>
      </c>
    </row>
    <row r="364">
      <c r="A364" s="10">
        <f>IF(B364="","",ROW()-1)</f>
        <v/>
      </c>
      <c r="B364" s="18" t="n"/>
      <c r="C364" s="10">
        <f>IF($AB364="","",IF(INDEX(기본자료!$C$2:$C$1001,$AB364)="","",INDEX(기본자료!$C$2:$C$1001,$AB364)))</f>
        <v/>
      </c>
      <c r="D364" s="10">
        <f>IF($AB364="","",IF(INDEX(기본자료!$J$2:$J$1001,$AB364)="","",INDEX(기본자료!$J$2:$J$1001,$AB364)))</f>
        <v/>
      </c>
      <c r="E364" s="11">
        <f>IF($AB364="","",IF(INDEX(기본자료!$K$2:$K$1001,$AB364)="","",IF(NOT(ISNUMBER(INDEX(기본자료!$K$2:$K$1001,$AB364))),INDEX(기본자료!$K$2:$K$1001,$AB364),IF(INDEX(기본자료!$K$2:$K$1001,$AB364)&lt;1000000,INDEX(기본자료!$K$2:$K$1001,$AB364),IF(AND(INDEX(기본자료!$K$2:$K$1001,$AB364)&gt;=10000101,INT(MOD(INDEX(기본자료!$K$2:$K$1001,$AB364),10000)/100)&gt;=1,INT(MOD(INDEX(기본자료!$K$2:$K$1001,$AB364),10000)/100)&lt;=12,MOD(INDEX(기본자료!$K$2:$K$1001,$AB364),100)&gt;=1,MOD(INDEX(기본자료!$K$2:$K$1001,$AB364),100)&lt;=31),DATE(INT(INDEX(기본자료!$K$2:$K$1001,$AB364)/10000),INT(MOD(INDEX(기본자료!$K$2:$K$1001,$AB364),10000)/100),MOD(INDEX(기본자료!$K$2:$K$1001,$AB364),100)),INDEX(기본자료!$K$2:$K$1001,$AB364)&amp;"")))))</f>
        <v/>
      </c>
      <c r="F364" s="10">
        <f>IF($AB364="","",IF(INDEX(기본자료!$D$2:$D$1001,$AB364)="","",INDEX(기본자료!$D$2:$D$1001,$AB364)))</f>
        <v/>
      </c>
      <c r="G364" s="10">
        <f>IF($AB364="","",IF(INDEX(기본자료!$E$2:$E$1001,$AB364)="","",INDEX(기본자료!$E$2:$E$1001,$AB364)))</f>
        <v/>
      </c>
      <c r="H364" s="10">
        <f>IF($AB364="","",IF(INDEX(기본자료!$F$2:$F$1001,$AB364)="","",INDEX(기본자료!$F$2:$F$1001,$AB364)))</f>
        <v/>
      </c>
      <c r="I364" s="11">
        <f>IF($AB364="","",IF(INDEX(기본자료!$G$2:$G$1001,$AB364)="","",IF(NOT(ISNUMBER(INDEX(기본자료!$G$2:$G$1001,$AB364))),INDEX(기본자료!$G$2:$G$1001,$AB364),IF(INDEX(기본자료!$G$2:$G$1001,$AB364)&lt;1000000,INDEX(기본자료!$G$2:$G$1001,$AB364),IF(AND(INDEX(기본자료!$G$2:$G$1001,$AB364)&gt;=10000101,INT(MOD(INDEX(기본자료!$G$2:$G$1001,$AB364),10000)/100)&gt;=1,INT(MOD(INDEX(기본자료!$G$2:$G$1001,$AB364),10000)/100)&lt;=12,MOD(INDEX(기본자료!$G$2:$G$1001,$AB364),100)&gt;=1,MOD(INDEX(기본자료!$G$2:$G$1001,$AB364),100)&lt;=31),DATE(INT(INDEX(기본자료!$G$2:$G$1001,$AB364)/10000),INT(MOD(INDEX(기본자료!$G$2:$G$1001,$AB364),10000)/100),MOD(INDEX(기본자료!$G$2:$G$1001,$AB364),100)),INDEX(기본자료!$G$2:$G$1001,$AB364)&amp;"")))))</f>
        <v/>
      </c>
      <c r="J364" s="10">
        <f>IF($AB364="","",IF(INDEX(기본자료!$H$2:$H$1001,$AB364)="","",INDEX(기본자료!$H$2:$H$1001,$AB364)))</f>
        <v/>
      </c>
      <c r="K364" s="10">
        <f>IF($AB364="","",IF(INDEX(기본자료!$I$2:$I$1001,$AB364)="","",INDEX(기본자료!$I$2:$I$1001,$AB364)))</f>
        <v/>
      </c>
      <c r="L364" s="10">
        <f>IF($AB364="","",IF(INDEX(기본자료!$A$2:$A$1001,$AB364)="","",INDEX(기본자료!$A$2:$A$1001,$AB364)))</f>
        <v/>
      </c>
      <c r="M364" s="15" t="n"/>
      <c r="N364" s="10">
        <f>IF($B364="","",IF(AND($U364="파견중",$Q364&lt;&gt;""),$Q364,IF(AND($AD364&lt;&gt;"",LEFT($AD364,1)&lt;&gt;"⚠"),LEFT($AD364,FIND(" ",$AD364)-1),IF($H364="","",IF(RIGHT($H364,2)="병원",$H364,$H364&amp;"병원")))))</f>
        <v/>
      </c>
      <c r="O364" s="10">
        <f>IF($B364="","",IF(AND($U364="파견중",$Q364&lt;&gt;""),IF($R364&lt;&gt;"",$R364,"파견과 미입력"),IF(AND($AD364&lt;&gt;"",LEFT($AD364,1)&lt;&gt;"⚠"),MID($AD364,FIND(" ",$AD364)+1,60),IF($F364="","",IF($F364="인턴","수련교육부(인턴)",$F364)))))</f>
        <v/>
      </c>
      <c r="P364" s="10">
        <f>IF($B364="","",IF($AK364&lt;&gt;"",IF(AND(TODAY()&gt;=INDEX(파견수련계획!$AB$4:$AB$83,$AK364),OR(NOT(ISNUMBER(INDEX(파견수련계획!$AC$4:$AC$83,$AK364))),TODAY()&lt;=INDEX(파견수련계획!$AC$4:$AC$83,$AK364))),"다기관",IF($AF364="","",INDEX(파견수련계획!$T$4:$T$83,$AF364))),IF($AF364="","",INDEX(파견수련계획!$T$4:$T$83,$AF364))))</f>
        <v/>
      </c>
      <c r="Q364" s="10">
        <f>IF($AF364="","",INDEX(파견수련계획!$S$4:$S$83,$AF364))</f>
        <v/>
      </c>
      <c r="R364" s="10">
        <f>IF($AF364="","",INDEX(파견수련계획!$U$4:$U$83,$AF364))</f>
        <v/>
      </c>
      <c r="S364" s="11">
        <f>IF($AF364="","",IF(INDEX(파견수련계획!$H$4:$H$83,$AF364)="","",INDEX(파견수련계획!$H$4:$H$83,$AF364)))</f>
        <v/>
      </c>
      <c r="T364" s="11">
        <f>IF($AF364="","",IF(INDEX(파견수련계획!$I$4:$I$83,$AF364)="","",INDEX(파견수련계획!$I$4:$I$83,$AF364)))</f>
        <v/>
      </c>
      <c r="U364" s="10">
        <f>IF($AF364="","",INDEX(파견수련계획!$X$4:$X$83,$AF364))</f>
        <v/>
      </c>
      <c r="V364" s="17">
        <f>IF($AF364="","",INDEX(파견수련계획!$V$4:$V$83,$AF364))</f>
        <v/>
      </c>
      <c r="W364" s="17">
        <f>IF(AND($U364="파견중",$T364&lt;&gt;""),$T364-TODAY(),"")</f>
        <v/>
      </c>
      <c r="X364" s="17">
        <f>IF(OR($B364="",TRIM($J364&amp;"")=""),"",SUMPRODUCT((파견수련계획!$Q$4:$Q$83=TRIM($J364&amp;""))*파견수련계획!$W$4:$W$83))</f>
        <v/>
      </c>
      <c r="Y364" s="10">
        <f>IF($B364="","",IF($AG364="","",IF(IF(TRIM($J364&amp;"")="",0,SUMPRODUCT((파견수련계획!$Q$4:$Q$83=TRIM($J364&amp;""))*파견수련계획!$AD$4:$AD$83))&gt;0,$AE364,IF(N($X364)&lt;=0,$AG364,IF($AH364+$AI364=DAY(EOMONTH(요약!$B$3,0)),IF(AND($AH364&gt;=요약!$E$3,$AI364&lt;요약!$E$3),"서울병원",IF(AND($AI364&gt;=요약!$E$3,$AH364&lt;요약!$E$3),"구리병원","⚠15일 판정불가(서울 "&amp;$AH364&amp;"일/구리 "&amp;$AI364&amp;"일)")),IF($AJ364="",$AE364,IF(INDEX(파견수련계획!$T$4:$T$83,$AJ364)="통합수련",INDEX(파견수련계획!$S$4:$S$83,$AJ364),$AE364)))))))</f>
        <v/>
      </c>
      <c r="Z364" s="19">
        <f>IF($B364="","",IF($AB364="","기본자료에 없는 사번",IF(COUNTIF($B$2:$B$401,$B364)&gt;1,"중복 사번",IF($AE364="","소속(입사장소) 입력",IF(IF(TRIM($J364&amp;"")="",0,SUMPRODUCT((파견수련계획!$Q$4:$Q$83=TRIM($J364&amp;""))*(파견수련계획!$AA$4:$AA$83&lt;&gt;"")))&gt;0,"파견수련계획 입력오류 확인",IF(LEFT($Y364,1)="⚠","서울·구리 15일 판정 불가(양쪽 모두 이상/미만)",IF(IF($AC364="",0,N(INDEX(인턴근무계획!$T$3:$T$62,$AC364)))&gt;0,"인턴계획 입력오류 확인",IF(AND($AC364&lt;&gt;"",$U364&lt;&gt;"파견중",$N364&lt;&gt;$AE364),"인턴 타지역 근무: 파견 여부 확인","정상"))))))))</f>
        <v/>
      </c>
      <c r="AA364" s="5" t="n"/>
      <c r="AB364" s="10">
        <f>IF($B364="","",IFERROR(MATCH($B364,기본자료!$B$2:$B$1001,0),IFERROR(MATCH($B364&amp;"",기본자료!$B$2:$B$1001,0),IFERROR(MATCH(VALUE($B364),기본자료!$B$2:$B$1001,0),""))))</f>
        <v/>
      </c>
      <c r="AC364" s="10">
        <f>IF($B364="","",IFERROR(MATCH($B364,인턴근무계획!$D$3:$D$62,0),IFERROR(MATCH($B364&amp;"",인턴근무계획!$D$3:$D$62,0),IFERROR(MATCH(VALUE($B364),인턴근무계획!$D$3:$D$62,0),""))))</f>
        <v/>
      </c>
      <c r="AD364" s="10">
        <f>IF(OR($AC364="",인턴현황!$G$3=""),"",INDEX(인턴근무계획!$M$3:$R$62,$AC364,인턴현황!$G$3)&amp;"")</f>
        <v/>
      </c>
      <c r="AE364" s="10">
        <f>IF($B364="","",IF($M364&lt;&gt;"",$M364,IF($AF364&lt;&gt;"",IF(LEFT(INDEX(파견수련계획!$R$4:$R$83,$AF364),1)&lt;&gt;"⚠",INDEX(파견수련계획!$R$4:$R$83,$AF364),IF($H364="","",IF(RIGHT($H364,2)="병원",$H364,$H364&amp;"병원"))),IF($H364="","",IF(RIGHT($H364,2)="병원",$H364,$H364&amp;"병원")))))</f>
        <v/>
      </c>
      <c r="AF364" s="10">
        <f>IF(OR($B364="",TRIM($J364&amp;"")=""),"",IFERROR(MATCH(TRIM($J364&amp;"")&amp;"|파견중",파견수련계획!$Y$4:$Y$83,0),IFERROR(MATCH(TRIM($J364&amp;"")&amp;"|파견예정",파견수련계획!$Y$4:$Y$83,0),IFERROR(MATCH(TRIM($J364&amp;"")&amp;"|파견종료",파견수련계획!$Y$4:$Y$83,0),""))))</f>
        <v/>
      </c>
      <c r="AG364" s="10">
        <f>IF($B364="","",IF(AND(IF(OR($AC364="",인턴현황!$K$2=""),"",INDEX(인턴근무계획!$M$3:$R$62,$AC364,인턴현황!$K$2)&amp;"")&lt;&gt;"",LEFT(IF(OR($AC364="",인턴현황!$K$2=""),"",INDEX(인턴근무계획!$M$3:$R$62,$AC364,인턴현황!$K$2)&amp;""),1)&lt;&gt;"⚠"),LEFT(IF(OR($AC364="",인턴현황!$K$2=""),"",INDEX(인턴근무계획!$M$3:$R$62,$AC364,인턴현황!$K$2)&amp;""),FIND(" ",IF(OR($AC364="",인턴현황!$K$2=""),"",INDEX(인턴근무계획!$M$3:$R$62,$AC364,인턴현황!$K$2)&amp;""))-1),$AE364))</f>
        <v/>
      </c>
      <c r="AH364" s="17">
        <f>IF($B364="","",IF(TRIM($J364&amp;"")="",0,SUMPRODUCT((파견수련계획!$Q$4:$Q$83=TRIM($J364&amp;""))*(파견수련계획!$S$4:$S$83="서울병원")*파견수련계획!$W$4:$W$83))+IF($AG364="서울병원",MAX(0,DAY(EOMONTH(요약!$B$3,0))-N($X364)),0))</f>
        <v/>
      </c>
      <c r="AI364" s="17">
        <f>IF($B364="","",IF(TRIM($J364&amp;"")="",0,SUMPRODUCT((파견수련계획!$Q$4:$Q$83=TRIM($J364&amp;""))*(파견수련계획!$S$4:$S$83="구리병원")*파견수련계획!$W$4:$W$83))+IF($AG364="구리병원",MAX(0,DAY(EOMONTH(요약!$B$3,0))-N($X364)),0))</f>
        <v/>
      </c>
      <c r="AJ364" s="10">
        <f>IF(OR($B364="",TRIM($J364&amp;"")=""),"",IFERROR(MATCH(TRIM($J364&amp;"")&amp;"|월",파견수련계획!$Z$4:$Z$83,0),""))</f>
        <v/>
      </c>
      <c r="AK364" s="10">
        <f>IF(OR($B364="",TRIM($J364&amp;"")=""),"",IFERROR(MATCH(TRIM($J364&amp;"")&amp;"|다기관",파견수련계획!$AE$4:$AE$83,0),""))</f>
        <v/>
      </c>
      <c r="AL364" s="10">
        <f>IF($AK364="","","다기관 "&amp;TEXT(INDEX(파견수련계획!$AB$4:$AB$83,$AK364),"yyyy-mm-dd")&amp;"~"&amp;IF(ISNUMBER(INDEX(파견수련계획!$AC$4:$AC$83,$AK364)),TEXT(INDEX(파견수련계획!$AC$4:$AC$83,$AK364),"yyyy-mm-dd"),""))</f>
        <v/>
      </c>
    </row>
    <row r="365">
      <c r="A365" s="10">
        <f>IF(B365="","",ROW()-1)</f>
        <v/>
      </c>
      <c r="B365" s="18" t="n"/>
      <c r="C365" s="10">
        <f>IF($AB365="","",IF(INDEX(기본자료!$C$2:$C$1001,$AB365)="","",INDEX(기본자료!$C$2:$C$1001,$AB365)))</f>
        <v/>
      </c>
      <c r="D365" s="10">
        <f>IF($AB365="","",IF(INDEX(기본자료!$J$2:$J$1001,$AB365)="","",INDEX(기본자료!$J$2:$J$1001,$AB365)))</f>
        <v/>
      </c>
      <c r="E365" s="11">
        <f>IF($AB365="","",IF(INDEX(기본자료!$K$2:$K$1001,$AB365)="","",IF(NOT(ISNUMBER(INDEX(기본자료!$K$2:$K$1001,$AB365))),INDEX(기본자료!$K$2:$K$1001,$AB365),IF(INDEX(기본자료!$K$2:$K$1001,$AB365)&lt;1000000,INDEX(기본자료!$K$2:$K$1001,$AB365),IF(AND(INDEX(기본자료!$K$2:$K$1001,$AB365)&gt;=10000101,INT(MOD(INDEX(기본자료!$K$2:$K$1001,$AB365),10000)/100)&gt;=1,INT(MOD(INDEX(기본자료!$K$2:$K$1001,$AB365),10000)/100)&lt;=12,MOD(INDEX(기본자료!$K$2:$K$1001,$AB365),100)&gt;=1,MOD(INDEX(기본자료!$K$2:$K$1001,$AB365),100)&lt;=31),DATE(INT(INDEX(기본자료!$K$2:$K$1001,$AB365)/10000),INT(MOD(INDEX(기본자료!$K$2:$K$1001,$AB365),10000)/100),MOD(INDEX(기본자료!$K$2:$K$1001,$AB365),100)),INDEX(기본자료!$K$2:$K$1001,$AB365)&amp;"")))))</f>
        <v/>
      </c>
      <c r="F365" s="10">
        <f>IF($AB365="","",IF(INDEX(기본자료!$D$2:$D$1001,$AB365)="","",INDEX(기본자료!$D$2:$D$1001,$AB365)))</f>
        <v/>
      </c>
      <c r="G365" s="10">
        <f>IF($AB365="","",IF(INDEX(기본자료!$E$2:$E$1001,$AB365)="","",INDEX(기본자료!$E$2:$E$1001,$AB365)))</f>
        <v/>
      </c>
      <c r="H365" s="10">
        <f>IF($AB365="","",IF(INDEX(기본자료!$F$2:$F$1001,$AB365)="","",INDEX(기본자료!$F$2:$F$1001,$AB365)))</f>
        <v/>
      </c>
      <c r="I365" s="11">
        <f>IF($AB365="","",IF(INDEX(기본자료!$G$2:$G$1001,$AB365)="","",IF(NOT(ISNUMBER(INDEX(기본자료!$G$2:$G$1001,$AB365))),INDEX(기본자료!$G$2:$G$1001,$AB365),IF(INDEX(기본자료!$G$2:$G$1001,$AB365)&lt;1000000,INDEX(기본자료!$G$2:$G$1001,$AB365),IF(AND(INDEX(기본자료!$G$2:$G$1001,$AB365)&gt;=10000101,INT(MOD(INDEX(기본자료!$G$2:$G$1001,$AB365),10000)/100)&gt;=1,INT(MOD(INDEX(기본자료!$G$2:$G$1001,$AB365),10000)/100)&lt;=12,MOD(INDEX(기본자료!$G$2:$G$1001,$AB365),100)&gt;=1,MOD(INDEX(기본자료!$G$2:$G$1001,$AB365),100)&lt;=31),DATE(INT(INDEX(기본자료!$G$2:$G$1001,$AB365)/10000),INT(MOD(INDEX(기본자료!$G$2:$G$1001,$AB365),10000)/100),MOD(INDEX(기본자료!$G$2:$G$1001,$AB365),100)),INDEX(기본자료!$G$2:$G$1001,$AB365)&amp;"")))))</f>
        <v/>
      </c>
      <c r="J365" s="10">
        <f>IF($AB365="","",IF(INDEX(기본자료!$H$2:$H$1001,$AB365)="","",INDEX(기본자료!$H$2:$H$1001,$AB365)))</f>
        <v/>
      </c>
      <c r="K365" s="10">
        <f>IF($AB365="","",IF(INDEX(기본자료!$I$2:$I$1001,$AB365)="","",INDEX(기본자료!$I$2:$I$1001,$AB365)))</f>
        <v/>
      </c>
      <c r="L365" s="10">
        <f>IF($AB365="","",IF(INDEX(기본자료!$A$2:$A$1001,$AB365)="","",INDEX(기본자료!$A$2:$A$1001,$AB365)))</f>
        <v/>
      </c>
      <c r="M365" s="15" t="n"/>
      <c r="N365" s="10">
        <f>IF($B365="","",IF(AND($U365="파견중",$Q365&lt;&gt;""),$Q365,IF(AND($AD365&lt;&gt;"",LEFT($AD365,1)&lt;&gt;"⚠"),LEFT($AD365,FIND(" ",$AD365)-1),IF($H365="","",IF(RIGHT($H365,2)="병원",$H365,$H365&amp;"병원")))))</f>
        <v/>
      </c>
      <c r="O365" s="10">
        <f>IF($B365="","",IF(AND($U365="파견중",$Q365&lt;&gt;""),IF($R365&lt;&gt;"",$R365,"파견과 미입력"),IF(AND($AD365&lt;&gt;"",LEFT($AD365,1)&lt;&gt;"⚠"),MID($AD365,FIND(" ",$AD365)+1,60),IF($F365="","",IF($F365="인턴","수련교육부(인턴)",$F365)))))</f>
        <v/>
      </c>
      <c r="P365" s="10">
        <f>IF($B365="","",IF($AK365&lt;&gt;"",IF(AND(TODAY()&gt;=INDEX(파견수련계획!$AB$4:$AB$83,$AK365),OR(NOT(ISNUMBER(INDEX(파견수련계획!$AC$4:$AC$83,$AK365))),TODAY()&lt;=INDEX(파견수련계획!$AC$4:$AC$83,$AK365))),"다기관",IF($AF365="","",INDEX(파견수련계획!$T$4:$T$83,$AF365))),IF($AF365="","",INDEX(파견수련계획!$T$4:$T$83,$AF365))))</f>
        <v/>
      </c>
      <c r="Q365" s="10">
        <f>IF($AF365="","",INDEX(파견수련계획!$S$4:$S$83,$AF365))</f>
        <v/>
      </c>
      <c r="R365" s="10">
        <f>IF($AF365="","",INDEX(파견수련계획!$U$4:$U$83,$AF365))</f>
        <v/>
      </c>
      <c r="S365" s="11">
        <f>IF($AF365="","",IF(INDEX(파견수련계획!$H$4:$H$83,$AF365)="","",INDEX(파견수련계획!$H$4:$H$83,$AF365)))</f>
        <v/>
      </c>
      <c r="T365" s="11">
        <f>IF($AF365="","",IF(INDEX(파견수련계획!$I$4:$I$83,$AF365)="","",INDEX(파견수련계획!$I$4:$I$83,$AF365)))</f>
        <v/>
      </c>
      <c r="U365" s="10">
        <f>IF($AF365="","",INDEX(파견수련계획!$X$4:$X$83,$AF365))</f>
        <v/>
      </c>
      <c r="V365" s="17">
        <f>IF($AF365="","",INDEX(파견수련계획!$V$4:$V$83,$AF365))</f>
        <v/>
      </c>
      <c r="W365" s="17">
        <f>IF(AND($U365="파견중",$T365&lt;&gt;""),$T365-TODAY(),"")</f>
        <v/>
      </c>
      <c r="X365" s="17">
        <f>IF(OR($B365="",TRIM($J365&amp;"")=""),"",SUMPRODUCT((파견수련계획!$Q$4:$Q$83=TRIM($J365&amp;""))*파견수련계획!$W$4:$W$83))</f>
        <v/>
      </c>
      <c r="Y365" s="10">
        <f>IF($B365="","",IF($AG365="","",IF(IF(TRIM($J365&amp;"")="",0,SUMPRODUCT((파견수련계획!$Q$4:$Q$83=TRIM($J365&amp;""))*파견수련계획!$AD$4:$AD$83))&gt;0,$AE365,IF(N($X365)&lt;=0,$AG365,IF($AH365+$AI365=DAY(EOMONTH(요약!$B$3,0)),IF(AND($AH365&gt;=요약!$E$3,$AI365&lt;요약!$E$3),"서울병원",IF(AND($AI365&gt;=요약!$E$3,$AH365&lt;요약!$E$3),"구리병원","⚠15일 판정불가(서울 "&amp;$AH365&amp;"일/구리 "&amp;$AI365&amp;"일)")),IF($AJ365="",$AE365,IF(INDEX(파견수련계획!$T$4:$T$83,$AJ365)="통합수련",INDEX(파견수련계획!$S$4:$S$83,$AJ365),$AE365)))))))</f>
        <v/>
      </c>
      <c r="Z365" s="19">
        <f>IF($B365="","",IF($AB365="","기본자료에 없는 사번",IF(COUNTIF($B$2:$B$401,$B365)&gt;1,"중복 사번",IF($AE365="","소속(입사장소) 입력",IF(IF(TRIM($J365&amp;"")="",0,SUMPRODUCT((파견수련계획!$Q$4:$Q$83=TRIM($J365&amp;""))*(파견수련계획!$AA$4:$AA$83&lt;&gt;"")))&gt;0,"파견수련계획 입력오류 확인",IF(LEFT($Y365,1)="⚠","서울·구리 15일 판정 불가(양쪽 모두 이상/미만)",IF(IF($AC365="",0,N(INDEX(인턴근무계획!$T$3:$T$62,$AC365)))&gt;0,"인턴계획 입력오류 확인",IF(AND($AC365&lt;&gt;"",$U365&lt;&gt;"파견중",$N365&lt;&gt;$AE365),"인턴 타지역 근무: 파견 여부 확인","정상"))))))))</f>
        <v/>
      </c>
      <c r="AA365" s="5" t="n"/>
      <c r="AB365" s="10">
        <f>IF($B365="","",IFERROR(MATCH($B365,기본자료!$B$2:$B$1001,0),IFERROR(MATCH($B365&amp;"",기본자료!$B$2:$B$1001,0),IFERROR(MATCH(VALUE($B365),기본자료!$B$2:$B$1001,0),""))))</f>
        <v/>
      </c>
      <c r="AC365" s="10">
        <f>IF($B365="","",IFERROR(MATCH($B365,인턴근무계획!$D$3:$D$62,0),IFERROR(MATCH($B365&amp;"",인턴근무계획!$D$3:$D$62,0),IFERROR(MATCH(VALUE($B365),인턴근무계획!$D$3:$D$62,0),""))))</f>
        <v/>
      </c>
      <c r="AD365" s="10">
        <f>IF(OR($AC365="",인턴현황!$G$3=""),"",INDEX(인턴근무계획!$M$3:$R$62,$AC365,인턴현황!$G$3)&amp;"")</f>
        <v/>
      </c>
      <c r="AE365" s="10">
        <f>IF($B365="","",IF($M365&lt;&gt;"",$M365,IF($AF365&lt;&gt;"",IF(LEFT(INDEX(파견수련계획!$R$4:$R$83,$AF365),1)&lt;&gt;"⚠",INDEX(파견수련계획!$R$4:$R$83,$AF365),IF($H365="","",IF(RIGHT($H365,2)="병원",$H365,$H365&amp;"병원"))),IF($H365="","",IF(RIGHT($H365,2)="병원",$H365,$H365&amp;"병원")))))</f>
        <v/>
      </c>
      <c r="AF365" s="10">
        <f>IF(OR($B365="",TRIM($J365&amp;"")=""),"",IFERROR(MATCH(TRIM($J365&amp;"")&amp;"|파견중",파견수련계획!$Y$4:$Y$83,0),IFERROR(MATCH(TRIM($J365&amp;"")&amp;"|파견예정",파견수련계획!$Y$4:$Y$83,0),IFERROR(MATCH(TRIM($J365&amp;"")&amp;"|파견종료",파견수련계획!$Y$4:$Y$83,0),""))))</f>
        <v/>
      </c>
      <c r="AG365" s="10">
        <f>IF($B365="","",IF(AND(IF(OR($AC365="",인턴현황!$K$2=""),"",INDEX(인턴근무계획!$M$3:$R$62,$AC365,인턴현황!$K$2)&amp;"")&lt;&gt;"",LEFT(IF(OR($AC365="",인턴현황!$K$2=""),"",INDEX(인턴근무계획!$M$3:$R$62,$AC365,인턴현황!$K$2)&amp;""),1)&lt;&gt;"⚠"),LEFT(IF(OR($AC365="",인턴현황!$K$2=""),"",INDEX(인턴근무계획!$M$3:$R$62,$AC365,인턴현황!$K$2)&amp;""),FIND(" ",IF(OR($AC365="",인턴현황!$K$2=""),"",INDEX(인턴근무계획!$M$3:$R$62,$AC365,인턴현황!$K$2)&amp;""))-1),$AE365))</f>
        <v/>
      </c>
      <c r="AH365" s="17">
        <f>IF($B365="","",IF(TRIM($J365&amp;"")="",0,SUMPRODUCT((파견수련계획!$Q$4:$Q$83=TRIM($J365&amp;""))*(파견수련계획!$S$4:$S$83="서울병원")*파견수련계획!$W$4:$W$83))+IF($AG365="서울병원",MAX(0,DAY(EOMONTH(요약!$B$3,0))-N($X365)),0))</f>
        <v/>
      </c>
      <c r="AI365" s="17">
        <f>IF($B365="","",IF(TRIM($J365&amp;"")="",0,SUMPRODUCT((파견수련계획!$Q$4:$Q$83=TRIM($J365&amp;""))*(파견수련계획!$S$4:$S$83="구리병원")*파견수련계획!$W$4:$W$83))+IF($AG365="구리병원",MAX(0,DAY(EOMONTH(요약!$B$3,0))-N($X365)),0))</f>
        <v/>
      </c>
      <c r="AJ365" s="10">
        <f>IF(OR($B365="",TRIM($J365&amp;"")=""),"",IFERROR(MATCH(TRIM($J365&amp;"")&amp;"|월",파견수련계획!$Z$4:$Z$83,0),""))</f>
        <v/>
      </c>
      <c r="AK365" s="10">
        <f>IF(OR($B365="",TRIM($J365&amp;"")=""),"",IFERROR(MATCH(TRIM($J365&amp;"")&amp;"|다기관",파견수련계획!$AE$4:$AE$83,0),""))</f>
        <v/>
      </c>
      <c r="AL365" s="10">
        <f>IF($AK365="","","다기관 "&amp;TEXT(INDEX(파견수련계획!$AB$4:$AB$83,$AK365),"yyyy-mm-dd")&amp;"~"&amp;IF(ISNUMBER(INDEX(파견수련계획!$AC$4:$AC$83,$AK365)),TEXT(INDEX(파견수련계획!$AC$4:$AC$83,$AK365),"yyyy-mm-dd"),""))</f>
        <v/>
      </c>
    </row>
    <row r="366">
      <c r="A366" s="10">
        <f>IF(B366="","",ROW()-1)</f>
        <v/>
      </c>
      <c r="B366" s="18" t="n"/>
      <c r="C366" s="10">
        <f>IF($AB366="","",IF(INDEX(기본자료!$C$2:$C$1001,$AB366)="","",INDEX(기본자료!$C$2:$C$1001,$AB366)))</f>
        <v/>
      </c>
      <c r="D366" s="10">
        <f>IF($AB366="","",IF(INDEX(기본자료!$J$2:$J$1001,$AB366)="","",INDEX(기본자료!$J$2:$J$1001,$AB366)))</f>
        <v/>
      </c>
      <c r="E366" s="11">
        <f>IF($AB366="","",IF(INDEX(기본자료!$K$2:$K$1001,$AB366)="","",IF(NOT(ISNUMBER(INDEX(기본자료!$K$2:$K$1001,$AB366))),INDEX(기본자료!$K$2:$K$1001,$AB366),IF(INDEX(기본자료!$K$2:$K$1001,$AB366)&lt;1000000,INDEX(기본자료!$K$2:$K$1001,$AB366),IF(AND(INDEX(기본자료!$K$2:$K$1001,$AB366)&gt;=10000101,INT(MOD(INDEX(기본자료!$K$2:$K$1001,$AB366),10000)/100)&gt;=1,INT(MOD(INDEX(기본자료!$K$2:$K$1001,$AB366),10000)/100)&lt;=12,MOD(INDEX(기본자료!$K$2:$K$1001,$AB366),100)&gt;=1,MOD(INDEX(기본자료!$K$2:$K$1001,$AB366),100)&lt;=31),DATE(INT(INDEX(기본자료!$K$2:$K$1001,$AB366)/10000),INT(MOD(INDEX(기본자료!$K$2:$K$1001,$AB366),10000)/100),MOD(INDEX(기본자료!$K$2:$K$1001,$AB366),100)),INDEX(기본자료!$K$2:$K$1001,$AB366)&amp;"")))))</f>
        <v/>
      </c>
      <c r="F366" s="10">
        <f>IF($AB366="","",IF(INDEX(기본자료!$D$2:$D$1001,$AB366)="","",INDEX(기본자료!$D$2:$D$1001,$AB366)))</f>
        <v/>
      </c>
      <c r="G366" s="10">
        <f>IF($AB366="","",IF(INDEX(기본자료!$E$2:$E$1001,$AB366)="","",INDEX(기본자료!$E$2:$E$1001,$AB366)))</f>
        <v/>
      </c>
      <c r="H366" s="10">
        <f>IF($AB366="","",IF(INDEX(기본자료!$F$2:$F$1001,$AB366)="","",INDEX(기본자료!$F$2:$F$1001,$AB366)))</f>
        <v/>
      </c>
      <c r="I366" s="11">
        <f>IF($AB366="","",IF(INDEX(기본자료!$G$2:$G$1001,$AB366)="","",IF(NOT(ISNUMBER(INDEX(기본자료!$G$2:$G$1001,$AB366))),INDEX(기본자료!$G$2:$G$1001,$AB366),IF(INDEX(기본자료!$G$2:$G$1001,$AB366)&lt;1000000,INDEX(기본자료!$G$2:$G$1001,$AB366),IF(AND(INDEX(기본자료!$G$2:$G$1001,$AB366)&gt;=10000101,INT(MOD(INDEX(기본자료!$G$2:$G$1001,$AB366),10000)/100)&gt;=1,INT(MOD(INDEX(기본자료!$G$2:$G$1001,$AB366),10000)/100)&lt;=12,MOD(INDEX(기본자료!$G$2:$G$1001,$AB366),100)&gt;=1,MOD(INDEX(기본자료!$G$2:$G$1001,$AB366),100)&lt;=31),DATE(INT(INDEX(기본자료!$G$2:$G$1001,$AB366)/10000),INT(MOD(INDEX(기본자료!$G$2:$G$1001,$AB366),10000)/100),MOD(INDEX(기본자료!$G$2:$G$1001,$AB366),100)),INDEX(기본자료!$G$2:$G$1001,$AB366)&amp;"")))))</f>
        <v/>
      </c>
      <c r="J366" s="10">
        <f>IF($AB366="","",IF(INDEX(기본자료!$H$2:$H$1001,$AB366)="","",INDEX(기본자료!$H$2:$H$1001,$AB366)))</f>
        <v/>
      </c>
      <c r="K366" s="10">
        <f>IF($AB366="","",IF(INDEX(기본자료!$I$2:$I$1001,$AB366)="","",INDEX(기본자료!$I$2:$I$1001,$AB366)))</f>
        <v/>
      </c>
      <c r="L366" s="10">
        <f>IF($AB366="","",IF(INDEX(기본자료!$A$2:$A$1001,$AB366)="","",INDEX(기본자료!$A$2:$A$1001,$AB366)))</f>
        <v/>
      </c>
      <c r="M366" s="15" t="n"/>
      <c r="N366" s="10">
        <f>IF($B366="","",IF(AND($U366="파견중",$Q366&lt;&gt;""),$Q366,IF(AND($AD366&lt;&gt;"",LEFT($AD366,1)&lt;&gt;"⚠"),LEFT($AD366,FIND(" ",$AD366)-1),IF($H366="","",IF(RIGHT($H366,2)="병원",$H366,$H366&amp;"병원")))))</f>
        <v/>
      </c>
      <c r="O366" s="10">
        <f>IF($B366="","",IF(AND($U366="파견중",$Q366&lt;&gt;""),IF($R366&lt;&gt;"",$R366,"파견과 미입력"),IF(AND($AD366&lt;&gt;"",LEFT($AD366,1)&lt;&gt;"⚠"),MID($AD366,FIND(" ",$AD366)+1,60),IF($F366="","",IF($F366="인턴","수련교육부(인턴)",$F366)))))</f>
        <v/>
      </c>
      <c r="P366" s="10">
        <f>IF($B366="","",IF($AK366&lt;&gt;"",IF(AND(TODAY()&gt;=INDEX(파견수련계획!$AB$4:$AB$83,$AK366),OR(NOT(ISNUMBER(INDEX(파견수련계획!$AC$4:$AC$83,$AK366))),TODAY()&lt;=INDEX(파견수련계획!$AC$4:$AC$83,$AK366))),"다기관",IF($AF366="","",INDEX(파견수련계획!$T$4:$T$83,$AF366))),IF($AF366="","",INDEX(파견수련계획!$T$4:$T$83,$AF366))))</f>
        <v/>
      </c>
      <c r="Q366" s="10">
        <f>IF($AF366="","",INDEX(파견수련계획!$S$4:$S$83,$AF366))</f>
        <v/>
      </c>
      <c r="R366" s="10">
        <f>IF($AF366="","",INDEX(파견수련계획!$U$4:$U$83,$AF366))</f>
        <v/>
      </c>
      <c r="S366" s="11">
        <f>IF($AF366="","",IF(INDEX(파견수련계획!$H$4:$H$83,$AF366)="","",INDEX(파견수련계획!$H$4:$H$83,$AF366)))</f>
        <v/>
      </c>
      <c r="T366" s="11">
        <f>IF($AF366="","",IF(INDEX(파견수련계획!$I$4:$I$83,$AF366)="","",INDEX(파견수련계획!$I$4:$I$83,$AF366)))</f>
        <v/>
      </c>
      <c r="U366" s="10">
        <f>IF($AF366="","",INDEX(파견수련계획!$X$4:$X$83,$AF366))</f>
        <v/>
      </c>
      <c r="V366" s="17">
        <f>IF($AF366="","",INDEX(파견수련계획!$V$4:$V$83,$AF366))</f>
        <v/>
      </c>
      <c r="W366" s="17">
        <f>IF(AND($U366="파견중",$T366&lt;&gt;""),$T366-TODAY(),"")</f>
        <v/>
      </c>
      <c r="X366" s="17">
        <f>IF(OR($B366="",TRIM($J366&amp;"")=""),"",SUMPRODUCT((파견수련계획!$Q$4:$Q$83=TRIM($J366&amp;""))*파견수련계획!$W$4:$W$83))</f>
        <v/>
      </c>
      <c r="Y366" s="10">
        <f>IF($B366="","",IF($AG366="","",IF(IF(TRIM($J366&amp;"")="",0,SUMPRODUCT((파견수련계획!$Q$4:$Q$83=TRIM($J366&amp;""))*파견수련계획!$AD$4:$AD$83))&gt;0,$AE366,IF(N($X366)&lt;=0,$AG366,IF($AH366+$AI366=DAY(EOMONTH(요약!$B$3,0)),IF(AND($AH366&gt;=요약!$E$3,$AI366&lt;요약!$E$3),"서울병원",IF(AND($AI366&gt;=요약!$E$3,$AH366&lt;요약!$E$3),"구리병원","⚠15일 판정불가(서울 "&amp;$AH366&amp;"일/구리 "&amp;$AI366&amp;"일)")),IF($AJ366="",$AE366,IF(INDEX(파견수련계획!$T$4:$T$83,$AJ366)="통합수련",INDEX(파견수련계획!$S$4:$S$83,$AJ366),$AE366)))))))</f>
        <v/>
      </c>
      <c r="Z366" s="19">
        <f>IF($B366="","",IF($AB366="","기본자료에 없는 사번",IF(COUNTIF($B$2:$B$401,$B366)&gt;1,"중복 사번",IF($AE366="","소속(입사장소) 입력",IF(IF(TRIM($J366&amp;"")="",0,SUMPRODUCT((파견수련계획!$Q$4:$Q$83=TRIM($J366&amp;""))*(파견수련계획!$AA$4:$AA$83&lt;&gt;"")))&gt;0,"파견수련계획 입력오류 확인",IF(LEFT($Y366,1)="⚠","서울·구리 15일 판정 불가(양쪽 모두 이상/미만)",IF(IF($AC366="",0,N(INDEX(인턴근무계획!$T$3:$T$62,$AC366)))&gt;0,"인턴계획 입력오류 확인",IF(AND($AC366&lt;&gt;"",$U366&lt;&gt;"파견중",$N366&lt;&gt;$AE366),"인턴 타지역 근무: 파견 여부 확인","정상"))))))))</f>
        <v/>
      </c>
      <c r="AA366" s="5" t="n"/>
      <c r="AB366" s="10">
        <f>IF($B366="","",IFERROR(MATCH($B366,기본자료!$B$2:$B$1001,0),IFERROR(MATCH($B366&amp;"",기본자료!$B$2:$B$1001,0),IFERROR(MATCH(VALUE($B366),기본자료!$B$2:$B$1001,0),""))))</f>
        <v/>
      </c>
      <c r="AC366" s="10">
        <f>IF($B366="","",IFERROR(MATCH($B366,인턴근무계획!$D$3:$D$62,0),IFERROR(MATCH($B366&amp;"",인턴근무계획!$D$3:$D$62,0),IFERROR(MATCH(VALUE($B366),인턴근무계획!$D$3:$D$62,0),""))))</f>
        <v/>
      </c>
      <c r="AD366" s="10">
        <f>IF(OR($AC366="",인턴현황!$G$3=""),"",INDEX(인턴근무계획!$M$3:$R$62,$AC366,인턴현황!$G$3)&amp;"")</f>
        <v/>
      </c>
      <c r="AE366" s="10">
        <f>IF($B366="","",IF($M366&lt;&gt;"",$M366,IF($AF366&lt;&gt;"",IF(LEFT(INDEX(파견수련계획!$R$4:$R$83,$AF366),1)&lt;&gt;"⚠",INDEX(파견수련계획!$R$4:$R$83,$AF366),IF($H366="","",IF(RIGHT($H366,2)="병원",$H366,$H366&amp;"병원"))),IF($H366="","",IF(RIGHT($H366,2)="병원",$H366,$H366&amp;"병원")))))</f>
        <v/>
      </c>
      <c r="AF366" s="10">
        <f>IF(OR($B366="",TRIM($J366&amp;"")=""),"",IFERROR(MATCH(TRIM($J366&amp;"")&amp;"|파견중",파견수련계획!$Y$4:$Y$83,0),IFERROR(MATCH(TRIM($J366&amp;"")&amp;"|파견예정",파견수련계획!$Y$4:$Y$83,0),IFERROR(MATCH(TRIM($J366&amp;"")&amp;"|파견종료",파견수련계획!$Y$4:$Y$83,0),""))))</f>
        <v/>
      </c>
      <c r="AG366" s="10">
        <f>IF($B366="","",IF(AND(IF(OR($AC366="",인턴현황!$K$2=""),"",INDEX(인턴근무계획!$M$3:$R$62,$AC366,인턴현황!$K$2)&amp;"")&lt;&gt;"",LEFT(IF(OR($AC366="",인턴현황!$K$2=""),"",INDEX(인턴근무계획!$M$3:$R$62,$AC366,인턴현황!$K$2)&amp;""),1)&lt;&gt;"⚠"),LEFT(IF(OR($AC366="",인턴현황!$K$2=""),"",INDEX(인턴근무계획!$M$3:$R$62,$AC366,인턴현황!$K$2)&amp;""),FIND(" ",IF(OR($AC366="",인턴현황!$K$2=""),"",INDEX(인턴근무계획!$M$3:$R$62,$AC366,인턴현황!$K$2)&amp;""))-1),$AE366))</f>
        <v/>
      </c>
      <c r="AH366" s="17">
        <f>IF($B366="","",IF(TRIM($J366&amp;"")="",0,SUMPRODUCT((파견수련계획!$Q$4:$Q$83=TRIM($J366&amp;""))*(파견수련계획!$S$4:$S$83="서울병원")*파견수련계획!$W$4:$W$83))+IF($AG366="서울병원",MAX(0,DAY(EOMONTH(요약!$B$3,0))-N($X366)),0))</f>
        <v/>
      </c>
      <c r="AI366" s="17">
        <f>IF($B366="","",IF(TRIM($J366&amp;"")="",0,SUMPRODUCT((파견수련계획!$Q$4:$Q$83=TRIM($J366&amp;""))*(파견수련계획!$S$4:$S$83="구리병원")*파견수련계획!$W$4:$W$83))+IF($AG366="구리병원",MAX(0,DAY(EOMONTH(요약!$B$3,0))-N($X366)),0))</f>
        <v/>
      </c>
      <c r="AJ366" s="10">
        <f>IF(OR($B366="",TRIM($J366&amp;"")=""),"",IFERROR(MATCH(TRIM($J366&amp;"")&amp;"|월",파견수련계획!$Z$4:$Z$83,0),""))</f>
        <v/>
      </c>
      <c r="AK366" s="10">
        <f>IF(OR($B366="",TRIM($J366&amp;"")=""),"",IFERROR(MATCH(TRIM($J366&amp;"")&amp;"|다기관",파견수련계획!$AE$4:$AE$83,0),""))</f>
        <v/>
      </c>
      <c r="AL366" s="10">
        <f>IF($AK366="","","다기관 "&amp;TEXT(INDEX(파견수련계획!$AB$4:$AB$83,$AK366),"yyyy-mm-dd")&amp;"~"&amp;IF(ISNUMBER(INDEX(파견수련계획!$AC$4:$AC$83,$AK366)),TEXT(INDEX(파견수련계획!$AC$4:$AC$83,$AK366),"yyyy-mm-dd"),""))</f>
        <v/>
      </c>
    </row>
    <row r="367">
      <c r="A367" s="10">
        <f>IF(B367="","",ROW()-1)</f>
        <v/>
      </c>
      <c r="B367" s="18" t="n"/>
      <c r="C367" s="10">
        <f>IF($AB367="","",IF(INDEX(기본자료!$C$2:$C$1001,$AB367)="","",INDEX(기본자료!$C$2:$C$1001,$AB367)))</f>
        <v/>
      </c>
      <c r="D367" s="10">
        <f>IF($AB367="","",IF(INDEX(기본자료!$J$2:$J$1001,$AB367)="","",INDEX(기본자료!$J$2:$J$1001,$AB367)))</f>
        <v/>
      </c>
      <c r="E367" s="11">
        <f>IF($AB367="","",IF(INDEX(기본자료!$K$2:$K$1001,$AB367)="","",IF(NOT(ISNUMBER(INDEX(기본자료!$K$2:$K$1001,$AB367))),INDEX(기본자료!$K$2:$K$1001,$AB367),IF(INDEX(기본자료!$K$2:$K$1001,$AB367)&lt;1000000,INDEX(기본자료!$K$2:$K$1001,$AB367),IF(AND(INDEX(기본자료!$K$2:$K$1001,$AB367)&gt;=10000101,INT(MOD(INDEX(기본자료!$K$2:$K$1001,$AB367),10000)/100)&gt;=1,INT(MOD(INDEX(기본자료!$K$2:$K$1001,$AB367),10000)/100)&lt;=12,MOD(INDEX(기본자료!$K$2:$K$1001,$AB367),100)&gt;=1,MOD(INDEX(기본자료!$K$2:$K$1001,$AB367),100)&lt;=31),DATE(INT(INDEX(기본자료!$K$2:$K$1001,$AB367)/10000),INT(MOD(INDEX(기본자료!$K$2:$K$1001,$AB367),10000)/100),MOD(INDEX(기본자료!$K$2:$K$1001,$AB367),100)),INDEX(기본자료!$K$2:$K$1001,$AB367)&amp;"")))))</f>
        <v/>
      </c>
      <c r="F367" s="10">
        <f>IF($AB367="","",IF(INDEX(기본자료!$D$2:$D$1001,$AB367)="","",INDEX(기본자료!$D$2:$D$1001,$AB367)))</f>
        <v/>
      </c>
      <c r="G367" s="10">
        <f>IF($AB367="","",IF(INDEX(기본자료!$E$2:$E$1001,$AB367)="","",INDEX(기본자료!$E$2:$E$1001,$AB367)))</f>
        <v/>
      </c>
      <c r="H367" s="10">
        <f>IF($AB367="","",IF(INDEX(기본자료!$F$2:$F$1001,$AB367)="","",INDEX(기본자료!$F$2:$F$1001,$AB367)))</f>
        <v/>
      </c>
      <c r="I367" s="11">
        <f>IF($AB367="","",IF(INDEX(기본자료!$G$2:$G$1001,$AB367)="","",IF(NOT(ISNUMBER(INDEX(기본자료!$G$2:$G$1001,$AB367))),INDEX(기본자료!$G$2:$G$1001,$AB367),IF(INDEX(기본자료!$G$2:$G$1001,$AB367)&lt;1000000,INDEX(기본자료!$G$2:$G$1001,$AB367),IF(AND(INDEX(기본자료!$G$2:$G$1001,$AB367)&gt;=10000101,INT(MOD(INDEX(기본자료!$G$2:$G$1001,$AB367),10000)/100)&gt;=1,INT(MOD(INDEX(기본자료!$G$2:$G$1001,$AB367),10000)/100)&lt;=12,MOD(INDEX(기본자료!$G$2:$G$1001,$AB367),100)&gt;=1,MOD(INDEX(기본자료!$G$2:$G$1001,$AB367),100)&lt;=31),DATE(INT(INDEX(기본자료!$G$2:$G$1001,$AB367)/10000),INT(MOD(INDEX(기본자료!$G$2:$G$1001,$AB367),10000)/100),MOD(INDEX(기본자료!$G$2:$G$1001,$AB367),100)),INDEX(기본자료!$G$2:$G$1001,$AB367)&amp;"")))))</f>
        <v/>
      </c>
      <c r="J367" s="10">
        <f>IF($AB367="","",IF(INDEX(기본자료!$H$2:$H$1001,$AB367)="","",INDEX(기본자료!$H$2:$H$1001,$AB367)))</f>
        <v/>
      </c>
      <c r="K367" s="10">
        <f>IF($AB367="","",IF(INDEX(기본자료!$I$2:$I$1001,$AB367)="","",INDEX(기본자료!$I$2:$I$1001,$AB367)))</f>
        <v/>
      </c>
      <c r="L367" s="10">
        <f>IF($AB367="","",IF(INDEX(기본자료!$A$2:$A$1001,$AB367)="","",INDEX(기본자료!$A$2:$A$1001,$AB367)))</f>
        <v/>
      </c>
      <c r="M367" s="15" t="n"/>
      <c r="N367" s="10">
        <f>IF($B367="","",IF(AND($U367="파견중",$Q367&lt;&gt;""),$Q367,IF(AND($AD367&lt;&gt;"",LEFT($AD367,1)&lt;&gt;"⚠"),LEFT($AD367,FIND(" ",$AD367)-1),IF($H367="","",IF(RIGHT($H367,2)="병원",$H367,$H367&amp;"병원")))))</f>
        <v/>
      </c>
      <c r="O367" s="10">
        <f>IF($B367="","",IF(AND($U367="파견중",$Q367&lt;&gt;""),IF($R367&lt;&gt;"",$R367,"파견과 미입력"),IF(AND($AD367&lt;&gt;"",LEFT($AD367,1)&lt;&gt;"⚠"),MID($AD367,FIND(" ",$AD367)+1,60),IF($F367="","",IF($F367="인턴","수련교육부(인턴)",$F367)))))</f>
        <v/>
      </c>
      <c r="P367" s="10">
        <f>IF($B367="","",IF($AK367&lt;&gt;"",IF(AND(TODAY()&gt;=INDEX(파견수련계획!$AB$4:$AB$83,$AK367),OR(NOT(ISNUMBER(INDEX(파견수련계획!$AC$4:$AC$83,$AK367))),TODAY()&lt;=INDEX(파견수련계획!$AC$4:$AC$83,$AK367))),"다기관",IF($AF367="","",INDEX(파견수련계획!$T$4:$T$83,$AF367))),IF($AF367="","",INDEX(파견수련계획!$T$4:$T$83,$AF367))))</f>
        <v/>
      </c>
      <c r="Q367" s="10">
        <f>IF($AF367="","",INDEX(파견수련계획!$S$4:$S$83,$AF367))</f>
        <v/>
      </c>
      <c r="R367" s="10">
        <f>IF($AF367="","",INDEX(파견수련계획!$U$4:$U$83,$AF367))</f>
        <v/>
      </c>
      <c r="S367" s="11">
        <f>IF($AF367="","",IF(INDEX(파견수련계획!$H$4:$H$83,$AF367)="","",INDEX(파견수련계획!$H$4:$H$83,$AF367)))</f>
        <v/>
      </c>
      <c r="T367" s="11">
        <f>IF($AF367="","",IF(INDEX(파견수련계획!$I$4:$I$83,$AF367)="","",INDEX(파견수련계획!$I$4:$I$83,$AF367)))</f>
        <v/>
      </c>
      <c r="U367" s="10">
        <f>IF($AF367="","",INDEX(파견수련계획!$X$4:$X$83,$AF367))</f>
        <v/>
      </c>
      <c r="V367" s="17">
        <f>IF($AF367="","",INDEX(파견수련계획!$V$4:$V$83,$AF367))</f>
        <v/>
      </c>
      <c r="W367" s="17">
        <f>IF(AND($U367="파견중",$T367&lt;&gt;""),$T367-TODAY(),"")</f>
        <v/>
      </c>
      <c r="X367" s="17">
        <f>IF(OR($B367="",TRIM($J367&amp;"")=""),"",SUMPRODUCT((파견수련계획!$Q$4:$Q$83=TRIM($J367&amp;""))*파견수련계획!$W$4:$W$83))</f>
        <v/>
      </c>
      <c r="Y367" s="10">
        <f>IF($B367="","",IF($AG367="","",IF(IF(TRIM($J367&amp;"")="",0,SUMPRODUCT((파견수련계획!$Q$4:$Q$83=TRIM($J367&amp;""))*파견수련계획!$AD$4:$AD$83))&gt;0,$AE367,IF(N($X367)&lt;=0,$AG367,IF($AH367+$AI367=DAY(EOMONTH(요약!$B$3,0)),IF(AND($AH367&gt;=요약!$E$3,$AI367&lt;요약!$E$3),"서울병원",IF(AND($AI367&gt;=요약!$E$3,$AH367&lt;요약!$E$3),"구리병원","⚠15일 판정불가(서울 "&amp;$AH367&amp;"일/구리 "&amp;$AI367&amp;"일)")),IF($AJ367="",$AE367,IF(INDEX(파견수련계획!$T$4:$T$83,$AJ367)="통합수련",INDEX(파견수련계획!$S$4:$S$83,$AJ367),$AE367)))))))</f>
        <v/>
      </c>
      <c r="Z367" s="19">
        <f>IF($B367="","",IF($AB367="","기본자료에 없는 사번",IF(COUNTIF($B$2:$B$401,$B367)&gt;1,"중복 사번",IF($AE367="","소속(입사장소) 입력",IF(IF(TRIM($J367&amp;"")="",0,SUMPRODUCT((파견수련계획!$Q$4:$Q$83=TRIM($J367&amp;""))*(파견수련계획!$AA$4:$AA$83&lt;&gt;"")))&gt;0,"파견수련계획 입력오류 확인",IF(LEFT($Y367,1)="⚠","서울·구리 15일 판정 불가(양쪽 모두 이상/미만)",IF(IF($AC367="",0,N(INDEX(인턴근무계획!$T$3:$T$62,$AC367)))&gt;0,"인턴계획 입력오류 확인",IF(AND($AC367&lt;&gt;"",$U367&lt;&gt;"파견중",$N367&lt;&gt;$AE367),"인턴 타지역 근무: 파견 여부 확인","정상"))))))))</f>
        <v/>
      </c>
      <c r="AA367" s="5" t="n"/>
      <c r="AB367" s="10">
        <f>IF($B367="","",IFERROR(MATCH($B367,기본자료!$B$2:$B$1001,0),IFERROR(MATCH($B367&amp;"",기본자료!$B$2:$B$1001,0),IFERROR(MATCH(VALUE($B367),기본자료!$B$2:$B$1001,0),""))))</f>
        <v/>
      </c>
      <c r="AC367" s="10">
        <f>IF($B367="","",IFERROR(MATCH($B367,인턴근무계획!$D$3:$D$62,0),IFERROR(MATCH($B367&amp;"",인턴근무계획!$D$3:$D$62,0),IFERROR(MATCH(VALUE($B367),인턴근무계획!$D$3:$D$62,0),""))))</f>
        <v/>
      </c>
      <c r="AD367" s="10">
        <f>IF(OR($AC367="",인턴현황!$G$3=""),"",INDEX(인턴근무계획!$M$3:$R$62,$AC367,인턴현황!$G$3)&amp;"")</f>
        <v/>
      </c>
      <c r="AE367" s="10">
        <f>IF($B367="","",IF($M367&lt;&gt;"",$M367,IF($AF367&lt;&gt;"",IF(LEFT(INDEX(파견수련계획!$R$4:$R$83,$AF367),1)&lt;&gt;"⚠",INDEX(파견수련계획!$R$4:$R$83,$AF367),IF($H367="","",IF(RIGHT($H367,2)="병원",$H367,$H367&amp;"병원"))),IF($H367="","",IF(RIGHT($H367,2)="병원",$H367,$H367&amp;"병원")))))</f>
        <v/>
      </c>
      <c r="AF367" s="10">
        <f>IF(OR($B367="",TRIM($J367&amp;"")=""),"",IFERROR(MATCH(TRIM($J367&amp;"")&amp;"|파견중",파견수련계획!$Y$4:$Y$83,0),IFERROR(MATCH(TRIM($J367&amp;"")&amp;"|파견예정",파견수련계획!$Y$4:$Y$83,0),IFERROR(MATCH(TRIM($J367&amp;"")&amp;"|파견종료",파견수련계획!$Y$4:$Y$83,0),""))))</f>
        <v/>
      </c>
      <c r="AG367" s="10">
        <f>IF($B367="","",IF(AND(IF(OR($AC367="",인턴현황!$K$2=""),"",INDEX(인턴근무계획!$M$3:$R$62,$AC367,인턴현황!$K$2)&amp;"")&lt;&gt;"",LEFT(IF(OR($AC367="",인턴현황!$K$2=""),"",INDEX(인턴근무계획!$M$3:$R$62,$AC367,인턴현황!$K$2)&amp;""),1)&lt;&gt;"⚠"),LEFT(IF(OR($AC367="",인턴현황!$K$2=""),"",INDEX(인턴근무계획!$M$3:$R$62,$AC367,인턴현황!$K$2)&amp;""),FIND(" ",IF(OR($AC367="",인턴현황!$K$2=""),"",INDEX(인턴근무계획!$M$3:$R$62,$AC367,인턴현황!$K$2)&amp;""))-1),$AE367))</f>
        <v/>
      </c>
      <c r="AH367" s="17">
        <f>IF($B367="","",IF(TRIM($J367&amp;"")="",0,SUMPRODUCT((파견수련계획!$Q$4:$Q$83=TRIM($J367&amp;""))*(파견수련계획!$S$4:$S$83="서울병원")*파견수련계획!$W$4:$W$83))+IF($AG367="서울병원",MAX(0,DAY(EOMONTH(요약!$B$3,0))-N($X367)),0))</f>
        <v/>
      </c>
      <c r="AI367" s="17">
        <f>IF($B367="","",IF(TRIM($J367&amp;"")="",0,SUMPRODUCT((파견수련계획!$Q$4:$Q$83=TRIM($J367&amp;""))*(파견수련계획!$S$4:$S$83="구리병원")*파견수련계획!$W$4:$W$83))+IF($AG367="구리병원",MAX(0,DAY(EOMONTH(요약!$B$3,0))-N($X367)),0))</f>
        <v/>
      </c>
      <c r="AJ367" s="10">
        <f>IF(OR($B367="",TRIM($J367&amp;"")=""),"",IFERROR(MATCH(TRIM($J367&amp;"")&amp;"|월",파견수련계획!$Z$4:$Z$83,0),""))</f>
        <v/>
      </c>
      <c r="AK367" s="10">
        <f>IF(OR($B367="",TRIM($J367&amp;"")=""),"",IFERROR(MATCH(TRIM($J367&amp;"")&amp;"|다기관",파견수련계획!$AE$4:$AE$83,0),""))</f>
        <v/>
      </c>
      <c r="AL367" s="10">
        <f>IF($AK367="","","다기관 "&amp;TEXT(INDEX(파견수련계획!$AB$4:$AB$83,$AK367),"yyyy-mm-dd")&amp;"~"&amp;IF(ISNUMBER(INDEX(파견수련계획!$AC$4:$AC$83,$AK367)),TEXT(INDEX(파견수련계획!$AC$4:$AC$83,$AK367),"yyyy-mm-dd"),""))</f>
        <v/>
      </c>
    </row>
    <row r="368">
      <c r="A368" s="10">
        <f>IF(B368="","",ROW()-1)</f>
        <v/>
      </c>
      <c r="B368" s="18" t="n"/>
      <c r="C368" s="10">
        <f>IF($AB368="","",IF(INDEX(기본자료!$C$2:$C$1001,$AB368)="","",INDEX(기본자료!$C$2:$C$1001,$AB368)))</f>
        <v/>
      </c>
      <c r="D368" s="10">
        <f>IF($AB368="","",IF(INDEX(기본자료!$J$2:$J$1001,$AB368)="","",INDEX(기본자료!$J$2:$J$1001,$AB368)))</f>
        <v/>
      </c>
      <c r="E368" s="11">
        <f>IF($AB368="","",IF(INDEX(기본자료!$K$2:$K$1001,$AB368)="","",IF(NOT(ISNUMBER(INDEX(기본자료!$K$2:$K$1001,$AB368))),INDEX(기본자료!$K$2:$K$1001,$AB368),IF(INDEX(기본자료!$K$2:$K$1001,$AB368)&lt;1000000,INDEX(기본자료!$K$2:$K$1001,$AB368),IF(AND(INDEX(기본자료!$K$2:$K$1001,$AB368)&gt;=10000101,INT(MOD(INDEX(기본자료!$K$2:$K$1001,$AB368),10000)/100)&gt;=1,INT(MOD(INDEX(기본자료!$K$2:$K$1001,$AB368),10000)/100)&lt;=12,MOD(INDEX(기본자료!$K$2:$K$1001,$AB368),100)&gt;=1,MOD(INDEX(기본자료!$K$2:$K$1001,$AB368),100)&lt;=31),DATE(INT(INDEX(기본자료!$K$2:$K$1001,$AB368)/10000),INT(MOD(INDEX(기본자료!$K$2:$K$1001,$AB368),10000)/100),MOD(INDEX(기본자료!$K$2:$K$1001,$AB368),100)),INDEX(기본자료!$K$2:$K$1001,$AB368)&amp;"")))))</f>
        <v/>
      </c>
      <c r="F368" s="10">
        <f>IF($AB368="","",IF(INDEX(기본자료!$D$2:$D$1001,$AB368)="","",INDEX(기본자료!$D$2:$D$1001,$AB368)))</f>
        <v/>
      </c>
      <c r="G368" s="10">
        <f>IF($AB368="","",IF(INDEX(기본자료!$E$2:$E$1001,$AB368)="","",INDEX(기본자료!$E$2:$E$1001,$AB368)))</f>
        <v/>
      </c>
      <c r="H368" s="10">
        <f>IF($AB368="","",IF(INDEX(기본자료!$F$2:$F$1001,$AB368)="","",INDEX(기본자료!$F$2:$F$1001,$AB368)))</f>
        <v/>
      </c>
      <c r="I368" s="11">
        <f>IF($AB368="","",IF(INDEX(기본자료!$G$2:$G$1001,$AB368)="","",IF(NOT(ISNUMBER(INDEX(기본자료!$G$2:$G$1001,$AB368))),INDEX(기본자료!$G$2:$G$1001,$AB368),IF(INDEX(기본자료!$G$2:$G$1001,$AB368)&lt;1000000,INDEX(기본자료!$G$2:$G$1001,$AB368),IF(AND(INDEX(기본자료!$G$2:$G$1001,$AB368)&gt;=10000101,INT(MOD(INDEX(기본자료!$G$2:$G$1001,$AB368),10000)/100)&gt;=1,INT(MOD(INDEX(기본자료!$G$2:$G$1001,$AB368),10000)/100)&lt;=12,MOD(INDEX(기본자료!$G$2:$G$1001,$AB368),100)&gt;=1,MOD(INDEX(기본자료!$G$2:$G$1001,$AB368),100)&lt;=31),DATE(INT(INDEX(기본자료!$G$2:$G$1001,$AB368)/10000),INT(MOD(INDEX(기본자료!$G$2:$G$1001,$AB368),10000)/100),MOD(INDEX(기본자료!$G$2:$G$1001,$AB368),100)),INDEX(기본자료!$G$2:$G$1001,$AB368)&amp;"")))))</f>
        <v/>
      </c>
      <c r="J368" s="10">
        <f>IF($AB368="","",IF(INDEX(기본자료!$H$2:$H$1001,$AB368)="","",INDEX(기본자료!$H$2:$H$1001,$AB368)))</f>
        <v/>
      </c>
      <c r="K368" s="10">
        <f>IF($AB368="","",IF(INDEX(기본자료!$I$2:$I$1001,$AB368)="","",INDEX(기본자료!$I$2:$I$1001,$AB368)))</f>
        <v/>
      </c>
      <c r="L368" s="10">
        <f>IF($AB368="","",IF(INDEX(기본자료!$A$2:$A$1001,$AB368)="","",INDEX(기본자료!$A$2:$A$1001,$AB368)))</f>
        <v/>
      </c>
      <c r="M368" s="15" t="n"/>
      <c r="N368" s="10">
        <f>IF($B368="","",IF(AND($U368="파견중",$Q368&lt;&gt;""),$Q368,IF(AND($AD368&lt;&gt;"",LEFT($AD368,1)&lt;&gt;"⚠"),LEFT($AD368,FIND(" ",$AD368)-1),IF($H368="","",IF(RIGHT($H368,2)="병원",$H368,$H368&amp;"병원")))))</f>
        <v/>
      </c>
      <c r="O368" s="10">
        <f>IF($B368="","",IF(AND($U368="파견중",$Q368&lt;&gt;""),IF($R368&lt;&gt;"",$R368,"파견과 미입력"),IF(AND($AD368&lt;&gt;"",LEFT($AD368,1)&lt;&gt;"⚠"),MID($AD368,FIND(" ",$AD368)+1,60),IF($F368="","",IF($F368="인턴","수련교육부(인턴)",$F368)))))</f>
        <v/>
      </c>
      <c r="P368" s="10">
        <f>IF($B368="","",IF($AK368&lt;&gt;"",IF(AND(TODAY()&gt;=INDEX(파견수련계획!$AB$4:$AB$83,$AK368),OR(NOT(ISNUMBER(INDEX(파견수련계획!$AC$4:$AC$83,$AK368))),TODAY()&lt;=INDEX(파견수련계획!$AC$4:$AC$83,$AK368))),"다기관",IF($AF368="","",INDEX(파견수련계획!$T$4:$T$83,$AF368))),IF($AF368="","",INDEX(파견수련계획!$T$4:$T$83,$AF368))))</f>
        <v/>
      </c>
      <c r="Q368" s="10">
        <f>IF($AF368="","",INDEX(파견수련계획!$S$4:$S$83,$AF368))</f>
        <v/>
      </c>
      <c r="R368" s="10">
        <f>IF($AF368="","",INDEX(파견수련계획!$U$4:$U$83,$AF368))</f>
        <v/>
      </c>
      <c r="S368" s="11">
        <f>IF($AF368="","",IF(INDEX(파견수련계획!$H$4:$H$83,$AF368)="","",INDEX(파견수련계획!$H$4:$H$83,$AF368)))</f>
        <v/>
      </c>
      <c r="T368" s="11">
        <f>IF($AF368="","",IF(INDEX(파견수련계획!$I$4:$I$83,$AF368)="","",INDEX(파견수련계획!$I$4:$I$83,$AF368)))</f>
        <v/>
      </c>
      <c r="U368" s="10">
        <f>IF($AF368="","",INDEX(파견수련계획!$X$4:$X$83,$AF368))</f>
        <v/>
      </c>
      <c r="V368" s="17">
        <f>IF($AF368="","",INDEX(파견수련계획!$V$4:$V$83,$AF368))</f>
        <v/>
      </c>
      <c r="W368" s="17">
        <f>IF(AND($U368="파견중",$T368&lt;&gt;""),$T368-TODAY(),"")</f>
        <v/>
      </c>
      <c r="X368" s="17">
        <f>IF(OR($B368="",TRIM($J368&amp;"")=""),"",SUMPRODUCT((파견수련계획!$Q$4:$Q$83=TRIM($J368&amp;""))*파견수련계획!$W$4:$W$83))</f>
        <v/>
      </c>
      <c r="Y368" s="10">
        <f>IF($B368="","",IF($AG368="","",IF(IF(TRIM($J368&amp;"")="",0,SUMPRODUCT((파견수련계획!$Q$4:$Q$83=TRIM($J368&amp;""))*파견수련계획!$AD$4:$AD$83))&gt;0,$AE368,IF(N($X368)&lt;=0,$AG368,IF($AH368+$AI368=DAY(EOMONTH(요약!$B$3,0)),IF(AND($AH368&gt;=요약!$E$3,$AI368&lt;요약!$E$3),"서울병원",IF(AND($AI368&gt;=요약!$E$3,$AH368&lt;요약!$E$3),"구리병원","⚠15일 판정불가(서울 "&amp;$AH368&amp;"일/구리 "&amp;$AI368&amp;"일)")),IF($AJ368="",$AE368,IF(INDEX(파견수련계획!$T$4:$T$83,$AJ368)="통합수련",INDEX(파견수련계획!$S$4:$S$83,$AJ368),$AE368)))))))</f>
        <v/>
      </c>
      <c r="Z368" s="19">
        <f>IF($B368="","",IF($AB368="","기본자료에 없는 사번",IF(COUNTIF($B$2:$B$401,$B368)&gt;1,"중복 사번",IF($AE368="","소속(입사장소) 입력",IF(IF(TRIM($J368&amp;"")="",0,SUMPRODUCT((파견수련계획!$Q$4:$Q$83=TRIM($J368&amp;""))*(파견수련계획!$AA$4:$AA$83&lt;&gt;"")))&gt;0,"파견수련계획 입력오류 확인",IF(LEFT($Y368,1)="⚠","서울·구리 15일 판정 불가(양쪽 모두 이상/미만)",IF(IF($AC368="",0,N(INDEX(인턴근무계획!$T$3:$T$62,$AC368)))&gt;0,"인턴계획 입력오류 확인",IF(AND($AC368&lt;&gt;"",$U368&lt;&gt;"파견중",$N368&lt;&gt;$AE368),"인턴 타지역 근무: 파견 여부 확인","정상"))))))))</f>
        <v/>
      </c>
      <c r="AA368" s="5" t="n"/>
      <c r="AB368" s="10">
        <f>IF($B368="","",IFERROR(MATCH($B368,기본자료!$B$2:$B$1001,0),IFERROR(MATCH($B368&amp;"",기본자료!$B$2:$B$1001,0),IFERROR(MATCH(VALUE($B368),기본자료!$B$2:$B$1001,0),""))))</f>
        <v/>
      </c>
      <c r="AC368" s="10">
        <f>IF($B368="","",IFERROR(MATCH($B368,인턴근무계획!$D$3:$D$62,0),IFERROR(MATCH($B368&amp;"",인턴근무계획!$D$3:$D$62,0),IFERROR(MATCH(VALUE($B368),인턴근무계획!$D$3:$D$62,0),""))))</f>
        <v/>
      </c>
      <c r="AD368" s="10">
        <f>IF(OR($AC368="",인턴현황!$G$3=""),"",INDEX(인턴근무계획!$M$3:$R$62,$AC368,인턴현황!$G$3)&amp;"")</f>
        <v/>
      </c>
      <c r="AE368" s="10">
        <f>IF($B368="","",IF($M368&lt;&gt;"",$M368,IF($AF368&lt;&gt;"",IF(LEFT(INDEX(파견수련계획!$R$4:$R$83,$AF368),1)&lt;&gt;"⚠",INDEX(파견수련계획!$R$4:$R$83,$AF368),IF($H368="","",IF(RIGHT($H368,2)="병원",$H368,$H368&amp;"병원"))),IF($H368="","",IF(RIGHT($H368,2)="병원",$H368,$H368&amp;"병원")))))</f>
        <v/>
      </c>
      <c r="AF368" s="10">
        <f>IF(OR($B368="",TRIM($J368&amp;"")=""),"",IFERROR(MATCH(TRIM($J368&amp;"")&amp;"|파견중",파견수련계획!$Y$4:$Y$83,0),IFERROR(MATCH(TRIM($J368&amp;"")&amp;"|파견예정",파견수련계획!$Y$4:$Y$83,0),IFERROR(MATCH(TRIM($J368&amp;"")&amp;"|파견종료",파견수련계획!$Y$4:$Y$83,0),""))))</f>
        <v/>
      </c>
      <c r="AG368" s="10">
        <f>IF($B368="","",IF(AND(IF(OR($AC368="",인턴현황!$K$2=""),"",INDEX(인턴근무계획!$M$3:$R$62,$AC368,인턴현황!$K$2)&amp;"")&lt;&gt;"",LEFT(IF(OR($AC368="",인턴현황!$K$2=""),"",INDEX(인턴근무계획!$M$3:$R$62,$AC368,인턴현황!$K$2)&amp;""),1)&lt;&gt;"⚠"),LEFT(IF(OR($AC368="",인턴현황!$K$2=""),"",INDEX(인턴근무계획!$M$3:$R$62,$AC368,인턴현황!$K$2)&amp;""),FIND(" ",IF(OR($AC368="",인턴현황!$K$2=""),"",INDEX(인턴근무계획!$M$3:$R$62,$AC368,인턴현황!$K$2)&amp;""))-1),$AE368))</f>
        <v/>
      </c>
      <c r="AH368" s="17">
        <f>IF($B368="","",IF(TRIM($J368&amp;"")="",0,SUMPRODUCT((파견수련계획!$Q$4:$Q$83=TRIM($J368&amp;""))*(파견수련계획!$S$4:$S$83="서울병원")*파견수련계획!$W$4:$W$83))+IF($AG368="서울병원",MAX(0,DAY(EOMONTH(요약!$B$3,0))-N($X368)),0))</f>
        <v/>
      </c>
      <c r="AI368" s="17">
        <f>IF($B368="","",IF(TRIM($J368&amp;"")="",0,SUMPRODUCT((파견수련계획!$Q$4:$Q$83=TRIM($J368&amp;""))*(파견수련계획!$S$4:$S$83="구리병원")*파견수련계획!$W$4:$W$83))+IF($AG368="구리병원",MAX(0,DAY(EOMONTH(요약!$B$3,0))-N($X368)),0))</f>
        <v/>
      </c>
      <c r="AJ368" s="10">
        <f>IF(OR($B368="",TRIM($J368&amp;"")=""),"",IFERROR(MATCH(TRIM($J368&amp;"")&amp;"|월",파견수련계획!$Z$4:$Z$83,0),""))</f>
        <v/>
      </c>
      <c r="AK368" s="10">
        <f>IF(OR($B368="",TRIM($J368&amp;"")=""),"",IFERROR(MATCH(TRIM($J368&amp;"")&amp;"|다기관",파견수련계획!$AE$4:$AE$83,0),""))</f>
        <v/>
      </c>
      <c r="AL368" s="10">
        <f>IF($AK368="","","다기관 "&amp;TEXT(INDEX(파견수련계획!$AB$4:$AB$83,$AK368),"yyyy-mm-dd")&amp;"~"&amp;IF(ISNUMBER(INDEX(파견수련계획!$AC$4:$AC$83,$AK368)),TEXT(INDEX(파견수련계획!$AC$4:$AC$83,$AK368),"yyyy-mm-dd"),""))</f>
        <v/>
      </c>
    </row>
    <row r="369">
      <c r="A369" s="10">
        <f>IF(B369="","",ROW()-1)</f>
        <v/>
      </c>
      <c r="B369" s="18" t="n"/>
      <c r="C369" s="10">
        <f>IF($AB369="","",IF(INDEX(기본자료!$C$2:$C$1001,$AB369)="","",INDEX(기본자료!$C$2:$C$1001,$AB369)))</f>
        <v/>
      </c>
      <c r="D369" s="10">
        <f>IF($AB369="","",IF(INDEX(기본자료!$J$2:$J$1001,$AB369)="","",INDEX(기본자료!$J$2:$J$1001,$AB369)))</f>
        <v/>
      </c>
      <c r="E369" s="11">
        <f>IF($AB369="","",IF(INDEX(기본자료!$K$2:$K$1001,$AB369)="","",IF(NOT(ISNUMBER(INDEX(기본자료!$K$2:$K$1001,$AB369))),INDEX(기본자료!$K$2:$K$1001,$AB369),IF(INDEX(기본자료!$K$2:$K$1001,$AB369)&lt;1000000,INDEX(기본자료!$K$2:$K$1001,$AB369),IF(AND(INDEX(기본자료!$K$2:$K$1001,$AB369)&gt;=10000101,INT(MOD(INDEX(기본자료!$K$2:$K$1001,$AB369),10000)/100)&gt;=1,INT(MOD(INDEX(기본자료!$K$2:$K$1001,$AB369),10000)/100)&lt;=12,MOD(INDEX(기본자료!$K$2:$K$1001,$AB369),100)&gt;=1,MOD(INDEX(기본자료!$K$2:$K$1001,$AB369),100)&lt;=31),DATE(INT(INDEX(기본자료!$K$2:$K$1001,$AB369)/10000),INT(MOD(INDEX(기본자료!$K$2:$K$1001,$AB369),10000)/100),MOD(INDEX(기본자료!$K$2:$K$1001,$AB369),100)),INDEX(기본자료!$K$2:$K$1001,$AB369)&amp;"")))))</f>
        <v/>
      </c>
      <c r="F369" s="10">
        <f>IF($AB369="","",IF(INDEX(기본자료!$D$2:$D$1001,$AB369)="","",INDEX(기본자료!$D$2:$D$1001,$AB369)))</f>
        <v/>
      </c>
      <c r="G369" s="10">
        <f>IF($AB369="","",IF(INDEX(기본자료!$E$2:$E$1001,$AB369)="","",INDEX(기본자료!$E$2:$E$1001,$AB369)))</f>
        <v/>
      </c>
      <c r="H369" s="10">
        <f>IF($AB369="","",IF(INDEX(기본자료!$F$2:$F$1001,$AB369)="","",INDEX(기본자료!$F$2:$F$1001,$AB369)))</f>
        <v/>
      </c>
      <c r="I369" s="11">
        <f>IF($AB369="","",IF(INDEX(기본자료!$G$2:$G$1001,$AB369)="","",IF(NOT(ISNUMBER(INDEX(기본자료!$G$2:$G$1001,$AB369))),INDEX(기본자료!$G$2:$G$1001,$AB369),IF(INDEX(기본자료!$G$2:$G$1001,$AB369)&lt;1000000,INDEX(기본자료!$G$2:$G$1001,$AB369),IF(AND(INDEX(기본자료!$G$2:$G$1001,$AB369)&gt;=10000101,INT(MOD(INDEX(기본자료!$G$2:$G$1001,$AB369),10000)/100)&gt;=1,INT(MOD(INDEX(기본자료!$G$2:$G$1001,$AB369),10000)/100)&lt;=12,MOD(INDEX(기본자료!$G$2:$G$1001,$AB369),100)&gt;=1,MOD(INDEX(기본자료!$G$2:$G$1001,$AB369),100)&lt;=31),DATE(INT(INDEX(기본자료!$G$2:$G$1001,$AB369)/10000),INT(MOD(INDEX(기본자료!$G$2:$G$1001,$AB369),10000)/100),MOD(INDEX(기본자료!$G$2:$G$1001,$AB369),100)),INDEX(기본자료!$G$2:$G$1001,$AB369)&amp;"")))))</f>
        <v/>
      </c>
      <c r="J369" s="10">
        <f>IF($AB369="","",IF(INDEX(기본자료!$H$2:$H$1001,$AB369)="","",INDEX(기본자료!$H$2:$H$1001,$AB369)))</f>
        <v/>
      </c>
      <c r="K369" s="10">
        <f>IF($AB369="","",IF(INDEX(기본자료!$I$2:$I$1001,$AB369)="","",INDEX(기본자료!$I$2:$I$1001,$AB369)))</f>
        <v/>
      </c>
      <c r="L369" s="10">
        <f>IF($AB369="","",IF(INDEX(기본자료!$A$2:$A$1001,$AB369)="","",INDEX(기본자료!$A$2:$A$1001,$AB369)))</f>
        <v/>
      </c>
      <c r="M369" s="15" t="n"/>
      <c r="N369" s="10">
        <f>IF($B369="","",IF(AND($U369="파견중",$Q369&lt;&gt;""),$Q369,IF(AND($AD369&lt;&gt;"",LEFT($AD369,1)&lt;&gt;"⚠"),LEFT($AD369,FIND(" ",$AD369)-1),IF($H369="","",IF(RIGHT($H369,2)="병원",$H369,$H369&amp;"병원")))))</f>
        <v/>
      </c>
      <c r="O369" s="10">
        <f>IF($B369="","",IF(AND($U369="파견중",$Q369&lt;&gt;""),IF($R369&lt;&gt;"",$R369,"파견과 미입력"),IF(AND($AD369&lt;&gt;"",LEFT($AD369,1)&lt;&gt;"⚠"),MID($AD369,FIND(" ",$AD369)+1,60),IF($F369="","",IF($F369="인턴","수련교육부(인턴)",$F369)))))</f>
        <v/>
      </c>
      <c r="P369" s="10">
        <f>IF($B369="","",IF($AK369&lt;&gt;"",IF(AND(TODAY()&gt;=INDEX(파견수련계획!$AB$4:$AB$83,$AK369),OR(NOT(ISNUMBER(INDEX(파견수련계획!$AC$4:$AC$83,$AK369))),TODAY()&lt;=INDEX(파견수련계획!$AC$4:$AC$83,$AK369))),"다기관",IF($AF369="","",INDEX(파견수련계획!$T$4:$T$83,$AF369))),IF($AF369="","",INDEX(파견수련계획!$T$4:$T$83,$AF369))))</f>
        <v/>
      </c>
      <c r="Q369" s="10">
        <f>IF($AF369="","",INDEX(파견수련계획!$S$4:$S$83,$AF369))</f>
        <v/>
      </c>
      <c r="R369" s="10">
        <f>IF($AF369="","",INDEX(파견수련계획!$U$4:$U$83,$AF369))</f>
        <v/>
      </c>
      <c r="S369" s="11">
        <f>IF($AF369="","",IF(INDEX(파견수련계획!$H$4:$H$83,$AF369)="","",INDEX(파견수련계획!$H$4:$H$83,$AF369)))</f>
        <v/>
      </c>
      <c r="T369" s="11">
        <f>IF($AF369="","",IF(INDEX(파견수련계획!$I$4:$I$83,$AF369)="","",INDEX(파견수련계획!$I$4:$I$83,$AF369)))</f>
        <v/>
      </c>
      <c r="U369" s="10">
        <f>IF($AF369="","",INDEX(파견수련계획!$X$4:$X$83,$AF369))</f>
        <v/>
      </c>
      <c r="V369" s="17">
        <f>IF($AF369="","",INDEX(파견수련계획!$V$4:$V$83,$AF369))</f>
        <v/>
      </c>
      <c r="W369" s="17">
        <f>IF(AND($U369="파견중",$T369&lt;&gt;""),$T369-TODAY(),"")</f>
        <v/>
      </c>
      <c r="X369" s="17">
        <f>IF(OR($B369="",TRIM($J369&amp;"")=""),"",SUMPRODUCT((파견수련계획!$Q$4:$Q$83=TRIM($J369&amp;""))*파견수련계획!$W$4:$W$83))</f>
        <v/>
      </c>
      <c r="Y369" s="10">
        <f>IF($B369="","",IF($AG369="","",IF(IF(TRIM($J369&amp;"")="",0,SUMPRODUCT((파견수련계획!$Q$4:$Q$83=TRIM($J369&amp;""))*파견수련계획!$AD$4:$AD$83))&gt;0,$AE369,IF(N($X369)&lt;=0,$AG369,IF($AH369+$AI369=DAY(EOMONTH(요약!$B$3,0)),IF(AND($AH369&gt;=요약!$E$3,$AI369&lt;요약!$E$3),"서울병원",IF(AND($AI369&gt;=요약!$E$3,$AH369&lt;요약!$E$3),"구리병원","⚠15일 판정불가(서울 "&amp;$AH369&amp;"일/구리 "&amp;$AI369&amp;"일)")),IF($AJ369="",$AE369,IF(INDEX(파견수련계획!$T$4:$T$83,$AJ369)="통합수련",INDEX(파견수련계획!$S$4:$S$83,$AJ369),$AE369)))))))</f>
        <v/>
      </c>
      <c r="Z369" s="19">
        <f>IF($B369="","",IF($AB369="","기본자료에 없는 사번",IF(COUNTIF($B$2:$B$401,$B369)&gt;1,"중복 사번",IF($AE369="","소속(입사장소) 입력",IF(IF(TRIM($J369&amp;"")="",0,SUMPRODUCT((파견수련계획!$Q$4:$Q$83=TRIM($J369&amp;""))*(파견수련계획!$AA$4:$AA$83&lt;&gt;"")))&gt;0,"파견수련계획 입력오류 확인",IF(LEFT($Y369,1)="⚠","서울·구리 15일 판정 불가(양쪽 모두 이상/미만)",IF(IF($AC369="",0,N(INDEX(인턴근무계획!$T$3:$T$62,$AC369)))&gt;0,"인턴계획 입력오류 확인",IF(AND($AC369&lt;&gt;"",$U369&lt;&gt;"파견중",$N369&lt;&gt;$AE369),"인턴 타지역 근무: 파견 여부 확인","정상"))))))))</f>
        <v/>
      </c>
      <c r="AA369" s="5" t="n"/>
      <c r="AB369" s="10">
        <f>IF($B369="","",IFERROR(MATCH($B369,기본자료!$B$2:$B$1001,0),IFERROR(MATCH($B369&amp;"",기본자료!$B$2:$B$1001,0),IFERROR(MATCH(VALUE($B369),기본자료!$B$2:$B$1001,0),""))))</f>
        <v/>
      </c>
      <c r="AC369" s="10">
        <f>IF($B369="","",IFERROR(MATCH($B369,인턴근무계획!$D$3:$D$62,0),IFERROR(MATCH($B369&amp;"",인턴근무계획!$D$3:$D$62,0),IFERROR(MATCH(VALUE($B369),인턴근무계획!$D$3:$D$62,0),""))))</f>
        <v/>
      </c>
      <c r="AD369" s="10">
        <f>IF(OR($AC369="",인턴현황!$G$3=""),"",INDEX(인턴근무계획!$M$3:$R$62,$AC369,인턴현황!$G$3)&amp;"")</f>
        <v/>
      </c>
      <c r="AE369" s="10">
        <f>IF($B369="","",IF($M369&lt;&gt;"",$M369,IF($AF369&lt;&gt;"",IF(LEFT(INDEX(파견수련계획!$R$4:$R$83,$AF369),1)&lt;&gt;"⚠",INDEX(파견수련계획!$R$4:$R$83,$AF369),IF($H369="","",IF(RIGHT($H369,2)="병원",$H369,$H369&amp;"병원"))),IF($H369="","",IF(RIGHT($H369,2)="병원",$H369,$H369&amp;"병원")))))</f>
        <v/>
      </c>
      <c r="AF369" s="10">
        <f>IF(OR($B369="",TRIM($J369&amp;"")=""),"",IFERROR(MATCH(TRIM($J369&amp;"")&amp;"|파견중",파견수련계획!$Y$4:$Y$83,0),IFERROR(MATCH(TRIM($J369&amp;"")&amp;"|파견예정",파견수련계획!$Y$4:$Y$83,0),IFERROR(MATCH(TRIM($J369&amp;"")&amp;"|파견종료",파견수련계획!$Y$4:$Y$83,0),""))))</f>
        <v/>
      </c>
      <c r="AG369" s="10">
        <f>IF($B369="","",IF(AND(IF(OR($AC369="",인턴현황!$K$2=""),"",INDEX(인턴근무계획!$M$3:$R$62,$AC369,인턴현황!$K$2)&amp;"")&lt;&gt;"",LEFT(IF(OR($AC369="",인턴현황!$K$2=""),"",INDEX(인턴근무계획!$M$3:$R$62,$AC369,인턴현황!$K$2)&amp;""),1)&lt;&gt;"⚠"),LEFT(IF(OR($AC369="",인턴현황!$K$2=""),"",INDEX(인턴근무계획!$M$3:$R$62,$AC369,인턴현황!$K$2)&amp;""),FIND(" ",IF(OR($AC369="",인턴현황!$K$2=""),"",INDEX(인턴근무계획!$M$3:$R$62,$AC369,인턴현황!$K$2)&amp;""))-1),$AE369))</f>
        <v/>
      </c>
      <c r="AH369" s="17">
        <f>IF($B369="","",IF(TRIM($J369&amp;"")="",0,SUMPRODUCT((파견수련계획!$Q$4:$Q$83=TRIM($J369&amp;""))*(파견수련계획!$S$4:$S$83="서울병원")*파견수련계획!$W$4:$W$83))+IF($AG369="서울병원",MAX(0,DAY(EOMONTH(요약!$B$3,0))-N($X369)),0))</f>
        <v/>
      </c>
      <c r="AI369" s="17">
        <f>IF($B369="","",IF(TRIM($J369&amp;"")="",0,SUMPRODUCT((파견수련계획!$Q$4:$Q$83=TRIM($J369&amp;""))*(파견수련계획!$S$4:$S$83="구리병원")*파견수련계획!$W$4:$W$83))+IF($AG369="구리병원",MAX(0,DAY(EOMONTH(요약!$B$3,0))-N($X369)),0))</f>
        <v/>
      </c>
      <c r="AJ369" s="10">
        <f>IF(OR($B369="",TRIM($J369&amp;"")=""),"",IFERROR(MATCH(TRIM($J369&amp;"")&amp;"|월",파견수련계획!$Z$4:$Z$83,0),""))</f>
        <v/>
      </c>
      <c r="AK369" s="10">
        <f>IF(OR($B369="",TRIM($J369&amp;"")=""),"",IFERROR(MATCH(TRIM($J369&amp;"")&amp;"|다기관",파견수련계획!$AE$4:$AE$83,0),""))</f>
        <v/>
      </c>
      <c r="AL369" s="10">
        <f>IF($AK369="","","다기관 "&amp;TEXT(INDEX(파견수련계획!$AB$4:$AB$83,$AK369),"yyyy-mm-dd")&amp;"~"&amp;IF(ISNUMBER(INDEX(파견수련계획!$AC$4:$AC$83,$AK369)),TEXT(INDEX(파견수련계획!$AC$4:$AC$83,$AK369),"yyyy-mm-dd"),""))</f>
        <v/>
      </c>
    </row>
    <row r="370">
      <c r="A370" s="10">
        <f>IF(B370="","",ROW()-1)</f>
        <v/>
      </c>
      <c r="B370" s="18" t="n"/>
      <c r="C370" s="10">
        <f>IF($AB370="","",IF(INDEX(기본자료!$C$2:$C$1001,$AB370)="","",INDEX(기본자료!$C$2:$C$1001,$AB370)))</f>
        <v/>
      </c>
      <c r="D370" s="10">
        <f>IF($AB370="","",IF(INDEX(기본자료!$J$2:$J$1001,$AB370)="","",INDEX(기본자료!$J$2:$J$1001,$AB370)))</f>
        <v/>
      </c>
      <c r="E370" s="11">
        <f>IF($AB370="","",IF(INDEX(기본자료!$K$2:$K$1001,$AB370)="","",IF(NOT(ISNUMBER(INDEX(기본자료!$K$2:$K$1001,$AB370))),INDEX(기본자료!$K$2:$K$1001,$AB370),IF(INDEX(기본자료!$K$2:$K$1001,$AB370)&lt;1000000,INDEX(기본자료!$K$2:$K$1001,$AB370),IF(AND(INDEX(기본자료!$K$2:$K$1001,$AB370)&gt;=10000101,INT(MOD(INDEX(기본자료!$K$2:$K$1001,$AB370),10000)/100)&gt;=1,INT(MOD(INDEX(기본자료!$K$2:$K$1001,$AB370),10000)/100)&lt;=12,MOD(INDEX(기본자료!$K$2:$K$1001,$AB370),100)&gt;=1,MOD(INDEX(기본자료!$K$2:$K$1001,$AB370),100)&lt;=31),DATE(INT(INDEX(기본자료!$K$2:$K$1001,$AB370)/10000),INT(MOD(INDEX(기본자료!$K$2:$K$1001,$AB370),10000)/100),MOD(INDEX(기본자료!$K$2:$K$1001,$AB370),100)),INDEX(기본자료!$K$2:$K$1001,$AB370)&amp;"")))))</f>
        <v/>
      </c>
      <c r="F370" s="10">
        <f>IF($AB370="","",IF(INDEX(기본자료!$D$2:$D$1001,$AB370)="","",INDEX(기본자료!$D$2:$D$1001,$AB370)))</f>
        <v/>
      </c>
      <c r="G370" s="10">
        <f>IF($AB370="","",IF(INDEX(기본자료!$E$2:$E$1001,$AB370)="","",INDEX(기본자료!$E$2:$E$1001,$AB370)))</f>
        <v/>
      </c>
      <c r="H370" s="10">
        <f>IF($AB370="","",IF(INDEX(기본자료!$F$2:$F$1001,$AB370)="","",INDEX(기본자료!$F$2:$F$1001,$AB370)))</f>
        <v/>
      </c>
      <c r="I370" s="11">
        <f>IF($AB370="","",IF(INDEX(기본자료!$G$2:$G$1001,$AB370)="","",IF(NOT(ISNUMBER(INDEX(기본자료!$G$2:$G$1001,$AB370))),INDEX(기본자료!$G$2:$G$1001,$AB370),IF(INDEX(기본자료!$G$2:$G$1001,$AB370)&lt;1000000,INDEX(기본자료!$G$2:$G$1001,$AB370),IF(AND(INDEX(기본자료!$G$2:$G$1001,$AB370)&gt;=10000101,INT(MOD(INDEX(기본자료!$G$2:$G$1001,$AB370),10000)/100)&gt;=1,INT(MOD(INDEX(기본자료!$G$2:$G$1001,$AB370),10000)/100)&lt;=12,MOD(INDEX(기본자료!$G$2:$G$1001,$AB370),100)&gt;=1,MOD(INDEX(기본자료!$G$2:$G$1001,$AB370),100)&lt;=31),DATE(INT(INDEX(기본자료!$G$2:$G$1001,$AB370)/10000),INT(MOD(INDEX(기본자료!$G$2:$G$1001,$AB370),10000)/100),MOD(INDEX(기본자료!$G$2:$G$1001,$AB370),100)),INDEX(기본자료!$G$2:$G$1001,$AB370)&amp;"")))))</f>
        <v/>
      </c>
      <c r="J370" s="10">
        <f>IF($AB370="","",IF(INDEX(기본자료!$H$2:$H$1001,$AB370)="","",INDEX(기본자료!$H$2:$H$1001,$AB370)))</f>
        <v/>
      </c>
      <c r="K370" s="10">
        <f>IF($AB370="","",IF(INDEX(기본자료!$I$2:$I$1001,$AB370)="","",INDEX(기본자료!$I$2:$I$1001,$AB370)))</f>
        <v/>
      </c>
      <c r="L370" s="10">
        <f>IF($AB370="","",IF(INDEX(기본자료!$A$2:$A$1001,$AB370)="","",INDEX(기본자료!$A$2:$A$1001,$AB370)))</f>
        <v/>
      </c>
      <c r="M370" s="15" t="n"/>
      <c r="N370" s="10">
        <f>IF($B370="","",IF(AND($U370="파견중",$Q370&lt;&gt;""),$Q370,IF(AND($AD370&lt;&gt;"",LEFT($AD370,1)&lt;&gt;"⚠"),LEFT($AD370,FIND(" ",$AD370)-1),IF($H370="","",IF(RIGHT($H370,2)="병원",$H370,$H370&amp;"병원")))))</f>
        <v/>
      </c>
      <c r="O370" s="10">
        <f>IF($B370="","",IF(AND($U370="파견중",$Q370&lt;&gt;""),IF($R370&lt;&gt;"",$R370,"파견과 미입력"),IF(AND($AD370&lt;&gt;"",LEFT($AD370,1)&lt;&gt;"⚠"),MID($AD370,FIND(" ",$AD370)+1,60),IF($F370="","",IF($F370="인턴","수련교육부(인턴)",$F370)))))</f>
        <v/>
      </c>
      <c r="P370" s="10">
        <f>IF($B370="","",IF($AK370&lt;&gt;"",IF(AND(TODAY()&gt;=INDEX(파견수련계획!$AB$4:$AB$83,$AK370),OR(NOT(ISNUMBER(INDEX(파견수련계획!$AC$4:$AC$83,$AK370))),TODAY()&lt;=INDEX(파견수련계획!$AC$4:$AC$83,$AK370))),"다기관",IF($AF370="","",INDEX(파견수련계획!$T$4:$T$83,$AF370))),IF($AF370="","",INDEX(파견수련계획!$T$4:$T$83,$AF370))))</f>
        <v/>
      </c>
      <c r="Q370" s="10">
        <f>IF($AF370="","",INDEX(파견수련계획!$S$4:$S$83,$AF370))</f>
        <v/>
      </c>
      <c r="R370" s="10">
        <f>IF($AF370="","",INDEX(파견수련계획!$U$4:$U$83,$AF370))</f>
        <v/>
      </c>
      <c r="S370" s="11">
        <f>IF($AF370="","",IF(INDEX(파견수련계획!$H$4:$H$83,$AF370)="","",INDEX(파견수련계획!$H$4:$H$83,$AF370)))</f>
        <v/>
      </c>
      <c r="T370" s="11">
        <f>IF($AF370="","",IF(INDEX(파견수련계획!$I$4:$I$83,$AF370)="","",INDEX(파견수련계획!$I$4:$I$83,$AF370)))</f>
        <v/>
      </c>
      <c r="U370" s="10">
        <f>IF($AF370="","",INDEX(파견수련계획!$X$4:$X$83,$AF370))</f>
        <v/>
      </c>
      <c r="V370" s="17">
        <f>IF($AF370="","",INDEX(파견수련계획!$V$4:$V$83,$AF370))</f>
        <v/>
      </c>
      <c r="W370" s="17">
        <f>IF(AND($U370="파견중",$T370&lt;&gt;""),$T370-TODAY(),"")</f>
        <v/>
      </c>
      <c r="X370" s="17">
        <f>IF(OR($B370="",TRIM($J370&amp;"")=""),"",SUMPRODUCT((파견수련계획!$Q$4:$Q$83=TRIM($J370&amp;""))*파견수련계획!$W$4:$W$83))</f>
        <v/>
      </c>
      <c r="Y370" s="10">
        <f>IF($B370="","",IF($AG370="","",IF(IF(TRIM($J370&amp;"")="",0,SUMPRODUCT((파견수련계획!$Q$4:$Q$83=TRIM($J370&amp;""))*파견수련계획!$AD$4:$AD$83))&gt;0,$AE370,IF(N($X370)&lt;=0,$AG370,IF($AH370+$AI370=DAY(EOMONTH(요약!$B$3,0)),IF(AND($AH370&gt;=요약!$E$3,$AI370&lt;요약!$E$3),"서울병원",IF(AND($AI370&gt;=요약!$E$3,$AH370&lt;요약!$E$3),"구리병원","⚠15일 판정불가(서울 "&amp;$AH370&amp;"일/구리 "&amp;$AI370&amp;"일)")),IF($AJ370="",$AE370,IF(INDEX(파견수련계획!$T$4:$T$83,$AJ370)="통합수련",INDEX(파견수련계획!$S$4:$S$83,$AJ370),$AE370)))))))</f>
        <v/>
      </c>
      <c r="Z370" s="19">
        <f>IF($B370="","",IF($AB370="","기본자료에 없는 사번",IF(COUNTIF($B$2:$B$401,$B370)&gt;1,"중복 사번",IF($AE370="","소속(입사장소) 입력",IF(IF(TRIM($J370&amp;"")="",0,SUMPRODUCT((파견수련계획!$Q$4:$Q$83=TRIM($J370&amp;""))*(파견수련계획!$AA$4:$AA$83&lt;&gt;"")))&gt;0,"파견수련계획 입력오류 확인",IF(LEFT($Y370,1)="⚠","서울·구리 15일 판정 불가(양쪽 모두 이상/미만)",IF(IF($AC370="",0,N(INDEX(인턴근무계획!$T$3:$T$62,$AC370)))&gt;0,"인턴계획 입력오류 확인",IF(AND($AC370&lt;&gt;"",$U370&lt;&gt;"파견중",$N370&lt;&gt;$AE370),"인턴 타지역 근무: 파견 여부 확인","정상"))))))))</f>
        <v/>
      </c>
      <c r="AA370" s="5" t="n"/>
      <c r="AB370" s="10">
        <f>IF($B370="","",IFERROR(MATCH($B370,기본자료!$B$2:$B$1001,0),IFERROR(MATCH($B370&amp;"",기본자료!$B$2:$B$1001,0),IFERROR(MATCH(VALUE($B370),기본자료!$B$2:$B$1001,0),""))))</f>
        <v/>
      </c>
      <c r="AC370" s="10">
        <f>IF($B370="","",IFERROR(MATCH($B370,인턴근무계획!$D$3:$D$62,0),IFERROR(MATCH($B370&amp;"",인턴근무계획!$D$3:$D$62,0),IFERROR(MATCH(VALUE($B370),인턴근무계획!$D$3:$D$62,0),""))))</f>
        <v/>
      </c>
      <c r="AD370" s="10">
        <f>IF(OR($AC370="",인턴현황!$G$3=""),"",INDEX(인턴근무계획!$M$3:$R$62,$AC370,인턴현황!$G$3)&amp;"")</f>
        <v/>
      </c>
      <c r="AE370" s="10">
        <f>IF($B370="","",IF($M370&lt;&gt;"",$M370,IF($AF370&lt;&gt;"",IF(LEFT(INDEX(파견수련계획!$R$4:$R$83,$AF370),1)&lt;&gt;"⚠",INDEX(파견수련계획!$R$4:$R$83,$AF370),IF($H370="","",IF(RIGHT($H370,2)="병원",$H370,$H370&amp;"병원"))),IF($H370="","",IF(RIGHT($H370,2)="병원",$H370,$H370&amp;"병원")))))</f>
        <v/>
      </c>
      <c r="AF370" s="10">
        <f>IF(OR($B370="",TRIM($J370&amp;"")=""),"",IFERROR(MATCH(TRIM($J370&amp;"")&amp;"|파견중",파견수련계획!$Y$4:$Y$83,0),IFERROR(MATCH(TRIM($J370&amp;"")&amp;"|파견예정",파견수련계획!$Y$4:$Y$83,0),IFERROR(MATCH(TRIM($J370&amp;"")&amp;"|파견종료",파견수련계획!$Y$4:$Y$83,0),""))))</f>
        <v/>
      </c>
      <c r="AG370" s="10">
        <f>IF($B370="","",IF(AND(IF(OR($AC370="",인턴현황!$K$2=""),"",INDEX(인턴근무계획!$M$3:$R$62,$AC370,인턴현황!$K$2)&amp;"")&lt;&gt;"",LEFT(IF(OR($AC370="",인턴현황!$K$2=""),"",INDEX(인턴근무계획!$M$3:$R$62,$AC370,인턴현황!$K$2)&amp;""),1)&lt;&gt;"⚠"),LEFT(IF(OR($AC370="",인턴현황!$K$2=""),"",INDEX(인턴근무계획!$M$3:$R$62,$AC370,인턴현황!$K$2)&amp;""),FIND(" ",IF(OR($AC370="",인턴현황!$K$2=""),"",INDEX(인턴근무계획!$M$3:$R$62,$AC370,인턴현황!$K$2)&amp;""))-1),$AE370))</f>
        <v/>
      </c>
      <c r="AH370" s="17">
        <f>IF($B370="","",IF(TRIM($J370&amp;"")="",0,SUMPRODUCT((파견수련계획!$Q$4:$Q$83=TRIM($J370&amp;""))*(파견수련계획!$S$4:$S$83="서울병원")*파견수련계획!$W$4:$W$83))+IF($AG370="서울병원",MAX(0,DAY(EOMONTH(요약!$B$3,0))-N($X370)),0))</f>
        <v/>
      </c>
      <c r="AI370" s="17">
        <f>IF($B370="","",IF(TRIM($J370&amp;"")="",0,SUMPRODUCT((파견수련계획!$Q$4:$Q$83=TRIM($J370&amp;""))*(파견수련계획!$S$4:$S$83="구리병원")*파견수련계획!$W$4:$W$83))+IF($AG370="구리병원",MAX(0,DAY(EOMONTH(요약!$B$3,0))-N($X370)),0))</f>
        <v/>
      </c>
      <c r="AJ370" s="10">
        <f>IF(OR($B370="",TRIM($J370&amp;"")=""),"",IFERROR(MATCH(TRIM($J370&amp;"")&amp;"|월",파견수련계획!$Z$4:$Z$83,0),""))</f>
        <v/>
      </c>
      <c r="AK370" s="10">
        <f>IF(OR($B370="",TRIM($J370&amp;"")=""),"",IFERROR(MATCH(TRIM($J370&amp;"")&amp;"|다기관",파견수련계획!$AE$4:$AE$83,0),""))</f>
        <v/>
      </c>
      <c r="AL370" s="10">
        <f>IF($AK370="","","다기관 "&amp;TEXT(INDEX(파견수련계획!$AB$4:$AB$83,$AK370),"yyyy-mm-dd")&amp;"~"&amp;IF(ISNUMBER(INDEX(파견수련계획!$AC$4:$AC$83,$AK370)),TEXT(INDEX(파견수련계획!$AC$4:$AC$83,$AK370),"yyyy-mm-dd"),""))</f>
        <v/>
      </c>
    </row>
    <row r="371">
      <c r="A371" s="10">
        <f>IF(B371="","",ROW()-1)</f>
        <v/>
      </c>
      <c r="B371" s="18" t="n"/>
      <c r="C371" s="10">
        <f>IF($AB371="","",IF(INDEX(기본자료!$C$2:$C$1001,$AB371)="","",INDEX(기본자료!$C$2:$C$1001,$AB371)))</f>
        <v/>
      </c>
      <c r="D371" s="10">
        <f>IF($AB371="","",IF(INDEX(기본자료!$J$2:$J$1001,$AB371)="","",INDEX(기본자료!$J$2:$J$1001,$AB371)))</f>
        <v/>
      </c>
      <c r="E371" s="11">
        <f>IF($AB371="","",IF(INDEX(기본자료!$K$2:$K$1001,$AB371)="","",IF(NOT(ISNUMBER(INDEX(기본자료!$K$2:$K$1001,$AB371))),INDEX(기본자료!$K$2:$K$1001,$AB371),IF(INDEX(기본자료!$K$2:$K$1001,$AB371)&lt;1000000,INDEX(기본자료!$K$2:$K$1001,$AB371),IF(AND(INDEX(기본자료!$K$2:$K$1001,$AB371)&gt;=10000101,INT(MOD(INDEX(기본자료!$K$2:$K$1001,$AB371),10000)/100)&gt;=1,INT(MOD(INDEX(기본자료!$K$2:$K$1001,$AB371),10000)/100)&lt;=12,MOD(INDEX(기본자료!$K$2:$K$1001,$AB371),100)&gt;=1,MOD(INDEX(기본자료!$K$2:$K$1001,$AB371),100)&lt;=31),DATE(INT(INDEX(기본자료!$K$2:$K$1001,$AB371)/10000),INT(MOD(INDEX(기본자료!$K$2:$K$1001,$AB371),10000)/100),MOD(INDEX(기본자료!$K$2:$K$1001,$AB371),100)),INDEX(기본자료!$K$2:$K$1001,$AB371)&amp;"")))))</f>
        <v/>
      </c>
      <c r="F371" s="10">
        <f>IF($AB371="","",IF(INDEX(기본자료!$D$2:$D$1001,$AB371)="","",INDEX(기본자료!$D$2:$D$1001,$AB371)))</f>
        <v/>
      </c>
      <c r="G371" s="10">
        <f>IF($AB371="","",IF(INDEX(기본자료!$E$2:$E$1001,$AB371)="","",INDEX(기본자료!$E$2:$E$1001,$AB371)))</f>
        <v/>
      </c>
      <c r="H371" s="10">
        <f>IF($AB371="","",IF(INDEX(기본자료!$F$2:$F$1001,$AB371)="","",INDEX(기본자료!$F$2:$F$1001,$AB371)))</f>
        <v/>
      </c>
      <c r="I371" s="11">
        <f>IF($AB371="","",IF(INDEX(기본자료!$G$2:$G$1001,$AB371)="","",IF(NOT(ISNUMBER(INDEX(기본자료!$G$2:$G$1001,$AB371))),INDEX(기본자료!$G$2:$G$1001,$AB371),IF(INDEX(기본자료!$G$2:$G$1001,$AB371)&lt;1000000,INDEX(기본자료!$G$2:$G$1001,$AB371),IF(AND(INDEX(기본자료!$G$2:$G$1001,$AB371)&gt;=10000101,INT(MOD(INDEX(기본자료!$G$2:$G$1001,$AB371),10000)/100)&gt;=1,INT(MOD(INDEX(기본자료!$G$2:$G$1001,$AB371),10000)/100)&lt;=12,MOD(INDEX(기본자료!$G$2:$G$1001,$AB371),100)&gt;=1,MOD(INDEX(기본자료!$G$2:$G$1001,$AB371),100)&lt;=31),DATE(INT(INDEX(기본자료!$G$2:$G$1001,$AB371)/10000),INT(MOD(INDEX(기본자료!$G$2:$G$1001,$AB371),10000)/100),MOD(INDEX(기본자료!$G$2:$G$1001,$AB371),100)),INDEX(기본자료!$G$2:$G$1001,$AB371)&amp;"")))))</f>
        <v/>
      </c>
      <c r="J371" s="10">
        <f>IF($AB371="","",IF(INDEX(기본자료!$H$2:$H$1001,$AB371)="","",INDEX(기본자료!$H$2:$H$1001,$AB371)))</f>
        <v/>
      </c>
      <c r="K371" s="10">
        <f>IF($AB371="","",IF(INDEX(기본자료!$I$2:$I$1001,$AB371)="","",INDEX(기본자료!$I$2:$I$1001,$AB371)))</f>
        <v/>
      </c>
      <c r="L371" s="10">
        <f>IF($AB371="","",IF(INDEX(기본자료!$A$2:$A$1001,$AB371)="","",INDEX(기본자료!$A$2:$A$1001,$AB371)))</f>
        <v/>
      </c>
      <c r="M371" s="15" t="n"/>
      <c r="N371" s="10">
        <f>IF($B371="","",IF(AND($U371="파견중",$Q371&lt;&gt;""),$Q371,IF(AND($AD371&lt;&gt;"",LEFT($AD371,1)&lt;&gt;"⚠"),LEFT($AD371,FIND(" ",$AD371)-1),IF($H371="","",IF(RIGHT($H371,2)="병원",$H371,$H371&amp;"병원")))))</f>
        <v/>
      </c>
      <c r="O371" s="10">
        <f>IF($B371="","",IF(AND($U371="파견중",$Q371&lt;&gt;""),IF($R371&lt;&gt;"",$R371,"파견과 미입력"),IF(AND($AD371&lt;&gt;"",LEFT($AD371,1)&lt;&gt;"⚠"),MID($AD371,FIND(" ",$AD371)+1,60),IF($F371="","",IF($F371="인턴","수련교육부(인턴)",$F371)))))</f>
        <v/>
      </c>
      <c r="P371" s="10">
        <f>IF($B371="","",IF($AK371&lt;&gt;"",IF(AND(TODAY()&gt;=INDEX(파견수련계획!$AB$4:$AB$83,$AK371),OR(NOT(ISNUMBER(INDEX(파견수련계획!$AC$4:$AC$83,$AK371))),TODAY()&lt;=INDEX(파견수련계획!$AC$4:$AC$83,$AK371))),"다기관",IF($AF371="","",INDEX(파견수련계획!$T$4:$T$83,$AF371))),IF($AF371="","",INDEX(파견수련계획!$T$4:$T$83,$AF371))))</f>
        <v/>
      </c>
      <c r="Q371" s="10">
        <f>IF($AF371="","",INDEX(파견수련계획!$S$4:$S$83,$AF371))</f>
        <v/>
      </c>
      <c r="R371" s="10">
        <f>IF($AF371="","",INDEX(파견수련계획!$U$4:$U$83,$AF371))</f>
        <v/>
      </c>
      <c r="S371" s="11">
        <f>IF($AF371="","",IF(INDEX(파견수련계획!$H$4:$H$83,$AF371)="","",INDEX(파견수련계획!$H$4:$H$83,$AF371)))</f>
        <v/>
      </c>
      <c r="T371" s="11">
        <f>IF($AF371="","",IF(INDEX(파견수련계획!$I$4:$I$83,$AF371)="","",INDEX(파견수련계획!$I$4:$I$83,$AF371)))</f>
        <v/>
      </c>
      <c r="U371" s="10">
        <f>IF($AF371="","",INDEX(파견수련계획!$X$4:$X$83,$AF371))</f>
        <v/>
      </c>
      <c r="V371" s="17">
        <f>IF($AF371="","",INDEX(파견수련계획!$V$4:$V$83,$AF371))</f>
        <v/>
      </c>
      <c r="W371" s="17">
        <f>IF(AND($U371="파견중",$T371&lt;&gt;""),$T371-TODAY(),"")</f>
        <v/>
      </c>
      <c r="X371" s="17">
        <f>IF(OR($B371="",TRIM($J371&amp;"")=""),"",SUMPRODUCT((파견수련계획!$Q$4:$Q$83=TRIM($J371&amp;""))*파견수련계획!$W$4:$W$83))</f>
        <v/>
      </c>
      <c r="Y371" s="10">
        <f>IF($B371="","",IF($AG371="","",IF(IF(TRIM($J371&amp;"")="",0,SUMPRODUCT((파견수련계획!$Q$4:$Q$83=TRIM($J371&amp;""))*파견수련계획!$AD$4:$AD$83))&gt;0,$AE371,IF(N($X371)&lt;=0,$AG371,IF($AH371+$AI371=DAY(EOMONTH(요약!$B$3,0)),IF(AND($AH371&gt;=요약!$E$3,$AI371&lt;요약!$E$3),"서울병원",IF(AND($AI371&gt;=요약!$E$3,$AH371&lt;요약!$E$3),"구리병원","⚠15일 판정불가(서울 "&amp;$AH371&amp;"일/구리 "&amp;$AI371&amp;"일)")),IF($AJ371="",$AE371,IF(INDEX(파견수련계획!$T$4:$T$83,$AJ371)="통합수련",INDEX(파견수련계획!$S$4:$S$83,$AJ371),$AE371)))))))</f>
        <v/>
      </c>
      <c r="Z371" s="19">
        <f>IF($B371="","",IF($AB371="","기본자료에 없는 사번",IF(COUNTIF($B$2:$B$401,$B371)&gt;1,"중복 사번",IF($AE371="","소속(입사장소) 입력",IF(IF(TRIM($J371&amp;"")="",0,SUMPRODUCT((파견수련계획!$Q$4:$Q$83=TRIM($J371&amp;""))*(파견수련계획!$AA$4:$AA$83&lt;&gt;"")))&gt;0,"파견수련계획 입력오류 확인",IF(LEFT($Y371,1)="⚠","서울·구리 15일 판정 불가(양쪽 모두 이상/미만)",IF(IF($AC371="",0,N(INDEX(인턴근무계획!$T$3:$T$62,$AC371)))&gt;0,"인턴계획 입력오류 확인",IF(AND($AC371&lt;&gt;"",$U371&lt;&gt;"파견중",$N371&lt;&gt;$AE371),"인턴 타지역 근무: 파견 여부 확인","정상"))))))))</f>
        <v/>
      </c>
      <c r="AA371" s="5" t="n"/>
      <c r="AB371" s="10">
        <f>IF($B371="","",IFERROR(MATCH($B371,기본자료!$B$2:$B$1001,0),IFERROR(MATCH($B371&amp;"",기본자료!$B$2:$B$1001,0),IFERROR(MATCH(VALUE($B371),기본자료!$B$2:$B$1001,0),""))))</f>
        <v/>
      </c>
      <c r="AC371" s="10">
        <f>IF($B371="","",IFERROR(MATCH($B371,인턴근무계획!$D$3:$D$62,0),IFERROR(MATCH($B371&amp;"",인턴근무계획!$D$3:$D$62,0),IFERROR(MATCH(VALUE($B371),인턴근무계획!$D$3:$D$62,0),""))))</f>
        <v/>
      </c>
      <c r="AD371" s="10">
        <f>IF(OR($AC371="",인턴현황!$G$3=""),"",INDEX(인턴근무계획!$M$3:$R$62,$AC371,인턴현황!$G$3)&amp;"")</f>
        <v/>
      </c>
      <c r="AE371" s="10">
        <f>IF($B371="","",IF($M371&lt;&gt;"",$M371,IF($AF371&lt;&gt;"",IF(LEFT(INDEX(파견수련계획!$R$4:$R$83,$AF371),1)&lt;&gt;"⚠",INDEX(파견수련계획!$R$4:$R$83,$AF371),IF($H371="","",IF(RIGHT($H371,2)="병원",$H371,$H371&amp;"병원"))),IF($H371="","",IF(RIGHT($H371,2)="병원",$H371,$H371&amp;"병원")))))</f>
        <v/>
      </c>
      <c r="AF371" s="10">
        <f>IF(OR($B371="",TRIM($J371&amp;"")=""),"",IFERROR(MATCH(TRIM($J371&amp;"")&amp;"|파견중",파견수련계획!$Y$4:$Y$83,0),IFERROR(MATCH(TRIM($J371&amp;"")&amp;"|파견예정",파견수련계획!$Y$4:$Y$83,0),IFERROR(MATCH(TRIM($J371&amp;"")&amp;"|파견종료",파견수련계획!$Y$4:$Y$83,0),""))))</f>
        <v/>
      </c>
      <c r="AG371" s="10">
        <f>IF($B371="","",IF(AND(IF(OR($AC371="",인턴현황!$K$2=""),"",INDEX(인턴근무계획!$M$3:$R$62,$AC371,인턴현황!$K$2)&amp;"")&lt;&gt;"",LEFT(IF(OR($AC371="",인턴현황!$K$2=""),"",INDEX(인턴근무계획!$M$3:$R$62,$AC371,인턴현황!$K$2)&amp;""),1)&lt;&gt;"⚠"),LEFT(IF(OR($AC371="",인턴현황!$K$2=""),"",INDEX(인턴근무계획!$M$3:$R$62,$AC371,인턴현황!$K$2)&amp;""),FIND(" ",IF(OR($AC371="",인턴현황!$K$2=""),"",INDEX(인턴근무계획!$M$3:$R$62,$AC371,인턴현황!$K$2)&amp;""))-1),$AE371))</f>
        <v/>
      </c>
      <c r="AH371" s="17">
        <f>IF($B371="","",IF(TRIM($J371&amp;"")="",0,SUMPRODUCT((파견수련계획!$Q$4:$Q$83=TRIM($J371&amp;""))*(파견수련계획!$S$4:$S$83="서울병원")*파견수련계획!$W$4:$W$83))+IF($AG371="서울병원",MAX(0,DAY(EOMONTH(요약!$B$3,0))-N($X371)),0))</f>
        <v/>
      </c>
      <c r="AI371" s="17">
        <f>IF($B371="","",IF(TRIM($J371&amp;"")="",0,SUMPRODUCT((파견수련계획!$Q$4:$Q$83=TRIM($J371&amp;""))*(파견수련계획!$S$4:$S$83="구리병원")*파견수련계획!$W$4:$W$83))+IF($AG371="구리병원",MAX(0,DAY(EOMONTH(요약!$B$3,0))-N($X371)),0))</f>
        <v/>
      </c>
      <c r="AJ371" s="10">
        <f>IF(OR($B371="",TRIM($J371&amp;"")=""),"",IFERROR(MATCH(TRIM($J371&amp;"")&amp;"|월",파견수련계획!$Z$4:$Z$83,0),""))</f>
        <v/>
      </c>
      <c r="AK371" s="10">
        <f>IF(OR($B371="",TRIM($J371&amp;"")=""),"",IFERROR(MATCH(TRIM($J371&amp;"")&amp;"|다기관",파견수련계획!$AE$4:$AE$83,0),""))</f>
        <v/>
      </c>
      <c r="AL371" s="10">
        <f>IF($AK371="","","다기관 "&amp;TEXT(INDEX(파견수련계획!$AB$4:$AB$83,$AK371),"yyyy-mm-dd")&amp;"~"&amp;IF(ISNUMBER(INDEX(파견수련계획!$AC$4:$AC$83,$AK371)),TEXT(INDEX(파견수련계획!$AC$4:$AC$83,$AK371),"yyyy-mm-dd"),""))</f>
        <v/>
      </c>
    </row>
    <row r="372">
      <c r="A372" s="10">
        <f>IF(B372="","",ROW()-1)</f>
        <v/>
      </c>
      <c r="B372" s="18" t="n"/>
      <c r="C372" s="10">
        <f>IF($AB372="","",IF(INDEX(기본자료!$C$2:$C$1001,$AB372)="","",INDEX(기본자료!$C$2:$C$1001,$AB372)))</f>
        <v/>
      </c>
      <c r="D372" s="10">
        <f>IF($AB372="","",IF(INDEX(기본자료!$J$2:$J$1001,$AB372)="","",INDEX(기본자료!$J$2:$J$1001,$AB372)))</f>
        <v/>
      </c>
      <c r="E372" s="11">
        <f>IF($AB372="","",IF(INDEX(기본자료!$K$2:$K$1001,$AB372)="","",IF(NOT(ISNUMBER(INDEX(기본자료!$K$2:$K$1001,$AB372))),INDEX(기본자료!$K$2:$K$1001,$AB372),IF(INDEX(기본자료!$K$2:$K$1001,$AB372)&lt;1000000,INDEX(기본자료!$K$2:$K$1001,$AB372),IF(AND(INDEX(기본자료!$K$2:$K$1001,$AB372)&gt;=10000101,INT(MOD(INDEX(기본자료!$K$2:$K$1001,$AB372),10000)/100)&gt;=1,INT(MOD(INDEX(기본자료!$K$2:$K$1001,$AB372),10000)/100)&lt;=12,MOD(INDEX(기본자료!$K$2:$K$1001,$AB372),100)&gt;=1,MOD(INDEX(기본자료!$K$2:$K$1001,$AB372),100)&lt;=31),DATE(INT(INDEX(기본자료!$K$2:$K$1001,$AB372)/10000),INT(MOD(INDEX(기본자료!$K$2:$K$1001,$AB372),10000)/100),MOD(INDEX(기본자료!$K$2:$K$1001,$AB372),100)),INDEX(기본자료!$K$2:$K$1001,$AB372)&amp;"")))))</f>
        <v/>
      </c>
      <c r="F372" s="10">
        <f>IF($AB372="","",IF(INDEX(기본자료!$D$2:$D$1001,$AB372)="","",INDEX(기본자료!$D$2:$D$1001,$AB372)))</f>
        <v/>
      </c>
      <c r="G372" s="10">
        <f>IF($AB372="","",IF(INDEX(기본자료!$E$2:$E$1001,$AB372)="","",INDEX(기본자료!$E$2:$E$1001,$AB372)))</f>
        <v/>
      </c>
      <c r="H372" s="10">
        <f>IF($AB372="","",IF(INDEX(기본자료!$F$2:$F$1001,$AB372)="","",INDEX(기본자료!$F$2:$F$1001,$AB372)))</f>
        <v/>
      </c>
      <c r="I372" s="11">
        <f>IF($AB372="","",IF(INDEX(기본자료!$G$2:$G$1001,$AB372)="","",IF(NOT(ISNUMBER(INDEX(기본자료!$G$2:$G$1001,$AB372))),INDEX(기본자료!$G$2:$G$1001,$AB372),IF(INDEX(기본자료!$G$2:$G$1001,$AB372)&lt;1000000,INDEX(기본자료!$G$2:$G$1001,$AB372),IF(AND(INDEX(기본자료!$G$2:$G$1001,$AB372)&gt;=10000101,INT(MOD(INDEX(기본자료!$G$2:$G$1001,$AB372),10000)/100)&gt;=1,INT(MOD(INDEX(기본자료!$G$2:$G$1001,$AB372),10000)/100)&lt;=12,MOD(INDEX(기본자료!$G$2:$G$1001,$AB372),100)&gt;=1,MOD(INDEX(기본자료!$G$2:$G$1001,$AB372),100)&lt;=31),DATE(INT(INDEX(기본자료!$G$2:$G$1001,$AB372)/10000),INT(MOD(INDEX(기본자료!$G$2:$G$1001,$AB372),10000)/100),MOD(INDEX(기본자료!$G$2:$G$1001,$AB372),100)),INDEX(기본자료!$G$2:$G$1001,$AB372)&amp;"")))))</f>
        <v/>
      </c>
      <c r="J372" s="10">
        <f>IF($AB372="","",IF(INDEX(기본자료!$H$2:$H$1001,$AB372)="","",INDEX(기본자료!$H$2:$H$1001,$AB372)))</f>
        <v/>
      </c>
      <c r="K372" s="10">
        <f>IF($AB372="","",IF(INDEX(기본자료!$I$2:$I$1001,$AB372)="","",INDEX(기본자료!$I$2:$I$1001,$AB372)))</f>
        <v/>
      </c>
      <c r="L372" s="10">
        <f>IF($AB372="","",IF(INDEX(기본자료!$A$2:$A$1001,$AB372)="","",INDEX(기본자료!$A$2:$A$1001,$AB372)))</f>
        <v/>
      </c>
      <c r="M372" s="15" t="n"/>
      <c r="N372" s="10">
        <f>IF($B372="","",IF(AND($U372="파견중",$Q372&lt;&gt;""),$Q372,IF(AND($AD372&lt;&gt;"",LEFT($AD372,1)&lt;&gt;"⚠"),LEFT($AD372,FIND(" ",$AD372)-1),IF($H372="","",IF(RIGHT($H372,2)="병원",$H372,$H372&amp;"병원")))))</f>
        <v/>
      </c>
      <c r="O372" s="10">
        <f>IF($B372="","",IF(AND($U372="파견중",$Q372&lt;&gt;""),IF($R372&lt;&gt;"",$R372,"파견과 미입력"),IF(AND($AD372&lt;&gt;"",LEFT($AD372,1)&lt;&gt;"⚠"),MID($AD372,FIND(" ",$AD372)+1,60),IF($F372="","",IF($F372="인턴","수련교육부(인턴)",$F372)))))</f>
        <v/>
      </c>
      <c r="P372" s="10">
        <f>IF($B372="","",IF($AK372&lt;&gt;"",IF(AND(TODAY()&gt;=INDEX(파견수련계획!$AB$4:$AB$83,$AK372),OR(NOT(ISNUMBER(INDEX(파견수련계획!$AC$4:$AC$83,$AK372))),TODAY()&lt;=INDEX(파견수련계획!$AC$4:$AC$83,$AK372))),"다기관",IF($AF372="","",INDEX(파견수련계획!$T$4:$T$83,$AF372))),IF($AF372="","",INDEX(파견수련계획!$T$4:$T$83,$AF372))))</f>
        <v/>
      </c>
      <c r="Q372" s="10">
        <f>IF($AF372="","",INDEX(파견수련계획!$S$4:$S$83,$AF372))</f>
        <v/>
      </c>
      <c r="R372" s="10">
        <f>IF($AF372="","",INDEX(파견수련계획!$U$4:$U$83,$AF372))</f>
        <v/>
      </c>
      <c r="S372" s="11">
        <f>IF($AF372="","",IF(INDEX(파견수련계획!$H$4:$H$83,$AF372)="","",INDEX(파견수련계획!$H$4:$H$83,$AF372)))</f>
        <v/>
      </c>
      <c r="T372" s="11">
        <f>IF($AF372="","",IF(INDEX(파견수련계획!$I$4:$I$83,$AF372)="","",INDEX(파견수련계획!$I$4:$I$83,$AF372)))</f>
        <v/>
      </c>
      <c r="U372" s="10">
        <f>IF($AF372="","",INDEX(파견수련계획!$X$4:$X$83,$AF372))</f>
        <v/>
      </c>
      <c r="V372" s="17">
        <f>IF($AF372="","",INDEX(파견수련계획!$V$4:$V$83,$AF372))</f>
        <v/>
      </c>
      <c r="W372" s="17">
        <f>IF(AND($U372="파견중",$T372&lt;&gt;""),$T372-TODAY(),"")</f>
        <v/>
      </c>
      <c r="X372" s="17">
        <f>IF(OR($B372="",TRIM($J372&amp;"")=""),"",SUMPRODUCT((파견수련계획!$Q$4:$Q$83=TRIM($J372&amp;""))*파견수련계획!$W$4:$W$83))</f>
        <v/>
      </c>
      <c r="Y372" s="10">
        <f>IF($B372="","",IF($AG372="","",IF(IF(TRIM($J372&amp;"")="",0,SUMPRODUCT((파견수련계획!$Q$4:$Q$83=TRIM($J372&amp;""))*파견수련계획!$AD$4:$AD$83))&gt;0,$AE372,IF(N($X372)&lt;=0,$AG372,IF($AH372+$AI372=DAY(EOMONTH(요약!$B$3,0)),IF(AND($AH372&gt;=요약!$E$3,$AI372&lt;요약!$E$3),"서울병원",IF(AND($AI372&gt;=요약!$E$3,$AH372&lt;요약!$E$3),"구리병원","⚠15일 판정불가(서울 "&amp;$AH372&amp;"일/구리 "&amp;$AI372&amp;"일)")),IF($AJ372="",$AE372,IF(INDEX(파견수련계획!$T$4:$T$83,$AJ372)="통합수련",INDEX(파견수련계획!$S$4:$S$83,$AJ372),$AE372)))))))</f>
        <v/>
      </c>
      <c r="Z372" s="19">
        <f>IF($B372="","",IF($AB372="","기본자료에 없는 사번",IF(COUNTIF($B$2:$B$401,$B372)&gt;1,"중복 사번",IF($AE372="","소속(입사장소) 입력",IF(IF(TRIM($J372&amp;"")="",0,SUMPRODUCT((파견수련계획!$Q$4:$Q$83=TRIM($J372&amp;""))*(파견수련계획!$AA$4:$AA$83&lt;&gt;"")))&gt;0,"파견수련계획 입력오류 확인",IF(LEFT($Y372,1)="⚠","서울·구리 15일 판정 불가(양쪽 모두 이상/미만)",IF(IF($AC372="",0,N(INDEX(인턴근무계획!$T$3:$T$62,$AC372)))&gt;0,"인턴계획 입력오류 확인",IF(AND($AC372&lt;&gt;"",$U372&lt;&gt;"파견중",$N372&lt;&gt;$AE372),"인턴 타지역 근무: 파견 여부 확인","정상"))))))))</f>
        <v/>
      </c>
      <c r="AA372" s="5" t="n"/>
      <c r="AB372" s="10">
        <f>IF($B372="","",IFERROR(MATCH($B372,기본자료!$B$2:$B$1001,0),IFERROR(MATCH($B372&amp;"",기본자료!$B$2:$B$1001,0),IFERROR(MATCH(VALUE($B372),기본자료!$B$2:$B$1001,0),""))))</f>
        <v/>
      </c>
      <c r="AC372" s="10">
        <f>IF($B372="","",IFERROR(MATCH($B372,인턴근무계획!$D$3:$D$62,0),IFERROR(MATCH($B372&amp;"",인턴근무계획!$D$3:$D$62,0),IFERROR(MATCH(VALUE($B372),인턴근무계획!$D$3:$D$62,0),""))))</f>
        <v/>
      </c>
      <c r="AD372" s="10">
        <f>IF(OR($AC372="",인턴현황!$G$3=""),"",INDEX(인턴근무계획!$M$3:$R$62,$AC372,인턴현황!$G$3)&amp;"")</f>
        <v/>
      </c>
      <c r="AE372" s="10">
        <f>IF($B372="","",IF($M372&lt;&gt;"",$M372,IF($AF372&lt;&gt;"",IF(LEFT(INDEX(파견수련계획!$R$4:$R$83,$AF372),1)&lt;&gt;"⚠",INDEX(파견수련계획!$R$4:$R$83,$AF372),IF($H372="","",IF(RIGHT($H372,2)="병원",$H372,$H372&amp;"병원"))),IF($H372="","",IF(RIGHT($H372,2)="병원",$H372,$H372&amp;"병원")))))</f>
        <v/>
      </c>
      <c r="AF372" s="10">
        <f>IF(OR($B372="",TRIM($J372&amp;"")=""),"",IFERROR(MATCH(TRIM($J372&amp;"")&amp;"|파견중",파견수련계획!$Y$4:$Y$83,0),IFERROR(MATCH(TRIM($J372&amp;"")&amp;"|파견예정",파견수련계획!$Y$4:$Y$83,0),IFERROR(MATCH(TRIM($J372&amp;"")&amp;"|파견종료",파견수련계획!$Y$4:$Y$83,0),""))))</f>
        <v/>
      </c>
      <c r="AG372" s="10">
        <f>IF($B372="","",IF(AND(IF(OR($AC372="",인턴현황!$K$2=""),"",INDEX(인턴근무계획!$M$3:$R$62,$AC372,인턴현황!$K$2)&amp;"")&lt;&gt;"",LEFT(IF(OR($AC372="",인턴현황!$K$2=""),"",INDEX(인턴근무계획!$M$3:$R$62,$AC372,인턴현황!$K$2)&amp;""),1)&lt;&gt;"⚠"),LEFT(IF(OR($AC372="",인턴현황!$K$2=""),"",INDEX(인턴근무계획!$M$3:$R$62,$AC372,인턴현황!$K$2)&amp;""),FIND(" ",IF(OR($AC372="",인턴현황!$K$2=""),"",INDEX(인턴근무계획!$M$3:$R$62,$AC372,인턴현황!$K$2)&amp;""))-1),$AE372))</f>
        <v/>
      </c>
      <c r="AH372" s="17">
        <f>IF($B372="","",IF(TRIM($J372&amp;"")="",0,SUMPRODUCT((파견수련계획!$Q$4:$Q$83=TRIM($J372&amp;""))*(파견수련계획!$S$4:$S$83="서울병원")*파견수련계획!$W$4:$W$83))+IF($AG372="서울병원",MAX(0,DAY(EOMONTH(요약!$B$3,0))-N($X372)),0))</f>
        <v/>
      </c>
      <c r="AI372" s="17">
        <f>IF($B372="","",IF(TRIM($J372&amp;"")="",0,SUMPRODUCT((파견수련계획!$Q$4:$Q$83=TRIM($J372&amp;""))*(파견수련계획!$S$4:$S$83="구리병원")*파견수련계획!$W$4:$W$83))+IF($AG372="구리병원",MAX(0,DAY(EOMONTH(요약!$B$3,0))-N($X372)),0))</f>
        <v/>
      </c>
      <c r="AJ372" s="10">
        <f>IF(OR($B372="",TRIM($J372&amp;"")=""),"",IFERROR(MATCH(TRIM($J372&amp;"")&amp;"|월",파견수련계획!$Z$4:$Z$83,0),""))</f>
        <v/>
      </c>
      <c r="AK372" s="10">
        <f>IF(OR($B372="",TRIM($J372&amp;"")=""),"",IFERROR(MATCH(TRIM($J372&amp;"")&amp;"|다기관",파견수련계획!$AE$4:$AE$83,0),""))</f>
        <v/>
      </c>
      <c r="AL372" s="10">
        <f>IF($AK372="","","다기관 "&amp;TEXT(INDEX(파견수련계획!$AB$4:$AB$83,$AK372),"yyyy-mm-dd")&amp;"~"&amp;IF(ISNUMBER(INDEX(파견수련계획!$AC$4:$AC$83,$AK372)),TEXT(INDEX(파견수련계획!$AC$4:$AC$83,$AK372),"yyyy-mm-dd"),""))</f>
        <v/>
      </c>
    </row>
    <row r="373">
      <c r="A373" s="10">
        <f>IF(B373="","",ROW()-1)</f>
        <v/>
      </c>
      <c r="B373" s="18" t="n"/>
      <c r="C373" s="10">
        <f>IF($AB373="","",IF(INDEX(기본자료!$C$2:$C$1001,$AB373)="","",INDEX(기본자료!$C$2:$C$1001,$AB373)))</f>
        <v/>
      </c>
      <c r="D373" s="10">
        <f>IF($AB373="","",IF(INDEX(기본자료!$J$2:$J$1001,$AB373)="","",INDEX(기본자료!$J$2:$J$1001,$AB373)))</f>
        <v/>
      </c>
      <c r="E373" s="11">
        <f>IF($AB373="","",IF(INDEX(기본자료!$K$2:$K$1001,$AB373)="","",IF(NOT(ISNUMBER(INDEX(기본자료!$K$2:$K$1001,$AB373))),INDEX(기본자료!$K$2:$K$1001,$AB373),IF(INDEX(기본자료!$K$2:$K$1001,$AB373)&lt;1000000,INDEX(기본자료!$K$2:$K$1001,$AB373),IF(AND(INDEX(기본자료!$K$2:$K$1001,$AB373)&gt;=10000101,INT(MOD(INDEX(기본자료!$K$2:$K$1001,$AB373),10000)/100)&gt;=1,INT(MOD(INDEX(기본자료!$K$2:$K$1001,$AB373),10000)/100)&lt;=12,MOD(INDEX(기본자료!$K$2:$K$1001,$AB373),100)&gt;=1,MOD(INDEX(기본자료!$K$2:$K$1001,$AB373),100)&lt;=31),DATE(INT(INDEX(기본자료!$K$2:$K$1001,$AB373)/10000),INT(MOD(INDEX(기본자료!$K$2:$K$1001,$AB373),10000)/100),MOD(INDEX(기본자료!$K$2:$K$1001,$AB373),100)),INDEX(기본자료!$K$2:$K$1001,$AB373)&amp;"")))))</f>
        <v/>
      </c>
      <c r="F373" s="10">
        <f>IF($AB373="","",IF(INDEX(기본자료!$D$2:$D$1001,$AB373)="","",INDEX(기본자료!$D$2:$D$1001,$AB373)))</f>
        <v/>
      </c>
      <c r="G373" s="10">
        <f>IF($AB373="","",IF(INDEX(기본자료!$E$2:$E$1001,$AB373)="","",INDEX(기본자료!$E$2:$E$1001,$AB373)))</f>
        <v/>
      </c>
      <c r="H373" s="10">
        <f>IF($AB373="","",IF(INDEX(기본자료!$F$2:$F$1001,$AB373)="","",INDEX(기본자료!$F$2:$F$1001,$AB373)))</f>
        <v/>
      </c>
      <c r="I373" s="11">
        <f>IF($AB373="","",IF(INDEX(기본자료!$G$2:$G$1001,$AB373)="","",IF(NOT(ISNUMBER(INDEX(기본자료!$G$2:$G$1001,$AB373))),INDEX(기본자료!$G$2:$G$1001,$AB373),IF(INDEX(기본자료!$G$2:$G$1001,$AB373)&lt;1000000,INDEX(기본자료!$G$2:$G$1001,$AB373),IF(AND(INDEX(기본자료!$G$2:$G$1001,$AB373)&gt;=10000101,INT(MOD(INDEX(기본자료!$G$2:$G$1001,$AB373),10000)/100)&gt;=1,INT(MOD(INDEX(기본자료!$G$2:$G$1001,$AB373),10000)/100)&lt;=12,MOD(INDEX(기본자료!$G$2:$G$1001,$AB373),100)&gt;=1,MOD(INDEX(기본자료!$G$2:$G$1001,$AB373),100)&lt;=31),DATE(INT(INDEX(기본자료!$G$2:$G$1001,$AB373)/10000),INT(MOD(INDEX(기본자료!$G$2:$G$1001,$AB373),10000)/100),MOD(INDEX(기본자료!$G$2:$G$1001,$AB373),100)),INDEX(기본자료!$G$2:$G$1001,$AB373)&amp;"")))))</f>
        <v/>
      </c>
      <c r="J373" s="10">
        <f>IF($AB373="","",IF(INDEX(기본자료!$H$2:$H$1001,$AB373)="","",INDEX(기본자료!$H$2:$H$1001,$AB373)))</f>
        <v/>
      </c>
      <c r="K373" s="10">
        <f>IF($AB373="","",IF(INDEX(기본자료!$I$2:$I$1001,$AB373)="","",INDEX(기본자료!$I$2:$I$1001,$AB373)))</f>
        <v/>
      </c>
      <c r="L373" s="10">
        <f>IF($AB373="","",IF(INDEX(기본자료!$A$2:$A$1001,$AB373)="","",INDEX(기본자료!$A$2:$A$1001,$AB373)))</f>
        <v/>
      </c>
      <c r="M373" s="15" t="n"/>
      <c r="N373" s="10">
        <f>IF($B373="","",IF(AND($U373="파견중",$Q373&lt;&gt;""),$Q373,IF(AND($AD373&lt;&gt;"",LEFT($AD373,1)&lt;&gt;"⚠"),LEFT($AD373,FIND(" ",$AD373)-1),IF($H373="","",IF(RIGHT($H373,2)="병원",$H373,$H373&amp;"병원")))))</f>
        <v/>
      </c>
      <c r="O373" s="10">
        <f>IF($B373="","",IF(AND($U373="파견중",$Q373&lt;&gt;""),IF($R373&lt;&gt;"",$R373,"파견과 미입력"),IF(AND($AD373&lt;&gt;"",LEFT($AD373,1)&lt;&gt;"⚠"),MID($AD373,FIND(" ",$AD373)+1,60),IF($F373="","",IF($F373="인턴","수련교육부(인턴)",$F373)))))</f>
        <v/>
      </c>
      <c r="P373" s="10">
        <f>IF($B373="","",IF($AK373&lt;&gt;"",IF(AND(TODAY()&gt;=INDEX(파견수련계획!$AB$4:$AB$83,$AK373),OR(NOT(ISNUMBER(INDEX(파견수련계획!$AC$4:$AC$83,$AK373))),TODAY()&lt;=INDEX(파견수련계획!$AC$4:$AC$83,$AK373))),"다기관",IF($AF373="","",INDEX(파견수련계획!$T$4:$T$83,$AF373))),IF($AF373="","",INDEX(파견수련계획!$T$4:$T$83,$AF373))))</f>
        <v/>
      </c>
      <c r="Q373" s="10">
        <f>IF($AF373="","",INDEX(파견수련계획!$S$4:$S$83,$AF373))</f>
        <v/>
      </c>
      <c r="R373" s="10">
        <f>IF($AF373="","",INDEX(파견수련계획!$U$4:$U$83,$AF373))</f>
        <v/>
      </c>
      <c r="S373" s="11">
        <f>IF($AF373="","",IF(INDEX(파견수련계획!$H$4:$H$83,$AF373)="","",INDEX(파견수련계획!$H$4:$H$83,$AF373)))</f>
        <v/>
      </c>
      <c r="T373" s="11">
        <f>IF($AF373="","",IF(INDEX(파견수련계획!$I$4:$I$83,$AF373)="","",INDEX(파견수련계획!$I$4:$I$83,$AF373)))</f>
        <v/>
      </c>
      <c r="U373" s="10">
        <f>IF($AF373="","",INDEX(파견수련계획!$X$4:$X$83,$AF373))</f>
        <v/>
      </c>
      <c r="V373" s="17">
        <f>IF($AF373="","",INDEX(파견수련계획!$V$4:$V$83,$AF373))</f>
        <v/>
      </c>
      <c r="W373" s="17">
        <f>IF(AND($U373="파견중",$T373&lt;&gt;""),$T373-TODAY(),"")</f>
        <v/>
      </c>
      <c r="X373" s="17">
        <f>IF(OR($B373="",TRIM($J373&amp;"")=""),"",SUMPRODUCT((파견수련계획!$Q$4:$Q$83=TRIM($J373&amp;""))*파견수련계획!$W$4:$W$83))</f>
        <v/>
      </c>
      <c r="Y373" s="10">
        <f>IF($B373="","",IF($AG373="","",IF(IF(TRIM($J373&amp;"")="",0,SUMPRODUCT((파견수련계획!$Q$4:$Q$83=TRIM($J373&amp;""))*파견수련계획!$AD$4:$AD$83))&gt;0,$AE373,IF(N($X373)&lt;=0,$AG373,IF($AH373+$AI373=DAY(EOMONTH(요약!$B$3,0)),IF(AND($AH373&gt;=요약!$E$3,$AI373&lt;요약!$E$3),"서울병원",IF(AND($AI373&gt;=요약!$E$3,$AH373&lt;요약!$E$3),"구리병원","⚠15일 판정불가(서울 "&amp;$AH373&amp;"일/구리 "&amp;$AI373&amp;"일)")),IF($AJ373="",$AE373,IF(INDEX(파견수련계획!$T$4:$T$83,$AJ373)="통합수련",INDEX(파견수련계획!$S$4:$S$83,$AJ373),$AE373)))))))</f>
        <v/>
      </c>
      <c r="Z373" s="19">
        <f>IF($B373="","",IF($AB373="","기본자료에 없는 사번",IF(COUNTIF($B$2:$B$401,$B373)&gt;1,"중복 사번",IF($AE373="","소속(입사장소) 입력",IF(IF(TRIM($J373&amp;"")="",0,SUMPRODUCT((파견수련계획!$Q$4:$Q$83=TRIM($J373&amp;""))*(파견수련계획!$AA$4:$AA$83&lt;&gt;"")))&gt;0,"파견수련계획 입력오류 확인",IF(LEFT($Y373,1)="⚠","서울·구리 15일 판정 불가(양쪽 모두 이상/미만)",IF(IF($AC373="",0,N(INDEX(인턴근무계획!$T$3:$T$62,$AC373)))&gt;0,"인턴계획 입력오류 확인",IF(AND($AC373&lt;&gt;"",$U373&lt;&gt;"파견중",$N373&lt;&gt;$AE373),"인턴 타지역 근무: 파견 여부 확인","정상"))))))))</f>
        <v/>
      </c>
      <c r="AA373" s="5" t="n"/>
      <c r="AB373" s="10">
        <f>IF($B373="","",IFERROR(MATCH($B373,기본자료!$B$2:$B$1001,0),IFERROR(MATCH($B373&amp;"",기본자료!$B$2:$B$1001,0),IFERROR(MATCH(VALUE($B373),기본자료!$B$2:$B$1001,0),""))))</f>
        <v/>
      </c>
      <c r="AC373" s="10">
        <f>IF($B373="","",IFERROR(MATCH($B373,인턴근무계획!$D$3:$D$62,0),IFERROR(MATCH($B373&amp;"",인턴근무계획!$D$3:$D$62,0),IFERROR(MATCH(VALUE($B373),인턴근무계획!$D$3:$D$62,0),""))))</f>
        <v/>
      </c>
      <c r="AD373" s="10">
        <f>IF(OR($AC373="",인턴현황!$G$3=""),"",INDEX(인턴근무계획!$M$3:$R$62,$AC373,인턴현황!$G$3)&amp;"")</f>
        <v/>
      </c>
      <c r="AE373" s="10">
        <f>IF($B373="","",IF($M373&lt;&gt;"",$M373,IF($AF373&lt;&gt;"",IF(LEFT(INDEX(파견수련계획!$R$4:$R$83,$AF373),1)&lt;&gt;"⚠",INDEX(파견수련계획!$R$4:$R$83,$AF373),IF($H373="","",IF(RIGHT($H373,2)="병원",$H373,$H373&amp;"병원"))),IF($H373="","",IF(RIGHT($H373,2)="병원",$H373,$H373&amp;"병원")))))</f>
        <v/>
      </c>
      <c r="AF373" s="10">
        <f>IF(OR($B373="",TRIM($J373&amp;"")=""),"",IFERROR(MATCH(TRIM($J373&amp;"")&amp;"|파견중",파견수련계획!$Y$4:$Y$83,0),IFERROR(MATCH(TRIM($J373&amp;"")&amp;"|파견예정",파견수련계획!$Y$4:$Y$83,0),IFERROR(MATCH(TRIM($J373&amp;"")&amp;"|파견종료",파견수련계획!$Y$4:$Y$83,0),""))))</f>
        <v/>
      </c>
      <c r="AG373" s="10">
        <f>IF($B373="","",IF(AND(IF(OR($AC373="",인턴현황!$K$2=""),"",INDEX(인턴근무계획!$M$3:$R$62,$AC373,인턴현황!$K$2)&amp;"")&lt;&gt;"",LEFT(IF(OR($AC373="",인턴현황!$K$2=""),"",INDEX(인턴근무계획!$M$3:$R$62,$AC373,인턴현황!$K$2)&amp;""),1)&lt;&gt;"⚠"),LEFT(IF(OR($AC373="",인턴현황!$K$2=""),"",INDEX(인턴근무계획!$M$3:$R$62,$AC373,인턴현황!$K$2)&amp;""),FIND(" ",IF(OR($AC373="",인턴현황!$K$2=""),"",INDEX(인턴근무계획!$M$3:$R$62,$AC373,인턴현황!$K$2)&amp;""))-1),$AE373))</f>
        <v/>
      </c>
      <c r="AH373" s="17">
        <f>IF($B373="","",IF(TRIM($J373&amp;"")="",0,SUMPRODUCT((파견수련계획!$Q$4:$Q$83=TRIM($J373&amp;""))*(파견수련계획!$S$4:$S$83="서울병원")*파견수련계획!$W$4:$W$83))+IF($AG373="서울병원",MAX(0,DAY(EOMONTH(요약!$B$3,0))-N($X373)),0))</f>
        <v/>
      </c>
      <c r="AI373" s="17">
        <f>IF($B373="","",IF(TRIM($J373&amp;"")="",0,SUMPRODUCT((파견수련계획!$Q$4:$Q$83=TRIM($J373&amp;""))*(파견수련계획!$S$4:$S$83="구리병원")*파견수련계획!$W$4:$W$83))+IF($AG373="구리병원",MAX(0,DAY(EOMONTH(요약!$B$3,0))-N($X373)),0))</f>
        <v/>
      </c>
      <c r="AJ373" s="10">
        <f>IF(OR($B373="",TRIM($J373&amp;"")=""),"",IFERROR(MATCH(TRIM($J373&amp;"")&amp;"|월",파견수련계획!$Z$4:$Z$83,0),""))</f>
        <v/>
      </c>
      <c r="AK373" s="10">
        <f>IF(OR($B373="",TRIM($J373&amp;"")=""),"",IFERROR(MATCH(TRIM($J373&amp;"")&amp;"|다기관",파견수련계획!$AE$4:$AE$83,0),""))</f>
        <v/>
      </c>
      <c r="AL373" s="10">
        <f>IF($AK373="","","다기관 "&amp;TEXT(INDEX(파견수련계획!$AB$4:$AB$83,$AK373),"yyyy-mm-dd")&amp;"~"&amp;IF(ISNUMBER(INDEX(파견수련계획!$AC$4:$AC$83,$AK373)),TEXT(INDEX(파견수련계획!$AC$4:$AC$83,$AK373),"yyyy-mm-dd"),""))</f>
        <v/>
      </c>
    </row>
    <row r="374">
      <c r="A374" s="10">
        <f>IF(B374="","",ROW()-1)</f>
        <v/>
      </c>
      <c r="B374" s="18" t="n"/>
      <c r="C374" s="10">
        <f>IF($AB374="","",IF(INDEX(기본자료!$C$2:$C$1001,$AB374)="","",INDEX(기본자료!$C$2:$C$1001,$AB374)))</f>
        <v/>
      </c>
      <c r="D374" s="10">
        <f>IF($AB374="","",IF(INDEX(기본자료!$J$2:$J$1001,$AB374)="","",INDEX(기본자료!$J$2:$J$1001,$AB374)))</f>
        <v/>
      </c>
      <c r="E374" s="11">
        <f>IF($AB374="","",IF(INDEX(기본자료!$K$2:$K$1001,$AB374)="","",IF(NOT(ISNUMBER(INDEX(기본자료!$K$2:$K$1001,$AB374))),INDEX(기본자료!$K$2:$K$1001,$AB374),IF(INDEX(기본자료!$K$2:$K$1001,$AB374)&lt;1000000,INDEX(기본자료!$K$2:$K$1001,$AB374),IF(AND(INDEX(기본자료!$K$2:$K$1001,$AB374)&gt;=10000101,INT(MOD(INDEX(기본자료!$K$2:$K$1001,$AB374),10000)/100)&gt;=1,INT(MOD(INDEX(기본자료!$K$2:$K$1001,$AB374),10000)/100)&lt;=12,MOD(INDEX(기본자료!$K$2:$K$1001,$AB374),100)&gt;=1,MOD(INDEX(기본자료!$K$2:$K$1001,$AB374),100)&lt;=31),DATE(INT(INDEX(기본자료!$K$2:$K$1001,$AB374)/10000),INT(MOD(INDEX(기본자료!$K$2:$K$1001,$AB374),10000)/100),MOD(INDEX(기본자료!$K$2:$K$1001,$AB374),100)),INDEX(기본자료!$K$2:$K$1001,$AB374)&amp;"")))))</f>
        <v/>
      </c>
      <c r="F374" s="10">
        <f>IF($AB374="","",IF(INDEX(기본자료!$D$2:$D$1001,$AB374)="","",INDEX(기본자료!$D$2:$D$1001,$AB374)))</f>
        <v/>
      </c>
      <c r="G374" s="10">
        <f>IF($AB374="","",IF(INDEX(기본자료!$E$2:$E$1001,$AB374)="","",INDEX(기본자료!$E$2:$E$1001,$AB374)))</f>
        <v/>
      </c>
      <c r="H374" s="10">
        <f>IF($AB374="","",IF(INDEX(기본자료!$F$2:$F$1001,$AB374)="","",INDEX(기본자료!$F$2:$F$1001,$AB374)))</f>
        <v/>
      </c>
      <c r="I374" s="11">
        <f>IF($AB374="","",IF(INDEX(기본자료!$G$2:$G$1001,$AB374)="","",IF(NOT(ISNUMBER(INDEX(기본자료!$G$2:$G$1001,$AB374))),INDEX(기본자료!$G$2:$G$1001,$AB374),IF(INDEX(기본자료!$G$2:$G$1001,$AB374)&lt;1000000,INDEX(기본자료!$G$2:$G$1001,$AB374),IF(AND(INDEX(기본자료!$G$2:$G$1001,$AB374)&gt;=10000101,INT(MOD(INDEX(기본자료!$G$2:$G$1001,$AB374),10000)/100)&gt;=1,INT(MOD(INDEX(기본자료!$G$2:$G$1001,$AB374),10000)/100)&lt;=12,MOD(INDEX(기본자료!$G$2:$G$1001,$AB374),100)&gt;=1,MOD(INDEX(기본자료!$G$2:$G$1001,$AB374),100)&lt;=31),DATE(INT(INDEX(기본자료!$G$2:$G$1001,$AB374)/10000),INT(MOD(INDEX(기본자료!$G$2:$G$1001,$AB374),10000)/100),MOD(INDEX(기본자료!$G$2:$G$1001,$AB374),100)),INDEX(기본자료!$G$2:$G$1001,$AB374)&amp;"")))))</f>
        <v/>
      </c>
      <c r="J374" s="10">
        <f>IF($AB374="","",IF(INDEX(기본자료!$H$2:$H$1001,$AB374)="","",INDEX(기본자료!$H$2:$H$1001,$AB374)))</f>
        <v/>
      </c>
      <c r="K374" s="10">
        <f>IF($AB374="","",IF(INDEX(기본자료!$I$2:$I$1001,$AB374)="","",INDEX(기본자료!$I$2:$I$1001,$AB374)))</f>
        <v/>
      </c>
      <c r="L374" s="10">
        <f>IF($AB374="","",IF(INDEX(기본자료!$A$2:$A$1001,$AB374)="","",INDEX(기본자료!$A$2:$A$1001,$AB374)))</f>
        <v/>
      </c>
      <c r="M374" s="15" t="n"/>
      <c r="N374" s="10">
        <f>IF($B374="","",IF(AND($U374="파견중",$Q374&lt;&gt;""),$Q374,IF(AND($AD374&lt;&gt;"",LEFT($AD374,1)&lt;&gt;"⚠"),LEFT($AD374,FIND(" ",$AD374)-1),IF($H374="","",IF(RIGHT($H374,2)="병원",$H374,$H374&amp;"병원")))))</f>
        <v/>
      </c>
      <c r="O374" s="10">
        <f>IF($B374="","",IF(AND($U374="파견중",$Q374&lt;&gt;""),IF($R374&lt;&gt;"",$R374,"파견과 미입력"),IF(AND($AD374&lt;&gt;"",LEFT($AD374,1)&lt;&gt;"⚠"),MID($AD374,FIND(" ",$AD374)+1,60),IF($F374="","",IF($F374="인턴","수련교육부(인턴)",$F374)))))</f>
        <v/>
      </c>
      <c r="P374" s="10">
        <f>IF($B374="","",IF($AK374&lt;&gt;"",IF(AND(TODAY()&gt;=INDEX(파견수련계획!$AB$4:$AB$83,$AK374),OR(NOT(ISNUMBER(INDEX(파견수련계획!$AC$4:$AC$83,$AK374))),TODAY()&lt;=INDEX(파견수련계획!$AC$4:$AC$83,$AK374))),"다기관",IF($AF374="","",INDEX(파견수련계획!$T$4:$T$83,$AF374))),IF($AF374="","",INDEX(파견수련계획!$T$4:$T$83,$AF374))))</f>
        <v/>
      </c>
      <c r="Q374" s="10">
        <f>IF($AF374="","",INDEX(파견수련계획!$S$4:$S$83,$AF374))</f>
        <v/>
      </c>
      <c r="R374" s="10">
        <f>IF($AF374="","",INDEX(파견수련계획!$U$4:$U$83,$AF374))</f>
        <v/>
      </c>
      <c r="S374" s="11">
        <f>IF($AF374="","",IF(INDEX(파견수련계획!$H$4:$H$83,$AF374)="","",INDEX(파견수련계획!$H$4:$H$83,$AF374)))</f>
        <v/>
      </c>
      <c r="T374" s="11">
        <f>IF($AF374="","",IF(INDEX(파견수련계획!$I$4:$I$83,$AF374)="","",INDEX(파견수련계획!$I$4:$I$83,$AF374)))</f>
        <v/>
      </c>
      <c r="U374" s="10">
        <f>IF($AF374="","",INDEX(파견수련계획!$X$4:$X$83,$AF374))</f>
        <v/>
      </c>
      <c r="V374" s="17">
        <f>IF($AF374="","",INDEX(파견수련계획!$V$4:$V$83,$AF374))</f>
        <v/>
      </c>
      <c r="W374" s="17">
        <f>IF(AND($U374="파견중",$T374&lt;&gt;""),$T374-TODAY(),"")</f>
        <v/>
      </c>
      <c r="X374" s="17">
        <f>IF(OR($B374="",TRIM($J374&amp;"")=""),"",SUMPRODUCT((파견수련계획!$Q$4:$Q$83=TRIM($J374&amp;""))*파견수련계획!$W$4:$W$83))</f>
        <v/>
      </c>
      <c r="Y374" s="10">
        <f>IF($B374="","",IF($AG374="","",IF(IF(TRIM($J374&amp;"")="",0,SUMPRODUCT((파견수련계획!$Q$4:$Q$83=TRIM($J374&amp;""))*파견수련계획!$AD$4:$AD$83))&gt;0,$AE374,IF(N($X374)&lt;=0,$AG374,IF($AH374+$AI374=DAY(EOMONTH(요약!$B$3,0)),IF(AND($AH374&gt;=요약!$E$3,$AI374&lt;요약!$E$3),"서울병원",IF(AND($AI374&gt;=요약!$E$3,$AH374&lt;요약!$E$3),"구리병원","⚠15일 판정불가(서울 "&amp;$AH374&amp;"일/구리 "&amp;$AI374&amp;"일)")),IF($AJ374="",$AE374,IF(INDEX(파견수련계획!$T$4:$T$83,$AJ374)="통합수련",INDEX(파견수련계획!$S$4:$S$83,$AJ374),$AE374)))))))</f>
        <v/>
      </c>
      <c r="Z374" s="19">
        <f>IF($B374="","",IF($AB374="","기본자료에 없는 사번",IF(COUNTIF($B$2:$B$401,$B374)&gt;1,"중복 사번",IF($AE374="","소속(입사장소) 입력",IF(IF(TRIM($J374&amp;"")="",0,SUMPRODUCT((파견수련계획!$Q$4:$Q$83=TRIM($J374&amp;""))*(파견수련계획!$AA$4:$AA$83&lt;&gt;"")))&gt;0,"파견수련계획 입력오류 확인",IF(LEFT($Y374,1)="⚠","서울·구리 15일 판정 불가(양쪽 모두 이상/미만)",IF(IF($AC374="",0,N(INDEX(인턴근무계획!$T$3:$T$62,$AC374)))&gt;0,"인턴계획 입력오류 확인",IF(AND($AC374&lt;&gt;"",$U374&lt;&gt;"파견중",$N374&lt;&gt;$AE374),"인턴 타지역 근무: 파견 여부 확인","정상"))))))))</f>
        <v/>
      </c>
      <c r="AA374" s="5" t="n"/>
      <c r="AB374" s="10">
        <f>IF($B374="","",IFERROR(MATCH($B374,기본자료!$B$2:$B$1001,0),IFERROR(MATCH($B374&amp;"",기본자료!$B$2:$B$1001,0),IFERROR(MATCH(VALUE($B374),기본자료!$B$2:$B$1001,0),""))))</f>
        <v/>
      </c>
      <c r="AC374" s="10">
        <f>IF($B374="","",IFERROR(MATCH($B374,인턴근무계획!$D$3:$D$62,0),IFERROR(MATCH($B374&amp;"",인턴근무계획!$D$3:$D$62,0),IFERROR(MATCH(VALUE($B374),인턴근무계획!$D$3:$D$62,0),""))))</f>
        <v/>
      </c>
      <c r="AD374" s="10">
        <f>IF(OR($AC374="",인턴현황!$G$3=""),"",INDEX(인턴근무계획!$M$3:$R$62,$AC374,인턴현황!$G$3)&amp;"")</f>
        <v/>
      </c>
      <c r="AE374" s="10">
        <f>IF($B374="","",IF($M374&lt;&gt;"",$M374,IF($AF374&lt;&gt;"",IF(LEFT(INDEX(파견수련계획!$R$4:$R$83,$AF374),1)&lt;&gt;"⚠",INDEX(파견수련계획!$R$4:$R$83,$AF374),IF($H374="","",IF(RIGHT($H374,2)="병원",$H374,$H374&amp;"병원"))),IF($H374="","",IF(RIGHT($H374,2)="병원",$H374,$H374&amp;"병원")))))</f>
        <v/>
      </c>
      <c r="AF374" s="10">
        <f>IF(OR($B374="",TRIM($J374&amp;"")=""),"",IFERROR(MATCH(TRIM($J374&amp;"")&amp;"|파견중",파견수련계획!$Y$4:$Y$83,0),IFERROR(MATCH(TRIM($J374&amp;"")&amp;"|파견예정",파견수련계획!$Y$4:$Y$83,0),IFERROR(MATCH(TRIM($J374&amp;"")&amp;"|파견종료",파견수련계획!$Y$4:$Y$83,0),""))))</f>
        <v/>
      </c>
      <c r="AG374" s="10">
        <f>IF($B374="","",IF(AND(IF(OR($AC374="",인턴현황!$K$2=""),"",INDEX(인턴근무계획!$M$3:$R$62,$AC374,인턴현황!$K$2)&amp;"")&lt;&gt;"",LEFT(IF(OR($AC374="",인턴현황!$K$2=""),"",INDEX(인턴근무계획!$M$3:$R$62,$AC374,인턴현황!$K$2)&amp;""),1)&lt;&gt;"⚠"),LEFT(IF(OR($AC374="",인턴현황!$K$2=""),"",INDEX(인턴근무계획!$M$3:$R$62,$AC374,인턴현황!$K$2)&amp;""),FIND(" ",IF(OR($AC374="",인턴현황!$K$2=""),"",INDEX(인턴근무계획!$M$3:$R$62,$AC374,인턴현황!$K$2)&amp;""))-1),$AE374))</f>
        <v/>
      </c>
      <c r="AH374" s="17">
        <f>IF($B374="","",IF(TRIM($J374&amp;"")="",0,SUMPRODUCT((파견수련계획!$Q$4:$Q$83=TRIM($J374&amp;""))*(파견수련계획!$S$4:$S$83="서울병원")*파견수련계획!$W$4:$W$83))+IF($AG374="서울병원",MAX(0,DAY(EOMONTH(요약!$B$3,0))-N($X374)),0))</f>
        <v/>
      </c>
      <c r="AI374" s="17">
        <f>IF($B374="","",IF(TRIM($J374&amp;"")="",0,SUMPRODUCT((파견수련계획!$Q$4:$Q$83=TRIM($J374&amp;""))*(파견수련계획!$S$4:$S$83="구리병원")*파견수련계획!$W$4:$W$83))+IF($AG374="구리병원",MAX(0,DAY(EOMONTH(요약!$B$3,0))-N($X374)),0))</f>
        <v/>
      </c>
      <c r="AJ374" s="10">
        <f>IF(OR($B374="",TRIM($J374&amp;"")=""),"",IFERROR(MATCH(TRIM($J374&amp;"")&amp;"|월",파견수련계획!$Z$4:$Z$83,0),""))</f>
        <v/>
      </c>
      <c r="AK374" s="10">
        <f>IF(OR($B374="",TRIM($J374&amp;"")=""),"",IFERROR(MATCH(TRIM($J374&amp;"")&amp;"|다기관",파견수련계획!$AE$4:$AE$83,0),""))</f>
        <v/>
      </c>
      <c r="AL374" s="10">
        <f>IF($AK374="","","다기관 "&amp;TEXT(INDEX(파견수련계획!$AB$4:$AB$83,$AK374),"yyyy-mm-dd")&amp;"~"&amp;IF(ISNUMBER(INDEX(파견수련계획!$AC$4:$AC$83,$AK374)),TEXT(INDEX(파견수련계획!$AC$4:$AC$83,$AK374),"yyyy-mm-dd"),""))</f>
        <v/>
      </c>
    </row>
    <row r="375">
      <c r="A375" s="10">
        <f>IF(B375="","",ROW()-1)</f>
        <v/>
      </c>
      <c r="B375" s="18" t="n"/>
      <c r="C375" s="10">
        <f>IF($AB375="","",IF(INDEX(기본자료!$C$2:$C$1001,$AB375)="","",INDEX(기본자료!$C$2:$C$1001,$AB375)))</f>
        <v/>
      </c>
      <c r="D375" s="10">
        <f>IF($AB375="","",IF(INDEX(기본자료!$J$2:$J$1001,$AB375)="","",INDEX(기본자료!$J$2:$J$1001,$AB375)))</f>
        <v/>
      </c>
      <c r="E375" s="11">
        <f>IF($AB375="","",IF(INDEX(기본자료!$K$2:$K$1001,$AB375)="","",IF(NOT(ISNUMBER(INDEX(기본자료!$K$2:$K$1001,$AB375))),INDEX(기본자료!$K$2:$K$1001,$AB375),IF(INDEX(기본자료!$K$2:$K$1001,$AB375)&lt;1000000,INDEX(기본자료!$K$2:$K$1001,$AB375),IF(AND(INDEX(기본자료!$K$2:$K$1001,$AB375)&gt;=10000101,INT(MOD(INDEX(기본자료!$K$2:$K$1001,$AB375),10000)/100)&gt;=1,INT(MOD(INDEX(기본자료!$K$2:$K$1001,$AB375),10000)/100)&lt;=12,MOD(INDEX(기본자료!$K$2:$K$1001,$AB375),100)&gt;=1,MOD(INDEX(기본자료!$K$2:$K$1001,$AB375),100)&lt;=31),DATE(INT(INDEX(기본자료!$K$2:$K$1001,$AB375)/10000),INT(MOD(INDEX(기본자료!$K$2:$K$1001,$AB375),10000)/100),MOD(INDEX(기본자료!$K$2:$K$1001,$AB375),100)),INDEX(기본자료!$K$2:$K$1001,$AB375)&amp;"")))))</f>
        <v/>
      </c>
      <c r="F375" s="10">
        <f>IF($AB375="","",IF(INDEX(기본자료!$D$2:$D$1001,$AB375)="","",INDEX(기본자료!$D$2:$D$1001,$AB375)))</f>
        <v/>
      </c>
      <c r="G375" s="10">
        <f>IF($AB375="","",IF(INDEX(기본자료!$E$2:$E$1001,$AB375)="","",INDEX(기본자료!$E$2:$E$1001,$AB375)))</f>
        <v/>
      </c>
      <c r="H375" s="10">
        <f>IF($AB375="","",IF(INDEX(기본자료!$F$2:$F$1001,$AB375)="","",INDEX(기본자료!$F$2:$F$1001,$AB375)))</f>
        <v/>
      </c>
      <c r="I375" s="11">
        <f>IF($AB375="","",IF(INDEX(기본자료!$G$2:$G$1001,$AB375)="","",IF(NOT(ISNUMBER(INDEX(기본자료!$G$2:$G$1001,$AB375))),INDEX(기본자료!$G$2:$G$1001,$AB375),IF(INDEX(기본자료!$G$2:$G$1001,$AB375)&lt;1000000,INDEX(기본자료!$G$2:$G$1001,$AB375),IF(AND(INDEX(기본자료!$G$2:$G$1001,$AB375)&gt;=10000101,INT(MOD(INDEX(기본자료!$G$2:$G$1001,$AB375),10000)/100)&gt;=1,INT(MOD(INDEX(기본자료!$G$2:$G$1001,$AB375),10000)/100)&lt;=12,MOD(INDEX(기본자료!$G$2:$G$1001,$AB375),100)&gt;=1,MOD(INDEX(기본자료!$G$2:$G$1001,$AB375),100)&lt;=31),DATE(INT(INDEX(기본자료!$G$2:$G$1001,$AB375)/10000),INT(MOD(INDEX(기본자료!$G$2:$G$1001,$AB375),10000)/100),MOD(INDEX(기본자료!$G$2:$G$1001,$AB375),100)),INDEX(기본자료!$G$2:$G$1001,$AB375)&amp;"")))))</f>
        <v/>
      </c>
      <c r="J375" s="10">
        <f>IF($AB375="","",IF(INDEX(기본자료!$H$2:$H$1001,$AB375)="","",INDEX(기본자료!$H$2:$H$1001,$AB375)))</f>
        <v/>
      </c>
      <c r="K375" s="10">
        <f>IF($AB375="","",IF(INDEX(기본자료!$I$2:$I$1001,$AB375)="","",INDEX(기본자료!$I$2:$I$1001,$AB375)))</f>
        <v/>
      </c>
      <c r="L375" s="10">
        <f>IF($AB375="","",IF(INDEX(기본자료!$A$2:$A$1001,$AB375)="","",INDEX(기본자료!$A$2:$A$1001,$AB375)))</f>
        <v/>
      </c>
      <c r="M375" s="15" t="n"/>
      <c r="N375" s="10">
        <f>IF($B375="","",IF(AND($U375="파견중",$Q375&lt;&gt;""),$Q375,IF(AND($AD375&lt;&gt;"",LEFT($AD375,1)&lt;&gt;"⚠"),LEFT($AD375,FIND(" ",$AD375)-1),IF($H375="","",IF(RIGHT($H375,2)="병원",$H375,$H375&amp;"병원")))))</f>
        <v/>
      </c>
      <c r="O375" s="10">
        <f>IF($B375="","",IF(AND($U375="파견중",$Q375&lt;&gt;""),IF($R375&lt;&gt;"",$R375,"파견과 미입력"),IF(AND($AD375&lt;&gt;"",LEFT($AD375,1)&lt;&gt;"⚠"),MID($AD375,FIND(" ",$AD375)+1,60),IF($F375="","",IF($F375="인턴","수련교육부(인턴)",$F375)))))</f>
        <v/>
      </c>
      <c r="P375" s="10">
        <f>IF($B375="","",IF($AK375&lt;&gt;"",IF(AND(TODAY()&gt;=INDEX(파견수련계획!$AB$4:$AB$83,$AK375),OR(NOT(ISNUMBER(INDEX(파견수련계획!$AC$4:$AC$83,$AK375))),TODAY()&lt;=INDEX(파견수련계획!$AC$4:$AC$83,$AK375))),"다기관",IF($AF375="","",INDEX(파견수련계획!$T$4:$T$83,$AF375))),IF($AF375="","",INDEX(파견수련계획!$T$4:$T$83,$AF375))))</f>
        <v/>
      </c>
      <c r="Q375" s="10">
        <f>IF($AF375="","",INDEX(파견수련계획!$S$4:$S$83,$AF375))</f>
        <v/>
      </c>
      <c r="R375" s="10">
        <f>IF($AF375="","",INDEX(파견수련계획!$U$4:$U$83,$AF375))</f>
        <v/>
      </c>
      <c r="S375" s="11">
        <f>IF($AF375="","",IF(INDEX(파견수련계획!$H$4:$H$83,$AF375)="","",INDEX(파견수련계획!$H$4:$H$83,$AF375)))</f>
        <v/>
      </c>
      <c r="T375" s="11">
        <f>IF($AF375="","",IF(INDEX(파견수련계획!$I$4:$I$83,$AF375)="","",INDEX(파견수련계획!$I$4:$I$83,$AF375)))</f>
        <v/>
      </c>
      <c r="U375" s="10">
        <f>IF($AF375="","",INDEX(파견수련계획!$X$4:$X$83,$AF375))</f>
        <v/>
      </c>
      <c r="V375" s="17">
        <f>IF($AF375="","",INDEX(파견수련계획!$V$4:$V$83,$AF375))</f>
        <v/>
      </c>
      <c r="W375" s="17">
        <f>IF(AND($U375="파견중",$T375&lt;&gt;""),$T375-TODAY(),"")</f>
        <v/>
      </c>
      <c r="X375" s="17">
        <f>IF(OR($B375="",TRIM($J375&amp;"")=""),"",SUMPRODUCT((파견수련계획!$Q$4:$Q$83=TRIM($J375&amp;""))*파견수련계획!$W$4:$W$83))</f>
        <v/>
      </c>
      <c r="Y375" s="10">
        <f>IF($B375="","",IF($AG375="","",IF(IF(TRIM($J375&amp;"")="",0,SUMPRODUCT((파견수련계획!$Q$4:$Q$83=TRIM($J375&amp;""))*파견수련계획!$AD$4:$AD$83))&gt;0,$AE375,IF(N($X375)&lt;=0,$AG375,IF($AH375+$AI375=DAY(EOMONTH(요약!$B$3,0)),IF(AND($AH375&gt;=요약!$E$3,$AI375&lt;요약!$E$3),"서울병원",IF(AND($AI375&gt;=요약!$E$3,$AH375&lt;요약!$E$3),"구리병원","⚠15일 판정불가(서울 "&amp;$AH375&amp;"일/구리 "&amp;$AI375&amp;"일)")),IF($AJ375="",$AE375,IF(INDEX(파견수련계획!$T$4:$T$83,$AJ375)="통합수련",INDEX(파견수련계획!$S$4:$S$83,$AJ375),$AE375)))))))</f>
        <v/>
      </c>
      <c r="Z375" s="19">
        <f>IF($B375="","",IF($AB375="","기본자료에 없는 사번",IF(COUNTIF($B$2:$B$401,$B375)&gt;1,"중복 사번",IF($AE375="","소속(입사장소) 입력",IF(IF(TRIM($J375&amp;"")="",0,SUMPRODUCT((파견수련계획!$Q$4:$Q$83=TRIM($J375&amp;""))*(파견수련계획!$AA$4:$AA$83&lt;&gt;"")))&gt;0,"파견수련계획 입력오류 확인",IF(LEFT($Y375,1)="⚠","서울·구리 15일 판정 불가(양쪽 모두 이상/미만)",IF(IF($AC375="",0,N(INDEX(인턴근무계획!$T$3:$T$62,$AC375)))&gt;0,"인턴계획 입력오류 확인",IF(AND($AC375&lt;&gt;"",$U375&lt;&gt;"파견중",$N375&lt;&gt;$AE375),"인턴 타지역 근무: 파견 여부 확인","정상"))))))))</f>
        <v/>
      </c>
      <c r="AA375" s="5" t="n"/>
      <c r="AB375" s="10">
        <f>IF($B375="","",IFERROR(MATCH($B375,기본자료!$B$2:$B$1001,0),IFERROR(MATCH($B375&amp;"",기본자료!$B$2:$B$1001,0),IFERROR(MATCH(VALUE($B375),기본자료!$B$2:$B$1001,0),""))))</f>
        <v/>
      </c>
      <c r="AC375" s="10">
        <f>IF($B375="","",IFERROR(MATCH($B375,인턴근무계획!$D$3:$D$62,0),IFERROR(MATCH($B375&amp;"",인턴근무계획!$D$3:$D$62,0),IFERROR(MATCH(VALUE($B375),인턴근무계획!$D$3:$D$62,0),""))))</f>
        <v/>
      </c>
      <c r="AD375" s="10">
        <f>IF(OR($AC375="",인턴현황!$G$3=""),"",INDEX(인턴근무계획!$M$3:$R$62,$AC375,인턴현황!$G$3)&amp;"")</f>
        <v/>
      </c>
      <c r="AE375" s="10">
        <f>IF($B375="","",IF($M375&lt;&gt;"",$M375,IF($AF375&lt;&gt;"",IF(LEFT(INDEX(파견수련계획!$R$4:$R$83,$AF375),1)&lt;&gt;"⚠",INDEX(파견수련계획!$R$4:$R$83,$AF375),IF($H375="","",IF(RIGHT($H375,2)="병원",$H375,$H375&amp;"병원"))),IF($H375="","",IF(RIGHT($H375,2)="병원",$H375,$H375&amp;"병원")))))</f>
        <v/>
      </c>
      <c r="AF375" s="10">
        <f>IF(OR($B375="",TRIM($J375&amp;"")=""),"",IFERROR(MATCH(TRIM($J375&amp;"")&amp;"|파견중",파견수련계획!$Y$4:$Y$83,0),IFERROR(MATCH(TRIM($J375&amp;"")&amp;"|파견예정",파견수련계획!$Y$4:$Y$83,0),IFERROR(MATCH(TRIM($J375&amp;"")&amp;"|파견종료",파견수련계획!$Y$4:$Y$83,0),""))))</f>
        <v/>
      </c>
      <c r="AG375" s="10">
        <f>IF($B375="","",IF(AND(IF(OR($AC375="",인턴현황!$K$2=""),"",INDEX(인턴근무계획!$M$3:$R$62,$AC375,인턴현황!$K$2)&amp;"")&lt;&gt;"",LEFT(IF(OR($AC375="",인턴현황!$K$2=""),"",INDEX(인턴근무계획!$M$3:$R$62,$AC375,인턴현황!$K$2)&amp;""),1)&lt;&gt;"⚠"),LEFT(IF(OR($AC375="",인턴현황!$K$2=""),"",INDEX(인턴근무계획!$M$3:$R$62,$AC375,인턴현황!$K$2)&amp;""),FIND(" ",IF(OR($AC375="",인턴현황!$K$2=""),"",INDEX(인턴근무계획!$M$3:$R$62,$AC375,인턴현황!$K$2)&amp;""))-1),$AE375))</f>
        <v/>
      </c>
      <c r="AH375" s="17">
        <f>IF($B375="","",IF(TRIM($J375&amp;"")="",0,SUMPRODUCT((파견수련계획!$Q$4:$Q$83=TRIM($J375&amp;""))*(파견수련계획!$S$4:$S$83="서울병원")*파견수련계획!$W$4:$W$83))+IF($AG375="서울병원",MAX(0,DAY(EOMONTH(요약!$B$3,0))-N($X375)),0))</f>
        <v/>
      </c>
      <c r="AI375" s="17">
        <f>IF($B375="","",IF(TRIM($J375&amp;"")="",0,SUMPRODUCT((파견수련계획!$Q$4:$Q$83=TRIM($J375&amp;""))*(파견수련계획!$S$4:$S$83="구리병원")*파견수련계획!$W$4:$W$83))+IF($AG375="구리병원",MAX(0,DAY(EOMONTH(요약!$B$3,0))-N($X375)),0))</f>
        <v/>
      </c>
      <c r="AJ375" s="10">
        <f>IF(OR($B375="",TRIM($J375&amp;"")=""),"",IFERROR(MATCH(TRIM($J375&amp;"")&amp;"|월",파견수련계획!$Z$4:$Z$83,0),""))</f>
        <v/>
      </c>
      <c r="AK375" s="10">
        <f>IF(OR($B375="",TRIM($J375&amp;"")=""),"",IFERROR(MATCH(TRIM($J375&amp;"")&amp;"|다기관",파견수련계획!$AE$4:$AE$83,0),""))</f>
        <v/>
      </c>
      <c r="AL375" s="10">
        <f>IF($AK375="","","다기관 "&amp;TEXT(INDEX(파견수련계획!$AB$4:$AB$83,$AK375),"yyyy-mm-dd")&amp;"~"&amp;IF(ISNUMBER(INDEX(파견수련계획!$AC$4:$AC$83,$AK375)),TEXT(INDEX(파견수련계획!$AC$4:$AC$83,$AK375),"yyyy-mm-dd"),""))</f>
        <v/>
      </c>
    </row>
    <row r="376">
      <c r="A376" s="10">
        <f>IF(B376="","",ROW()-1)</f>
        <v/>
      </c>
      <c r="B376" s="18" t="n"/>
      <c r="C376" s="10">
        <f>IF($AB376="","",IF(INDEX(기본자료!$C$2:$C$1001,$AB376)="","",INDEX(기본자료!$C$2:$C$1001,$AB376)))</f>
        <v/>
      </c>
      <c r="D376" s="10">
        <f>IF($AB376="","",IF(INDEX(기본자료!$J$2:$J$1001,$AB376)="","",INDEX(기본자료!$J$2:$J$1001,$AB376)))</f>
        <v/>
      </c>
      <c r="E376" s="11">
        <f>IF($AB376="","",IF(INDEX(기본자료!$K$2:$K$1001,$AB376)="","",IF(NOT(ISNUMBER(INDEX(기본자료!$K$2:$K$1001,$AB376))),INDEX(기본자료!$K$2:$K$1001,$AB376),IF(INDEX(기본자료!$K$2:$K$1001,$AB376)&lt;1000000,INDEX(기본자료!$K$2:$K$1001,$AB376),IF(AND(INDEX(기본자료!$K$2:$K$1001,$AB376)&gt;=10000101,INT(MOD(INDEX(기본자료!$K$2:$K$1001,$AB376),10000)/100)&gt;=1,INT(MOD(INDEX(기본자료!$K$2:$K$1001,$AB376),10000)/100)&lt;=12,MOD(INDEX(기본자료!$K$2:$K$1001,$AB376),100)&gt;=1,MOD(INDEX(기본자료!$K$2:$K$1001,$AB376),100)&lt;=31),DATE(INT(INDEX(기본자료!$K$2:$K$1001,$AB376)/10000),INT(MOD(INDEX(기본자료!$K$2:$K$1001,$AB376),10000)/100),MOD(INDEX(기본자료!$K$2:$K$1001,$AB376),100)),INDEX(기본자료!$K$2:$K$1001,$AB376)&amp;"")))))</f>
        <v/>
      </c>
      <c r="F376" s="10">
        <f>IF($AB376="","",IF(INDEX(기본자료!$D$2:$D$1001,$AB376)="","",INDEX(기본자료!$D$2:$D$1001,$AB376)))</f>
        <v/>
      </c>
      <c r="G376" s="10">
        <f>IF($AB376="","",IF(INDEX(기본자료!$E$2:$E$1001,$AB376)="","",INDEX(기본자료!$E$2:$E$1001,$AB376)))</f>
        <v/>
      </c>
      <c r="H376" s="10">
        <f>IF($AB376="","",IF(INDEX(기본자료!$F$2:$F$1001,$AB376)="","",INDEX(기본자료!$F$2:$F$1001,$AB376)))</f>
        <v/>
      </c>
      <c r="I376" s="11">
        <f>IF($AB376="","",IF(INDEX(기본자료!$G$2:$G$1001,$AB376)="","",IF(NOT(ISNUMBER(INDEX(기본자료!$G$2:$G$1001,$AB376))),INDEX(기본자료!$G$2:$G$1001,$AB376),IF(INDEX(기본자료!$G$2:$G$1001,$AB376)&lt;1000000,INDEX(기본자료!$G$2:$G$1001,$AB376),IF(AND(INDEX(기본자료!$G$2:$G$1001,$AB376)&gt;=10000101,INT(MOD(INDEX(기본자료!$G$2:$G$1001,$AB376),10000)/100)&gt;=1,INT(MOD(INDEX(기본자료!$G$2:$G$1001,$AB376),10000)/100)&lt;=12,MOD(INDEX(기본자료!$G$2:$G$1001,$AB376),100)&gt;=1,MOD(INDEX(기본자료!$G$2:$G$1001,$AB376),100)&lt;=31),DATE(INT(INDEX(기본자료!$G$2:$G$1001,$AB376)/10000),INT(MOD(INDEX(기본자료!$G$2:$G$1001,$AB376),10000)/100),MOD(INDEX(기본자료!$G$2:$G$1001,$AB376),100)),INDEX(기본자료!$G$2:$G$1001,$AB376)&amp;"")))))</f>
        <v/>
      </c>
      <c r="J376" s="10">
        <f>IF($AB376="","",IF(INDEX(기본자료!$H$2:$H$1001,$AB376)="","",INDEX(기본자료!$H$2:$H$1001,$AB376)))</f>
        <v/>
      </c>
      <c r="K376" s="10">
        <f>IF($AB376="","",IF(INDEX(기본자료!$I$2:$I$1001,$AB376)="","",INDEX(기본자료!$I$2:$I$1001,$AB376)))</f>
        <v/>
      </c>
      <c r="L376" s="10">
        <f>IF($AB376="","",IF(INDEX(기본자료!$A$2:$A$1001,$AB376)="","",INDEX(기본자료!$A$2:$A$1001,$AB376)))</f>
        <v/>
      </c>
      <c r="M376" s="15" t="n"/>
      <c r="N376" s="10">
        <f>IF($B376="","",IF(AND($U376="파견중",$Q376&lt;&gt;""),$Q376,IF(AND($AD376&lt;&gt;"",LEFT($AD376,1)&lt;&gt;"⚠"),LEFT($AD376,FIND(" ",$AD376)-1),IF($H376="","",IF(RIGHT($H376,2)="병원",$H376,$H376&amp;"병원")))))</f>
        <v/>
      </c>
      <c r="O376" s="10">
        <f>IF($B376="","",IF(AND($U376="파견중",$Q376&lt;&gt;""),IF($R376&lt;&gt;"",$R376,"파견과 미입력"),IF(AND($AD376&lt;&gt;"",LEFT($AD376,1)&lt;&gt;"⚠"),MID($AD376,FIND(" ",$AD376)+1,60),IF($F376="","",IF($F376="인턴","수련교육부(인턴)",$F376)))))</f>
        <v/>
      </c>
      <c r="P376" s="10">
        <f>IF($B376="","",IF($AK376&lt;&gt;"",IF(AND(TODAY()&gt;=INDEX(파견수련계획!$AB$4:$AB$83,$AK376),OR(NOT(ISNUMBER(INDEX(파견수련계획!$AC$4:$AC$83,$AK376))),TODAY()&lt;=INDEX(파견수련계획!$AC$4:$AC$83,$AK376))),"다기관",IF($AF376="","",INDEX(파견수련계획!$T$4:$T$83,$AF376))),IF($AF376="","",INDEX(파견수련계획!$T$4:$T$83,$AF376))))</f>
        <v/>
      </c>
      <c r="Q376" s="10">
        <f>IF($AF376="","",INDEX(파견수련계획!$S$4:$S$83,$AF376))</f>
        <v/>
      </c>
      <c r="R376" s="10">
        <f>IF($AF376="","",INDEX(파견수련계획!$U$4:$U$83,$AF376))</f>
        <v/>
      </c>
      <c r="S376" s="11">
        <f>IF($AF376="","",IF(INDEX(파견수련계획!$H$4:$H$83,$AF376)="","",INDEX(파견수련계획!$H$4:$H$83,$AF376)))</f>
        <v/>
      </c>
      <c r="T376" s="11">
        <f>IF($AF376="","",IF(INDEX(파견수련계획!$I$4:$I$83,$AF376)="","",INDEX(파견수련계획!$I$4:$I$83,$AF376)))</f>
        <v/>
      </c>
      <c r="U376" s="10">
        <f>IF($AF376="","",INDEX(파견수련계획!$X$4:$X$83,$AF376))</f>
        <v/>
      </c>
      <c r="V376" s="17">
        <f>IF($AF376="","",INDEX(파견수련계획!$V$4:$V$83,$AF376))</f>
        <v/>
      </c>
      <c r="W376" s="17">
        <f>IF(AND($U376="파견중",$T376&lt;&gt;""),$T376-TODAY(),"")</f>
        <v/>
      </c>
      <c r="X376" s="17">
        <f>IF(OR($B376="",TRIM($J376&amp;"")=""),"",SUMPRODUCT((파견수련계획!$Q$4:$Q$83=TRIM($J376&amp;""))*파견수련계획!$W$4:$W$83))</f>
        <v/>
      </c>
      <c r="Y376" s="10">
        <f>IF($B376="","",IF($AG376="","",IF(IF(TRIM($J376&amp;"")="",0,SUMPRODUCT((파견수련계획!$Q$4:$Q$83=TRIM($J376&amp;""))*파견수련계획!$AD$4:$AD$83))&gt;0,$AE376,IF(N($X376)&lt;=0,$AG376,IF($AH376+$AI376=DAY(EOMONTH(요약!$B$3,0)),IF(AND($AH376&gt;=요약!$E$3,$AI376&lt;요약!$E$3),"서울병원",IF(AND($AI376&gt;=요약!$E$3,$AH376&lt;요약!$E$3),"구리병원","⚠15일 판정불가(서울 "&amp;$AH376&amp;"일/구리 "&amp;$AI376&amp;"일)")),IF($AJ376="",$AE376,IF(INDEX(파견수련계획!$T$4:$T$83,$AJ376)="통합수련",INDEX(파견수련계획!$S$4:$S$83,$AJ376),$AE376)))))))</f>
        <v/>
      </c>
      <c r="Z376" s="19">
        <f>IF($B376="","",IF($AB376="","기본자료에 없는 사번",IF(COUNTIF($B$2:$B$401,$B376)&gt;1,"중복 사번",IF($AE376="","소속(입사장소) 입력",IF(IF(TRIM($J376&amp;"")="",0,SUMPRODUCT((파견수련계획!$Q$4:$Q$83=TRIM($J376&amp;""))*(파견수련계획!$AA$4:$AA$83&lt;&gt;"")))&gt;0,"파견수련계획 입력오류 확인",IF(LEFT($Y376,1)="⚠","서울·구리 15일 판정 불가(양쪽 모두 이상/미만)",IF(IF($AC376="",0,N(INDEX(인턴근무계획!$T$3:$T$62,$AC376)))&gt;0,"인턴계획 입력오류 확인",IF(AND($AC376&lt;&gt;"",$U376&lt;&gt;"파견중",$N376&lt;&gt;$AE376),"인턴 타지역 근무: 파견 여부 확인","정상"))))))))</f>
        <v/>
      </c>
      <c r="AA376" s="5" t="n"/>
      <c r="AB376" s="10">
        <f>IF($B376="","",IFERROR(MATCH($B376,기본자료!$B$2:$B$1001,0),IFERROR(MATCH($B376&amp;"",기본자료!$B$2:$B$1001,0),IFERROR(MATCH(VALUE($B376),기본자료!$B$2:$B$1001,0),""))))</f>
        <v/>
      </c>
      <c r="AC376" s="10">
        <f>IF($B376="","",IFERROR(MATCH($B376,인턴근무계획!$D$3:$D$62,0),IFERROR(MATCH($B376&amp;"",인턴근무계획!$D$3:$D$62,0),IFERROR(MATCH(VALUE($B376),인턴근무계획!$D$3:$D$62,0),""))))</f>
        <v/>
      </c>
      <c r="AD376" s="10">
        <f>IF(OR($AC376="",인턴현황!$G$3=""),"",INDEX(인턴근무계획!$M$3:$R$62,$AC376,인턴현황!$G$3)&amp;"")</f>
        <v/>
      </c>
      <c r="AE376" s="10">
        <f>IF($B376="","",IF($M376&lt;&gt;"",$M376,IF($AF376&lt;&gt;"",IF(LEFT(INDEX(파견수련계획!$R$4:$R$83,$AF376),1)&lt;&gt;"⚠",INDEX(파견수련계획!$R$4:$R$83,$AF376),IF($H376="","",IF(RIGHT($H376,2)="병원",$H376,$H376&amp;"병원"))),IF($H376="","",IF(RIGHT($H376,2)="병원",$H376,$H376&amp;"병원")))))</f>
        <v/>
      </c>
      <c r="AF376" s="10">
        <f>IF(OR($B376="",TRIM($J376&amp;"")=""),"",IFERROR(MATCH(TRIM($J376&amp;"")&amp;"|파견중",파견수련계획!$Y$4:$Y$83,0),IFERROR(MATCH(TRIM($J376&amp;"")&amp;"|파견예정",파견수련계획!$Y$4:$Y$83,0),IFERROR(MATCH(TRIM($J376&amp;"")&amp;"|파견종료",파견수련계획!$Y$4:$Y$83,0),""))))</f>
        <v/>
      </c>
      <c r="AG376" s="10">
        <f>IF($B376="","",IF(AND(IF(OR($AC376="",인턴현황!$K$2=""),"",INDEX(인턴근무계획!$M$3:$R$62,$AC376,인턴현황!$K$2)&amp;"")&lt;&gt;"",LEFT(IF(OR($AC376="",인턴현황!$K$2=""),"",INDEX(인턴근무계획!$M$3:$R$62,$AC376,인턴현황!$K$2)&amp;""),1)&lt;&gt;"⚠"),LEFT(IF(OR($AC376="",인턴현황!$K$2=""),"",INDEX(인턴근무계획!$M$3:$R$62,$AC376,인턴현황!$K$2)&amp;""),FIND(" ",IF(OR($AC376="",인턴현황!$K$2=""),"",INDEX(인턴근무계획!$M$3:$R$62,$AC376,인턴현황!$K$2)&amp;""))-1),$AE376))</f>
        <v/>
      </c>
      <c r="AH376" s="17">
        <f>IF($B376="","",IF(TRIM($J376&amp;"")="",0,SUMPRODUCT((파견수련계획!$Q$4:$Q$83=TRIM($J376&amp;""))*(파견수련계획!$S$4:$S$83="서울병원")*파견수련계획!$W$4:$W$83))+IF($AG376="서울병원",MAX(0,DAY(EOMONTH(요약!$B$3,0))-N($X376)),0))</f>
        <v/>
      </c>
      <c r="AI376" s="17">
        <f>IF($B376="","",IF(TRIM($J376&amp;"")="",0,SUMPRODUCT((파견수련계획!$Q$4:$Q$83=TRIM($J376&amp;""))*(파견수련계획!$S$4:$S$83="구리병원")*파견수련계획!$W$4:$W$83))+IF($AG376="구리병원",MAX(0,DAY(EOMONTH(요약!$B$3,0))-N($X376)),0))</f>
        <v/>
      </c>
      <c r="AJ376" s="10">
        <f>IF(OR($B376="",TRIM($J376&amp;"")=""),"",IFERROR(MATCH(TRIM($J376&amp;"")&amp;"|월",파견수련계획!$Z$4:$Z$83,0),""))</f>
        <v/>
      </c>
      <c r="AK376" s="10">
        <f>IF(OR($B376="",TRIM($J376&amp;"")=""),"",IFERROR(MATCH(TRIM($J376&amp;"")&amp;"|다기관",파견수련계획!$AE$4:$AE$83,0),""))</f>
        <v/>
      </c>
      <c r="AL376" s="10">
        <f>IF($AK376="","","다기관 "&amp;TEXT(INDEX(파견수련계획!$AB$4:$AB$83,$AK376),"yyyy-mm-dd")&amp;"~"&amp;IF(ISNUMBER(INDEX(파견수련계획!$AC$4:$AC$83,$AK376)),TEXT(INDEX(파견수련계획!$AC$4:$AC$83,$AK376),"yyyy-mm-dd"),""))</f>
        <v/>
      </c>
    </row>
    <row r="377">
      <c r="A377" s="10">
        <f>IF(B377="","",ROW()-1)</f>
        <v/>
      </c>
      <c r="B377" s="18" t="n"/>
      <c r="C377" s="10">
        <f>IF($AB377="","",IF(INDEX(기본자료!$C$2:$C$1001,$AB377)="","",INDEX(기본자료!$C$2:$C$1001,$AB377)))</f>
        <v/>
      </c>
      <c r="D377" s="10">
        <f>IF($AB377="","",IF(INDEX(기본자료!$J$2:$J$1001,$AB377)="","",INDEX(기본자료!$J$2:$J$1001,$AB377)))</f>
        <v/>
      </c>
      <c r="E377" s="11">
        <f>IF($AB377="","",IF(INDEX(기본자료!$K$2:$K$1001,$AB377)="","",IF(NOT(ISNUMBER(INDEX(기본자료!$K$2:$K$1001,$AB377))),INDEX(기본자료!$K$2:$K$1001,$AB377),IF(INDEX(기본자료!$K$2:$K$1001,$AB377)&lt;1000000,INDEX(기본자료!$K$2:$K$1001,$AB377),IF(AND(INDEX(기본자료!$K$2:$K$1001,$AB377)&gt;=10000101,INT(MOD(INDEX(기본자료!$K$2:$K$1001,$AB377),10000)/100)&gt;=1,INT(MOD(INDEX(기본자료!$K$2:$K$1001,$AB377),10000)/100)&lt;=12,MOD(INDEX(기본자료!$K$2:$K$1001,$AB377),100)&gt;=1,MOD(INDEX(기본자료!$K$2:$K$1001,$AB377),100)&lt;=31),DATE(INT(INDEX(기본자료!$K$2:$K$1001,$AB377)/10000),INT(MOD(INDEX(기본자료!$K$2:$K$1001,$AB377),10000)/100),MOD(INDEX(기본자료!$K$2:$K$1001,$AB377),100)),INDEX(기본자료!$K$2:$K$1001,$AB377)&amp;"")))))</f>
        <v/>
      </c>
      <c r="F377" s="10">
        <f>IF($AB377="","",IF(INDEX(기본자료!$D$2:$D$1001,$AB377)="","",INDEX(기본자료!$D$2:$D$1001,$AB377)))</f>
        <v/>
      </c>
      <c r="G377" s="10">
        <f>IF($AB377="","",IF(INDEX(기본자료!$E$2:$E$1001,$AB377)="","",INDEX(기본자료!$E$2:$E$1001,$AB377)))</f>
        <v/>
      </c>
      <c r="H377" s="10">
        <f>IF($AB377="","",IF(INDEX(기본자료!$F$2:$F$1001,$AB377)="","",INDEX(기본자료!$F$2:$F$1001,$AB377)))</f>
        <v/>
      </c>
      <c r="I377" s="11">
        <f>IF($AB377="","",IF(INDEX(기본자료!$G$2:$G$1001,$AB377)="","",IF(NOT(ISNUMBER(INDEX(기본자료!$G$2:$G$1001,$AB377))),INDEX(기본자료!$G$2:$G$1001,$AB377),IF(INDEX(기본자료!$G$2:$G$1001,$AB377)&lt;1000000,INDEX(기본자료!$G$2:$G$1001,$AB377),IF(AND(INDEX(기본자료!$G$2:$G$1001,$AB377)&gt;=10000101,INT(MOD(INDEX(기본자료!$G$2:$G$1001,$AB377),10000)/100)&gt;=1,INT(MOD(INDEX(기본자료!$G$2:$G$1001,$AB377),10000)/100)&lt;=12,MOD(INDEX(기본자료!$G$2:$G$1001,$AB377),100)&gt;=1,MOD(INDEX(기본자료!$G$2:$G$1001,$AB377),100)&lt;=31),DATE(INT(INDEX(기본자료!$G$2:$G$1001,$AB377)/10000),INT(MOD(INDEX(기본자료!$G$2:$G$1001,$AB377),10000)/100),MOD(INDEX(기본자료!$G$2:$G$1001,$AB377),100)),INDEX(기본자료!$G$2:$G$1001,$AB377)&amp;"")))))</f>
        <v/>
      </c>
      <c r="J377" s="10">
        <f>IF($AB377="","",IF(INDEX(기본자료!$H$2:$H$1001,$AB377)="","",INDEX(기본자료!$H$2:$H$1001,$AB377)))</f>
        <v/>
      </c>
      <c r="K377" s="10">
        <f>IF($AB377="","",IF(INDEX(기본자료!$I$2:$I$1001,$AB377)="","",INDEX(기본자료!$I$2:$I$1001,$AB377)))</f>
        <v/>
      </c>
      <c r="L377" s="10">
        <f>IF($AB377="","",IF(INDEX(기본자료!$A$2:$A$1001,$AB377)="","",INDEX(기본자료!$A$2:$A$1001,$AB377)))</f>
        <v/>
      </c>
      <c r="M377" s="15" t="n"/>
      <c r="N377" s="10">
        <f>IF($B377="","",IF(AND($U377="파견중",$Q377&lt;&gt;""),$Q377,IF(AND($AD377&lt;&gt;"",LEFT($AD377,1)&lt;&gt;"⚠"),LEFT($AD377,FIND(" ",$AD377)-1),IF($H377="","",IF(RIGHT($H377,2)="병원",$H377,$H377&amp;"병원")))))</f>
        <v/>
      </c>
      <c r="O377" s="10">
        <f>IF($B377="","",IF(AND($U377="파견중",$Q377&lt;&gt;""),IF($R377&lt;&gt;"",$R377,"파견과 미입력"),IF(AND($AD377&lt;&gt;"",LEFT($AD377,1)&lt;&gt;"⚠"),MID($AD377,FIND(" ",$AD377)+1,60),IF($F377="","",IF($F377="인턴","수련교육부(인턴)",$F377)))))</f>
        <v/>
      </c>
      <c r="P377" s="10">
        <f>IF($B377="","",IF($AK377&lt;&gt;"",IF(AND(TODAY()&gt;=INDEX(파견수련계획!$AB$4:$AB$83,$AK377),OR(NOT(ISNUMBER(INDEX(파견수련계획!$AC$4:$AC$83,$AK377))),TODAY()&lt;=INDEX(파견수련계획!$AC$4:$AC$83,$AK377))),"다기관",IF($AF377="","",INDEX(파견수련계획!$T$4:$T$83,$AF377))),IF($AF377="","",INDEX(파견수련계획!$T$4:$T$83,$AF377))))</f>
        <v/>
      </c>
      <c r="Q377" s="10">
        <f>IF($AF377="","",INDEX(파견수련계획!$S$4:$S$83,$AF377))</f>
        <v/>
      </c>
      <c r="R377" s="10">
        <f>IF($AF377="","",INDEX(파견수련계획!$U$4:$U$83,$AF377))</f>
        <v/>
      </c>
      <c r="S377" s="11">
        <f>IF($AF377="","",IF(INDEX(파견수련계획!$H$4:$H$83,$AF377)="","",INDEX(파견수련계획!$H$4:$H$83,$AF377)))</f>
        <v/>
      </c>
      <c r="T377" s="11">
        <f>IF($AF377="","",IF(INDEX(파견수련계획!$I$4:$I$83,$AF377)="","",INDEX(파견수련계획!$I$4:$I$83,$AF377)))</f>
        <v/>
      </c>
      <c r="U377" s="10">
        <f>IF($AF377="","",INDEX(파견수련계획!$X$4:$X$83,$AF377))</f>
        <v/>
      </c>
      <c r="V377" s="17">
        <f>IF($AF377="","",INDEX(파견수련계획!$V$4:$V$83,$AF377))</f>
        <v/>
      </c>
      <c r="W377" s="17">
        <f>IF(AND($U377="파견중",$T377&lt;&gt;""),$T377-TODAY(),"")</f>
        <v/>
      </c>
      <c r="X377" s="17">
        <f>IF(OR($B377="",TRIM($J377&amp;"")=""),"",SUMPRODUCT((파견수련계획!$Q$4:$Q$83=TRIM($J377&amp;""))*파견수련계획!$W$4:$W$83))</f>
        <v/>
      </c>
      <c r="Y377" s="10">
        <f>IF($B377="","",IF($AG377="","",IF(IF(TRIM($J377&amp;"")="",0,SUMPRODUCT((파견수련계획!$Q$4:$Q$83=TRIM($J377&amp;""))*파견수련계획!$AD$4:$AD$83))&gt;0,$AE377,IF(N($X377)&lt;=0,$AG377,IF($AH377+$AI377=DAY(EOMONTH(요약!$B$3,0)),IF(AND($AH377&gt;=요약!$E$3,$AI377&lt;요약!$E$3),"서울병원",IF(AND($AI377&gt;=요약!$E$3,$AH377&lt;요약!$E$3),"구리병원","⚠15일 판정불가(서울 "&amp;$AH377&amp;"일/구리 "&amp;$AI377&amp;"일)")),IF($AJ377="",$AE377,IF(INDEX(파견수련계획!$T$4:$T$83,$AJ377)="통합수련",INDEX(파견수련계획!$S$4:$S$83,$AJ377),$AE377)))))))</f>
        <v/>
      </c>
      <c r="Z377" s="19">
        <f>IF($B377="","",IF($AB377="","기본자료에 없는 사번",IF(COUNTIF($B$2:$B$401,$B377)&gt;1,"중복 사번",IF($AE377="","소속(입사장소) 입력",IF(IF(TRIM($J377&amp;"")="",0,SUMPRODUCT((파견수련계획!$Q$4:$Q$83=TRIM($J377&amp;""))*(파견수련계획!$AA$4:$AA$83&lt;&gt;"")))&gt;0,"파견수련계획 입력오류 확인",IF(LEFT($Y377,1)="⚠","서울·구리 15일 판정 불가(양쪽 모두 이상/미만)",IF(IF($AC377="",0,N(INDEX(인턴근무계획!$T$3:$T$62,$AC377)))&gt;0,"인턴계획 입력오류 확인",IF(AND($AC377&lt;&gt;"",$U377&lt;&gt;"파견중",$N377&lt;&gt;$AE377),"인턴 타지역 근무: 파견 여부 확인","정상"))))))))</f>
        <v/>
      </c>
      <c r="AA377" s="5" t="n"/>
      <c r="AB377" s="10">
        <f>IF($B377="","",IFERROR(MATCH($B377,기본자료!$B$2:$B$1001,0),IFERROR(MATCH($B377&amp;"",기본자료!$B$2:$B$1001,0),IFERROR(MATCH(VALUE($B377),기본자료!$B$2:$B$1001,0),""))))</f>
        <v/>
      </c>
      <c r="AC377" s="10">
        <f>IF($B377="","",IFERROR(MATCH($B377,인턴근무계획!$D$3:$D$62,0),IFERROR(MATCH($B377&amp;"",인턴근무계획!$D$3:$D$62,0),IFERROR(MATCH(VALUE($B377),인턴근무계획!$D$3:$D$62,0),""))))</f>
        <v/>
      </c>
      <c r="AD377" s="10">
        <f>IF(OR($AC377="",인턴현황!$G$3=""),"",INDEX(인턴근무계획!$M$3:$R$62,$AC377,인턴현황!$G$3)&amp;"")</f>
        <v/>
      </c>
      <c r="AE377" s="10">
        <f>IF($B377="","",IF($M377&lt;&gt;"",$M377,IF($AF377&lt;&gt;"",IF(LEFT(INDEX(파견수련계획!$R$4:$R$83,$AF377),1)&lt;&gt;"⚠",INDEX(파견수련계획!$R$4:$R$83,$AF377),IF($H377="","",IF(RIGHT($H377,2)="병원",$H377,$H377&amp;"병원"))),IF($H377="","",IF(RIGHT($H377,2)="병원",$H377,$H377&amp;"병원")))))</f>
        <v/>
      </c>
      <c r="AF377" s="10">
        <f>IF(OR($B377="",TRIM($J377&amp;"")=""),"",IFERROR(MATCH(TRIM($J377&amp;"")&amp;"|파견중",파견수련계획!$Y$4:$Y$83,0),IFERROR(MATCH(TRIM($J377&amp;"")&amp;"|파견예정",파견수련계획!$Y$4:$Y$83,0),IFERROR(MATCH(TRIM($J377&amp;"")&amp;"|파견종료",파견수련계획!$Y$4:$Y$83,0),""))))</f>
        <v/>
      </c>
      <c r="AG377" s="10">
        <f>IF($B377="","",IF(AND(IF(OR($AC377="",인턴현황!$K$2=""),"",INDEX(인턴근무계획!$M$3:$R$62,$AC377,인턴현황!$K$2)&amp;"")&lt;&gt;"",LEFT(IF(OR($AC377="",인턴현황!$K$2=""),"",INDEX(인턴근무계획!$M$3:$R$62,$AC377,인턴현황!$K$2)&amp;""),1)&lt;&gt;"⚠"),LEFT(IF(OR($AC377="",인턴현황!$K$2=""),"",INDEX(인턴근무계획!$M$3:$R$62,$AC377,인턴현황!$K$2)&amp;""),FIND(" ",IF(OR($AC377="",인턴현황!$K$2=""),"",INDEX(인턴근무계획!$M$3:$R$62,$AC377,인턴현황!$K$2)&amp;""))-1),$AE377))</f>
        <v/>
      </c>
      <c r="AH377" s="17">
        <f>IF($B377="","",IF(TRIM($J377&amp;"")="",0,SUMPRODUCT((파견수련계획!$Q$4:$Q$83=TRIM($J377&amp;""))*(파견수련계획!$S$4:$S$83="서울병원")*파견수련계획!$W$4:$W$83))+IF($AG377="서울병원",MAX(0,DAY(EOMONTH(요약!$B$3,0))-N($X377)),0))</f>
        <v/>
      </c>
      <c r="AI377" s="17">
        <f>IF($B377="","",IF(TRIM($J377&amp;"")="",0,SUMPRODUCT((파견수련계획!$Q$4:$Q$83=TRIM($J377&amp;""))*(파견수련계획!$S$4:$S$83="구리병원")*파견수련계획!$W$4:$W$83))+IF($AG377="구리병원",MAX(0,DAY(EOMONTH(요약!$B$3,0))-N($X377)),0))</f>
        <v/>
      </c>
      <c r="AJ377" s="10">
        <f>IF(OR($B377="",TRIM($J377&amp;"")=""),"",IFERROR(MATCH(TRIM($J377&amp;"")&amp;"|월",파견수련계획!$Z$4:$Z$83,0),""))</f>
        <v/>
      </c>
      <c r="AK377" s="10">
        <f>IF(OR($B377="",TRIM($J377&amp;"")=""),"",IFERROR(MATCH(TRIM($J377&amp;"")&amp;"|다기관",파견수련계획!$AE$4:$AE$83,0),""))</f>
        <v/>
      </c>
      <c r="AL377" s="10">
        <f>IF($AK377="","","다기관 "&amp;TEXT(INDEX(파견수련계획!$AB$4:$AB$83,$AK377),"yyyy-mm-dd")&amp;"~"&amp;IF(ISNUMBER(INDEX(파견수련계획!$AC$4:$AC$83,$AK377)),TEXT(INDEX(파견수련계획!$AC$4:$AC$83,$AK377),"yyyy-mm-dd"),""))</f>
        <v/>
      </c>
    </row>
    <row r="378">
      <c r="A378" s="10">
        <f>IF(B378="","",ROW()-1)</f>
        <v/>
      </c>
      <c r="B378" s="18" t="n"/>
      <c r="C378" s="10">
        <f>IF($AB378="","",IF(INDEX(기본자료!$C$2:$C$1001,$AB378)="","",INDEX(기본자료!$C$2:$C$1001,$AB378)))</f>
        <v/>
      </c>
      <c r="D378" s="10">
        <f>IF($AB378="","",IF(INDEX(기본자료!$J$2:$J$1001,$AB378)="","",INDEX(기본자료!$J$2:$J$1001,$AB378)))</f>
        <v/>
      </c>
      <c r="E378" s="11">
        <f>IF($AB378="","",IF(INDEX(기본자료!$K$2:$K$1001,$AB378)="","",IF(NOT(ISNUMBER(INDEX(기본자료!$K$2:$K$1001,$AB378))),INDEX(기본자료!$K$2:$K$1001,$AB378),IF(INDEX(기본자료!$K$2:$K$1001,$AB378)&lt;1000000,INDEX(기본자료!$K$2:$K$1001,$AB378),IF(AND(INDEX(기본자료!$K$2:$K$1001,$AB378)&gt;=10000101,INT(MOD(INDEX(기본자료!$K$2:$K$1001,$AB378),10000)/100)&gt;=1,INT(MOD(INDEX(기본자료!$K$2:$K$1001,$AB378),10000)/100)&lt;=12,MOD(INDEX(기본자료!$K$2:$K$1001,$AB378),100)&gt;=1,MOD(INDEX(기본자료!$K$2:$K$1001,$AB378),100)&lt;=31),DATE(INT(INDEX(기본자료!$K$2:$K$1001,$AB378)/10000),INT(MOD(INDEX(기본자료!$K$2:$K$1001,$AB378),10000)/100),MOD(INDEX(기본자료!$K$2:$K$1001,$AB378),100)),INDEX(기본자료!$K$2:$K$1001,$AB378)&amp;"")))))</f>
        <v/>
      </c>
      <c r="F378" s="10">
        <f>IF($AB378="","",IF(INDEX(기본자료!$D$2:$D$1001,$AB378)="","",INDEX(기본자료!$D$2:$D$1001,$AB378)))</f>
        <v/>
      </c>
      <c r="G378" s="10">
        <f>IF($AB378="","",IF(INDEX(기본자료!$E$2:$E$1001,$AB378)="","",INDEX(기본자료!$E$2:$E$1001,$AB378)))</f>
        <v/>
      </c>
      <c r="H378" s="10">
        <f>IF($AB378="","",IF(INDEX(기본자료!$F$2:$F$1001,$AB378)="","",INDEX(기본자료!$F$2:$F$1001,$AB378)))</f>
        <v/>
      </c>
      <c r="I378" s="11">
        <f>IF($AB378="","",IF(INDEX(기본자료!$G$2:$G$1001,$AB378)="","",IF(NOT(ISNUMBER(INDEX(기본자료!$G$2:$G$1001,$AB378))),INDEX(기본자료!$G$2:$G$1001,$AB378),IF(INDEX(기본자료!$G$2:$G$1001,$AB378)&lt;1000000,INDEX(기본자료!$G$2:$G$1001,$AB378),IF(AND(INDEX(기본자료!$G$2:$G$1001,$AB378)&gt;=10000101,INT(MOD(INDEX(기본자료!$G$2:$G$1001,$AB378),10000)/100)&gt;=1,INT(MOD(INDEX(기본자료!$G$2:$G$1001,$AB378),10000)/100)&lt;=12,MOD(INDEX(기본자료!$G$2:$G$1001,$AB378),100)&gt;=1,MOD(INDEX(기본자료!$G$2:$G$1001,$AB378),100)&lt;=31),DATE(INT(INDEX(기본자료!$G$2:$G$1001,$AB378)/10000),INT(MOD(INDEX(기본자료!$G$2:$G$1001,$AB378),10000)/100),MOD(INDEX(기본자료!$G$2:$G$1001,$AB378),100)),INDEX(기본자료!$G$2:$G$1001,$AB378)&amp;"")))))</f>
        <v/>
      </c>
      <c r="J378" s="10">
        <f>IF($AB378="","",IF(INDEX(기본자료!$H$2:$H$1001,$AB378)="","",INDEX(기본자료!$H$2:$H$1001,$AB378)))</f>
        <v/>
      </c>
      <c r="K378" s="10">
        <f>IF($AB378="","",IF(INDEX(기본자료!$I$2:$I$1001,$AB378)="","",INDEX(기본자료!$I$2:$I$1001,$AB378)))</f>
        <v/>
      </c>
      <c r="L378" s="10">
        <f>IF($AB378="","",IF(INDEX(기본자료!$A$2:$A$1001,$AB378)="","",INDEX(기본자료!$A$2:$A$1001,$AB378)))</f>
        <v/>
      </c>
      <c r="M378" s="15" t="n"/>
      <c r="N378" s="10">
        <f>IF($B378="","",IF(AND($U378="파견중",$Q378&lt;&gt;""),$Q378,IF(AND($AD378&lt;&gt;"",LEFT($AD378,1)&lt;&gt;"⚠"),LEFT($AD378,FIND(" ",$AD378)-1),IF($H378="","",IF(RIGHT($H378,2)="병원",$H378,$H378&amp;"병원")))))</f>
        <v/>
      </c>
      <c r="O378" s="10">
        <f>IF($B378="","",IF(AND($U378="파견중",$Q378&lt;&gt;""),IF($R378&lt;&gt;"",$R378,"파견과 미입력"),IF(AND($AD378&lt;&gt;"",LEFT($AD378,1)&lt;&gt;"⚠"),MID($AD378,FIND(" ",$AD378)+1,60),IF($F378="","",IF($F378="인턴","수련교육부(인턴)",$F378)))))</f>
        <v/>
      </c>
      <c r="P378" s="10">
        <f>IF($B378="","",IF($AK378&lt;&gt;"",IF(AND(TODAY()&gt;=INDEX(파견수련계획!$AB$4:$AB$83,$AK378),OR(NOT(ISNUMBER(INDEX(파견수련계획!$AC$4:$AC$83,$AK378))),TODAY()&lt;=INDEX(파견수련계획!$AC$4:$AC$83,$AK378))),"다기관",IF($AF378="","",INDEX(파견수련계획!$T$4:$T$83,$AF378))),IF($AF378="","",INDEX(파견수련계획!$T$4:$T$83,$AF378))))</f>
        <v/>
      </c>
      <c r="Q378" s="10">
        <f>IF($AF378="","",INDEX(파견수련계획!$S$4:$S$83,$AF378))</f>
        <v/>
      </c>
      <c r="R378" s="10">
        <f>IF($AF378="","",INDEX(파견수련계획!$U$4:$U$83,$AF378))</f>
        <v/>
      </c>
      <c r="S378" s="11">
        <f>IF($AF378="","",IF(INDEX(파견수련계획!$H$4:$H$83,$AF378)="","",INDEX(파견수련계획!$H$4:$H$83,$AF378)))</f>
        <v/>
      </c>
      <c r="T378" s="11">
        <f>IF($AF378="","",IF(INDEX(파견수련계획!$I$4:$I$83,$AF378)="","",INDEX(파견수련계획!$I$4:$I$83,$AF378)))</f>
        <v/>
      </c>
      <c r="U378" s="10">
        <f>IF($AF378="","",INDEX(파견수련계획!$X$4:$X$83,$AF378))</f>
        <v/>
      </c>
      <c r="V378" s="17">
        <f>IF($AF378="","",INDEX(파견수련계획!$V$4:$V$83,$AF378))</f>
        <v/>
      </c>
      <c r="W378" s="17">
        <f>IF(AND($U378="파견중",$T378&lt;&gt;""),$T378-TODAY(),"")</f>
        <v/>
      </c>
      <c r="X378" s="17">
        <f>IF(OR($B378="",TRIM($J378&amp;"")=""),"",SUMPRODUCT((파견수련계획!$Q$4:$Q$83=TRIM($J378&amp;""))*파견수련계획!$W$4:$W$83))</f>
        <v/>
      </c>
      <c r="Y378" s="10">
        <f>IF($B378="","",IF($AG378="","",IF(IF(TRIM($J378&amp;"")="",0,SUMPRODUCT((파견수련계획!$Q$4:$Q$83=TRIM($J378&amp;""))*파견수련계획!$AD$4:$AD$83))&gt;0,$AE378,IF(N($X378)&lt;=0,$AG378,IF($AH378+$AI378=DAY(EOMONTH(요약!$B$3,0)),IF(AND($AH378&gt;=요약!$E$3,$AI378&lt;요약!$E$3),"서울병원",IF(AND($AI378&gt;=요약!$E$3,$AH378&lt;요약!$E$3),"구리병원","⚠15일 판정불가(서울 "&amp;$AH378&amp;"일/구리 "&amp;$AI378&amp;"일)")),IF($AJ378="",$AE378,IF(INDEX(파견수련계획!$T$4:$T$83,$AJ378)="통합수련",INDEX(파견수련계획!$S$4:$S$83,$AJ378),$AE378)))))))</f>
        <v/>
      </c>
      <c r="Z378" s="19">
        <f>IF($B378="","",IF($AB378="","기본자료에 없는 사번",IF(COUNTIF($B$2:$B$401,$B378)&gt;1,"중복 사번",IF($AE378="","소속(입사장소) 입력",IF(IF(TRIM($J378&amp;"")="",0,SUMPRODUCT((파견수련계획!$Q$4:$Q$83=TRIM($J378&amp;""))*(파견수련계획!$AA$4:$AA$83&lt;&gt;"")))&gt;0,"파견수련계획 입력오류 확인",IF(LEFT($Y378,1)="⚠","서울·구리 15일 판정 불가(양쪽 모두 이상/미만)",IF(IF($AC378="",0,N(INDEX(인턴근무계획!$T$3:$T$62,$AC378)))&gt;0,"인턴계획 입력오류 확인",IF(AND($AC378&lt;&gt;"",$U378&lt;&gt;"파견중",$N378&lt;&gt;$AE378),"인턴 타지역 근무: 파견 여부 확인","정상"))))))))</f>
        <v/>
      </c>
      <c r="AA378" s="5" t="n"/>
      <c r="AB378" s="10">
        <f>IF($B378="","",IFERROR(MATCH($B378,기본자료!$B$2:$B$1001,0),IFERROR(MATCH($B378&amp;"",기본자료!$B$2:$B$1001,0),IFERROR(MATCH(VALUE($B378),기본자료!$B$2:$B$1001,0),""))))</f>
        <v/>
      </c>
      <c r="AC378" s="10">
        <f>IF($B378="","",IFERROR(MATCH($B378,인턴근무계획!$D$3:$D$62,0),IFERROR(MATCH($B378&amp;"",인턴근무계획!$D$3:$D$62,0),IFERROR(MATCH(VALUE($B378),인턴근무계획!$D$3:$D$62,0),""))))</f>
        <v/>
      </c>
      <c r="AD378" s="10">
        <f>IF(OR($AC378="",인턴현황!$G$3=""),"",INDEX(인턴근무계획!$M$3:$R$62,$AC378,인턴현황!$G$3)&amp;"")</f>
        <v/>
      </c>
      <c r="AE378" s="10">
        <f>IF($B378="","",IF($M378&lt;&gt;"",$M378,IF($AF378&lt;&gt;"",IF(LEFT(INDEX(파견수련계획!$R$4:$R$83,$AF378),1)&lt;&gt;"⚠",INDEX(파견수련계획!$R$4:$R$83,$AF378),IF($H378="","",IF(RIGHT($H378,2)="병원",$H378,$H378&amp;"병원"))),IF($H378="","",IF(RIGHT($H378,2)="병원",$H378,$H378&amp;"병원")))))</f>
        <v/>
      </c>
      <c r="AF378" s="10">
        <f>IF(OR($B378="",TRIM($J378&amp;"")=""),"",IFERROR(MATCH(TRIM($J378&amp;"")&amp;"|파견중",파견수련계획!$Y$4:$Y$83,0),IFERROR(MATCH(TRIM($J378&amp;"")&amp;"|파견예정",파견수련계획!$Y$4:$Y$83,0),IFERROR(MATCH(TRIM($J378&amp;"")&amp;"|파견종료",파견수련계획!$Y$4:$Y$83,0),""))))</f>
        <v/>
      </c>
      <c r="AG378" s="10">
        <f>IF($B378="","",IF(AND(IF(OR($AC378="",인턴현황!$K$2=""),"",INDEX(인턴근무계획!$M$3:$R$62,$AC378,인턴현황!$K$2)&amp;"")&lt;&gt;"",LEFT(IF(OR($AC378="",인턴현황!$K$2=""),"",INDEX(인턴근무계획!$M$3:$R$62,$AC378,인턴현황!$K$2)&amp;""),1)&lt;&gt;"⚠"),LEFT(IF(OR($AC378="",인턴현황!$K$2=""),"",INDEX(인턴근무계획!$M$3:$R$62,$AC378,인턴현황!$K$2)&amp;""),FIND(" ",IF(OR($AC378="",인턴현황!$K$2=""),"",INDEX(인턴근무계획!$M$3:$R$62,$AC378,인턴현황!$K$2)&amp;""))-1),$AE378))</f>
        <v/>
      </c>
      <c r="AH378" s="17">
        <f>IF($B378="","",IF(TRIM($J378&amp;"")="",0,SUMPRODUCT((파견수련계획!$Q$4:$Q$83=TRIM($J378&amp;""))*(파견수련계획!$S$4:$S$83="서울병원")*파견수련계획!$W$4:$W$83))+IF($AG378="서울병원",MAX(0,DAY(EOMONTH(요약!$B$3,0))-N($X378)),0))</f>
        <v/>
      </c>
      <c r="AI378" s="17">
        <f>IF($B378="","",IF(TRIM($J378&amp;"")="",0,SUMPRODUCT((파견수련계획!$Q$4:$Q$83=TRIM($J378&amp;""))*(파견수련계획!$S$4:$S$83="구리병원")*파견수련계획!$W$4:$W$83))+IF($AG378="구리병원",MAX(0,DAY(EOMONTH(요약!$B$3,0))-N($X378)),0))</f>
        <v/>
      </c>
      <c r="AJ378" s="10">
        <f>IF(OR($B378="",TRIM($J378&amp;"")=""),"",IFERROR(MATCH(TRIM($J378&amp;"")&amp;"|월",파견수련계획!$Z$4:$Z$83,0),""))</f>
        <v/>
      </c>
      <c r="AK378" s="10">
        <f>IF(OR($B378="",TRIM($J378&amp;"")=""),"",IFERROR(MATCH(TRIM($J378&amp;"")&amp;"|다기관",파견수련계획!$AE$4:$AE$83,0),""))</f>
        <v/>
      </c>
      <c r="AL378" s="10">
        <f>IF($AK378="","","다기관 "&amp;TEXT(INDEX(파견수련계획!$AB$4:$AB$83,$AK378),"yyyy-mm-dd")&amp;"~"&amp;IF(ISNUMBER(INDEX(파견수련계획!$AC$4:$AC$83,$AK378)),TEXT(INDEX(파견수련계획!$AC$4:$AC$83,$AK378),"yyyy-mm-dd"),""))</f>
        <v/>
      </c>
    </row>
    <row r="379">
      <c r="A379" s="10">
        <f>IF(B379="","",ROW()-1)</f>
        <v/>
      </c>
      <c r="B379" s="18" t="n"/>
      <c r="C379" s="10">
        <f>IF($AB379="","",IF(INDEX(기본자료!$C$2:$C$1001,$AB379)="","",INDEX(기본자료!$C$2:$C$1001,$AB379)))</f>
        <v/>
      </c>
      <c r="D379" s="10">
        <f>IF($AB379="","",IF(INDEX(기본자료!$J$2:$J$1001,$AB379)="","",INDEX(기본자료!$J$2:$J$1001,$AB379)))</f>
        <v/>
      </c>
      <c r="E379" s="11">
        <f>IF($AB379="","",IF(INDEX(기본자료!$K$2:$K$1001,$AB379)="","",IF(NOT(ISNUMBER(INDEX(기본자료!$K$2:$K$1001,$AB379))),INDEX(기본자료!$K$2:$K$1001,$AB379),IF(INDEX(기본자료!$K$2:$K$1001,$AB379)&lt;1000000,INDEX(기본자료!$K$2:$K$1001,$AB379),IF(AND(INDEX(기본자료!$K$2:$K$1001,$AB379)&gt;=10000101,INT(MOD(INDEX(기본자료!$K$2:$K$1001,$AB379),10000)/100)&gt;=1,INT(MOD(INDEX(기본자료!$K$2:$K$1001,$AB379),10000)/100)&lt;=12,MOD(INDEX(기본자료!$K$2:$K$1001,$AB379),100)&gt;=1,MOD(INDEX(기본자료!$K$2:$K$1001,$AB379),100)&lt;=31),DATE(INT(INDEX(기본자료!$K$2:$K$1001,$AB379)/10000),INT(MOD(INDEX(기본자료!$K$2:$K$1001,$AB379),10000)/100),MOD(INDEX(기본자료!$K$2:$K$1001,$AB379),100)),INDEX(기본자료!$K$2:$K$1001,$AB379)&amp;"")))))</f>
        <v/>
      </c>
      <c r="F379" s="10">
        <f>IF($AB379="","",IF(INDEX(기본자료!$D$2:$D$1001,$AB379)="","",INDEX(기본자료!$D$2:$D$1001,$AB379)))</f>
        <v/>
      </c>
      <c r="G379" s="10">
        <f>IF($AB379="","",IF(INDEX(기본자료!$E$2:$E$1001,$AB379)="","",INDEX(기본자료!$E$2:$E$1001,$AB379)))</f>
        <v/>
      </c>
      <c r="H379" s="10">
        <f>IF($AB379="","",IF(INDEX(기본자료!$F$2:$F$1001,$AB379)="","",INDEX(기본자료!$F$2:$F$1001,$AB379)))</f>
        <v/>
      </c>
      <c r="I379" s="11">
        <f>IF($AB379="","",IF(INDEX(기본자료!$G$2:$G$1001,$AB379)="","",IF(NOT(ISNUMBER(INDEX(기본자료!$G$2:$G$1001,$AB379))),INDEX(기본자료!$G$2:$G$1001,$AB379),IF(INDEX(기본자료!$G$2:$G$1001,$AB379)&lt;1000000,INDEX(기본자료!$G$2:$G$1001,$AB379),IF(AND(INDEX(기본자료!$G$2:$G$1001,$AB379)&gt;=10000101,INT(MOD(INDEX(기본자료!$G$2:$G$1001,$AB379),10000)/100)&gt;=1,INT(MOD(INDEX(기본자료!$G$2:$G$1001,$AB379),10000)/100)&lt;=12,MOD(INDEX(기본자료!$G$2:$G$1001,$AB379),100)&gt;=1,MOD(INDEX(기본자료!$G$2:$G$1001,$AB379),100)&lt;=31),DATE(INT(INDEX(기본자료!$G$2:$G$1001,$AB379)/10000),INT(MOD(INDEX(기본자료!$G$2:$G$1001,$AB379),10000)/100),MOD(INDEX(기본자료!$G$2:$G$1001,$AB379),100)),INDEX(기본자료!$G$2:$G$1001,$AB379)&amp;"")))))</f>
        <v/>
      </c>
      <c r="J379" s="10">
        <f>IF($AB379="","",IF(INDEX(기본자료!$H$2:$H$1001,$AB379)="","",INDEX(기본자료!$H$2:$H$1001,$AB379)))</f>
        <v/>
      </c>
      <c r="K379" s="10">
        <f>IF($AB379="","",IF(INDEX(기본자료!$I$2:$I$1001,$AB379)="","",INDEX(기본자료!$I$2:$I$1001,$AB379)))</f>
        <v/>
      </c>
      <c r="L379" s="10">
        <f>IF($AB379="","",IF(INDEX(기본자료!$A$2:$A$1001,$AB379)="","",INDEX(기본자료!$A$2:$A$1001,$AB379)))</f>
        <v/>
      </c>
      <c r="M379" s="15" t="n"/>
      <c r="N379" s="10">
        <f>IF($B379="","",IF(AND($U379="파견중",$Q379&lt;&gt;""),$Q379,IF(AND($AD379&lt;&gt;"",LEFT($AD379,1)&lt;&gt;"⚠"),LEFT($AD379,FIND(" ",$AD379)-1),IF($H379="","",IF(RIGHT($H379,2)="병원",$H379,$H379&amp;"병원")))))</f>
        <v/>
      </c>
      <c r="O379" s="10">
        <f>IF($B379="","",IF(AND($U379="파견중",$Q379&lt;&gt;""),IF($R379&lt;&gt;"",$R379,"파견과 미입력"),IF(AND($AD379&lt;&gt;"",LEFT($AD379,1)&lt;&gt;"⚠"),MID($AD379,FIND(" ",$AD379)+1,60),IF($F379="","",IF($F379="인턴","수련교육부(인턴)",$F379)))))</f>
        <v/>
      </c>
      <c r="P379" s="10">
        <f>IF($B379="","",IF($AK379&lt;&gt;"",IF(AND(TODAY()&gt;=INDEX(파견수련계획!$AB$4:$AB$83,$AK379),OR(NOT(ISNUMBER(INDEX(파견수련계획!$AC$4:$AC$83,$AK379))),TODAY()&lt;=INDEX(파견수련계획!$AC$4:$AC$83,$AK379))),"다기관",IF($AF379="","",INDEX(파견수련계획!$T$4:$T$83,$AF379))),IF($AF379="","",INDEX(파견수련계획!$T$4:$T$83,$AF379))))</f>
        <v/>
      </c>
      <c r="Q379" s="10">
        <f>IF($AF379="","",INDEX(파견수련계획!$S$4:$S$83,$AF379))</f>
        <v/>
      </c>
      <c r="R379" s="10">
        <f>IF($AF379="","",INDEX(파견수련계획!$U$4:$U$83,$AF379))</f>
        <v/>
      </c>
      <c r="S379" s="11">
        <f>IF($AF379="","",IF(INDEX(파견수련계획!$H$4:$H$83,$AF379)="","",INDEX(파견수련계획!$H$4:$H$83,$AF379)))</f>
        <v/>
      </c>
      <c r="T379" s="11">
        <f>IF($AF379="","",IF(INDEX(파견수련계획!$I$4:$I$83,$AF379)="","",INDEX(파견수련계획!$I$4:$I$83,$AF379)))</f>
        <v/>
      </c>
      <c r="U379" s="10">
        <f>IF($AF379="","",INDEX(파견수련계획!$X$4:$X$83,$AF379))</f>
        <v/>
      </c>
      <c r="V379" s="17">
        <f>IF($AF379="","",INDEX(파견수련계획!$V$4:$V$83,$AF379))</f>
        <v/>
      </c>
      <c r="W379" s="17">
        <f>IF(AND($U379="파견중",$T379&lt;&gt;""),$T379-TODAY(),"")</f>
        <v/>
      </c>
      <c r="X379" s="17">
        <f>IF(OR($B379="",TRIM($J379&amp;"")=""),"",SUMPRODUCT((파견수련계획!$Q$4:$Q$83=TRIM($J379&amp;""))*파견수련계획!$W$4:$W$83))</f>
        <v/>
      </c>
      <c r="Y379" s="10">
        <f>IF($B379="","",IF($AG379="","",IF(IF(TRIM($J379&amp;"")="",0,SUMPRODUCT((파견수련계획!$Q$4:$Q$83=TRIM($J379&amp;""))*파견수련계획!$AD$4:$AD$83))&gt;0,$AE379,IF(N($X379)&lt;=0,$AG379,IF($AH379+$AI379=DAY(EOMONTH(요약!$B$3,0)),IF(AND($AH379&gt;=요약!$E$3,$AI379&lt;요약!$E$3),"서울병원",IF(AND($AI379&gt;=요약!$E$3,$AH379&lt;요약!$E$3),"구리병원","⚠15일 판정불가(서울 "&amp;$AH379&amp;"일/구리 "&amp;$AI379&amp;"일)")),IF($AJ379="",$AE379,IF(INDEX(파견수련계획!$T$4:$T$83,$AJ379)="통합수련",INDEX(파견수련계획!$S$4:$S$83,$AJ379),$AE379)))))))</f>
        <v/>
      </c>
      <c r="Z379" s="19">
        <f>IF($B379="","",IF($AB379="","기본자료에 없는 사번",IF(COUNTIF($B$2:$B$401,$B379)&gt;1,"중복 사번",IF($AE379="","소속(입사장소) 입력",IF(IF(TRIM($J379&amp;"")="",0,SUMPRODUCT((파견수련계획!$Q$4:$Q$83=TRIM($J379&amp;""))*(파견수련계획!$AA$4:$AA$83&lt;&gt;"")))&gt;0,"파견수련계획 입력오류 확인",IF(LEFT($Y379,1)="⚠","서울·구리 15일 판정 불가(양쪽 모두 이상/미만)",IF(IF($AC379="",0,N(INDEX(인턴근무계획!$T$3:$T$62,$AC379)))&gt;0,"인턴계획 입력오류 확인",IF(AND($AC379&lt;&gt;"",$U379&lt;&gt;"파견중",$N379&lt;&gt;$AE379),"인턴 타지역 근무: 파견 여부 확인","정상"))))))))</f>
        <v/>
      </c>
      <c r="AA379" s="5" t="n"/>
      <c r="AB379" s="10">
        <f>IF($B379="","",IFERROR(MATCH($B379,기본자료!$B$2:$B$1001,0),IFERROR(MATCH($B379&amp;"",기본자료!$B$2:$B$1001,0),IFERROR(MATCH(VALUE($B379),기본자료!$B$2:$B$1001,0),""))))</f>
        <v/>
      </c>
      <c r="AC379" s="10">
        <f>IF($B379="","",IFERROR(MATCH($B379,인턴근무계획!$D$3:$D$62,0),IFERROR(MATCH($B379&amp;"",인턴근무계획!$D$3:$D$62,0),IFERROR(MATCH(VALUE($B379),인턴근무계획!$D$3:$D$62,0),""))))</f>
        <v/>
      </c>
      <c r="AD379" s="10">
        <f>IF(OR($AC379="",인턴현황!$G$3=""),"",INDEX(인턴근무계획!$M$3:$R$62,$AC379,인턴현황!$G$3)&amp;"")</f>
        <v/>
      </c>
      <c r="AE379" s="10">
        <f>IF($B379="","",IF($M379&lt;&gt;"",$M379,IF($AF379&lt;&gt;"",IF(LEFT(INDEX(파견수련계획!$R$4:$R$83,$AF379),1)&lt;&gt;"⚠",INDEX(파견수련계획!$R$4:$R$83,$AF379),IF($H379="","",IF(RIGHT($H379,2)="병원",$H379,$H379&amp;"병원"))),IF($H379="","",IF(RIGHT($H379,2)="병원",$H379,$H379&amp;"병원")))))</f>
        <v/>
      </c>
      <c r="AF379" s="10">
        <f>IF(OR($B379="",TRIM($J379&amp;"")=""),"",IFERROR(MATCH(TRIM($J379&amp;"")&amp;"|파견중",파견수련계획!$Y$4:$Y$83,0),IFERROR(MATCH(TRIM($J379&amp;"")&amp;"|파견예정",파견수련계획!$Y$4:$Y$83,0),IFERROR(MATCH(TRIM($J379&amp;"")&amp;"|파견종료",파견수련계획!$Y$4:$Y$83,0),""))))</f>
        <v/>
      </c>
      <c r="AG379" s="10">
        <f>IF($B379="","",IF(AND(IF(OR($AC379="",인턴현황!$K$2=""),"",INDEX(인턴근무계획!$M$3:$R$62,$AC379,인턴현황!$K$2)&amp;"")&lt;&gt;"",LEFT(IF(OR($AC379="",인턴현황!$K$2=""),"",INDEX(인턴근무계획!$M$3:$R$62,$AC379,인턴현황!$K$2)&amp;""),1)&lt;&gt;"⚠"),LEFT(IF(OR($AC379="",인턴현황!$K$2=""),"",INDEX(인턴근무계획!$M$3:$R$62,$AC379,인턴현황!$K$2)&amp;""),FIND(" ",IF(OR($AC379="",인턴현황!$K$2=""),"",INDEX(인턴근무계획!$M$3:$R$62,$AC379,인턴현황!$K$2)&amp;""))-1),$AE379))</f>
        <v/>
      </c>
      <c r="AH379" s="17">
        <f>IF($B379="","",IF(TRIM($J379&amp;"")="",0,SUMPRODUCT((파견수련계획!$Q$4:$Q$83=TRIM($J379&amp;""))*(파견수련계획!$S$4:$S$83="서울병원")*파견수련계획!$W$4:$W$83))+IF($AG379="서울병원",MAX(0,DAY(EOMONTH(요약!$B$3,0))-N($X379)),0))</f>
        <v/>
      </c>
      <c r="AI379" s="17">
        <f>IF($B379="","",IF(TRIM($J379&amp;"")="",0,SUMPRODUCT((파견수련계획!$Q$4:$Q$83=TRIM($J379&amp;""))*(파견수련계획!$S$4:$S$83="구리병원")*파견수련계획!$W$4:$W$83))+IF($AG379="구리병원",MAX(0,DAY(EOMONTH(요약!$B$3,0))-N($X379)),0))</f>
        <v/>
      </c>
      <c r="AJ379" s="10">
        <f>IF(OR($B379="",TRIM($J379&amp;"")=""),"",IFERROR(MATCH(TRIM($J379&amp;"")&amp;"|월",파견수련계획!$Z$4:$Z$83,0),""))</f>
        <v/>
      </c>
      <c r="AK379" s="10">
        <f>IF(OR($B379="",TRIM($J379&amp;"")=""),"",IFERROR(MATCH(TRIM($J379&amp;"")&amp;"|다기관",파견수련계획!$AE$4:$AE$83,0),""))</f>
        <v/>
      </c>
      <c r="AL379" s="10">
        <f>IF($AK379="","","다기관 "&amp;TEXT(INDEX(파견수련계획!$AB$4:$AB$83,$AK379),"yyyy-mm-dd")&amp;"~"&amp;IF(ISNUMBER(INDEX(파견수련계획!$AC$4:$AC$83,$AK379)),TEXT(INDEX(파견수련계획!$AC$4:$AC$83,$AK379),"yyyy-mm-dd"),""))</f>
        <v/>
      </c>
    </row>
    <row r="380">
      <c r="A380" s="10">
        <f>IF(B380="","",ROW()-1)</f>
        <v/>
      </c>
      <c r="B380" s="18" t="n"/>
      <c r="C380" s="10">
        <f>IF($AB380="","",IF(INDEX(기본자료!$C$2:$C$1001,$AB380)="","",INDEX(기본자료!$C$2:$C$1001,$AB380)))</f>
        <v/>
      </c>
      <c r="D380" s="10">
        <f>IF($AB380="","",IF(INDEX(기본자료!$J$2:$J$1001,$AB380)="","",INDEX(기본자료!$J$2:$J$1001,$AB380)))</f>
        <v/>
      </c>
      <c r="E380" s="11">
        <f>IF($AB380="","",IF(INDEX(기본자료!$K$2:$K$1001,$AB380)="","",IF(NOT(ISNUMBER(INDEX(기본자료!$K$2:$K$1001,$AB380))),INDEX(기본자료!$K$2:$K$1001,$AB380),IF(INDEX(기본자료!$K$2:$K$1001,$AB380)&lt;1000000,INDEX(기본자료!$K$2:$K$1001,$AB380),IF(AND(INDEX(기본자료!$K$2:$K$1001,$AB380)&gt;=10000101,INT(MOD(INDEX(기본자료!$K$2:$K$1001,$AB380),10000)/100)&gt;=1,INT(MOD(INDEX(기본자료!$K$2:$K$1001,$AB380),10000)/100)&lt;=12,MOD(INDEX(기본자료!$K$2:$K$1001,$AB380),100)&gt;=1,MOD(INDEX(기본자료!$K$2:$K$1001,$AB380),100)&lt;=31),DATE(INT(INDEX(기본자료!$K$2:$K$1001,$AB380)/10000),INT(MOD(INDEX(기본자료!$K$2:$K$1001,$AB380),10000)/100),MOD(INDEX(기본자료!$K$2:$K$1001,$AB380),100)),INDEX(기본자료!$K$2:$K$1001,$AB380)&amp;"")))))</f>
        <v/>
      </c>
      <c r="F380" s="10">
        <f>IF($AB380="","",IF(INDEX(기본자료!$D$2:$D$1001,$AB380)="","",INDEX(기본자료!$D$2:$D$1001,$AB380)))</f>
        <v/>
      </c>
      <c r="G380" s="10">
        <f>IF($AB380="","",IF(INDEX(기본자료!$E$2:$E$1001,$AB380)="","",INDEX(기본자료!$E$2:$E$1001,$AB380)))</f>
        <v/>
      </c>
      <c r="H380" s="10">
        <f>IF($AB380="","",IF(INDEX(기본자료!$F$2:$F$1001,$AB380)="","",INDEX(기본자료!$F$2:$F$1001,$AB380)))</f>
        <v/>
      </c>
      <c r="I380" s="11">
        <f>IF($AB380="","",IF(INDEX(기본자료!$G$2:$G$1001,$AB380)="","",IF(NOT(ISNUMBER(INDEX(기본자료!$G$2:$G$1001,$AB380))),INDEX(기본자료!$G$2:$G$1001,$AB380),IF(INDEX(기본자료!$G$2:$G$1001,$AB380)&lt;1000000,INDEX(기본자료!$G$2:$G$1001,$AB380),IF(AND(INDEX(기본자료!$G$2:$G$1001,$AB380)&gt;=10000101,INT(MOD(INDEX(기본자료!$G$2:$G$1001,$AB380),10000)/100)&gt;=1,INT(MOD(INDEX(기본자료!$G$2:$G$1001,$AB380),10000)/100)&lt;=12,MOD(INDEX(기본자료!$G$2:$G$1001,$AB380),100)&gt;=1,MOD(INDEX(기본자료!$G$2:$G$1001,$AB380),100)&lt;=31),DATE(INT(INDEX(기본자료!$G$2:$G$1001,$AB380)/10000),INT(MOD(INDEX(기본자료!$G$2:$G$1001,$AB380),10000)/100),MOD(INDEX(기본자료!$G$2:$G$1001,$AB380),100)),INDEX(기본자료!$G$2:$G$1001,$AB380)&amp;"")))))</f>
        <v/>
      </c>
      <c r="J380" s="10">
        <f>IF($AB380="","",IF(INDEX(기본자료!$H$2:$H$1001,$AB380)="","",INDEX(기본자료!$H$2:$H$1001,$AB380)))</f>
        <v/>
      </c>
      <c r="K380" s="10">
        <f>IF($AB380="","",IF(INDEX(기본자료!$I$2:$I$1001,$AB380)="","",INDEX(기본자료!$I$2:$I$1001,$AB380)))</f>
        <v/>
      </c>
      <c r="L380" s="10">
        <f>IF($AB380="","",IF(INDEX(기본자료!$A$2:$A$1001,$AB380)="","",INDEX(기본자료!$A$2:$A$1001,$AB380)))</f>
        <v/>
      </c>
      <c r="M380" s="15" t="n"/>
      <c r="N380" s="10">
        <f>IF($B380="","",IF(AND($U380="파견중",$Q380&lt;&gt;""),$Q380,IF(AND($AD380&lt;&gt;"",LEFT($AD380,1)&lt;&gt;"⚠"),LEFT($AD380,FIND(" ",$AD380)-1),IF($H380="","",IF(RIGHT($H380,2)="병원",$H380,$H380&amp;"병원")))))</f>
        <v/>
      </c>
      <c r="O380" s="10">
        <f>IF($B380="","",IF(AND($U380="파견중",$Q380&lt;&gt;""),IF($R380&lt;&gt;"",$R380,"파견과 미입력"),IF(AND($AD380&lt;&gt;"",LEFT($AD380,1)&lt;&gt;"⚠"),MID($AD380,FIND(" ",$AD380)+1,60),IF($F380="","",IF($F380="인턴","수련교육부(인턴)",$F380)))))</f>
        <v/>
      </c>
      <c r="P380" s="10">
        <f>IF($B380="","",IF($AK380&lt;&gt;"",IF(AND(TODAY()&gt;=INDEX(파견수련계획!$AB$4:$AB$83,$AK380),OR(NOT(ISNUMBER(INDEX(파견수련계획!$AC$4:$AC$83,$AK380))),TODAY()&lt;=INDEX(파견수련계획!$AC$4:$AC$83,$AK380))),"다기관",IF($AF380="","",INDEX(파견수련계획!$T$4:$T$83,$AF380))),IF($AF380="","",INDEX(파견수련계획!$T$4:$T$83,$AF380))))</f>
        <v/>
      </c>
      <c r="Q380" s="10">
        <f>IF($AF380="","",INDEX(파견수련계획!$S$4:$S$83,$AF380))</f>
        <v/>
      </c>
      <c r="R380" s="10">
        <f>IF($AF380="","",INDEX(파견수련계획!$U$4:$U$83,$AF380))</f>
        <v/>
      </c>
      <c r="S380" s="11">
        <f>IF($AF380="","",IF(INDEX(파견수련계획!$H$4:$H$83,$AF380)="","",INDEX(파견수련계획!$H$4:$H$83,$AF380)))</f>
        <v/>
      </c>
      <c r="T380" s="11">
        <f>IF($AF380="","",IF(INDEX(파견수련계획!$I$4:$I$83,$AF380)="","",INDEX(파견수련계획!$I$4:$I$83,$AF380)))</f>
        <v/>
      </c>
      <c r="U380" s="10">
        <f>IF($AF380="","",INDEX(파견수련계획!$X$4:$X$83,$AF380))</f>
        <v/>
      </c>
      <c r="V380" s="17">
        <f>IF($AF380="","",INDEX(파견수련계획!$V$4:$V$83,$AF380))</f>
        <v/>
      </c>
      <c r="W380" s="17">
        <f>IF(AND($U380="파견중",$T380&lt;&gt;""),$T380-TODAY(),"")</f>
        <v/>
      </c>
      <c r="X380" s="17">
        <f>IF(OR($B380="",TRIM($J380&amp;"")=""),"",SUMPRODUCT((파견수련계획!$Q$4:$Q$83=TRIM($J380&amp;""))*파견수련계획!$W$4:$W$83))</f>
        <v/>
      </c>
      <c r="Y380" s="10">
        <f>IF($B380="","",IF($AG380="","",IF(IF(TRIM($J380&amp;"")="",0,SUMPRODUCT((파견수련계획!$Q$4:$Q$83=TRIM($J380&amp;""))*파견수련계획!$AD$4:$AD$83))&gt;0,$AE380,IF(N($X380)&lt;=0,$AG380,IF($AH380+$AI380=DAY(EOMONTH(요약!$B$3,0)),IF(AND($AH380&gt;=요약!$E$3,$AI380&lt;요약!$E$3),"서울병원",IF(AND($AI380&gt;=요약!$E$3,$AH380&lt;요약!$E$3),"구리병원","⚠15일 판정불가(서울 "&amp;$AH380&amp;"일/구리 "&amp;$AI380&amp;"일)")),IF($AJ380="",$AE380,IF(INDEX(파견수련계획!$T$4:$T$83,$AJ380)="통합수련",INDEX(파견수련계획!$S$4:$S$83,$AJ380),$AE380)))))))</f>
        <v/>
      </c>
      <c r="Z380" s="19">
        <f>IF($B380="","",IF($AB380="","기본자료에 없는 사번",IF(COUNTIF($B$2:$B$401,$B380)&gt;1,"중복 사번",IF($AE380="","소속(입사장소) 입력",IF(IF(TRIM($J380&amp;"")="",0,SUMPRODUCT((파견수련계획!$Q$4:$Q$83=TRIM($J380&amp;""))*(파견수련계획!$AA$4:$AA$83&lt;&gt;"")))&gt;0,"파견수련계획 입력오류 확인",IF(LEFT($Y380,1)="⚠","서울·구리 15일 판정 불가(양쪽 모두 이상/미만)",IF(IF($AC380="",0,N(INDEX(인턴근무계획!$T$3:$T$62,$AC380)))&gt;0,"인턴계획 입력오류 확인",IF(AND($AC380&lt;&gt;"",$U380&lt;&gt;"파견중",$N380&lt;&gt;$AE380),"인턴 타지역 근무: 파견 여부 확인","정상"))))))))</f>
        <v/>
      </c>
      <c r="AA380" s="5" t="n"/>
      <c r="AB380" s="10">
        <f>IF($B380="","",IFERROR(MATCH($B380,기본자료!$B$2:$B$1001,0),IFERROR(MATCH($B380&amp;"",기본자료!$B$2:$B$1001,0),IFERROR(MATCH(VALUE($B380),기본자료!$B$2:$B$1001,0),""))))</f>
        <v/>
      </c>
      <c r="AC380" s="10">
        <f>IF($B380="","",IFERROR(MATCH($B380,인턴근무계획!$D$3:$D$62,0),IFERROR(MATCH($B380&amp;"",인턴근무계획!$D$3:$D$62,0),IFERROR(MATCH(VALUE($B380),인턴근무계획!$D$3:$D$62,0),""))))</f>
        <v/>
      </c>
      <c r="AD380" s="10">
        <f>IF(OR($AC380="",인턴현황!$G$3=""),"",INDEX(인턴근무계획!$M$3:$R$62,$AC380,인턴현황!$G$3)&amp;"")</f>
        <v/>
      </c>
      <c r="AE380" s="10">
        <f>IF($B380="","",IF($M380&lt;&gt;"",$M380,IF($AF380&lt;&gt;"",IF(LEFT(INDEX(파견수련계획!$R$4:$R$83,$AF380),1)&lt;&gt;"⚠",INDEX(파견수련계획!$R$4:$R$83,$AF380),IF($H380="","",IF(RIGHT($H380,2)="병원",$H380,$H380&amp;"병원"))),IF($H380="","",IF(RIGHT($H380,2)="병원",$H380,$H380&amp;"병원")))))</f>
        <v/>
      </c>
      <c r="AF380" s="10">
        <f>IF(OR($B380="",TRIM($J380&amp;"")=""),"",IFERROR(MATCH(TRIM($J380&amp;"")&amp;"|파견중",파견수련계획!$Y$4:$Y$83,0),IFERROR(MATCH(TRIM($J380&amp;"")&amp;"|파견예정",파견수련계획!$Y$4:$Y$83,0),IFERROR(MATCH(TRIM($J380&amp;"")&amp;"|파견종료",파견수련계획!$Y$4:$Y$83,0),""))))</f>
        <v/>
      </c>
      <c r="AG380" s="10">
        <f>IF($B380="","",IF(AND(IF(OR($AC380="",인턴현황!$K$2=""),"",INDEX(인턴근무계획!$M$3:$R$62,$AC380,인턴현황!$K$2)&amp;"")&lt;&gt;"",LEFT(IF(OR($AC380="",인턴현황!$K$2=""),"",INDEX(인턴근무계획!$M$3:$R$62,$AC380,인턴현황!$K$2)&amp;""),1)&lt;&gt;"⚠"),LEFT(IF(OR($AC380="",인턴현황!$K$2=""),"",INDEX(인턴근무계획!$M$3:$R$62,$AC380,인턴현황!$K$2)&amp;""),FIND(" ",IF(OR($AC380="",인턴현황!$K$2=""),"",INDEX(인턴근무계획!$M$3:$R$62,$AC380,인턴현황!$K$2)&amp;""))-1),$AE380))</f>
        <v/>
      </c>
      <c r="AH380" s="17">
        <f>IF($B380="","",IF(TRIM($J380&amp;"")="",0,SUMPRODUCT((파견수련계획!$Q$4:$Q$83=TRIM($J380&amp;""))*(파견수련계획!$S$4:$S$83="서울병원")*파견수련계획!$W$4:$W$83))+IF($AG380="서울병원",MAX(0,DAY(EOMONTH(요약!$B$3,0))-N($X380)),0))</f>
        <v/>
      </c>
      <c r="AI380" s="17">
        <f>IF($B380="","",IF(TRIM($J380&amp;"")="",0,SUMPRODUCT((파견수련계획!$Q$4:$Q$83=TRIM($J380&amp;""))*(파견수련계획!$S$4:$S$83="구리병원")*파견수련계획!$W$4:$W$83))+IF($AG380="구리병원",MAX(0,DAY(EOMONTH(요약!$B$3,0))-N($X380)),0))</f>
        <v/>
      </c>
      <c r="AJ380" s="10">
        <f>IF(OR($B380="",TRIM($J380&amp;"")=""),"",IFERROR(MATCH(TRIM($J380&amp;"")&amp;"|월",파견수련계획!$Z$4:$Z$83,0),""))</f>
        <v/>
      </c>
      <c r="AK380" s="10">
        <f>IF(OR($B380="",TRIM($J380&amp;"")=""),"",IFERROR(MATCH(TRIM($J380&amp;"")&amp;"|다기관",파견수련계획!$AE$4:$AE$83,0),""))</f>
        <v/>
      </c>
      <c r="AL380" s="10">
        <f>IF($AK380="","","다기관 "&amp;TEXT(INDEX(파견수련계획!$AB$4:$AB$83,$AK380),"yyyy-mm-dd")&amp;"~"&amp;IF(ISNUMBER(INDEX(파견수련계획!$AC$4:$AC$83,$AK380)),TEXT(INDEX(파견수련계획!$AC$4:$AC$83,$AK380),"yyyy-mm-dd"),""))</f>
        <v/>
      </c>
    </row>
    <row r="381">
      <c r="A381" s="10">
        <f>IF(B381="","",ROW()-1)</f>
        <v/>
      </c>
      <c r="B381" s="18" t="n"/>
      <c r="C381" s="10">
        <f>IF($AB381="","",IF(INDEX(기본자료!$C$2:$C$1001,$AB381)="","",INDEX(기본자료!$C$2:$C$1001,$AB381)))</f>
        <v/>
      </c>
      <c r="D381" s="10">
        <f>IF($AB381="","",IF(INDEX(기본자료!$J$2:$J$1001,$AB381)="","",INDEX(기본자료!$J$2:$J$1001,$AB381)))</f>
        <v/>
      </c>
      <c r="E381" s="11">
        <f>IF($AB381="","",IF(INDEX(기본자료!$K$2:$K$1001,$AB381)="","",IF(NOT(ISNUMBER(INDEX(기본자료!$K$2:$K$1001,$AB381))),INDEX(기본자료!$K$2:$K$1001,$AB381),IF(INDEX(기본자료!$K$2:$K$1001,$AB381)&lt;1000000,INDEX(기본자료!$K$2:$K$1001,$AB381),IF(AND(INDEX(기본자료!$K$2:$K$1001,$AB381)&gt;=10000101,INT(MOD(INDEX(기본자료!$K$2:$K$1001,$AB381),10000)/100)&gt;=1,INT(MOD(INDEX(기본자료!$K$2:$K$1001,$AB381),10000)/100)&lt;=12,MOD(INDEX(기본자료!$K$2:$K$1001,$AB381),100)&gt;=1,MOD(INDEX(기본자료!$K$2:$K$1001,$AB381),100)&lt;=31),DATE(INT(INDEX(기본자료!$K$2:$K$1001,$AB381)/10000),INT(MOD(INDEX(기본자료!$K$2:$K$1001,$AB381),10000)/100),MOD(INDEX(기본자료!$K$2:$K$1001,$AB381),100)),INDEX(기본자료!$K$2:$K$1001,$AB381)&amp;"")))))</f>
        <v/>
      </c>
      <c r="F381" s="10">
        <f>IF($AB381="","",IF(INDEX(기본자료!$D$2:$D$1001,$AB381)="","",INDEX(기본자료!$D$2:$D$1001,$AB381)))</f>
        <v/>
      </c>
      <c r="G381" s="10">
        <f>IF($AB381="","",IF(INDEX(기본자료!$E$2:$E$1001,$AB381)="","",INDEX(기본자료!$E$2:$E$1001,$AB381)))</f>
        <v/>
      </c>
      <c r="H381" s="10">
        <f>IF($AB381="","",IF(INDEX(기본자료!$F$2:$F$1001,$AB381)="","",INDEX(기본자료!$F$2:$F$1001,$AB381)))</f>
        <v/>
      </c>
      <c r="I381" s="11">
        <f>IF($AB381="","",IF(INDEX(기본자료!$G$2:$G$1001,$AB381)="","",IF(NOT(ISNUMBER(INDEX(기본자료!$G$2:$G$1001,$AB381))),INDEX(기본자료!$G$2:$G$1001,$AB381),IF(INDEX(기본자료!$G$2:$G$1001,$AB381)&lt;1000000,INDEX(기본자료!$G$2:$G$1001,$AB381),IF(AND(INDEX(기본자료!$G$2:$G$1001,$AB381)&gt;=10000101,INT(MOD(INDEX(기본자료!$G$2:$G$1001,$AB381),10000)/100)&gt;=1,INT(MOD(INDEX(기본자료!$G$2:$G$1001,$AB381),10000)/100)&lt;=12,MOD(INDEX(기본자료!$G$2:$G$1001,$AB381),100)&gt;=1,MOD(INDEX(기본자료!$G$2:$G$1001,$AB381),100)&lt;=31),DATE(INT(INDEX(기본자료!$G$2:$G$1001,$AB381)/10000),INT(MOD(INDEX(기본자료!$G$2:$G$1001,$AB381),10000)/100),MOD(INDEX(기본자료!$G$2:$G$1001,$AB381),100)),INDEX(기본자료!$G$2:$G$1001,$AB381)&amp;"")))))</f>
        <v/>
      </c>
      <c r="J381" s="10">
        <f>IF($AB381="","",IF(INDEX(기본자료!$H$2:$H$1001,$AB381)="","",INDEX(기본자료!$H$2:$H$1001,$AB381)))</f>
        <v/>
      </c>
      <c r="K381" s="10">
        <f>IF($AB381="","",IF(INDEX(기본자료!$I$2:$I$1001,$AB381)="","",INDEX(기본자료!$I$2:$I$1001,$AB381)))</f>
        <v/>
      </c>
      <c r="L381" s="10">
        <f>IF($AB381="","",IF(INDEX(기본자료!$A$2:$A$1001,$AB381)="","",INDEX(기본자료!$A$2:$A$1001,$AB381)))</f>
        <v/>
      </c>
      <c r="M381" s="15" t="n"/>
      <c r="N381" s="10">
        <f>IF($B381="","",IF(AND($U381="파견중",$Q381&lt;&gt;""),$Q381,IF(AND($AD381&lt;&gt;"",LEFT($AD381,1)&lt;&gt;"⚠"),LEFT($AD381,FIND(" ",$AD381)-1),IF($H381="","",IF(RIGHT($H381,2)="병원",$H381,$H381&amp;"병원")))))</f>
        <v/>
      </c>
      <c r="O381" s="10">
        <f>IF($B381="","",IF(AND($U381="파견중",$Q381&lt;&gt;""),IF($R381&lt;&gt;"",$R381,"파견과 미입력"),IF(AND($AD381&lt;&gt;"",LEFT($AD381,1)&lt;&gt;"⚠"),MID($AD381,FIND(" ",$AD381)+1,60),IF($F381="","",IF($F381="인턴","수련교육부(인턴)",$F381)))))</f>
        <v/>
      </c>
      <c r="P381" s="10">
        <f>IF($B381="","",IF($AK381&lt;&gt;"",IF(AND(TODAY()&gt;=INDEX(파견수련계획!$AB$4:$AB$83,$AK381),OR(NOT(ISNUMBER(INDEX(파견수련계획!$AC$4:$AC$83,$AK381))),TODAY()&lt;=INDEX(파견수련계획!$AC$4:$AC$83,$AK381))),"다기관",IF($AF381="","",INDEX(파견수련계획!$T$4:$T$83,$AF381))),IF($AF381="","",INDEX(파견수련계획!$T$4:$T$83,$AF381))))</f>
        <v/>
      </c>
      <c r="Q381" s="10">
        <f>IF($AF381="","",INDEX(파견수련계획!$S$4:$S$83,$AF381))</f>
        <v/>
      </c>
      <c r="R381" s="10">
        <f>IF($AF381="","",INDEX(파견수련계획!$U$4:$U$83,$AF381))</f>
        <v/>
      </c>
      <c r="S381" s="11">
        <f>IF($AF381="","",IF(INDEX(파견수련계획!$H$4:$H$83,$AF381)="","",INDEX(파견수련계획!$H$4:$H$83,$AF381)))</f>
        <v/>
      </c>
      <c r="T381" s="11">
        <f>IF($AF381="","",IF(INDEX(파견수련계획!$I$4:$I$83,$AF381)="","",INDEX(파견수련계획!$I$4:$I$83,$AF381)))</f>
        <v/>
      </c>
      <c r="U381" s="10">
        <f>IF($AF381="","",INDEX(파견수련계획!$X$4:$X$83,$AF381))</f>
        <v/>
      </c>
      <c r="V381" s="17">
        <f>IF($AF381="","",INDEX(파견수련계획!$V$4:$V$83,$AF381))</f>
        <v/>
      </c>
      <c r="W381" s="17">
        <f>IF(AND($U381="파견중",$T381&lt;&gt;""),$T381-TODAY(),"")</f>
        <v/>
      </c>
      <c r="X381" s="17">
        <f>IF(OR($B381="",TRIM($J381&amp;"")=""),"",SUMPRODUCT((파견수련계획!$Q$4:$Q$83=TRIM($J381&amp;""))*파견수련계획!$W$4:$W$83))</f>
        <v/>
      </c>
      <c r="Y381" s="10">
        <f>IF($B381="","",IF($AG381="","",IF(IF(TRIM($J381&amp;"")="",0,SUMPRODUCT((파견수련계획!$Q$4:$Q$83=TRIM($J381&amp;""))*파견수련계획!$AD$4:$AD$83))&gt;0,$AE381,IF(N($X381)&lt;=0,$AG381,IF($AH381+$AI381=DAY(EOMONTH(요약!$B$3,0)),IF(AND($AH381&gt;=요약!$E$3,$AI381&lt;요약!$E$3),"서울병원",IF(AND($AI381&gt;=요약!$E$3,$AH381&lt;요약!$E$3),"구리병원","⚠15일 판정불가(서울 "&amp;$AH381&amp;"일/구리 "&amp;$AI381&amp;"일)")),IF($AJ381="",$AE381,IF(INDEX(파견수련계획!$T$4:$T$83,$AJ381)="통합수련",INDEX(파견수련계획!$S$4:$S$83,$AJ381),$AE381)))))))</f>
        <v/>
      </c>
      <c r="Z381" s="19">
        <f>IF($B381="","",IF($AB381="","기본자료에 없는 사번",IF(COUNTIF($B$2:$B$401,$B381)&gt;1,"중복 사번",IF($AE381="","소속(입사장소) 입력",IF(IF(TRIM($J381&amp;"")="",0,SUMPRODUCT((파견수련계획!$Q$4:$Q$83=TRIM($J381&amp;""))*(파견수련계획!$AA$4:$AA$83&lt;&gt;"")))&gt;0,"파견수련계획 입력오류 확인",IF(LEFT($Y381,1)="⚠","서울·구리 15일 판정 불가(양쪽 모두 이상/미만)",IF(IF($AC381="",0,N(INDEX(인턴근무계획!$T$3:$T$62,$AC381)))&gt;0,"인턴계획 입력오류 확인",IF(AND($AC381&lt;&gt;"",$U381&lt;&gt;"파견중",$N381&lt;&gt;$AE381),"인턴 타지역 근무: 파견 여부 확인","정상"))))))))</f>
        <v/>
      </c>
      <c r="AA381" s="5" t="n"/>
      <c r="AB381" s="10">
        <f>IF($B381="","",IFERROR(MATCH($B381,기본자료!$B$2:$B$1001,0),IFERROR(MATCH($B381&amp;"",기본자료!$B$2:$B$1001,0),IFERROR(MATCH(VALUE($B381),기본자료!$B$2:$B$1001,0),""))))</f>
        <v/>
      </c>
      <c r="AC381" s="10">
        <f>IF($B381="","",IFERROR(MATCH($B381,인턴근무계획!$D$3:$D$62,0),IFERROR(MATCH($B381&amp;"",인턴근무계획!$D$3:$D$62,0),IFERROR(MATCH(VALUE($B381),인턴근무계획!$D$3:$D$62,0),""))))</f>
        <v/>
      </c>
      <c r="AD381" s="10">
        <f>IF(OR($AC381="",인턴현황!$G$3=""),"",INDEX(인턴근무계획!$M$3:$R$62,$AC381,인턴현황!$G$3)&amp;"")</f>
        <v/>
      </c>
      <c r="AE381" s="10">
        <f>IF($B381="","",IF($M381&lt;&gt;"",$M381,IF($AF381&lt;&gt;"",IF(LEFT(INDEX(파견수련계획!$R$4:$R$83,$AF381),1)&lt;&gt;"⚠",INDEX(파견수련계획!$R$4:$R$83,$AF381),IF($H381="","",IF(RIGHT($H381,2)="병원",$H381,$H381&amp;"병원"))),IF($H381="","",IF(RIGHT($H381,2)="병원",$H381,$H381&amp;"병원")))))</f>
        <v/>
      </c>
      <c r="AF381" s="10">
        <f>IF(OR($B381="",TRIM($J381&amp;"")=""),"",IFERROR(MATCH(TRIM($J381&amp;"")&amp;"|파견중",파견수련계획!$Y$4:$Y$83,0),IFERROR(MATCH(TRIM($J381&amp;"")&amp;"|파견예정",파견수련계획!$Y$4:$Y$83,0),IFERROR(MATCH(TRIM($J381&amp;"")&amp;"|파견종료",파견수련계획!$Y$4:$Y$83,0),""))))</f>
        <v/>
      </c>
      <c r="AG381" s="10">
        <f>IF($B381="","",IF(AND(IF(OR($AC381="",인턴현황!$K$2=""),"",INDEX(인턴근무계획!$M$3:$R$62,$AC381,인턴현황!$K$2)&amp;"")&lt;&gt;"",LEFT(IF(OR($AC381="",인턴현황!$K$2=""),"",INDEX(인턴근무계획!$M$3:$R$62,$AC381,인턴현황!$K$2)&amp;""),1)&lt;&gt;"⚠"),LEFT(IF(OR($AC381="",인턴현황!$K$2=""),"",INDEX(인턴근무계획!$M$3:$R$62,$AC381,인턴현황!$K$2)&amp;""),FIND(" ",IF(OR($AC381="",인턴현황!$K$2=""),"",INDEX(인턴근무계획!$M$3:$R$62,$AC381,인턴현황!$K$2)&amp;""))-1),$AE381))</f>
        <v/>
      </c>
      <c r="AH381" s="17">
        <f>IF($B381="","",IF(TRIM($J381&amp;"")="",0,SUMPRODUCT((파견수련계획!$Q$4:$Q$83=TRIM($J381&amp;""))*(파견수련계획!$S$4:$S$83="서울병원")*파견수련계획!$W$4:$W$83))+IF($AG381="서울병원",MAX(0,DAY(EOMONTH(요약!$B$3,0))-N($X381)),0))</f>
        <v/>
      </c>
      <c r="AI381" s="17">
        <f>IF($B381="","",IF(TRIM($J381&amp;"")="",0,SUMPRODUCT((파견수련계획!$Q$4:$Q$83=TRIM($J381&amp;""))*(파견수련계획!$S$4:$S$83="구리병원")*파견수련계획!$W$4:$W$83))+IF($AG381="구리병원",MAX(0,DAY(EOMONTH(요약!$B$3,0))-N($X381)),0))</f>
        <v/>
      </c>
      <c r="AJ381" s="10">
        <f>IF(OR($B381="",TRIM($J381&amp;"")=""),"",IFERROR(MATCH(TRIM($J381&amp;"")&amp;"|월",파견수련계획!$Z$4:$Z$83,0),""))</f>
        <v/>
      </c>
      <c r="AK381" s="10">
        <f>IF(OR($B381="",TRIM($J381&amp;"")=""),"",IFERROR(MATCH(TRIM($J381&amp;"")&amp;"|다기관",파견수련계획!$AE$4:$AE$83,0),""))</f>
        <v/>
      </c>
      <c r="AL381" s="10">
        <f>IF($AK381="","","다기관 "&amp;TEXT(INDEX(파견수련계획!$AB$4:$AB$83,$AK381),"yyyy-mm-dd")&amp;"~"&amp;IF(ISNUMBER(INDEX(파견수련계획!$AC$4:$AC$83,$AK381)),TEXT(INDEX(파견수련계획!$AC$4:$AC$83,$AK381),"yyyy-mm-dd"),""))</f>
        <v/>
      </c>
    </row>
    <row r="382">
      <c r="A382" s="10">
        <f>IF(B382="","",ROW()-1)</f>
        <v/>
      </c>
      <c r="B382" s="18" t="n"/>
      <c r="C382" s="10">
        <f>IF($AB382="","",IF(INDEX(기본자료!$C$2:$C$1001,$AB382)="","",INDEX(기본자료!$C$2:$C$1001,$AB382)))</f>
        <v/>
      </c>
      <c r="D382" s="10">
        <f>IF($AB382="","",IF(INDEX(기본자료!$J$2:$J$1001,$AB382)="","",INDEX(기본자료!$J$2:$J$1001,$AB382)))</f>
        <v/>
      </c>
      <c r="E382" s="11">
        <f>IF($AB382="","",IF(INDEX(기본자료!$K$2:$K$1001,$AB382)="","",IF(NOT(ISNUMBER(INDEX(기본자료!$K$2:$K$1001,$AB382))),INDEX(기본자료!$K$2:$K$1001,$AB382),IF(INDEX(기본자료!$K$2:$K$1001,$AB382)&lt;1000000,INDEX(기본자료!$K$2:$K$1001,$AB382),IF(AND(INDEX(기본자료!$K$2:$K$1001,$AB382)&gt;=10000101,INT(MOD(INDEX(기본자료!$K$2:$K$1001,$AB382),10000)/100)&gt;=1,INT(MOD(INDEX(기본자료!$K$2:$K$1001,$AB382),10000)/100)&lt;=12,MOD(INDEX(기본자료!$K$2:$K$1001,$AB382),100)&gt;=1,MOD(INDEX(기본자료!$K$2:$K$1001,$AB382),100)&lt;=31),DATE(INT(INDEX(기본자료!$K$2:$K$1001,$AB382)/10000),INT(MOD(INDEX(기본자료!$K$2:$K$1001,$AB382),10000)/100),MOD(INDEX(기본자료!$K$2:$K$1001,$AB382),100)),INDEX(기본자료!$K$2:$K$1001,$AB382)&amp;"")))))</f>
        <v/>
      </c>
      <c r="F382" s="10">
        <f>IF($AB382="","",IF(INDEX(기본자료!$D$2:$D$1001,$AB382)="","",INDEX(기본자료!$D$2:$D$1001,$AB382)))</f>
        <v/>
      </c>
      <c r="G382" s="10">
        <f>IF($AB382="","",IF(INDEX(기본자료!$E$2:$E$1001,$AB382)="","",INDEX(기본자료!$E$2:$E$1001,$AB382)))</f>
        <v/>
      </c>
      <c r="H382" s="10">
        <f>IF($AB382="","",IF(INDEX(기본자료!$F$2:$F$1001,$AB382)="","",INDEX(기본자료!$F$2:$F$1001,$AB382)))</f>
        <v/>
      </c>
      <c r="I382" s="11">
        <f>IF($AB382="","",IF(INDEX(기본자료!$G$2:$G$1001,$AB382)="","",IF(NOT(ISNUMBER(INDEX(기본자료!$G$2:$G$1001,$AB382))),INDEX(기본자료!$G$2:$G$1001,$AB382),IF(INDEX(기본자료!$G$2:$G$1001,$AB382)&lt;1000000,INDEX(기본자료!$G$2:$G$1001,$AB382),IF(AND(INDEX(기본자료!$G$2:$G$1001,$AB382)&gt;=10000101,INT(MOD(INDEX(기본자료!$G$2:$G$1001,$AB382),10000)/100)&gt;=1,INT(MOD(INDEX(기본자료!$G$2:$G$1001,$AB382),10000)/100)&lt;=12,MOD(INDEX(기본자료!$G$2:$G$1001,$AB382),100)&gt;=1,MOD(INDEX(기본자료!$G$2:$G$1001,$AB382),100)&lt;=31),DATE(INT(INDEX(기본자료!$G$2:$G$1001,$AB382)/10000),INT(MOD(INDEX(기본자료!$G$2:$G$1001,$AB382),10000)/100),MOD(INDEX(기본자료!$G$2:$G$1001,$AB382),100)),INDEX(기본자료!$G$2:$G$1001,$AB382)&amp;"")))))</f>
        <v/>
      </c>
      <c r="J382" s="10">
        <f>IF($AB382="","",IF(INDEX(기본자료!$H$2:$H$1001,$AB382)="","",INDEX(기본자료!$H$2:$H$1001,$AB382)))</f>
        <v/>
      </c>
      <c r="K382" s="10">
        <f>IF($AB382="","",IF(INDEX(기본자료!$I$2:$I$1001,$AB382)="","",INDEX(기본자료!$I$2:$I$1001,$AB382)))</f>
        <v/>
      </c>
      <c r="L382" s="10">
        <f>IF($AB382="","",IF(INDEX(기본자료!$A$2:$A$1001,$AB382)="","",INDEX(기본자료!$A$2:$A$1001,$AB382)))</f>
        <v/>
      </c>
      <c r="M382" s="15" t="n"/>
      <c r="N382" s="10">
        <f>IF($B382="","",IF(AND($U382="파견중",$Q382&lt;&gt;""),$Q382,IF(AND($AD382&lt;&gt;"",LEFT($AD382,1)&lt;&gt;"⚠"),LEFT($AD382,FIND(" ",$AD382)-1),IF($H382="","",IF(RIGHT($H382,2)="병원",$H382,$H382&amp;"병원")))))</f>
        <v/>
      </c>
      <c r="O382" s="10">
        <f>IF($B382="","",IF(AND($U382="파견중",$Q382&lt;&gt;""),IF($R382&lt;&gt;"",$R382,"파견과 미입력"),IF(AND($AD382&lt;&gt;"",LEFT($AD382,1)&lt;&gt;"⚠"),MID($AD382,FIND(" ",$AD382)+1,60),IF($F382="","",IF($F382="인턴","수련교육부(인턴)",$F382)))))</f>
        <v/>
      </c>
      <c r="P382" s="10">
        <f>IF($B382="","",IF($AK382&lt;&gt;"",IF(AND(TODAY()&gt;=INDEX(파견수련계획!$AB$4:$AB$83,$AK382),OR(NOT(ISNUMBER(INDEX(파견수련계획!$AC$4:$AC$83,$AK382))),TODAY()&lt;=INDEX(파견수련계획!$AC$4:$AC$83,$AK382))),"다기관",IF($AF382="","",INDEX(파견수련계획!$T$4:$T$83,$AF382))),IF($AF382="","",INDEX(파견수련계획!$T$4:$T$83,$AF382))))</f>
        <v/>
      </c>
      <c r="Q382" s="10">
        <f>IF($AF382="","",INDEX(파견수련계획!$S$4:$S$83,$AF382))</f>
        <v/>
      </c>
      <c r="R382" s="10">
        <f>IF($AF382="","",INDEX(파견수련계획!$U$4:$U$83,$AF382))</f>
        <v/>
      </c>
      <c r="S382" s="11">
        <f>IF($AF382="","",IF(INDEX(파견수련계획!$H$4:$H$83,$AF382)="","",INDEX(파견수련계획!$H$4:$H$83,$AF382)))</f>
        <v/>
      </c>
      <c r="T382" s="11">
        <f>IF($AF382="","",IF(INDEX(파견수련계획!$I$4:$I$83,$AF382)="","",INDEX(파견수련계획!$I$4:$I$83,$AF382)))</f>
        <v/>
      </c>
      <c r="U382" s="10">
        <f>IF($AF382="","",INDEX(파견수련계획!$X$4:$X$83,$AF382))</f>
        <v/>
      </c>
      <c r="V382" s="17">
        <f>IF($AF382="","",INDEX(파견수련계획!$V$4:$V$83,$AF382))</f>
        <v/>
      </c>
      <c r="W382" s="17">
        <f>IF(AND($U382="파견중",$T382&lt;&gt;""),$T382-TODAY(),"")</f>
        <v/>
      </c>
      <c r="X382" s="17">
        <f>IF(OR($B382="",TRIM($J382&amp;"")=""),"",SUMPRODUCT((파견수련계획!$Q$4:$Q$83=TRIM($J382&amp;""))*파견수련계획!$W$4:$W$83))</f>
        <v/>
      </c>
      <c r="Y382" s="10">
        <f>IF($B382="","",IF($AG382="","",IF(IF(TRIM($J382&amp;"")="",0,SUMPRODUCT((파견수련계획!$Q$4:$Q$83=TRIM($J382&amp;""))*파견수련계획!$AD$4:$AD$83))&gt;0,$AE382,IF(N($X382)&lt;=0,$AG382,IF($AH382+$AI382=DAY(EOMONTH(요약!$B$3,0)),IF(AND($AH382&gt;=요약!$E$3,$AI382&lt;요약!$E$3),"서울병원",IF(AND($AI382&gt;=요약!$E$3,$AH382&lt;요약!$E$3),"구리병원","⚠15일 판정불가(서울 "&amp;$AH382&amp;"일/구리 "&amp;$AI382&amp;"일)")),IF($AJ382="",$AE382,IF(INDEX(파견수련계획!$T$4:$T$83,$AJ382)="통합수련",INDEX(파견수련계획!$S$4:$S$83,$AJ382),$AE382)))))))</f>
        <v/>
      </c>
      <c r="Z382" s="19">
        <f>IF($B382="","",IF($AB382="","기본자료에 없는 사번",IF(COUNTIF($B$2:$B$401,$B382)&gt;1,"중복 사번",IF($AE382="","소속(입사장소) 입력",IF(IF(TRIM($J382&amp;"")="",0,SUMPRODUCT((파견수련계획!$Q$4:$Q$83=TRIM($J382&amp;""))*(파견수련계획!$AA$4:$AA$83&lt;&gt;"")))&gt;0,"파견수련계획 입력오류 확인",IF(LEFT($Y382,1)="⚠","서울·구리 15일 판정 불가(양쪽 모두 이상/미만)",IF(IF($AC382="",0,N(INDEX(인턴근무계획!$T$3:$T$62,$AC382)))&gt;0,"인턴계획 입력오류 확인",IF(AND($AC382&lt;&gt;"",$U382&lt;&gt;"파견중",$N382&lt;&gt;$AE382),"인턴 타지역 근무: 파견 여부 확인","정상"))))))))</f>
        <v/>
      </c>
      <c r="AA382" s="5" t="n"/>
      <c r="AB382" s="10">
        <f>IF($B382="","",IFERROR(MATCH($B382,기본자료!$B$2:$B$1001,0),IFERROR(MATCH($B382&amp;"",기본자료!$B$2:$B$1001,0),IFERROR(MATCH(VALUE($B382),기본자료!$B$2:$B$1001,0),""))))</f>
        <v/>
      </c>
      <c r="AC382" s="10">
        <f>IF($B382="","",IFERROR(MATCH($B382,인턴근무계획!$D$3:$D$62,0),IFERROR(MATCH($B382&amp;"",인턴근무계획!$D$3:$D$62,0),IFERROR(MATCH(VALUE($B382),인턴근무계획!$D$3:$D$62,0),""))))</f>
        <v/>
      </c>
      <c r="AD382" s="10">
        <f>IF(OR($AC382="",인턴현황!$G$3=""),"",INDEX(인턴근무계획!$M$3:$R$62,$AC382,인턴현황!$G$3)&amp;"")</f>
        <v/>
      </c>
      <c r="AE382" s="10">
        <f>IF($B382="","",IF($M382&lt;&gt;"",$M382,IF($AF382&lt;&gt;"",IF(LEFT(INDEX(파견수련계획!$R$4:$R$83,$AF382),1)&lt;&gt;"⚠",INDEX(파견수련계획!$R$4:$R$83,$AF382),IF($H382="","",IF(RIGHT($H382,2)="병원",$H382,$H382&amp;"병원"))),IF($H382="","",IF(RIGHT($H382,2)="병원",$H382,$H382&amp;"병원")))))</f>
        <v/>
      </c>
      <c r="AF382" s="10">
        <f>IF(OR($B382="",TRIM($J382&amp;"")=""),"",IFERROR(MATCH(TRIM($J382&amp;"")&amp;"|파견중",파견수련계획!$Y$4:$Y$83,0),IFERROR(MATCH(TRIM($J382&amp;"")&amp;"|파견예정",파견수련계획!$Y$4:$Y$83,0),IFERROR(MATCH(TRIM($J382&amp;"")&amp;"|파견종료",파견수련계획!$Y$4:$Y$83,0),""))))</f>
        <v/>
      </c>
      <c r="AG382" s="10">
        <f>IF($B382="","",IF(AND(IF(OR($AC382="",인턴현황!$K$2=""),"",INDEX(인턴근무계획!$M$3:$R$62,$AC382,인턴현황!$K$2)&amp;"")&lt;&gt;"",LEFT(IF(OR($AC382="",인턴현황!$K$2=""),"",INDEX(인턴근무계획!$M$3:$R$62,$AC382,인턴현황!$K$2)&amp;""),1)&lt;&gt;"⚠"),LEFT(IF(OR($AC382="",인턴현황!$K$2=""),"",INDEX(인턴근무계획!$M$3:$R$62,$AC382,인턴현황!$K$2)&amp;""),FIND(" ",IF(OR($AC382="",인턴현황!$K$2=""),"",INDEX(인턴근무계획!$M$3:$R$62,$AC382,인턴현황!$K$2)&amp;""))-1),$AE382))</f>
        <v/>
      </c>
      <c r="AH382" s="17">
        <f>IF($B382="","",IF(TRIM($J382&amp;"")="",0,SUMPRODUCT((파견수련계획!$Q$4:$Q$83=TRIM($J382&amp;""))*(파견수련계획!$S$4:$S$83="서울병원")*파견수련계획!$W$4:$W$83))+IF($AG382="서울병원",MAX(0,DAY(EOMONTH(요약!$B$3,0))-N($X382)),0))</f>
        <v/>
      </c>
      <c r="AI382" s="17">
        <f>IF($B382="","",IF(TRIM($J382&amp;"")="",0,SUMPRODUCT((파견수련계획!$Q$4:$Q$83=TRIM($J382&amp;""))*(파견수련계획!$S$4:$S$83="구리병원")*파견수련계획!$W$4:$W$83))+IF($AG382="구리병원",MAX(0,DAY(EOMONTH(요약!$B$3,0))-N($X382)),0))</f>
        <v/>
      </c>
      <c r="AJ382" s="10">
        <f>IF(OR($B382="",TRIM($J382&amp;"")=""),"",IFERROR(MATCH(TRIM($J382&amp;"")&amp;"|월",파견수련계획!$Z$4:$Z$83,0),""))</f>
        <v/>
      </c>
      <c r="AK382" s="10">
        <f>IF(OR($B382="",TRIM($J382&amp;"")=""),"",IFERROR(MATCH(TRIM($J382&amp;"")&amp;"|다기관",파견수련계획!$AE$4:$AE$83,0),""))</f>
        <v/>
      </c>
      <c r="AL382" s="10">
        <f>IF($AK382="","","다기관 "&amp;TEXT(INDEX(파견수련계획!$AB$4:$AB$83,$AK382),"yyyy-mm-dd")&amp;"~"&amp;IF(ISNUMBER(INDEX(파견수련계획!$AC$4:$AC$83,$AK382)),TEXT(INDEX(파견수련계획!$AC$4:$AC$83,$AK382),"yyyy-mm-dd"),""))</f>
        <v/>
      </c>
    </row>
    <row r="383">
      <c r="A383" s="10">
        <f>IF(B383="","",ROW()-1)</f>
        <v/>
      </c>
      <c r="B383" s="18" t="n"/>
      <c r="C383" s="10">
        <f>IF($AB383="","",IF(INDEX(기본자료!$C$2:$C$1001,$AB383)="","",INDEX(기본자료!$C$2:$C$1001,$AB383)))</f>
        <v/>
      </c>
      <c r="D383" s="10">
        <f>IF($AB383="","",IF(INDEX(기본자료!$J$2:$J$1001,$AB383)="","",INDEX(기본자료!$J$2:$J$1001,$AB383)))</f>
        <v/>
      </c>
      <c r="E383" s="11">
        <f>IF($AB383="","",IF(INDEX(기본자료!$K$2:$K$1001,$AB383)="","",IF(NOT(ISNUMBER(INDEX(기본자료!$K$2:$K$1001,$AB383))),INDEX(기본자료!$K$2:$K$1001,$AB383),IF(INDEX(기본자료!$K$2:$K$1001,$AB383)&lt;1000000,INDEX(기본자료!$K$2:$K$1001,$AB383),IF(AND(INDEX(기본자료!$K$2:$K$1001,$AB383)&gt;=10000101,INT(MOD(INDEX(기본자료!$K$2:$K$1001,$AB383),10000)/100)&gt;=1,INT(MOD(INDEX(기본자료!$K$2:$K$1001,$AB383),10000)/100)&lt;=12,MOD(INDEX(기본자료!$K$2:$K$1001,$AB383),100)&gt;=1,MOD(INDEX(기본자료!$K$2:$K$1001,$AB383),100)&lt;=31),DATE(INT(INDEX(기본자료!$K$2:$K$1001,$AB383)/10000),INT(MOD(INDEX(기본자료!$K$2:$K$1001,$AB383),10000)/100),MOD(INDEX(기본자료!$K$2:$K$1001,$AB383),100)),INDEX(기본자료!$K$2:$K$1001,$AB383)&amp;"")))))</f>
        <v/>
      </c>
      <c r="F383" s="10">
        <f>IF($AB383="","",IF(INDEX(기본자료!$D$2:$D$1001,$AB383)="","",INDEX(기본자료!$D$2:$D$1001,$AB383)))</f>
        <v/>
      </c>
      <c r="G383" s="10">
        <f>IF($AB383="","",IF(INDEX(기본자료!$E$2:$E$1001,$AB383)="","",INDEX(기본자료!$E$2:$E$1001,$AB383)))</f>
        <v/>
      </c>
      <c r="H383" s="10">
        <f>IF($AB383="","",IF(INDEX(기본자료!$F$2:$F$1001,$AB383)="","",INDEX(기본자료!$F$2:$F$1001,$AB383)))</f>
        <v/>
      </c>
      <c r="I383" s="11">
        <f>IF($AB383="","",IF(INDEX(기본자료!$G$2:$G$1001,$AB383)="","",IF(NOT(ISNUMBER(INDEX(기본자료!$G$2:$G$1001,$AB383))),INDEX(기본자료!$G$2:$G$1001,$AB383),IF(INDEX(기본자료!$G$2:$G$1001,$AB383)&lt;1000000,INDEX(기본자료!$G$2:$G$1001,$AB383),IF(AND(INDEX(기본자료!$G$2:$G$1001,$AB383)&gt;=10000101,INT(MOD(INDEX(기본자료!$G$2:$G$1001,$AB383),10000)/100)&gt;=1,INT(MOD(INDEX(기본자료!$G$2:$G$1001,$AB383),10000)/100)&lt;=12,MOD(INDEX(기본자료!$G$2:$G$1001,$AB383),100)&gt;=1,MOD(INDEX(기본자료!$G$2:$G$1001,$AB383),100)&lt;=31),DATE(INT(INDEX(기본자료!$G$2:$G$1001,$AB383)/10000),INT(MOD(INDEX(기본자료!$G$2:$G$1001,$AB383),10000)/100),MOD(INDEX(기본자료!$G$2:$G$1001,$AB383),100)),INDEX(기본자료!$G$2:$G$1001,$AB383)&amp;"")))))</f>
        <v/>
      </c>
      <c r="J383" s="10">
        <f>IF($AB383="","",IF(INDEX(기본자료!$H$2:$H$1001,$AB383)="","",INDEX(기본자료!$H$2:$H$1001,$AB383)))</f>
        <v/>
      </c>
      <c r="K383" s="10">
        <f>IF($AB383="","",IF(INDEX(기본자료!$I$2:$I$1001,$AB383)="","",INDEX(기본자료!$I$2:$I$1001,$AB383)))</f>
        <v/>
      </c>
      <c r="L383" s="10">
        <f>IF($AB383="","",IF(INDEX(기본자료!$A$2:$A$1001,$AB383)="","",INDEX(기본자료!$A$2:$A$1001,$AB383)))</f>
        <v/>
      </c>
      <c r="M383" s="15" t="n"/>
      <c r="N383" s="10">
        <f>IF($B383="","",IF(AND($U383="파견중",$Q383&lt;&gt;""),$Q383,IF(AND($AD383&lt;&gt;"",LEFT($AD383,1)&lt;&gt;"⚠"),LEFT($AD383,FIND(" ",$AD383)-1),IF($H383="","",IF(RIGHT($H383,2)="병원",$H383,$H383&amp;"병원")))))</f>
        <v/>
      </c>
      <c r="O383" s="10">
        <f>IF($B383="","",IF(AND($U383="파견중",$Q383&lt;&gt;""),IF($R383&lt;&gt;"",$R383,"파견과 미입력"),IF(AND($AD383&lt;&gt;"",LEFT($AD383,1)&lt;&gt;"⚠"),MID($AD383,FIND(" ",$AD383)+1,60),IF($F383="","",IF($F383="인턴","수련교육부(인턴)",$F383)))))</f>
        <v/>
      </c>
      <c r="P383" s="10">
        <f>IF($B383="","",IF($AK383&lt;&gt;"",IF(AND(TODAY()&gt;=INDEX(파견수련계획!$AB$4:$AB$83,$AK383),OR(NOT(ISNUMBER(INDEX(파견수련계획!$AC$4:$AC$83,$AK383))),TODAY()&lt;=INDEX(파견수련계획!$AC$4:$AC$83,$AK383))),"다기관",IF($AF383="","",INDEX(파견수련계획!$T$4:$T$83,$AF383))),IF($AF383="","",INDEX(파견수련계획!$T$4:$T$83,$AF383))))</f>
        <v/>
      </c>
      <c r="Q383" s="10">
        <f>IF($AF383="","",INDEX(파견수련계획!$S$4:$S$83,$AF383))</f>
        <v/>
      </c>
      <c r="R383" s="10">
        <f>IF($AF383="","",INDEX(파견수련계획!$U$4:$U$83,$AF383))</f>
        <v/>
      </c>
      <c r="S383" s="11">
        <f>IF($AF383="","",IF(INDEX(파견수련계획!$H$4:$H$83,$AF383)="","",INDEX(파견수련계획!$H$4:$H$83,$AF383)))</f>
        <v/>
      </c>
      <c r="T383" s="11">
        <f>IF($AF383="","",IF(INDEX(파견수련계획!$I$4:$I$83,$AF383)="","",INDEX(파견수련계획!$I$4:$I$83,$AF383)))</f>
        <v/>
      </c>
      <c r="U383" s="10">
        <f>IF($AF383="","",INDEX(파견수련계획!$X$4:$X$83,$AF383))</f>
        <v/>
      </c>
      <c r="V383" s="17">
        <f>IF($AF383="","",INDEX(파견수련계획!$V$4:$V$83,$AF383))</f>
        <v/>
      </c>
      <c r="W383" s="17">
        <f>IF(AND($U383="파견중",$T383&lt;&gt;""),$T383-TODAY(),"")</f>
        <v/>
      </c>
      <c r="X383" s="17">
        <f>IF(OR($B383="",TRIM($J383&amp;"")=""),"",SUMPRODUCT((파견수련계획!$Q$4:$Q$83=TRIM($J383&amp;""))*파견수련계획!$W$4:$W$83))</f>
        <v/>
      </c>
      <c r="Y383" s="10">
        <f>IF($B383="","",IF($AG383="","",IF(IF(TRIM($J383&amp;"")="",0,SUMPRODUCT((파견수련계획!$Q$4:$Q$83=TRIM($J383&amp;""))*파견수련계획!$AD$4:$AD$83))&gt;0,$AE383,IF(N($X383)&lt;=0,$AG383,IF($AH383+$AI383=DAY(EOMONTH(요약!$B$3,0)),IF(AND($AH383&gt;=요약!$E$3,$AI383&lt;요약!$E$3),"서울병원",IF(AND($AI383&gt;=요약!$E$3,$AH383&lt;요약!$E$3),"구리병원","⚠15일 판정불가(서울 "&amp;$AH383&amp;"일/구리 "&amp;$AI383&amp;"일)")),IF($AJ383="",$AE383,IF(INDEX(파견수련계획!$T$4:$T$83,$AJ383)="통합수련",INDEX(파견수련계획!$S$4:$S$83,$AJ383),$AE383)))))))</f>
        <v/>
      </c>
      <c r="Z383" s="19">
        <f>IF($B383="","",IF($AB383="","기본자료에 없는 사번",IF(COUNTIF($B$2:$B$401,$B383)&gt;1,"중복 사번",IF($AE383="","소속(입사장소) 입력",IF(IF(TRIM($J383&amp;"")="",0,SUMPRODUCT((파견수련계획!$Q$4:$Q$83=TRIM($J383&amp;""))*(파견수련계획!$AA$4:$AA$83&lt;&gt;"")))&gt;0,"파견수련계획 입력오류 확인",IF(LEFT($Y383,1)="⚠","서울·구리 15일 판정 불가(양쪽 모두 이상/미만)",IF(IF($AC383="",0,N(INDEX(인턴근무계획!$T$3:$T$62,$AC383)))&gt;0,"인턴계획 입력오류 확인",IF(AND($AC383&lt;&gt;"",$U383&lt;&gt;"파견중",$N383&lt;&gt;$AE383),"인턴 타지역 근무: 파견 여부 확인","정상"))))))))</f>
        <v/>
      </c>
      <c r="AA383" s="5" t="n"/>
      <c r="AB383" s="10">
        <f>IF($B383="","",IFERROR(MATCH($B383,기본자료!$B$2:$B$1001,0),IFERROR(MATCH($B383&amp;"",기본자료!$B$2:$B$1001,0),IFERROR(MATCH(VALUE($B383),기본자료!$B$2:$B$1001,0),""))))</f>
        <v/>
      </c>
      <c r="AC383" s="10">
        <f>IF($B383="","",IFERROR(MATCH($B383,인턴근무계획!$D$3:$D$62,0),IFERROR(MATCH($B383&amp;"",인턴근무계획!$D$3:$D$62,0),IFERROR(MATCH(VALUE($B383),인턴근무계획!$D$3:$D$62,0),""))))</f>
        <v/>
      </c>
      <c r="AD383" s="10">
        <f>IF(OR($AC383="",인턴현황!$G$3=""),"",INDEX(인턴근무계획!$M$3:$R$62,$AC383,인턴현황!$G$3)&amp;"")</f>
        <v/>
      </c>
      <c r="AE383" s="10">
        <f>IF($B383="","",IF($M383&lt;&gt;"",$M383,IF($AF383&lt;&gt;"",IF(LEFT(INDEX(파견수련계획!$R$4:$R$83,$AF383),1)&lt;&gt;"⚠",INDEX(파견수련계획!$R$4:$R$83,$AF383),IF($H383="","",IF(RIGHT($H383,2)="병원",$H383,$H383&amp;"병원"))),IF($H383="","",IF(RIGHT($H383,2)="병원",$H383,$H383&amp;"병원")))))</f>
        <v/>
      </c>
      <c r="AF383" s="10">
        <f>IF(OR($B383="",TRIM($J383&amp;"")=""),"",IFERROR(MATCH(TRIM($J383&amp;"")&amp;"|파견중",파견수련계획!$Y$4:$Y$83,0),IFERROR(MATCH(TRIM($J383&amp;"")&amp;"|파견예정",파견수련계획!$Y$4:$Y$83,0),IFERROR(MATCH(TRIM($J383&amp;"")&amp;"|파견종료",파견수련계획!$Y$4:$Y$83,0),""))))</f>
        <v/>
      </c>
      <c r="AG383" s="10">
        <f>IF($B383="","",IF(AND(IF(OR($AC383="",인턴현황!$K$2=""),"",INDEX(인턴근무계획!$M$3:$R$62,$AC383,인턴현황!$K$2)&amp;"")&lt;&gt;"",LEFT(IF(OR($AC383="",인턴현황!$K$2=""),"",INDEX(인턴근무계획!$M$3:$R$62,$AC383,인턴현황!$K$2)&amp;""),1)&lt;&gt;"⚠"),LEFT(IF(OR($AC383="",인턴현황!$K$2=""),"",INDEX(인턴근무계획!$M$3:$R$62,$AC383,인턴현황!$K$2)&amp;""),FIND(" ",IF(OR($AC383="",인턴현황!$K$2=""),"",INDEX(인턴근무계획!$M$3:$R$62,$AC383,인턴현황!$K$2)&amp;""))-1),$AE383))</f>
        <v/>
      </c>
      <c r="AH383" s="17">
        <f>IF($B383="","",IF(TRIM($J383&amp;"")="",0,SUMPRODUCT((파견수련계획!$Q$4:$Q$83=TRIM($J383&amp;""))*(파견수련계획!$S$4:$S$83="서울병원")*파견수련계획!$W$4:$W$83))+IF($AG383="서울병원",MAX(0,DAY(EOMONTH(요약!$B$3,0))-N($X383)),0))</f>
        <v/>
      </c>
      <c r="AI383" s="17">
        <f>IF($B383="","",IF(TRIM($J383&amp;"")="",0,SUMPRODUCT((파견수련계획!$Q$4:$Q$83=TRIM($J383&amp;""))*(파견수련계획!$S$4:$S$83="구리병원")*파견수련계획!$W$4:$W$83))+IF($AG383="구리병원",MAX(0,DAY(EOMONTH(요약!$B$3,0))-N($X383)),0))</f>
        <v/>
      </c>
      <c r="AJ383" s="10">
        <f>IF(OR($B383="",TRIM($J383&amp;"")=""),"",IFERROR(MATCH(TRIM($J383&amp;"")&amp;"|월",파견수련계획!$Z$4:$Z$83,0),""))</f>
        <v/>
      </c>
      <c r="AK383" s="10">
        <f>IF(OR($B383="",TRIM($J383&amp;"")=""),"",IFERROR(MATCH(TRIM($J383&amp;"")&amp;"|다기관",파견수련계획!$AE$4:$AE$83,0),""))</f>
        <v/>
      </c>
      <c r="AL383" s="10">
        <f>IF($AK383="","","다기관 "&amp;TEXT(INDEX(파견수련계획!$AB$4:$AB$83,$AK383),"yyyy-mm-dd")&amp;"~"&amp;IF(ISNUMBER(INDEX(파견수련계획!$AC$4:$AC$83,$AK383)),TEXT(INDEX(파견수련계획!$AC$4:$AC$83,$AK383),"yyyy-mm-dd"),""))</f>
        <v/>
      </c>
    </row>
    <row r="384">
      <c r="A384" s="10">
        <f>IF(B384="","",ROW()-1)</f>
        <v/>
      </c>
      <c r="B384" s="18" t="n"/>
      <c r="C384" s="10">
        <f>IF($AB384="","",IF(INDEX(기본자료!$C$2:$C$1001,$AB384)="","",INDEX(기본자료!$C$2:$C$1001,$AB384)))</f>
        <v/>
      </c>
      <c r="D384" s="10">
        <f>IF($AB384="","",IF(INDEX(기본자료!$J$2:$J$1001,$AB384)="","",INDEX(기본자료!$J$2:$J$1001,$AB384)))</f>
        <v/>
      </c>
      <c r="E384" s="11">
        <f>IF($AB384="","",IF(INDEX(기본자료!$K$2:$K$1001,$AB384)="","",IF(NOT(ISNUMBER(INDEX(기본자료!$K$2:$K$1001,$AB384))),INDEX(기본자료!$K$2:$K$1001,$AB384),IF(INDEX(기본자료!$K$2:$K$1001,$AB384)&lt;1000000,INDEX(기본자료!$K$2:$K$1001,$AB384),IF(AND(INDEX(기본자료!$K$2:$K$1001,$AB384)&gt;=10000101,INT(MOD(INDEX(기본자료!$K$2:$K$1001,$AB384),10000)/100)&gt;=1,INT(MOD(INDEX(기본자료!$K$2:$K$1001,$AB384),10000)/100)&lt;=12,MOD(INDEX(기본자료!$K$2:$K$1001,$AB384),100)&gt;=1,MOD(INDEX(기본자료!$K$2:$K$1001,$AB384),100)&lt;=31),DATE(INT(INDEX(기본자료!$K$2:$K$1001,$AB384)/10000),INT(MOD(INDEX(기본자료!$K$2:$K$1001,$AB384),10000)/100),MOD(INDEX(기본자료!$K$2:$K$1001,$AB384),100)),INDEX(기본자료!$K$2:$K$1001,$AB384)&amp;"")))))</f>
        <v/>
      </c>
      <c r="F384" s="10">
        <f>IF($AB384="","",IF(INDEX(기본자료!$D$2:$D$1001,$AB384)="","",INDEX(기본자료!$D$2:$D$1001,$AB384)))</f>
        <v/>
      </c>
      <c r="G384" s="10">
        <f>IF($AB384="","",IF(INDEX(기본자료!$E$2:$E$1001,$AB384)="","",INDEX(기본자료!$E$2:$E$1001,$AB384)))</f>
        <v/>
      </c>
      <c r="H384" s="10">
        <f>IF($AB384="","",IF(INDEX(기본자료!$F$2:$F$1001,$AB384)="","",INDEX(기본자료!$F$2:$F$1001,$AB384)))</f>
        <v/>
      </c>
      <c r="I384" s="11">
        <f>IF($AB384="","",IF(INDEX(기본자료!$G$2:$G$1001,$AB384)="","",IF(NOT(ISNUMBER(INDEX(기본자료!$G$2:$G$1001,$AB384))),INDEX(기본자료!$G$2:$G$1001,$AB384),IF(INDEX(기본자료!$G$2:$G$1001,$AB384)&lt;1000000,INDEX(기본자료!$G$2:$G$1001,$AB384),IF(AND(INDEX(기본자료!$G$2:$G$1001,$AB384)&gt;=10000101,INT(MOD(INDEX(기본자료!$G$2:$G$1001,$AB384),10000)/100)&gt;=1,INT(MOD(INDEX(기본자료!$G$2:$G$1001,$AB384),10000)/100)&lt;=12,MOD(INDEX(기본자료!$G$2:$G$1001,$AB384),100)&gt;=1,MOD(INDEX(기본자료!$G$2:$G$1001,$AB384),100)&lt;=31),DATE(INT(INDEX(기본자료!$G$2:$G$1001,$AB384)/10000),INT(MOD(INDEX(기본자료!$G$2:$G$1001,$AB384),10000)/100),MOD(INDEX(기본자료!$G$2:$G$1001,$AB384),100)),INDEX(기본자료!$G$2:$G$1001,$AB384)&amp;"")))))</f>
        <v/>
      </c>
      <c r="J384" s="10">
        <f>IF($AB384="","",IF(INDEX(기본자료!$H$2:$H$1001,$AB384)="","",INDEX(기본자료!$H$2:$H$1001,$AB384)))</f>
        <v/>
      </c>
      <c r="K384" s="10">
        <f>IF($AB384="","",IF(INDEX(기본자료!$I$2:$I$1001,$AB384)="","",INDEX(기본자료!$I$2:$I$1001,$AB384)))</f>
        <v/>
      </c>
      <c r="L384" s="10">
        <f>IF($AB384="","",IF(INDEX(기본자료!$A$2:$A$1001,$AB384)="","",INDEX(기본자료!$A$2:$A$1001,$AB384)))</f>
        <v/>
      </c>
      <c r="M384" s="15" t="n"/>
      <c r="N384" s="10">
        <f>IF($B384="","",IF(AND($U384="파견중",$Q384&lt;&gt;""),$Q384,IF(AND($AD384&lt;&gt;"",LEFT($AD384,1)&lt;&gt;"⚠"),LEFT($AD384,FIND(" ",$AD384)-1),IF($H384="","",IF(RIGHT($H384,2)="병원",$H384,$H384&amp;"병원")))))</f>
        <v/>
      </c>
      <c r="O384" s="10">
        <f>IF($B384="","",IF(AND($U384="파견중",$Q384&lt;&gt;""),IF($R384&lt;&gt;"",$R384,"파견과 미입력"),IF(AND($AD384&lt;&gt;"",LEFT($AD384,1)&lt;&gt;"⚠"),MID($AD384,FIND(" ",$AD384)+1,60),IF($F384="","",IF($F384="인턴","수련교육부(인턴)",$F384)))))</f>
        <v/>
      </c>
      <c r="P384" s="10">
        <f>IF($B384="","",IF($AK384&lt;&gt;"",IF(AND(TODAY()&gt;=INDEX(파견수련계획!$AB$4:$AB$83,$AK384),OR(NOT(ISNUMBER(INDEX(파견수련계획!$AC$4:$AC$83,$AK384))),TODAY()&lt;=INDEX(파견수련계획!$AC$4:$AC$83,$AK384))),"다기관",IF($AF384="","",INDEX(파견수련계획!$T$4:$T$83,$AF384))),IF($AF384="","",INDEX(파견수련계획!$T$4:$T$83,$AF384))))</f>
        <v/>
      </c>
      <c r="Q384" s="10">
        <f>IF($AF384="","",INDEX(파견수련계획!$S$4:$S$83,$AF384))</f>
        <v/>
      </c>
      <c r="R384" s="10">
        <f>IF($AF384="","",INDEX(파견수련계획!$U$4:$U$83,$AF384))</f>
        <v/>
      </c>
      <c r="S384" s="11">
        <f>IF($AF384="","",IF(INDEX(파견수련계획!$H$4:$H$83,$AF384)="","",INDEX(파견수련계획!$H$4:$H$83,$AF384)))</f>
        <v/>
      </c>
      <c r="T384" s="11">
        <f>IF($AF384="","",IF(INDEX(파견수련계획!$I$4:$I$83,$AF384)="","",INDEX(파견수련계획!$I$4:$I$83,$AF384)))</f>
        <v/>
      </c>
      <c r="U384" s="10">
        <f>IF($AF384="","",INDEX(파견수련계획!$X$4:$X$83,$AF384))</f>
        <v/>
      </c>
      <c r="V384" s="17">
        <f>IF($AF384="","",INDEX(파견수련계획!$V$4:$V$83,$AF384))</f>
        <v/>
      </c>
      <c r="W384" s="17">
        <f>IF(AND($U384="파견중",$T384&lt;&gt;""),$T384-TODAY(),"")</f>
        <v/>
      </c>
      <c r="X384" s="17">
        <f>IF(OR($B384="",TRIM($J384&amp;"")=""),"",SUMPRODUCT((파견수련계획!$Q$4:$Q$83=TRIM($J384&amp;""))*파견수련계획!$W$4:$W$83))</f>
        <v/>
      </c>
      <c r="Y384" s="10">
        <f>IF($B384="","",IF($AG384="","",IF(IF(TRIM($J384&amp;"")="",0,SUMPRODUCT((파견수련계획!$Q$4:$Q$83=TRIM($J384&amp;""))*파견수련계획!$AD$4:$AD$83))&gt;0,$AE384,IF(N($X384)&lt;=0,$AG384,IF($AH384+$AI384=DAY(EOMONTH(요약!$B$3,0)),IF(AND($AH384&gt;=요약!$E$3,$AI384&lt;요약!$E$3),"서울병원",IF(AND($AI384&gt;=요약!$E$3,$AH384&lt;요약!$E$3),"구리병원","⚠15일 판정불가(서울 "&amp;$AH384&amp;"일/구리 "&amp;$AI384&amp;"일)")),IF($AJ384="",$AE384,IF(INDEX(파견수련계획!$T$4:$T$83,$AJ384)="통합수련",INDEX(파견수련계획!$S$4:$S$83,$AJ384),$AE384)))))))</f>
        <v/>
      </c>
      <c r="Z384" s="19">
        <f>IF($B384="","",IF($AB384="","기본자료에 없는 사번",IF(COUNTIF($B$2:$B$401,$B384)&gt;1,"중복 사번",IF($AE384="","소속(입사장소) 입력",IF(IF(TRIM($J384&amp;"")="",0,SUMPRODUCT((파견수련계획!$Q$4:$Q$83=TRIM($J384&amp;""))*(파견수련계획!$AA$4:$AA$83&lt;&gt;"")))&gt;0,"파견수련계획 입력오류 확인",IF(LEFT($Y384,1)="⚠","서울·구리 15일 판정 불가(양쪽 모두 이상/미만)",IF(IF($AC384="",0,N(INDEX(인턴근무계획!$T$3:$T$62,$AC384)))&gt;0,"인턴계획 입력오류 확인",IF(AND($AC384&lt;&gt;"",$U384&lt;&gt;"파견중",$N384&lt;&gt;$AE384),"인턴 타지역 근무: 파견 여부 확인","정상"))))))))</f>
        <v/>
      </c>
      <c r="AA384" s="5" t="n"/>
      <c r="AB384" s="10">
        <f>IF($B384="","",IFERROR(MATCH($B384,기본자료!$B$2:$B$1001,0),IFERROR(MATCH($B384&amp;"",기본자료!$B$2:$B$1001,0),IFERROR(MATCH(VALUE($B384),기본자료!$B$2:$B$1001,0),""))))</f>
        <v/>
      </c>
      <c r="AC384" s="10">
        <f>IF($B384="","",IFERROR(MATCH($B384,인턴근무계획!$D$3:$D$62,0),IFERROR(MATCH($B384&amp;"",인턴근무계획!$D$3:$D$62,0),IFERROR(MATCH(VALUE($B384),인턴근무계획!$D$3:$D$62,0),""))))</f>
        <v/>
      </c>
      <c r="AD384" s="10">
        <f>IF(OR($AC384="",인턴현황!$G$3=""),"",INDEX(인턴근무계획!$M$3:$R$62,$AC384,인턴현황!$G$3)&amp;"")</f>
        <v/>
      </c>
      <c r="AE384" s="10">
        <f>IF($B384="","",IF($M384&lt;&gt;"",$M384,IF($AF384&lt;&gt;"",IF(LEFT(INDEX(파견수련계획!$R$4:$R$83,$AF384),1)&lt;&gt;"⚠",INDEX(파견수련계획!$R$4:$R$83,$AF384),IF($H384="","",IF(RIGHT($H384,2)="병원",$H384,$H384&amp;"병원"))),IF($H384="","",IF(RIGHT($H384,2)="병원",$H384,$H384&amp;"병원")))))</f>
        <v/>
      </c>
      <c r="AF384" s="10">
        <f>IF(OR($B384="",TRIM($J384&amp;"")=""),"",IFERROR(MATCH(TRIM($J384&amp;"")&amp;"|파견중",파견수련계획!$Y$4:$Y$83,0),IFERROR(MATCH(TRIM($J384&amp;"")&amp;"|파견예정",파견수련계획!$Y$4:$Y$83,0),IFERROR(MATCH(TRIM($J384&amp;"")&amp;"|파견종료",파견수련계획!$Y$4:$Y$83,0),""))))</f>
        <v/>
      </c>
      <c r="AG384" s="10">
        <f>IF($B384="","",IF(AND(IF(OR($AC384="",인턴현황!$K$2=""),"",INDEX(인턴근무계획!$M$3:$R$62,$AC384,인턴현황!$K$2)&amp;"")&lt;&gt;"",LEFT(IF(OR($AC384="",인턴현황!$K$2=""),"",INDEX(인턴근무계획!$M$3:$R$62,$AC384,인턴현황!$K$2)&amp;""),1)&lt;&gt;"⚠"),LEFT(IF(OR($AC384="",인턴현황!$K$2=""),"",INDEX(인턴근무계획!$M$3:$R$62,$AC384,인턴현황!$K$2)&amp;""),FIND(" ",IF(OR($AC384="",인턴현황!$K$2=""),"",INDEX(인턴근무계획!$M$3:$R$62,$AC384,인턴현황!$K$2)&amp;""))-1),$AE384))</f>
        <v/>
      </c>
      <c r="AH384" s="17">
        <f>IF($B384="","",IF(TRIM($J384&amp;"")="",0,SUMPRODUCT((파견수련계획!$Q$4:$Q$83=TRIM($J384&amp;""))*(파견수련계획!$S$4:$S$83="서울병원")*파견수련계획!$W$4:$W$83))+IF($AG384="서울병원",MAX(0,DAY(EOMONTH(요약!$B$3,0))-N($X384)),0))</f>
        <v/>
      </c>
      <c r="AI384" s="17">
        <f>IF($B384="","",IF(TRIM($J384&amp;"")="",0,SUMPRODUCT((파견수련계획!$Q$4:$Q$83=TRIM($J384&amp;""))*(파견수련계획!$S$4:$S$83="구리병원")*파견수련계획!$W$4:$W$83))+IF($AG384="구리병원",MAX(0,DAY(EOMONTH(요약!$B$3,0))-N($X384)),0))</f>
        <v/>
      </c>
      <c r="AJ384" s="10">
        <f>IF(OR($B384="",TRIM($J384&amp;"")=""),"",IFERROR(MATCH(TRIM($J384&amp;"")&amp;"|월",파견수련계획!$Z$4:$Z$83,0),""))</f>
        <v/>
      </c>
      <c r="AK384" s="10">
        <f>IF(OR($B384="",TRIM($J384&amp;"")=""),"",IFERROR(MATCH(TRIM($J384&amp;"")&amp;"|다기관",파견수련계획!$AE$4:$AE$83,0),""))</f>
        <v/>
      </c>
      <c r="AL384" s="10">
        <f>IF($AK384="","","다기관 "&amp;TEXT(INDEX(파견수련계획!$AB$4:$AB$83,$AK384),"yyyy-mm-dd")&amp;"~"&amp;IF(ISNUMBER(INDEX(파견수련계획!$AC$4:$AC$83,$AK384)),TEXT(INDEX(파견수련계획!$AC$4:$AC$83,$AK384),"yyyy-mm-dd"),""))</f>
        <v/>
      </c>
    </row>
    <row r="385">
      <c r="A385" s="10">
        <f>IF(B385="","",ROW()-1)</f>
        <v/>
      </c>
      <c r="B385" s="18" t="n"/>
      <c r="C385" s="10">
        <f>IF($AB385="","",IF(INDEX(기본자료!$C$2:$C$1001,$AB385)="","",INDEX(기본자료!$C$2:$C$1001,$AB385)))</f>
        <v/>
      </c>
      <c r="D385" s="10">
        <f>IF($AB385="","",IF(INDEX(기본자료!$J$2:$J$1001,$AB385)="","",INDEX(기본자료!$J$2:$J$1001,$AB385)))</f>
        <v/>
      </c>
      <c r="E385" s="11">
        <f>IF($AB385="","",IF(INDEX(기본자료!$K$2:$K$1001,$AB385)="","",IF(NOT(ISNUMBER(INDEX(기본자료!$K$2:$K$1001,$AB385))),INDEX(기본자료!$K$2:$K$1001,$AB385),IF(INDEX(기본자료!$K$2:$K$1001,$AB385)&lt;1000000,INDEX(기본자료!$K$2:$K$1001,$AB385),IF(AND(INDEX(기본자료!$K$2:$K$1001,$AB385)&gt;=10000101,INT(MOD(INDEX(기본자료!$K$2:$K$1001,$AB385),10000)/100)&gt;=1,INT(MOD(INDEX(기본자료!$K$2:$K$1001,$AB385),10000)/100)&lt;=12,MOD(INDEX(기본자료!$K$2:$K$1001,$AB385),100)&gt;=1,MOD(INDEX(기본자료!$K$2:$K$1001,$AB385),100)&lt;=31),DATE(INT(INDEX(기본자료!$K$2:$K$1001,$AB385)/10000),INT(MOD(INDEX(기본자료!$K$2:$K$1001,$AB385),10000)/100),MOD(INDEX(기본자료!$K$2:$K$1001,$AB385),100)),INDEX(기본자료!$K$2:$K$1001,$AB385)&amp;"")))))</f>
        <v/>
      </c>
      <c r="F385" s="10">
        <f>IF($AB385="","",IF(INDEX(기본자료!$D$2:$D$1001,$AB385)="","",INDEX(기본자료!$D$2:$D$1001,$AB385)))</f>
        <v/>
      </c>
      <c r="G385" s="10">
        <f>IF($AB385="","",IF(INDEX(기본자료!$E$2:$E$1001,$AB385)="","",INDEX(기본자료!$E$2:$E$1001,$AB385)))</f>
        <v/>
      </c>
      <c r="H385" s="10">
        <f>IF($AB385="","",IF(INDEX(기본자료!$F$2:$F$1001,$AB385)="","",INDEX(기본자료!$F$2:$F$1001,$AB385)))</f>
        <v/>
      </c>
      <c r="I385" s="11">
        <f>IF($AB385="","",IF(INDEX(기본자료!$G$2:$G$1001,$AB385)="","",IF(NOT(ISNUMBER(INDEX(기본자료!$G$2:$G$1001,$AB385))),INDEX(기본자료!$G$2:$G$1001,$AB385),IF(INDEX(기본자료!$G$2:$G$1001,$AB385)&lt;1000000,INDEX(기본자료!$G$2:$G$1001,$AB385),IF(AND(INDEX(기본자료!$G$2:$G$1001,$AB385)&gt;=10000101,INT(MOD(INDEX(기본자료!$G$2:$G$1001,$AB385),10000)/100)&gt;=1,INT(MOD(INDEX(기본자료!$G$2:$G$1001,$AB385),10000)/100)&lt;=12,MOD(INDEX(기본자료!$G$2:$G$1001,$AB385),100)&gt;=1,MOD(INDEX(기본자료!$G$2:$G$1001,$AB385),100)&lt;=31),DATE(INT(INDEX(기본자료!$G$2:$G$1001,$AB385)/10000),INT(MOD(INDEX(기본자료!$G$2:$G$1001,$AB385),10000)/100),MOD(INDEX(기본자료!$G$2:$G$1001,$AB385),100)),INDEX(기본자료!$G$2:$G$1001,$AB385)&amp;"")))))</f>
        <v/>
      </c>
      <c r="J385" s="10">
        <f>IF($AB385="","",IF(INDEX(기본자료!$H$2:$H$1001,$AB385)="","",INDEX(기본자료!$H$2:$H$1001,$AB385)))</f>
        <v/>
      </c>
      <c r="K385" s="10">
        <f>IF($AB385="","",IF(INDEX(기본자료!$I$2:$I$1001,$AB385)="","",INDEX(기본자료!$I$2:$I$1001,$AB385)))</f>
        <v/>
      </c>
      <c r="L385" s="10">
        <f>IF($AB385="","",IF(INDEX(기본자료!$A$2:$A$1001,$AB385)="","",INDEX(기본자료!$A$2:$A$1001,$AB385)))</f>
        <v/>
      </c>
      <c r="M385" s="15" t="n"/>
      <c r="N385" s="10">
        <f>IF($B385="","",IF(AND($U385="파견중",$Q385&lt;&gt;""),$Q385,IF(AND($AD385&lt;&gt;"",LEFT($AD385,1)&lt;&gt;"⚠"),LEFT($AD385,FIND(" ",$AD385)-1),IF($H385="","",IF(RIGHT($H385,2)="병원",$H385,$H385&amp;"병원")))))</f>
        <v/>
      </c>
      <c r="O385" s="10">
        <f>IF($B385="","",IF(AND($U385="파견중",$Q385&lt;&gt;""),IF($R385&lt;&gt;"",$R385,"파견과 미입력"),IF(AND($AD385&lt;&gt;"",LEFT($AD385,1)&lt;&gt;"⚠"),MID($AD385,FIND(" ",$AD385)+1,60),IF($F385="","",IF($F385="인턴","수련교육부(인턴)",$F385)))))</f>
        <v/>
      </c>
      <c r="P385" s="10">
        <f>IF($B385="","",IF($AK385&lt;&gt;"",IF(AND(TODAY()&gt;=INDEX(파견수련계획!$AB$4:$AB$83,$AK385),OR(NOT(ISNUMBER(INDEX(파견수련계획!$AC$4:$AC$83,$AK385))),TODAY()&lt;=INDEX(파견수련계획!$AC$4:$AC$83,$AK385))),"다기관",IF($AF385="","",INDEX(파견수련계획!$T$4:$T$83,$AF385))),IF($AF385="","",INDEX(파견수련계획!$T$4:$T$83,$AF385))))</f>
        <v/>
      </c>
      <c r="Q385" s="10">
        <f>IF($AF385="","",INDEX(파견수련계획!$S$4:$S$83,$AF385))</f>
        <v/>
      </c>
      <c r="R385" s="10">
        <f>IF($AF385="","",INDEX(파견수련계획!$U$4:$U$83,$AF385))</f>
        <v/>
      </c>
      <c r="S385" s="11">
        <f>IF($AF385="","",IF(INDEX(파견수련계획!$H$4:$H$83,$AF385)="","",INDEX(파견수련계획!$H$4:$H$83,$AF385)))</f>
        <v/>
      </c>
      <c r="T385" s="11">
        <f>IF($AF385="","",IF(INDEX(파견수련계획!$I$4:$I$83,$AF385)="","",INDEX(파견수련계획!$I$4:$I$83,$AF385)))</f>
        <v/>
      </c>
      <c r="U385" s="10">
        <f>IF($AF385="","",INDEX(파견수련계획!$X$4:$X$83,$AF385))</f>
        <v/>
      </c>
      <c r="V385" s="17">
        <f>IF($AF385="","",INDEX(파견수련계획!$V$4:$V$83,$AF385))</f>
        <v/>
      </c>
      <c r="W385" s="17">
        <f>IF(AND($U385="파견중",$T385&lt;&gt;""),$T385-TODAY(),"")</f>
        <v/>
      </c>
      <c r="X385" s="17">
        <f>IF(OR($B385="",TRIM($J385&amp;"")=""),"",SUMPRODUCT((파견수련계획!$Q$4:$Q$83=TRIM($J385&amp;""))*파견수련계획!$W$4:$W$83))</f>
        <v/>
      </c>
      <c r="Y385" s="10">
        <f>IF($B385="","",IF($AG385="","",IF(IF(TRIM($J385&amp;"")="",0,SUMPRODUCT((파견수련계획!$Q$4:$Q$83=TRIM($J385&amp;""))*파견수련계획!$AD$4:$AD$83))&gt;0,$AE385,IF(N($X385)&lt;=0,$AG385,IF($AH385+$AI385=DAY(EOMONTH(요약!$B$3,0)),IF(AND($AH385&gt;=요약!$E$3,$AI385&lt;요약!$E$3),"서울병원",IF(AND($AI385&gt;=요약!$E$3,$AH385&lt;요약!$E$3),"구리병원","⚠15일 판정불가(서울 "&amp;$AH385&amp;"일/구리 "&amp;$AI385&amp;"일)")),IF($AJ385="",$AE385,IF(INDEX(파견수련계획!$T$4:$T$83,$AJ385)="통합수련",INDEX(파견수련계획!$S$4:$S$83,$AJ385),$AE385)))))))</f>
        <v/>
      </c>
      <c r="Z385" s="19">
        <f>IF($B385="","",IF($AB385="","기본자료에 없는 사번",IF(COUNTIF($B$2:$B$401,$B385)&gt;1,"중복 사번",IF($AE385="","소속(입사장소) 입력",IF(IF(TRIM($J385&amp;"")="",0,SUMPRODUCT((파견수련계획!$Q$4:$Q$83=TRIM($J385&amp;""))*(파견수련계획!$AA$4:$AA$83&lt;&gt;"")))&gt;0,"파견수련계획 입력오류 확인",IF(LEFT($Y385,1)="⚠","서울·구리 15일 판정 불가(양쪽 모두 이상/미만)",IF(IF($AC385="",0,N(INDEX(인턴근무계획!$T$3:$T$62,$AC385)))&gt;0,"인턴계획 입력오류 확인",IF(AND($AC385&lt;&gt;"",$U385&lt;&gt;"파견중",$N385&lt;&gt;$AE385),"인턴 타지역 근무: 파견 여부 확인","정상"))))))))</f>
        <v/>
      </c>
      <c r="AA385" s="5" t="n"/>
      <c r="AB385" s="10">
        <f>IF($B385="","",IFERROR(MATCH($B385,기본자료!$B$2:$B$1001,0),IFERROR(MATCH($B385&amp;"",기본자료!$B$2:$B$1001,0),IFERROR(MATCH(VALUE($B385),기본자료!$B$2:$B$1001,0),""))))</f>
        <v/>
      </c>
      <c r="AC385" s="10">
        <f>IF($B385="","",IFERROR(MATCH($B385,인턴근무계획!$D$3:$D$62,0),IFERROR(MATCH($B385&amp;"",인턴근무계획!$D$3:$D$62,0),IFERROR(MATCH(VALUE($B385),인턴근무계획!$D$3:$D$62,0),""))))</f>
        <v/>
      </c>
      <c r="AD385" s="10">
        <f>IF(OR($AC385="",인턴현황!$G$3=""),"",INDEX(인턴근무계획!$M$3:$R$62,$AC385,인턴현황!$G$3)&amp;"")</f>
        <v/>
      </c>
      <c r="AE385" s="10">
        <f>IF($B385="","",IF($M385&lt;&gt;"",$M385,IF($AF385&lt;&gt;"",IF(LEFT(INDEX(파견수련계획!$R$4:$R$83,$AF385),1)&lt;&gt;"⚠",INDEX(파견수련계획!$R$4:$R$83,$AF385),IF($H385="","",IF(RIGHT($H385,2)="병원",$H385,$H385&amp;"병원"))),IF($H385="","",IF(RIGHT($H385,2)="병원",$H385,$H385&amp;"병원")))))</f>
        <v/>
      </c>
      <c r="AF385" s="10">
        <f>IF(OR($B385="",TRIM($J385&amp;"")=""),"",IFERROR(MATCH(TRIM($J385&amp;"")&amp;"|파견중",파견수련계획!$Y$4:$Y$83,0),IFERROR(MATCH(TRIM($J385&amp;"")&amp;"|파견예정",파견수련계획!$Y$4:$Y$83,0),IFERROR(MATCH(TRIM($J385&amp;"")&amp;"|파견종료",파견수련계획!$Y$4:$Y$83,0),""))))</f>
        <v/>
      </c>
      <c r="AG385" s="10">
        <f>IF($B385="","",IF(AND(IF(OR($AC385="",인턴현황!$K$2=""),"",INDEX(인턴근무계획!$M$3:$R$62,$AC385,인턴현황!$K$2)&amp;"")&lt;&gt;"",LEFT(IF(OR($AC385="",인턴현황!$K$2=""),"",INDEX(인턴근무계획!$M$3:$R$62,$AC385,인턴현황!$K$2)&amp;""),1)&lt;&gt;"⚠"),LEFT(IF(OR($AC385="",인턴현황!$K$2=""),"",INDEX(인턴근무계획!$M$3:$R$62,$AC385,인턴현황!$K$2)&amp;""),FIND(" ",IF(OR($AC385="",인턴현황!$K$2=""),"",INDEX(인턴근무계획!$M$3:$R$62,$AC385,인턴현황!$K$2)&amp;""))-1),$AE385))</f>
        <v/>
      </c>
      <c r="AH385" s="17">
        <f>IF($B385="","",IF(TRIM($J385&amp;"")="",0,SUMPRODUCT((파견수련계획!$Q$4:$Q$83=TRIM($J385&amp;""))*(파견수련계획!$S$4:$S$83="서울병원")*파견수련계획!$W$4:$W$83))+IF($AG385="서울병원",MAX(0,DAY(EOMONTH(요약!$B$3,0))-N($X385)),0))</f>
        <v/>
      </c>
      <c r="AI385" s="17">
        <f>IF($B385="","",IF(TRIM($J385&amp;"")="",0,SUMPRODUCT((파견수련계획!$Q$4:$Q$83=TRIM($J385&amp;""))*(파견수련계획!$S$4:$S$83="구리병원")*파견수련계획!$W$4:$W$83))+IF($AG385="구리병원",MAX(0,DAY(EOMONTH(요약!$B$3,0))-N($X385)),0))</f>
        <v/>
      </c>
      <c r="AJ385" s="10">
        <f>IF(OR($B385="",TRIM($J385&amp;"")=""),"",IFERROR(MATCH(TRIM($J385&amp;"")&amp;"|월",파견수련계획!$Z$4:$Z$83,0),""))</f>
        <v/>
      </c>
      <c r="AK385" s="10">
        <f>IF(OR($B385="",TRIM($J385&amp;"")=""),"",IFERROR(MATCH(TRIM($J385&amp;"")&amp;"|다기관",파견수련계획!$AE$4:$AE$83,0),""))</f>
        <v/>
      </c>
      <c r="AL385" s="10">
        <f>IF($AK385="","","다기관 "&amp;TEXT(INDEX(파견수련계획!$AB$4:$AB$83,$AK385),"yyyy-mm-dd")&amp;"~"&amp;IF(ISNUMBER(INDEX(파견수련계획!$AC$4:$AC$83,$AK385)),TEXT(INDEX(파견수련계획!$AC$4:$AC$83,$AK385),"yyyy-mm-dd"),""))</f>
        <v/>
      </c>
    </row>
    <row r="386">
      <c r="A386" s="10">
        <f>IF(B386="","",ROW()-1)</f>
        <v/>
      </c>
      <c r="B386" s="18" t="n"/>
      <c r="C386" s="10">
        <f>IF($AB386="","",IF(INDEX(기본자료!$C$2:$C$1001,$AB386)="","",INDEX(기본자료!$C$2:$C$1001,$AB386)))</f>
        <v/>
      </c>
      <c r="D386" s="10">
        <f>IF($AB386="","",IF(INDEX(기본자료!$J$2:$J$1001,$AB386)="","",INDEX(기본자료!$J$2:$J$1001,$AB386)))</f>
        <v/>
      </c>
      <c r="E386" s="11">
        <f>IF($AB386="","",IF(INDEX(기본자료!$K$2:$K$1001,$AB386)="","",IF(NOT(ISNUMBER(INDEX(기본자료!$K$2:$K$1001,$AB386))),INDEX(기본자료!$K$2:$K$1001,$AB386),IF(INDEX(기본자료!$K$2:$K$1001,$AB386)&lt;1000000,INDEX(기본자료!$K$2:$K$1001,$AB386),IF(AND(INDEX(기본자료!$K$2:$K$1001,$AB386)&gt;=10000101,INT(MOD(INDEX(기본자료!$K$2:$K$1001,$AB386),10000)/100)&gt;=1,INT(MOD(INDEX(기본자료!$K$2:$K$1001,$AB386),10000)/100)&lt;=12,MOD(INDEX(기본자료!$K$2:$K$1001,$AB386),100)&gt;=1,MOD(INDEX(기본자료!$K$2:$K$1001,$AB386),100)&lt;=31),DATE(INT(INDEX(기본자료!$K$2:$K$1001,$AB386)/10000),INT(MOD(INDEX(기본자료!$K$2:$K$1001,$AB386),10000)/100),MOD(INDEX(기본자료!$K$2:$K$1001,$AB386),100)),INDEX(기본자료!$K$2:$K$1001,$AB386)&amp;"")))))</f>
        <v/>
      </c>
      <c r="F386" s="10">
        <f>IF($AB386="","",IF(INDEX(기본자료!$D$2:$D$1001,$AB386)="","",INDEX(기본자료!$D$2:$D$1001,$AB386)))</f>
        <v/>
      </c>
      <c r="G386" s="10">
        <f>IF($AB386="","",IF(INDEX(기본자료!$E$2:$E$1001,$AB386)="","",INDEX(기본자료!$E$2:$E$1001,$AB386)))</f>
        <v/>
      </c>
      <c r="H386" s="10">
        <f>IF($AB386="","",IF(INDEX(기본자료!$F$2:$F$1001,$AB386)="","",INDEX(기본자료!$F$2:$F$1001,$AB386)))</f>
        <v/>
      </c>
      <c r="I386" s="11">
        <f>IF($AB386="","",IF(INDEX(기본자료!$G$2:$G$1001,$AB386)="","",IF(NOT(ISNUMBER(INDEX(기본자료!$G$2:$G$1001,$AB386))),INDEX(기본자료!$G$2:$G$1001,$AB386),IF(INDEX(기본자료!$G$2:$G$1001,$AB386)&lt;1000000,INDEX(기본자료!$G$2:$G$1001,$AB386),IF(AND(INDEX(기본자료!$G$2:$G$1001,$AB386)&gt;=10000101,INT(MOD(INDEX(기본자료!$G$2:$G$1001,$AB386),10000)/100)&gt;=1,INT(MOD(INDEX(기본자료!$G$2:$G$1001,$AB386),10000)/100)&lt;=12,MOD(INDEX(기본자료!$G$2:$G$1001,$AB386),100)&gt;=1,MOD(INDEX(기본자료!$G$2:$G$1001,$AB386),100)&lt;=31),DATE(INT(INDEX(기본자료!$G$2:$G$1001,$AB386)/10000),INT(MOD(INDEX(기본자료!$G$2:$G$1001,$AB386),10000)/100),MOD(INDEX(기본자료!$G$2:$G$1001,$AB386),100)),INDEX(기본자료!$G$2:$G$1001,$AB386)&amp;"")))))</f>
        <v/>
      </c>
      <c r="J386" s="10">
        <f>IF($AB386="","",IF(INDEX(기본자료!$H$2:$H$1001,$AB386)="","",INDEX(기본자료!$H$2:$H$1001,$AB386)))</f>
        <v/>
      </c>
      <c r="K386" s="10">
        <f>IF($AB386="","",IF(INDEX(기본자료!$I$2:$I$1001,$AB386)="","",INDEX(기본자료!$I$2:$I$1001,$AB386)))</f>
        <v/>
      </c>
      <c r="L386" s="10">
        <f>IF($AB386="","",IF(INDEX(기본자료!$A$2:$A$1001,$AB386)="","",INDEX(기본자료!$A$2:$A$1001,$AB386)))</f>
        <v/>
      </c>
      <c r="M386" s="15" t="n"/>
      <c r="N386" s="10">
        <f>IF($B386="","",IF(AND($U386="파견중",$Q386&lt;&gt;""),$Q386,IF(AND($AD386&lt;&gt;"",LEFT($AD386,1)&lt;&gt;"⚠"),LEFT($AD386,FIND(" ",$AD386)-1),IF($H386="","",IF(RIGHT($H386,2)="병원",$H386,$H386&amp;"병원")))))</f>
        <v/>
      </c>
      <c r="O386" s="10">
        <f>IF($B386="","",IF(AND($U386="파견중",$Q386&lt;&gt;""),IF($R386&lt;&gt;"",$R386,"파견과 미입력"),IF(AND($AD386&lt;&gt;"",LEFT($AD386,1)&lt;&gt;"⚠"),MID($AD386,FIND(" ",$AD386)+1,60),IF($F386="","",IF($F386="인턴","수련교육부(인턴)",$F386)))))</f>
        <v/>
      </c>
      <c r="P386" s="10">
        <f>IF($B386="","",IF($AK386&lt;&gt;"",IF(AND(TODAY()&gt;=INDEX(파견수련계획!$AB$4:$AB$83,$AK386),OR(NOT(ISNUMBER(INDEX(파견수련계획!$AC$4:$AC$83,$AK386))),TODAY()&lt;=INDEX(파견수련계획!$AC$4:$AC$83,$AK386))),"다기관",IF($AF386="","",INDEX(파견수련계획!$T$4:$T$83,$AF386))),IF($AF386="","",INDEX(파견수련계획!$T$4:$T$83,$AF386))))</f>
        <v/>
      </c>
      <c r="Q386" s="10">
        <f>IF($AF386="","",INDEX(파견수련계획!$S$4:$S$83,$AF386))</f>
        <v/>
      </c>
      <c r="R386" s="10">
        <f>IF($AF386="","",INDEX(파견수련계획!$U$4:$U$83,$AF386))</f>
        <v/>
      </c>
      <c r="S386" s="11">
        <f>IF($AF386="","",IF(INDEX(파견수련계획!$H$4:$H$83,$AF386)="","",INDEX(파견수련계획!$H$4:$H$83,$AF386)))</f>
        <v/>
      </c>
      <c r="T386" s="11">
        <f>IF($AF386="","",IF(INDEX(파견수련계획!$I$4:$I$83,$AF386)="","",INDEX(파견수련계획!$I$4:$I$83,$AF386)))</f>
        <v/>
      </c>
      <c r="U386" s="10">
        <f>IF($AF386="","",INDEX(파견수련계획!$X$4:$X$83,$AF386))</f>
        <v/>
      </c>
      <c r="V386" s="17">
        <f>IF($AF386="","",INDEX(파견수련계획!$V$4:$V$83,$AF386))</f>
        <v/>
      </c>
      <c r="W386" s="17">
        <f>IF(AND($U386="파견중",$T386&lt;&gt;""),$T386-TODAY(),"")</f>
        <v/>
      </c>
      <c r="X386" s="17">
        <f>IF(OR($B386="",TRIM($J386&amp;"")=""),"",SUMPRODUCT((파견수련계획!$Q$4:$Q$83=TRIM($J386&amp;""))*파견수련계획!$W$4:$W$83))</f>
        <v/>
      </c>
      <c r="Y386" s="10">
        <f>IF($B386="","",IF($AG386="","",IF(IF(TRIM($J386&amp;"")="",0,SUMPRODUCT((파견수련계획!$Q$4:$Q$83=TRIM($J386&amp;""))*파견수련계획!$AD$4:$AD$83))&gt;0,$AE386,IF(N($X386)&lt;=0,$AG386,IF($AH386+$AI386=DAY(EOMONTH(요약!$B$3,0)),IF(AND($AH386&gt;=요약!$E$3,$AI386&lt;요약!$E$3),"서울병원",IF(AND($AI386&gt;=요약!$E$3,$AH386&lt;요약!$E$3),"구리병원","⚠15일 판정불가(서울 "&amp;$AH386&amp;"일/구리 "&amp;$AI386&amp;"일)")),IF($AJ386="",$AE386,IF(INDEX(파견수련계획!$T$4:$T$83,$AJ386)="통합수련",INDEX(파견수련계획!$S$4:$S$83,$AJ386),$AE386)))))))</f>
        <v/>
      </c>
      <c r="Z386" s="19">
        <f>IF($B386="","",IF($AB386="","기본자료에 없는 사번",IF(COUNTIF($B$2:$B$401,$B386)&gt;1,"중복 사번",IF($AE386="","소속(입사장소) 입력",IF(IF(TRIM($J386&amp;"")="",0,SUMPRODUCT((파견수련계획!$Q$4:$Q$83=TRIM($J386&amp;""))*(파견수련계획!$AA$4:$AA$83&lt;&gt;"")))&gt;0,"파견수련계획 입력오류 확인",IF(LEFT($Y386,1)="⚠","서울·구리 15일 판정 불가(양쪽 모두 이상/미만)",IF(IF($AC386="",0,N(INDEX(인턴근무계획!$T$3:$T$62,$AC386)))&gt;0,"인턴계획 입력오류 확인",IF(AND($AC386&lt;&gt;"",$U386&lt;&gt;"파견중",$N386&lt;&gt;$AE386),"인턴 타지역 근무: 파견 여부 확인","정상"))))))))</f>
        <v/>
      </c>
      <c r="AA386" s="5" t="n"/>
      <c r="AB386" s="10">
        <f>IF($B386="","",IFERROR(MATCH($B386,기본자료!$B$2:$B$1001,0),IFERROR(MATCH($B386&amp;"",기본자료!$B$2:$B$1001,0),IFERROR(MATCH(VALUE($B386),기본자료!$B$2:$B$1001,0),""))))</f>
        <v/>
      </c>
      <c r="AC386" s="10">
        <f>IF($B386="","",IFERROR(MATCH($B386,인턴근무계획!$D$3:$D$62,0),IFERROR(MATCH($B386&amp;"",인턴근무계획!$D$3:$D$62,0),IFERROR(MATCH(VALUE($B386),인턴근무계획!$D$3:$D$62,0),""))))</f>
        <v/>
      </c>
      <c r="AD386" s="10">
        <f>IF(OR($AC386="",인턴현황!$G$3=""),"",INDEX(인턴근무계획!$M$3:$R$62,$AC386,인턴현황!$G$3)&amp;"")</f>
        <v/>
      </c>
      <c r="AE386" s="10">
        <f>IF($B386="","",IF($M386&lt;&gt;"",$M386,IF($AF386&lt;&gt;"",IF(LEFT(INDEX(파견수련계획!$R$4:$R$83,$AF386),1)&lt;&gt;"⚠",INDEX(파견수련계획!$R$4:$R$83,$AF386),IF($H386="","",IF(RIGHT($H386,2)="병원",$H386,$H386&amp;"병원"))),IF($H386="","",IF(RIGHT($H386,2)="병원",$H386,$H386&amp;"병원")))))</f>
        <v/>
      </c>
      <c r="AF386" s="10">
        <f>IF(OR($B386="",TRIM($J386&amp;"")=""),"",IFERROR(MATCH(TRIM($J386&amp;"")&amp;"|파견중",파견수련계획!$Y$4:$Y$83,0),IFERROR(MATCH(TRIM($J386&amp;"")&amp;"|파견예정",파견수련계획!$Y$4:$Y$83,0),IFERROR(MATCH(TRIM($J386&amp;"")&amp;"|파견종료",파견수련계획!$Y$4:$Y$83,0),""))))</f>
        <v/>
      </c>
      <c r="AG386" s="10">
        <f>IF($B386="","",IF(AND(IF(OR($AC386="",인턴현황!$K$2=""),"",INDEX(인턴근무계획!$M$3:$R$62,$AC386,인턴현황!$K$2)&amp;"")&lt;&gt;"",LEFT(IF(OR($AC386="",인턴현황!$K$2=""),"",INDEX(인턴근무계획!$M$3:$R$62,$AC386,인턴현황!$K$2)&amp;""),1)&lt;&gt;"⚠"),LEFT(IF(OR($AC386="",인턴현황!$K$2=""),"",INDEX(인턴근무계획!$M$3:$R$62,$AC386,인턴현황!$K$2)&amp;""),FIND(" ",IF(OR($AC386="",인턴현황!$K$2=""),"",INDEX(인턴근무계획!$M$3:$R$62,$AC386,인턴현황!$K$2)&amp;""))-1),$AE386))</f>
        <v/>
      </c>
      <c r="AH386" s="17">
        <f>IF($B386="","",IF(TRIM($J386&amp;"")="",0,SUMPRODUCT((파견수련계획!$Q$4:$Q$83=TRIM($J386&amp;""))*(파견수련계획!$S$4:$S$83="서울병원")*파견수련계획!$W$4:$W$83))+IF($AG386="서울병원",MAX(0,DAY(EOMONTH(요약!$B$3,0))-N($X386)),0))</f>
        <v/>
      </c>
      <c r="AI386" s="17">
        <f>IF($B386="","",IF(TRIM($J386&amp;"")="",0,SUMPRODUCT((파견수련계획!$Q$4:$Q$83=TRIM($J386&amp;""))*(파견수련계획!$S$4:$S$83="구리병원")*파견수련계획!$W$4:$W$83))+IF($AG386="구리병원",MAX(0,DAY(EOMONTH(요약!$B$3,0))-N($X386)),0))</f>
        <v/>
      </c>
      <c r="AJ386" s="10">
        <f>IF(OR($B386="",TRIM($J386&amp;"")=""),"",IFERROR(MATCH(TRIM($J386&amp;"")&amp;"|월",파견수련계획!$Z$4:$Z$83,0),""))</f>
        <v/>
      </c>
      <c r="AK386" s="10">
        <f>IF(OR($B386="",TRIM($J386&amp;"")=""),"",IFERROR(MATCH(TRIM($J386&amp;"")&amp;"|다기관",파견수련계획!$AE$4:$AE$83,0),""))</f>
        <v/>
      </c>
      <c r="AL386" s="10">
        <f>IF($AK386="","","다기관 "&amp;TEXT(INDEX(파견수련계획!$AB$4:$AB$83,$AK386),"yyyy-mm-dd")&amp;"~"&amp;IF(ISNUMBER(INDEX(파견수련계획!$AC$4:$AC$83,$AK386)),TEXT(INDEX(파견수련계획!$AC$4:$AC$83,$AK386),"yyyy-mm-dd"),""))</f>
        <v/>
      </c>
    </row>
    <row r="387">
      <c r="A387" s="10">
        <f>IF(B387="","",ROW()-1)</f>
        <v/>
      </c>
      <c r="B387" s="18" t="n"/>
      <c r="C387" s="10">
        <f>IF($AB387="","",IF(INDEX(기본자료!$C$2:$C$1001,$AB387)="","",INDEX(기본자료!$C$2:$C$1001,$AB387)))</f>
        <v/>
      </c>
      <c r="D387" s="10">
        <f>IF($AB387="","",IF(INDEX(기본자료!$J$2:$J$1001,$AB387)="","",INDEX(기본자료!$J$2:$J$1001,$AB387)))</f>
        <v/>
      </c>
      <c r="E387" s="11">
        <f>IF($AB387="","",IF(INDEX(기본자료!$K$2:$K$1001,$AB387)="","",IF(NOT(ISNUMBER(INDEX(기본자료!$K$2:$K$1001,$AB387))),INDEX(기본자료!$K$2:$K$1001,$AB387),IF(INDEX(기본자료!$K$2:$K$1001,$AB387)&lt;1000000,INDEX(기본자료!$K$2:$K$1001,$AB387),IF(AND(INDEX(기본자료!$K$2:$K$1001,$AB387)&gt;=10000101,INT(MOD(INDEX(기본자료!$K$2:$K$1001,$AB387),10000)/100)&gt;=1,INT(MOD(INDEX(기본자료!$K$2:$K$1001,$AB387),10000)/100)&lt;=12,MOD(INDEX(기본자료!$K$2:$K$1001,$AB387),100)&gt;=1,MOD(INDEX(기본자료!$K$2:$K$1001,$AB387),100)&lt;=31),DATE(INT(INDEX(기본자료!$K$2:$K$1001,$AB387)/10000),INT(MOD(INDEX(기본자료!$K$2:$K$1001,$AB387),10000)/100),MOD(INDEX(기본자료!$K$2:$K$1001,$AB387),100)),INDEX(기본자료!$K$2:$K$1001,$AB387)&amp;"")))))</f>
        <v/>
      </c>
      <c r="F387" s="10">
        <f>IF($AB387="","",IF(INDEX(기본자료!$D$2:$D$1001,$AB387)="","",INDEX(기본자료!$D$2:$D$1001,$AB387)))</f>
        <v/>
      </c>
      <c r="G387" s="10">
        <f>IF($AB387="","",IF(INDEX(기본자료!$E$2:$E$1001,$AB387)="","",INDEX(기본자료!$E$2:$E$1001,$AB387)))</f>
        <v/>
      </c>
      <c r="H387" s="10">
        <f>IF($AB387="","",IF(INDEX(기본자료!$F$2:$F$1001,$AB387)="","",INDEX(기본자료!$F$2:$F$1001,$AB387)))</f>
        <v/>
      </c>
      <c r="I387" s="11">
        <f>IF($AB387="","",IF(INDEX(기본자료!$G$2:$G$1001,$AB387)="","",IF(NOT(ISNUMBER(INDEX(기본자료!$G$2:$G$1001,$AB387))),INDEX(기본자료!$G$2:$G$1001,$AB387),IF(INDEX(기본자료!$G$2:$G$1001,$AB387)&lt;1000000,INDEX(기본자료!$G$2:$G$1001,$AB387),IF(AND(INDEX(기본자료!$G$2:$G$1001,$AB387)&gt;=10000101,INT(MOD(INDEX(기본자료!$G$2:$G$1001,$AB387),10000)/100)&gt;=1,INT(MOD(INDEX(기본자료!$G$2:$G$1001,$AB387),10000)/100)&lt;=12,MOD(INDEX(기본자료!$G$2:$G$1001,$AB387),100)&gt;=1,MOD(INDEX(기본자료!$G$2:$G$1001,$AB387),100)&lt;=31),DATE(INT(INDEX(기본자료!$G$2:$G$1001,$AB387)/10000),INT(MOD(INDEX(기본자료!$G$2:$G$1001,$AB387),10000)/100),MOD(INDEX(기본자료!$G$2:$G$1001,$AB387),100)),INDEX(기본자료!$G$2:$G$1001,$AB387)&amp;"")))))</f>
        <v/>
      </c>
      <c r="J387" s="10">
        <f>IF($AB387="","",IF(INDEX(기본자료!$H$2:$H$1001,$AB387)="","",INDEX(기본자료!$H$2:$H$1001,$AB387)))</f>
        <v/>
      </c>
      <c r="K387" s="10">
        <f>IF($AB387="","",IF(INDEX(기본자료!$I$2:$I$1001,$AB387)="","",INDEX(기본자료!$I$2:$I$1001,$AB387)))</f>
        <v/>
      </c>
      <c r="L387" s="10">
        <f>IF($AB387="","",IF(INDEX(기본자료!$A$2:$A$1001,$AB387)="","",INDEX(기본자료!$A$2:$A$1001,$AB387)))</f>
        <v/>
      </c>
      <c r="M387" s="15" t="n"/>
      <c r="N387" s="10">
        <f>IF($B387="","",IF(AND($U387="파견중",$Q387&lt;&gt;""),$Q387,IF(AND($AD387&lt;&gt;"",LEFT($AD387,1)&lt;&gt;"⚠"),LEFT($AD387,FIND(" ",$AD387)-1),IF($H387="","",IF(RIGHT($H387,2)="병원",$H387,$H387&amp;"병원")))))</f>
        <v/>
      </c>
      <c r="O387" s="10">
        <f>IF($B387="","",IF(AND($U387="파견중",$Q387&lt;&gt;""),IF($R387&lt;&gt;"",$R387,"파견과 미입력"),IF(AND($AD387&lt;&gt;"",LEFT($AD387,1)&lt;&gt;"⚠"),MID($AD387,FIND(" ",$AD387)+1,60),IF($F387="","",IF($F387="인턴","수련교육부(인턴)",$F387)))))</f>
        <v/>
      </c>
      <c r="P387" s="10">
        <f>IF($B387="","",IF($AK387&lt;&gt;"",IF(AND(TODAY()&gt;=INDEX(파견수련계획!$AB$4:$AB$83,$AK387),OR(NOT(ISNUMBER(INDEX(파견수련계획!$AC$4:$AC$83,$AK387))),TODAY()&lt;=INDEX(파견수련계획!$AC$4:$AC$83,$AK387))),"다기관",IF($AF387="","",INDEX(파견수련계획!$T$4:$T$83,$AF387))),IF($AF387="","",INDEX(파견수련계획!$T$4:$T$83,$AF387))))</f>
        <v/>
      </c>
      <c r="Q387" s="10">
        <f>IF($AF387="","",INDEX(파견수련계획!$S$4:$S$83,$AF387))</f>
        <v/>
      </c>
      <c r="R387" s="10">
        <f>IF($AF387="","",INDEX(파견수련계획!$U$4:$U$83,$AF387))</f>
        <v/>
      </c>
      <c r="S387" s="11">
        <f>IF($AF387="","",IF(INDEX(파견수련계획!$H$4:$H$83,$AF387)="","",INDEX(파견수련계획!$H$4:$H$83,$AF387)))</f>
        <v/>
      </c>
      <c r="T387" s="11">
        <f>IF($AF387="","",IF(INDEX(파견수련계획!$I$4:$I$83,$AF387)="","",INDEX(파견수련계획!$I$4:$I$83,$AF387)))</f>
        <v/>
      </c>
      <c r="U387" s="10">
        <f>IF($AF387="","",INDEX(파견수련계획!$X$4:$X$83,$AF387))</f>
        <v/>
      </c>
      <c r="V387" s="17">
        <f>IF($AF387="","",INDEX(파견수련계획!$V$4:$V$83,$AF387))</f>
        <v/>
      </c>
      <c r="W387" s="17">
        <f>IF(AND($U387="파견중",$T387&lt;&gt;""),$T387-TODAY(),"")</f>
        <v/>
      </c>
      <c r="X387" s="17">
        <f>IF(OR($B387="",TRIM($J387&amp;"")=""),"",SUMPRODUCT((파견수련계획!$Q$4:$Q$83=TRIM($J387&amp;""))*파견수련계획!$W$4:$W$83))</f>
        <v/>
      </c>
      <c r="Y387" s="10">
        <f>IF($B387="","",IF($AG387="","",IF(IF(TRIM($J387&amp;"")="",0,SUMPRODUCT((파견수련계획!$Q$4:$Q$83=TRIM($J387&amp;""))*파견수련계획!$AD$4:$AD$83))&gt;0,$AE387,IF(N($X387)&lt;=0,$AG387,IF($AH387+$AI387=DAY(EOMONTH(요약!$B$3,0)),IF(AND($AH387&gt;=요약!$E$3,$AI387&lt;요약!$E$3),"서울병원",IF(AND($AI387&gt;=요약!$E$3,$AH387&lt;요약!$E$3),"구리병원","⚠15일 판정불가(서울 "&amp;$AH387&amp;"일/구리 "&amp;$AI387&amp;"일)")),IF($AJ387="",$AE387,IF(INDEX(파견수련계획!$T$4:$T$83,$AJ387)="통합수련",INDEX(파견수련계획!$S$4:$S$83,$AJ387),$AE387)))))))</f>
        <v/>
      </c>
      <c r="Z387" s="19">
        <f>IF($B387="","",IF($AB387="","기본자료에 없는 사번",IF(COUNTIF($B$2:$B$401,$B387)&gt;1,"중복 사번",IF($AE387="","소속(입사장소) 입력",IF(IF(TRIM($J387&amp;"")="",0,SUMPRODUCT((파견수련계획!$Q$4:$Q$83=TRIM($J387&amp;""))*(파견수련계획!$AA$4:$AA$83&lt;&gt;"")))&gt;0,"파견수련계획 입력오류 확인",IF(LEFT($Y387,1)="⚠","서울·구리 15일 판정 불가(양쪽 모두 이상/미만)",IF(IF($AC387="",0,N(INDEX(인턴근무계획!$T$3:$T$62,$AC387)))&gt;0,"인턴계획 입력오류 확인",IF(AND($AC387&lt;&gt;"",$U387&lt;&gt;"파견중",$N387&lt;&gt;$AE387),"인턴 타지역 근무: 파견 여부 확인","정상"))))))))</f>
        <v/>
      </c>
      <c r="AA387" s="5" t="n"/>
      <c r="AB387" s="10">
        <f>IF($B387="","",IFERROR(MATCH($B387,기본자료!$B$2:$B$1001,0),IFERROR(MATCH($B387&amp;"",기본자료!$B$2:$B$1001,0),IFERROR(MATCH(VALUE($B387),기본자료!$B$2:$B$1001,0),""))))</f>
        <v/>
      </c>
      <c r="AC387" s="10">
        <f>IF($B387="","",IFERROR(MATCH($B387,인턴근무계획!$D$3:$D$62,0),IFERROR(MATCH($B387&amp;"",인턴근무계획!$D$3:$D$62,0),IFERROR(MATCH(VALUE($B387),인턴근무계획!$D$3:$D$62,0),""))))</f>
        <v/>
      </c>
      <c r="AD387" s="10">
        <f>IF(OR($AC387="",인턴현황!$G$3=""),"",INDEX(인턴근무계획!$M$3:$R$62,$AC387,인턴현황!$G$3)&amp;"")</f>
        <v/>
      </c>
      <c r="AE387" s="10">
        <f>IF($B387="","",IF($M387&lt;&gt;"",$M387,IF($AF387&lt;&gt;"",IF(LEFT(INDEX(파견수련계획!$R$4:$R$83,$AF387),1)&lt;&gt;"⚠",INDEX(파견수련계획!$R$4:$R$83,$AF387),IF($H387="","",IF(RIGHT($H387,2)="병원",$H387,$H387&amp;"병원"))),IF($H387="","",IF(RIGHT($H387,2)="병원",$H387,$H387&amp;"병원")))))</f>
        <v/>
      </c>
      <c r="AF387" s="10">
        <f>IF(OR($B387="",TRIM($J387&amp;"")=""),"",IFERROR(MATCH(TRIM($J387&amp;"")&amp;"|파견중",파견수련계획!$Y$4:$Y$83,0),IFERROR(MATCH(TRIM($J387&amp;"")&amp;"|파견예정",파견수련계획!$Y$4:$Y$83,0),IFERROR(MATCH(TRIM($J387&amp;"")&amp;"|파견종료",파견수련계획!$Y$4:$Y$83,0),""))))</f>
        <v/>
      </c>
      <c r="AG387" s="10">
        <f>IF($B387="","",IF(AND(IF(OR($AC387="",인턴현황!$K$2=""),"",INDEX(인턴근무계획!$M$3:$R$62,$AC387,인턴현황!$K$2)&amp;"")&lt;&gt;"",LEFT(IF(OR($AC387="",인턴현황!$K$2=""),"",INDEX(인턴근무계획!$M$3:$R$62,$AC387,인턴현황!$K$2)&amp;""),1)&lt;&gt;"⚠"),LEFT(IF(OR($AC387="",인턴현황!$K$2=""),"",INDEX(인턴근무계획!$M$3:$R$62,$AC387,인턴현황!$K$2)&amp;""),FIND(" ",IF(OR($AC387="",인턴현황!$K$2=""),"",INDEX(인턴근무계획!$M$3:$R$62,$AC387,인턴현황!$K$2)&amp;""))-1),$AE387))</f>
        <v/>
      </c>
      <c r="AH387" s="17">
        <f>IF($B387="","",IF(TRIM($J387&amp;"")="",0,SUMPRODUCT((파견수련계획!$Q$4:$Q$83=TRIM($J387&amp;""))*(파견수련계획!$S$4:$S$83="서울병원")*파견수련계획!$W$4:$W$83))+IF($AG387="서울병원",MAX(0,DAY(EOMONTH(요약!$B$3,0))-N($X387)),0))</f>
        <v/>
      </c>
      <c r="AI387" s="17">
        <f>IF($B387="","",IF(TRIM($J387&amp;"")="",0,SUMPRODUCT((파견수련계획!$Q$4:$Q$83=TRIM($J387&amp;""))*(파견수련계획!$S$4:$S$83="구리병원")*파견수련계획!$W$4:$W$83))+IF($AG387="구리병원",MAX(0,DAY(EOMONTH(요약!$B$3,0))-N($X387)),0))</f>
        <v/>
      </c>
      <c r="AJ387" s="10">
        <f>IF(OR($B387="",TRIM($J387&amp;"")=""),"",IFERROR(MATCH(TRIM($J387&amp;"")&amp;"|월",파견수련계획!$Z$4:$Z$83,0),""))</f>
        <v/>
      </c>
      <c r="AK387" s="10">
        <f>IF(OR($B387="",TRIM($J387&amp;"")=""),"",IFERROR(MATCH(TRIM($J387&amp;"")&amp;"|다기관",파견수련계획!$AE$4:$AE$83,0),""))</f>
        <v/>
      </c>
      <c r="AL387" s="10">
        <f>IF($AK387="","","다기관 "&amp;TEXT(INDEX(파견수련계획!$AB$4:$AB$83,$AK387),"yyyy-mm-dd")&amp;"~"&amp;IF(ISNUMBER(INDEX(파견수련계획!$AC$4:$AC$83,$AK387)),TEXT(INDEX(파견수련계획!$AC$4:$AC$83,$AK387),"yyyy-mm-dd"),""))</f>
        <v/>
      </c>
    </row>
    <row r="388">
      <c r="A388" s="10">
        <f>IF(B388="","",ROW()-1)</f>
        <v/>
      </c>
      <c r="B388" s="18" t="n"/>
      <c r="C388" s="10">
        <f>IF($AB388="","",IF(INDEX(기본자료!$C$2:$C$1001,$AB388)="","",INDEX(기본자료!$C$2:$C$1001,$AB388)))</f>
        <v/>
      </c>
      <c r="D388" s="10">
        <f>IF($AB388="","",IF(INDEX(기본자료!$J$2:$J$1001,$AB388)="","",INDEX(기본자료!$J$2:$J$1001,$AB388)))</f>
        <v/>
      </c>
      <c r="E388" s="11">
        <f>IF($AB388="","",IF(INDEX(기본자료!$K$2:$K$1001,$AB388)="","",IF(NOT(ISNUMBER(INDEX(기본자료!$K$2:$K$1001,$AB388))),INDEX(기본자료!$K$2:$K$1001,$AB388),IF(INDEX(기본자료!$K$2:$K$1001,$AB388)&lt;1000000,INDEX(기본자료!$K$2:$K$1001,$AB388),IF(AND(INDEX(기본자료!$K$2:$K$1001,$AB388)&gt;=10000101,INT(MOD(INDEX(기본자료!$K$2:$K$1001,$AB388),10000)/100)&gt;=1,INT(MOD(INDEX(기본자료!$K$2:$K$1001,$AB388),10000)/100)&lt;=12,MOD(INDEX(기본자료!$K$2:$K$1001,$AB388),100)&gt;=1,MOD(INDEX(기본자료!$K$2:$K$1001,$AB388),100)&lt;=31),DATE(INT(INDEX(기본자료!$K$2:$K$1001,$AB388)/10000),INT(MOD(INDEX(기본자료!$K$2:$K$1001,$AB388),10000)/100),MOD(INDEX(기본자료!$K$2:$K$1001,$AB388),100)),INDEX(기본자료!$K$2:$K$1001,$AB388)&amp;"")))))</f>
        <v/>
      </c>
      <c r="F388" s="10">
        <f>IF($AB388="","",IF(INDEX(기본자료!$D$2:$D$1001,$AB388)="","",INDEX(기본자료!$D$2:$D$1001,$AB388)))</f>
        <v/>
      </c>
      <c r="G388" s="10">
        <f>IF($AB388="","",IF(INDEX(기본자료!$E$2:$E$1001,$AB388)="","",INDEX(기본자료!$E$2:$E$1001,$AB388)))</f>
        <v/>
      </c>
      <c r="H388" s="10">
        <f>IF($AB388="","",IF(INDEX(기본자료!$F$2:$F$1001,$AB388)="","",INDEX(기본자료!$F$2:$F$1001,$AB388)))</f>
        <v/>
      </c>
      <c r="I388" s="11">
        <f>IF($AB388="","",IF(INDEX(기본자료!$G$2:$G$1001,$AB388)="","",IF(NOT(ISNUMBER(INDEX(기본자료!$G$2:$G$1001,$AB388))),INDEX(기본자료!$G$2:$G$1001,$AB388),IF(INDEX(기본자료!$G$2:$G$1001,$AB388)&lt;1000000,INDEX(기본자료!$G$2:$G$1001,$AB388),IF(AND(INDEX(기본자료!$G$2:$G$1001,$AB388)&gt;=10000101,INT(MOD(INDEX(기본자료!$G$2:$G$1001,$AB388),10000)/100)&gt;=1,INT(MOD(INDEX(기본자료!$G$2:$G$1001,$AB388),10000)/100)&lt;=12,MOD(INDEX(기본자료!$G$2:$G$1001,$AB388),100)&gt;=1,MOD(INDEX(기본자료!$G$2:$G$1001,$AB388),100)&lt;=31),DATE(INT(INDEX(기본자료!$G$2:$G$1001,$AB388)/10000),INT(MOD(INDEX(기본자료!$G$2:$G$1001,$AB388),10000)/100),MOD(INDEX(기본자료!$G$2:$G$1001,$AB388),100)),INDEX(기본자료!$G$2:$G$1001,$AB388)&amp;"")))))</f>
        <v/>
      </c>
      <c r="J388" s="10">
        <f>IF($AB388="","",IF(INDEX(기본자료!$H$2:$H$1001,$AB388)="","",INDEX(기본자료!$H$2:$H$1001,$AB388)))</f>
        <v/>
      </c>
      <c r="K388" s="10">
        <f>IF($AB388="","",IF(INDEX(기본자료!$I$2:$I$1001,$AB388)="","",INDEX(기본자료!$I$2:$I$1001,$AB388)))</f>
        <v/>
      </c>
      <c r="L388" s="10">
        <f>IF($AB388="","",IF(INDEX(기본자료!$A$2:$A$1001,$AB388)="","",INDEX(기본자료!$A$2:$A$1001,$AB388)))</f>
        <v/>
      </c>
      <c r="M388" s="15" t="n"/>
      <c r="N388" s="10">
        <f>IF($B388="","",IF(AND($U388="파견중",$Q388&lt;&gt;""),$Q388,IF(AND($AD388&lt;&gt;"",LEFT($AD388,1)&lt;&gt;"⚠"),LEFT($AD388,FIND(" ",$AD388)-1),IF($H388="","",IF(RIGHT($H388,2)="병원",$H388,$H388&amp;"병원")))))</f>
        <v/>
      </c>
      <c r="O388" s="10">
        <f>IF($B388="","",IF(AND($U388="파견중",$Q388&lt;&gt;""),IF($R388&lt;&gt;"",$R388,"파견과 미입력"),IF(AND($AD388&lt;&gt;"",LEFT($AD388,1)&lt;&gt;"⚠"),MID($AD388,FIND(" ",$AD388)+1,60),IF($F388="","",IF($F388="인턴","수련교육부(인턴)",$F388)))))</f>
        <v/>
      </c>
      <c r="P388" s="10">
        <f>IF($B388="","",IF($AK388&lt;&gt;"",IF(AND(TODAY()&gt;=INDEX(파견수련계획!$AB$4:$AB$83,$AK388),OR(NOT(ISNUMBER(INDEX(파견수련계획!$AC$4:$AC$83,$AK388))),TODAY()&lt;=INDEX(파견수련계획!$AC$4:$AC$83,$AK388))),"다기관",IF($AF388="","",INDEX(파견수련계획!$T$4:$T$83,$AF388))),IF($AF388="","",INDEX(파견수련계획!$T$4:$T$83,$AF388))))</f>
        <v/>
      </c>
      <c r="Q388" s="10">
        <f>IF($AF388="","",INDEX(파견수련계획!$S$4:$S$83,$AF388))</f>
        <v/>
      </c>
      <c r="R388" s="10">
        <f>IF($AF388="","",INDEX(파견수련계획!$U$4:$U$83,$AF388))</f>
        <v/>
      </c>
      <c r="S388" s="11">
        <f>IF($AF388="","",IF(INDEX(파견수련계획!$H$4:$H$83,$AF388)="","",INDEX(파견수련계획!$H$4:$H$83,$AF388)))</f>
        <v/>
      </c>
      <c r="T388" s="11">
        <f>IF($AF388="","",IF(INDEX(파견수련계획!$I$4:$I$83,$AF388)="","",INDEX(파견수련계획!$I$4:$I$83,$AF388)))</f>
        <v/>
      </c>
      <c r="U388" s="10">
        <f>IF($AF388="","",INDEX(파견수련계획!$X$4:$X$83,$AF388))</f>
        <v/>
      </c>
      <c r="V388" s="17">
        <f>IF($AF388="","",INDEX(파견수련계획!$V$4:$V$83,$AF388))</f>
        <v/>
      </c>
      <c r="W388" s="17">
        <f>IF(AND($U388="파견중",$T388&lt;&gt;""),$T388-TODAY(),"")</f>
        <v/>
      </c>
      <c r="X388" s="17">
        <f>IF(OR($B388="",TRIM($J388&amp;"")=""),"",SUMPRODUCT((파견수련계획!$Q$4:$Q$83=TRIM($J388&amp;""))*파견수련계획!$W$4:$W$83))</f>
        <v/>
      </c>
      <c r="Y388" s="10">
        <f>IF($B388="","",IF($AG388="","",IF(IF(TRIM($J388&amp;"")="",0,SUMPRODUCT((파견수련계획!$Q$4:$Q$83=TRIM($J388&amp;""))*파견수련계획!$AD$4:$AD$83))&gt;0,$AE388,IF(N($X388)&lt;=0,$AG388,IF($AH388+$AI388=DAY(EOMONTH(요약!$B$3,0)),IF(AND($AH388&gt;=요약!$E$3,$AI388&lt;요약!$E$3),"서울병원",IF(AND($AI388&gt;=요약!$E$3,$AH388&lt;요약!$E$3),"구리병원","⚠15일 판정불가(서울 "&amp;$AH388&amp;"일/구리 "&amp;$AI388&amp;"일)")),IF($AJ388="",$AE388,IF(INDEX(파견수련계획!$T$4:$T$83,$AJ388)="통합수련",INDEX(파견수련계획!$S$4:$S$83,$AJ388),$AE388)))))))</f>
        <v/>
      </c>
      <c r="Z388" s="19">
        <f>IF($B388="","",IF($AB388="","기본자료에 없는 사번",IF(COUNTIF($B$2:$B$401,$B388)&gt;1,"중복 사번",IF($AE388="","소속(입사장소) 입력",IF(IF(TRIM($J388&amp;"")="",0,SUMPRODUCT((파견수련계획!$Q$4:$Q$83=TRIM($J388&amp;""))*(파견수련계획!$AA$4:$AA$83&lt;&gt;"")))&gt;0,"파견수련계획 입력오류 확인",IF(LEFT($Y388,1)="⚠","서울·구리 15일 판정 불가(양쪽 모두 이상/미만)",IF(IF($AC388="",0,N(INDEX(인턴근무계획!$T$3:$T$62,$AC388)))&gt;0,"인턴계획 입력오류 확인",IF(AND($AC388&lt;&gt;"",$U388&lt;&gt;"파견중",$N388&lt;&gt;$AE388),"인턴 타지역 근무: 파견 여부 확인","정상"))))))))</f>
        <v/>
      </c>
      <c r="AA388" s="5" t="n"/>
      <c r="AB388" s="10">
        <f>IF($B388="","",IFERROR(MATCH($B388,기본자료!$B$2:$B$1001,0),IFERROR(MATCH($B388&amp;"",기본자료!$B$2:$B$1001,0),IFERROR(MATCH(VALUE($B388),기본자료!$B$2:$B$1001,0),""))))</f>
        <v/>
      </c>
      <c r="AC388" s="10">
        <f>IF($B388="","",IFERROR(MATCH($B388,인턴근무계획!$D$3:$D$62,0),IFERROR(MATCH($B388&amp;"",인턴근무계획!$D$3:$D$62,0),IFERROR(MATCH(VALUE($B388),인턴근무계획!$D$3:$D$62,0),""))))</f>
        <v/>
      </c>
      <c r="AD388" s="10">
        <f>IF(OR($AC388="",인턴현황!$G$3=""),"",INDEX(인턴근무계획!$M$3:$R$62,$AC388,인턴현황!$G$3)&amp;"")</f>
        <v/>
      </c>
      <c r="AE388" s="10">
        <f>IF($B388="","",IF($M388&lt;&gt;"",$M388,IF($AF388&lt;&gt;"",IF(LEFT(INDEX(파견수련계획!$R$4:$R$83,$AF388),1)&lt;&gt;"⚠",INDEX(파견수련계획!$R$4:$R$83,$AF388),IF($H388="","",IF(RIGHT($H388,2)="병원",$H388,$H388&amp;"병원"))),IF($H388="","",IF(RIGHT($H388,2)="병원",$H388,$H388&amp;"병원")))))</f>
        <v/>
      </c>
      <c r="AF388" s="10">
        <f>IF(OR($B388="",TRIM($J388&amp;"")=""),"",IFERROR(MATCH(TRIM($J388&amp;"")&amp;"|파견중",파견수련계획!$Y$4:$Y$83,0),IFERROR(MATCH(TRIM($J388&amp;"")&amp;"|파견예정",파견수련계획!$Y$4:$Y$83,0),IFERROR(MATCH(TRIM($J388&amp;"")&amp;"|파견종료",파견수련계획!$Y$4:$Y$83,0),""))))</f>
        <v/>
      </c>
      <c r="AG388" s="10">
        <f>IF($B388="","",IF(AND(IF(OR($AC388="",인턴현황!$K$2=""),"",INDEX(인턴근무계획!$M$3:$R$62,$AC388,인턴현황!$K$2)&amp;"")&lt;&gt;"",LEFT(IF(OR($AC388="",인턴현황!$K$2=""),"",INDEX(인턴근무계획!$M$3:$R$62,$AC388,인턴현황!$K$2)&amp;""),1)&lt;&gt;"⚠"),LEFT(IF(OR($AC388="",인턴현황!$K$2=""),"",INDEX(인턴근무계획!$M$3:$R$62,$AC388,인턴현황!$K$2)&amp;""),FIND(" ",IF(OR($AC388="",인턴현황!$K$2=""),"",INDEX(인턴근무계획!$M$3:$R$62,$AC388,인턴현황!$K$2)&amp;""))-1),$AE388))</f>
        <v/>
      </c>
      <c r="AH388" s="17">
        <f>IF($B388="","",IF(TRIM($J388&amp;"")="",0,SUMPRODUCT((파견수련계획!$Q$4:$Q$83=TRIM($J388&amp;""))*(파견수련계획!$S$4:$S$83="서울병원")*파견수련계획!$W$4:$W$83))+IF($AG388="서울병원",MAX(0,DAY(EOMONTH(요약!$B$3,0))-N($X388)),0))</f>
        <v/>
      </c>
      <c r="AI388" s="17">
        <f>IF($B388="","",IF(TRIM($J388&amp;"")="",0,SUMPRODUCT((파견수련계획!$Q$4:$Q$83=TRIM($J388&amp;""))*(파견수련계획!$S$4:$S$83="구리병원")*파견수련계획!$W$4:$W$83))+IF($AG388="구리병원",MAX(0,DAY(EOMONTH(요약!$B$3,0))-N($X388)),0))</f>
        <v/>
      </c>
      <c r="AJ388" s="10">
        <f>IF(OR($B388="",TRIM($J388&amp;"")=""),"",IFERROR(MATCH(TRIM($J388&amp;"")&amp;"|월",파견수련계획!$Z$4:$Z$83,0),""))</f>
        <v/>
      </c>
      <c r="AK388" s="10">
        <f>IF(OR($B388="",TRIM($J388&amp;"")=""),"",IFERROR(MATCH(TRIM($J388&amp;"")&amp;"|다기관",파견수련계획!$AE$4:$AE$83,0),""))</f>
        <v/>
      </c>
      <c r="AL388" s="10">
        <f>IF($AK388="","","다기관 "&amp;TEXT(INDEX(파견수련계획!$AB$4:$AB$83,$AK388),"yyyy-mm-dd")&amp;"~"&amp;IF(ISNUMBER(INDEX(파견수련계획!$AC$4:$AC$83,$AK388)),TEXT(INDEX(파견수련계획!$AC$4:$AC$83,$AK388),"yyyy-mm-dd"),""))</f>
        <v/>
      </c>
    </row>
    <row r="389">
      <c r="A389" s="10">
        <f>IF(B389="","",ROW()-1)</f>
        <v/>
      </c>
      <c r="B389" s="18" t="n"/>
      <c r="C389" s="10">
        <f>IF($AB389="","",IF(INDEX(기본자료!$C$2:$C$1001,$AB389)="","",INDEX(기본자료!$C$2:$C$1001,$AB389)))</f>
        <v/>
      </c>
      <c r="D389" s="10">
        <f>IF($AB389="","",IF(INDEX(기본자료!$J$2:$J$1001,$AB389)="","",INDEX(기본자료!$J$2:$J$1001,$AB389)))</f>
        <v/>
      </c>
      <c r="E389" s="11">
        <f>IF($AB389="","",IF(INDEX(기본자료!$K$2:$K$1001,$AB389)="","",IF(NOT(ISNUMBER(INDEX(기본자료!$K$2:$K$1001,$AB389))),INDEX(기본자료!$K$2:$K$1001,$AB389),IF(INDEX(기본자료!$K$2:$K$1001,$AB389)&lt;1000000,INDEX(기본자료!$K$2:$K$1001,$AB389),IF(AND(INDEX(기본자료!$K$2:$K$1001,$AB389)&gt;=10000101,INT(MOD(INDEX(기본자료!$K$2:$K$1001,$AB389),10000)/100)&gt;=1,INT(MOD(INDEX(기본자료!$K$2:$K$1001,$AB389),10000)/100)&lt;=12,MOD(INDEX(기본자료!$K$2:$K$1001,$AB389),100)&gt;=1,MOD(INDEX(기본자료!$K$2:$K$1001,$AB389),100)&lt;=31),DATE(INT(INDEX(기본자료!$K$2:$K$1001,$AB389)/10000),INT(MOD(INDEX(기본자료!$K$2:$K$1001,$AB389),10000)/100),MOD(INDEX(기본자료!$K$2:$K$1001,$AB389),100)),INDEX(기본자료!$K$2:$K$1001,$AB389)&amp;"")))))</f>
        <v/>
      </c>
      <c r="F389" s="10">
        <f>IF($AB389="","",IF(INDEX(기본자료!$D$2:$D$1001,$AB389)="","",INDEX(기본자료!$D$2:$D$1001,$AB389)))</f>
        <v/>
      </c>
      <c r="G389" s="10">
        <f>IF($AB389="","",IF(INDEX(기본자료!$E$2:$E$1001,$AB389)="","",INDEX(기본자료!$E$2:$E$1001,$AB389)))</f>
        <v/>
      </c>
      <c r="H389" s="10">
        <f>IF($AB389="","",IF(INDEX(기본자료!$F$2:$F$1001,$AB389)="","",INDEX(기본자료!$F$2:$F$1001,$AB389)))</f>
        <v/>
      </c>
      <c r="I389" s="11">
        <f>IF($AB389="","",IF(INDEX(기본자료!$G$2:$G$1001,$AB389)="","",IF(NOT(ISNUMBER(INDEX(기본자료!$G$2:$G$1001,$AB389))),INDEX(기본자료!$G$2:$G$1001,$AB389),IF(INDEX(기본자료!$G$2:$G$1001,$AB389)&lt;1000000,INDEX(기본자료!$G$2:$G$1001,$AB389),IF(AND(INDEX(기본자료!$G$2:$G$1001,$AB389)&gt;=10000101,INT(MOD(INDEX(기본자료!$G$2:$G$1001,$AB389),10000)/100)&gt;=1,INT(MOD(INDEX(기본자료!$G$2:$G$1001,$AB389),10000)/100)&lt;=12,MOD(INDEX(기본자료!$G$2:$G$1001,$AB389),100)&gt;=1,MOD(INDEX(기본자료!$G$2:$G$1001,$AB389),100)&lt;=31),DATE(INT(INDEX(기본자료!$G$2:$G$1001,$AB389)/10000),INT(MOD(INDEX(기본자료!$G$2:$G$1001,$AB389),10000)/100),MOD(INDEX(기본자료!$G$2:$G$1001,$AB389),100)),INDEX(기본자료!$G$2:$G$1001,$AB389)&amp;"")))))</f>
        <v/>
      </c>
      <c r="J389" s="10">
        <f>IF($AB389="","",IF(INDEX(기본자료!$H$2:$H$1001,$AB389)="","",INDEX(기본자료!$H$2:$H$1001,$AB389)))</f>
        <v/>
      </c>
      <c r="K389" s="10">
        <f>IF($AB389="","",IF(INDEX(기본자료!$I$2:$I$1001,$AB389)="","",INDEX(기본자료!$I$2:$I$1001,$AB389)))</f>
        <v/>
      </c>
      <c r="L389" s="10">
        <f>IF($AB389="","",IF(INDEX(기본자료!$A$2:$A$1001,$AB389)="","",INDEX(기본자료!$A$2:$A$1001,$AB389)))</f>
        <v/>
      </c>
      <c r="M389" s="15" t="n"/>
      <c r="N389" s="10">
        <f>IF($B389="","",IF(AND($U389="파견중",$Q389&lt;&gt;""),$Q389,IF(AND($AD389&lt;&gt;"",LEFT($AD389,1)&lt;&gt;"⚠"),LEFT($AD389,FIND(" ",$AD389)-1),IF($H389="","",IF(RIGHT($H389,2)="병원",$H389,$H389&amp;"병원")))))</f>
        <v/>
      </c>
      <c r="O389" s="10">
        <f>IF($B389="","",IF(AND($U389="파견중",$Q389&lt;&gt;""),IF($R389&lt;&gt;"",$R389,"파견과 미입력"),IF(AND($AD389&lt;&gt;"",LEFT($AD389,1)&lt;&gt;"⚠"),MID($AD389,FIND(" ",$AD389)+1,60),IF($F389="","",IF($F389="인턴","수련교육부(인턴)",$F389)))))</f>
        <v/>
      </c>
      <c r="P389" s="10">
        <f>IF($B389="","",IF($AK389&lt;&gt;"",IF(AND(TODAY()&gt;=INDEX(파견수련계획!$AB$4:$AB$83,$AK389),OR(NOT(ISNUMBER(INDEX(파견수련계획!$AC$4:$AC$83,$AK389))),TODAY()&lt;=INDEX(파견수련계획!$AC$4:$AC$83,$AK389))),"다기관",IF($AF389="","",INDEX(파견수련계획!$T$4:$T$83,$AF389))),IF($AF389="","",INDEX(파견수련계획!$T$4:$T$83,$AF389))))</f>
        <v/>
      </c>
      <c r="Q389" s="10">
        <f>IF($AF389="","",INDEX(파견수련계획!$S$4:$S$83,$AF389))</f>
        <v/>
      </c>
      <c r="R389" s="10">
        <f>IF($AF389="","",INDEX(파견수련계획!$U$4:$U$83,$AF389))</f>
        <v/>
      </c>
      <c r="S389" s="11">
        <f>IF($AF389="","",IF(INDEX(파견수련계획!$H$4:$H$83,$AF389)="","",INDEX(파견수련계획!$H$4:$H$83,$AF389)))</f>
        <v/>
      </c>
      <c r="T389" s="11">
        <f>IF($AF389="","",IF(INDEX(파견수련계획!$I$4:$I$83,$AF389)="","",INDEX(파견수련계획!$I$4:$I$83,$AF389)))</f>
        <v/>
      </c>
      <c r="U389" s="10">
        <f>IF($AF389="","",INDEX(파견수련계획!$X$4:$X$83,$AF389))</f>
        <v/>
      </c>
      <c r="V389" s="17">
        <f>IF($AF389="","",INDEX(파견수련계획!$V$4:$V$83,$AF389))</f>
        <v/>
      </c>
      <c r="W389" s="17">
        <f>IF(AND($U389="파견중",$T389&lt;&gt;""),$T389-TODAY(),"")</f>
        <v/>
      </c>
      <c r="X389" s="17">
        <f>IF(OR($B389="",TRIM($J389&amp;"")=""),"",SUMPRODUCT((파견수련계획!$Q$4:$Q$83=TRIM($J389&amp;""))*파견수련계획!$W$4:$W$83))</f>
        <v/>
      </c>
      <c r="Y389" s="10">
        <f>IF($B389="","",IF($AG389="","",IF(IF(TRIM($J389&amp;"")="",0,SUMPRODUCT((파견수련계획!$Q$4:$Q$83=TRIM($J389&amp;""))*파견수련계획!$AD$4:$AD$83))&gt;0,$AE389,IF(N($X389)&lt;=0,$AG389,IF($AH389+$AI389=DAY(EOMONTH(요약!$B$3,0)),IF(AND($AH389&gt;=요약!$E$3,$AI389&lt;요약!$E$3),"서울병원",IF(AND($AI389&gt;=요약!$E$3,$AH389&lt;요약!$E$3),"구리병원","⚠15일 판정불가(서울 "&amp;$AH389&amp;"일/구리 "&amp;$AI389&amp;"일)")),IF($AJ389="",$AE389,IF(INDEX(파견수련계획!$T$4:$T$83,$AJ389)="통합수련",INDEX(파견수련계획!$S$4:$S$83,$AJ389),$AE389)))))))</f>
        <v/>
      </c>
      <c r="Z389" s="19">
        <f>IF($B389="","",IF($AB389="","기본자료에 없는 사번",IF(COUNTIF($B$2:$B$401,$B389)&gt;1,"중복 사번",IF($AE389="","소속(입사장소) 입력",IF(IF(TRIM($J389&amp;"")="",0,SUMPRODUCT((파견수련계획!$Q$4:$Q$83=TRIM($J389&amp;""))*(파견수련계획!$AA$4:$AA$83&lt;&gt;"")))&gt;0,"파견수련계획 입력오류 확인",IF(LEFT($Y389,1)="⚠","서울·구리 15일 판정 불가(양쪽 모두 이상/미만)",IF(IF($AC389="",0,N(INDEX(인턴근무계획!$T$3:$T$62,$AC389)))&gt;0,"인턴계획 입력오류 확인",IF(AND($AC389&lt;&gt;"",$U389&lt;&gt;"파견중",$N389&lt;&gt;$AE389),"인턴 타지역 근무: 파견 여부 확인","정상"))))))))</f>
        <v/>
      </c>
      <c r="AA389" s="5" t="n"/>
      <c r="AB389" s="10">
        <f>IF($B389="","",IFERROR(MATCH($B389,기본자료!$B$2:$B$1001,0),IFERROR(MATCH($B389&amp;"",기본자료!$B$2:$B$1001,0),IFERROR(MATCH(VALUE($B389),기본자료!$B$2:$B$1001,0),""))))</f>
        <v/>
      </c>
      <c r="AC389" s="10">
        <f>IF($B389="","",IFERROR(MATCH($B389,인턴근무계획!$D$3:$D$62,0),IFERROR(MATCH($B389&amp;"",인턴근무계획!$D$3:$D$62,0),IFERROR(MATCH(VALUE($B389),인턴근무계획!$D$3:$D$62,0),""))))</f>
        <v/>
      </c>
      <c r="AD389" s="10">
        <f>IF(OR($AC389="",인턴현황!$G$3=""),"",INDEX(인턴근무계획!$M$3:$R$62,$AC389,인턴현황!$G$3)&amp;"")</f>
        <v/>
      </c>
      <c r="AE389" s="10">
        <f>IF($B389="","",IF($M389&lt;&gt;"",$M389,IF($AF389&lt;&gt;"",IF(LEFT(INDEX(파견수련계획!$R$4:$R$83,$AF389),1)&lt;&gt;"⚠",INDEX(파견수련계획!$R$4:$R$83,$AF389),IF($H389="","",IF(RIGHT($H389,2)="병원",$H389,$H389&amp;"병원"))),IF($H389="","",IF(RIGHT($H389,2)="병원",$H389,$H389&amp;"병원")))))</f>
        <v/>
      </c>
      <c r="AF389" s="10">
        <f>IF(OR($B389="",TRIM($J389&amp;"")=""),"",IFERROR(MATCH(TRIM($J389&amp;"")&amp;"|파견중",파견수련계획!$Y$4:$Y$83,0),IFERROR(MATCH(TRIM($J389&amp;"")&amp;"|파견예정",파견수련계획!$Y$4:$Y$83,0),IFERROR(MATCH(TRIM($J389&amp;"")&amp;"|파견종료",파견수련계획!$Y$4:$Y$83,0),""))))</f>
        <v/>
      </c>
      <c r="AG389" s="10">
        <f>IF($B389="","",IF(AND(IF(OR($AC389="",인턴현황!$K$2=""),"",INDEX(인턴근무계획!$M$3:$R$62,$AC389,인턴현황!$K$2)&amp;"")&lt;&gt;"",LEFT(IF(OR($AC389="",인턴현황!$K$2=""),"",INDEX(인턴근무계획!$M$3:$R$62,$AC389,인턴현황!$K$2)&amp;""),1)&lt;&gt;"⚠"),LEFT(IF(OR($AC389="",인턴현황!$K$2=""),"",INDEX(인턴근무계획!$M$3:$R$62,$AC389,인턴현황!$K$2)&amp;""),FIND(" ",IF(OR($AC389="",인턴현황!$K$2=""),"",INDEX(인턴근무계획!$M$3:$R$62,$AC389,인턴현황!$K$2)&amp;""))-1),$AE389))</f>
        <v/>
      </c>
      <c r="AH389" s="17">
        <f>IF($B389="","",IF(TRIM($J389&amp;"")="",0,SUMPRODUCT((파견수련계획!$Q$4:$Q$83=TRIM($J389&amp;""))*(파견수련계획!$S$4:$S$83="서울병원")*파견수련계획!$W$4:$W$83))+IF($AG389="서울병원",MAX(0,DAY(EOMONTH(요약!$B$3,0))-N($X389)),0))</f>
        <v/>
      </c>
      <c r="AI389" s="17">
        <f>IF($B389="","",IF(TRIM($J389&amp;"")="",0,SUMPRODUCT((파견수련계획!$Q$4:$Q$83=TRIM($J389&amp;""))*(파견수련계획!$S$4:$S$83="구리병원")*파견수련계획!$W$4:$W$83))+IF($AG389="구리병원",MAX(0,DAY(EOMONTH(요약!$B$3,0))-N($X389)),0))</f>
        <v/>
      </c>
      <c r="AJ389" s="10">
        <f>IF(OR($B389="",TRIM($J389&amp;"")=""),"",IFERROR(MATCH(TRIM($J389&amp;"")&amp;"|월",파견수련계획!$Z$4:$Z$83,0),""))</f>
        <v/>
      </c>
      <c r="AK389" s="10">
        <f>IF(OR($B389="",TRIM($J389&amp;"")=""),"",IFERROR(MATCH(TRIM($J389&amp;"")&amp;"|다기관",파견수련계획!$AE$4:$AE$83,0),""))</f>
        <v/>
      </c>
      <c r="AL389" s="10">
        <f>IF($AK389="","","다기관 "&amp;TEXT(INDEX(파견수련계획!$AB$4:$AB$83,$AK389),"yyyy-mm-dd")&amp;"~"&amp;IF(ISNUMBER(INDEX(파견수련계획!$AC$4:$AC$83,$AK389)),TEXT(INDEX(파견수련계획!$AC$4:$AC$83,$AK389),"yyyy-mm-dd"),""))</f>
        <v/>
      </c>
    </row>
    <row r="390">
      <c r="A390" s="10">
        <f>IF(B390="","",ROW()-1)</f>
        <v/>
      </c>
      <c r="B390" s="18" t="n"/>
      <c r="C390" s="10">
        <f>IF($AB390="","",IF(INDEX(기본자료!$C$2:$C$1001,$AB390)="","",INDEX(기본자료!$C$2:$C$1001,$AB390)))</f>
        <v/>
      </c>
      <c r="D390" s="10">
        <f>IF($AB390="","",IF(INDEX(기본자료!$J$2:$J$1001,$AB390)="","",INDEX(기본자료!$J$2:$J$1001,$AB390)))</f>
        <v/>
      </c>
      <c r="E390" s="11">
        <f>IF($AB390="","",IF(INDEX(기본자료!$K$2:$K$1001,$AB390)="","",IF(NOT(ISNUMBER(INDEX(기본자료!$K$2:$K$1001,$AB390))),INDEX(기본자료!$K$2:$K$1001,$AB390),IF(INDEX(기본자료!$K$2:$K$1001,$AB390)&lt;1000000,INDEX(기본자료!$K$2:$K$1001,$AB390),IF(AND(INDEX(기본자료!$K$2:$K$1001,$AB390)&gt;=10000101,INT(MOD(INDEX(기본자료!$K$2:$K$1001,$AB390),10000)/100)&gt;=1,INT(MOD(INDEX(기본자료!$K$2:$K$1001,$AB390),10000)/100)&lt;=12,MOD(INDEX(기본자료!$K$2:$K$1001,$AB390),100)&gt;=1,MOD(INDEX(기본자료!$K$2:$K$1001,$AB390),100)&lt;=31),DATE(INT(INDEX(기본자료!$K$2:$K$1001,$AB390)/10000),INT(MOD(INDEX(기본자료!$K$2:$K$1001,$AB390),10000)/100),MOD(INDEX(기본자료!$K$2:$K$1001,$AB390),100)),INDEX(기본자료!$K$2:$K$1001,$AB390)&amp;"")))))</f>
        <v/>
      </c>
      <c r="F390" s="10">
        <f>IF($AB390="","",IF(INDEX(기본자료!$D$2:$D$1001,$AB390)="","",INDEX(기본자료!$D$2:$D$1001,$AB390)))</f>
        <v/>
      </c>
      <c r="G390" s="10">
        <f>IF($AB390="","",IF(INDEX(기본자료!$E$2:$E$1001,$AB390)="","",INDEX(기본자료!$E$2:$E$1001,$AB390)))</f>
        <v/>
      </c>
      <c r="H390" s="10">
        <f>IF($AB390="","",IF(INDEX(기본자료!$F$2:$F$1001,$AB390)="","",INDEX(기본자료!$F$2:$F$1001,$AB390)))</f>
        <v/>
      </c>
      <c r="I390" s="11">
        <f>IF($AB390="","",IF(INDEX(기본자료!$G$2:$G$1001,$AB390)="","",IF(NOT(ISNUMBER(INDEX(기본자료!$G$2:$G$1001,$AB390))),INDEX(기본자료!$G$2:$G$1001,$AB390),IF(INDEX(기본자료!$G$2:$G$1001,$AB390)&lt;1000000,INDEX(기본자료!$G$2:$G$1001,$AB390),IF(AND(INDEX(기본자료!$G$2:$G$1001,$AB390)&gt;=10000101,INT(MOD(INDEX(기본자료!$G$2:$G$1001,$AB390),10000)/100)&gt;=1,INT(MOD(INDEX(기본자료!$G$2:$G$1001,$AB390),10000)/100)&lt;=12,MOD(INDEX(기본자료!$G$2:$G$1001,$AB390),100)&gt;=1,MOD(INDEX(기본자료!$G$2:$G$1001,$AB390),100)&lt;=31),DATE(INT(INDEX(기본자료!$G$2:$G$1001,$AB390)/10000),INT(MOD(INDEX(기본자료!$G$2:$G$1001,$AB390),10000)/100),MOD(INDEX(기본자료!$G$2:$G$1001,$AB390),100)),INDEX(기본자료!$G$2:$G$1001,$AB390)&amp;"")))))</f>
        <v/>
      </c>
      <c r="J390" s="10">
        <f>IF($AB390="","",IF(INDEX(기본자료!$H$2:$H$1001,$AB390)="","",INDEX(기본자료!$H$2:$H$1001,$AB390)))</f>
        <v/>
      </c>
      <c r="K390" s="10">
        <f>IF($AB390="","",IF(INDEX(기본자료!$I$2:$I$1001,$AB390)="","",INDEX(기본자료!$I$2:$I$1001,$AB390)))</f>
        <v/>
      </c>
      <c r="L390" s="10">
        <f>IF($AB390="","",IF(INDEX(기본자료!$A$2:$A$1001,$AB390)="","",INDEX(기본자료!$A$2:$A$1001,$AB390)))</f>
        <v/>
      </c>
      <c r="M390" s="15" t="n"/>
      <c r="N390" s="10">
        <f>IF($B390="","",IF(AND($U390="파견중",$Q390&lt;&gt;""),$Q390,IF(AND($AD390&lt;&gt;"",LEFT($AD390,1)&lt;&gt;"⚠"),LEFT($AD390,FIND(" ",$AD390)-1),IF($H390="","",IF(RIGHT($H390,2)="병원",$H390,$H390&amp;"병원")))))</f>
        <v/>
      </c>
      <c r="O390" s="10">
        <f>IF($B390="","",IF(AND($U390="파견중",$Q390&lt;&gt;""),IF($R390&lt;&gt;"",$R390,"파견과 미입력"),IF(AND($AD390&lt;&gt;"",LEFT($AD390,1)&lt;&gt;"⚠"),MID($AD390,FIND(" ",$AD390)+1,60),IF($F390="","",IF($F390="인턴","수련교육부(인턴)",$F390)))))</f>
        <v/>
      </c>
      <c r="P390" s="10">
        <f>IF($B390="","",IF($AK390&lt;&gt;"",IF(AND(TODAY()&gt;=INDEX(파견수련계획!$AB$4:$AB$83,$AK390),OR(NOT(ISNUMBER(INDEX(파견수련계획!$AC$4:$AC$83,$AK390))),TODAY()&lt;=INDEX(파견수련계획!$AC$4:$AC$83,$AK390))),"다기관",IF($AF390="","",INDEX(파견수련계획!$T$4:$T$83,$AF390))),IF($AF390="","",INDEX(파견수련계획!$T$4:$T$83,$AF390))))</f>
        <v/>
      </c>
      <c r="Q390" s="10">
        <f>IF($AF390="","",INDEX(파견수련계획!$S$4:$S$83,$AF390))</f>
        <v/>
      </c>
      <c r="R390" s="10">
        <f>IF($AF390="","",INDEX(파견수련계획!$U$4:$U$83,$AF390))</f>
        <v/>
      </c>
      <c r="S390" s="11">
        <f>IF($AF390="","",IF(INDEX(파견수련계획!$H$4:$H$83,$AF390)="","",INDEX(파견수련계획!$H$4:$H$83,$AF390)))</f>
        <v/>
      </c>
      <c r="T390" s="11">
        <f>IF($AF390="","",IF(INDEX(파견수련계획!$I$4:$I$83,$AF390)="","",INDEX(파견수련계획!$I$4:$I$83,$AF390)))</f>
        <v/>
      </c>
      <c r="U390" s="10">
        <f>IF($AF390="","",INDEX(파견수련계획!$X$4:$X$83,$AF390))</f>
        <v/>
      </c>
      <c r="V390" s="17">
        <f>IF($AF390="","",INDEX(파견수련계획!$V$4:$V$83,$AF390))</f>
        <v/>
      </c>
      <c r="W390" s="17">
        <f>IF(AND($U390="파견중",$T390&lt;&gt;""),$T390-TODAY(),"")</f>
        <v/>
      </c>
      <c r="X390" s="17">
        <f>IF(OR($B390="",TRIM($J390&amp;"")=""),"",SUMPRODUCT((파견수련계획!$Q$4:$Q$83=TRIM($J390&amp;""))*파견수련계획!$W$4:$W$83))</f>
        <v/>
      </c>
      <c r="Y390" s="10">
        <f>IF($B390="","",IF($AG390="","",IF(IF(TRIM($J390&amp;"")="",0,SUMPRODUCT((파견수련계획!$Q$4:$Q$83=TRIM($J390&amp;""))*파견수련계획!$AD$4:$AD$83))&gt;0,$AE390,IF(N($X390)&lt;=0,$AG390,IF($AH390+$AI390=DAY(EOMONTH(요약!$B$3,0)),IF(AND($AH390&gt;=요약!$E$3,$AI390&lt;요약!$E$3),"서울병원",IF(AND($AI390&gt;=요약!$E$3,$AH390&lt;요약!$E$3),"구리병원","⚠15일 판정불가(서울 "&amp;$AH390&amp;"일/구리 "&amp;$AI390&amp;"일)")),IF($AJ390="",$AE390,IF(INDEX(파견수련계획!$T$4:$T$83,$AJ390)="통합수련",INDEX(파견수련계획!$S$4:$S$83,$AJ390),$AE390)))))))</f>
        <v/>
      </c>
      <c r="Z390" s="19">
        <f>IF($B390="","",IF($AB390="","기본자료에 없는 사번",IF(COUNTIF($B$2:$B$401,$B390)&gt;1,"중복 사번",IF($AE390="","소속(입사장소) 입력",IF(IF(TRIM($J390&amp;"")="",0,SUMPRODUCT((파견수련계획!$Q$4:$Q$83=TRIM($J390&amp;""))*(파견수련계획!$AA$4:$AA$83&lt;&gt;"")))&gt;0,"파견수련계획 입력오류 확인",IF(LEFT($Y390,1)="⚠","서울·구리 15일 판정 불가(양쪽 모두 이상/미만)",IF(IF($AC390="",0,N(INDEX(인턴근무계획!$T$3:$T$62,$AC390)))&gt;0,"인턴계획 입력오류 확인",IF(AND($AC390&lt;&gt;"",$U390&lt;&gt;"파견중",$N390&lt;&gt;$AE390),"인턴 타지역 근무: 파견 여부 확인","정상"))))))))</f>
        <v/>
      </c>
      <c r="AA390" s="5" t="n"/>
      <c r="AB390" s="10">
        <f>IF($B390="","",IFERROR(MATCH($B390,기본자료!$B$2:$B$1001,0),IFERROR(MATCH($B390&amp;"",기본자료!$B$2:$B$1001,0),IFERROR(MATCH(VALUE($B390),기본자료!$B$2:$B$1001,0),""))))</f>
        <v/>
      </c>
      <c r="AC390" s="10">
        <f>IF($B390="","",IFERROR(MATCH($B390,인턴근무계획!$D$3:$D$62,0),IFERROR(MATCH($B390&amp;"",인턴근무계획!$D$3:$D$62,0),IFERROR(MATCH(VALUE($B390),인턴근무계획!$D$3:$D$62,0),""))))</f>
        <v/>
      </c>
      <c r="AD390" s="10">
        <f>IF(OR($AC390="",인턴현황!$G$3=""),"",INDEX(인턴근무계획!$M$3:$R$62,$AC390,인턴현황!$G$3)&amp;"")</f>
        <v/>
      </c>
      <c r="AE390" s="10">
        <f>IF($B390="","",IF($M390&lt;&gt;"",$M390,IF($AF390&lt;&gt;"",IF(LEFT(INDEX(파견수련계획!$R$4:$R$83,$AF390),1)&lt;&gt;"⚠",INDEX(파견수련계획!$R$4:$R$83,$AF390),IF($H390="","",IF(RIGHT($H390,2)="병원",$H390,$H390&amp;"병원"))),IF($H390="","",IF(RIGHT($H390,2)="병원",$H390,$H390&amp;"병원")))))</f>
        <v/>
      </c>
      <c r="AF390" s="10">
        <f>IF(OR($B390="",TRIM($J390&amp;"")=""),"",IFERROR(MATCH(TRIM($J390&amp;"")&amp;"|파견중",파견수련계획!$Y$4:$Y$83,0),IFERROR(MATCH(TRIM($J390&amp;"")&amp;"|파견예정",파견수련계획!$Y$4:$Y$83,0),IFERROR(MATCH(TRIM($J390&amp;"")&amp;"|파견종료",파견수련계획!$Y$4:$Y$83,0),""))))</f>
        <v/>
      </c>
      <c r="AG390" s="10">
        <f>IF($B390="","",IF(AND(IF(OR($AC390="",인턴현황!$K$2=""),"",INDEX(인턴근무계획!$M$3:$R$62,$AC390,인턴현황!$K$2)&amp;"")&lt;&gt;"",LEFT(IF(OR($AC390="",인턴현황!$K$2=""),"",INDEX(인턴근무계획!$M$3:$R$62,$AC390,인턴현황!$K$2)&amp;""),1)&lt;&gt;"⚠"),LEFT(IF(OR($AC390="",인턴현황!$K$2=""),"",INDEX(인턴근무계획!$M$3:$R$62,$AC390,인턴현황!$K$2)&amp;""),FIND(" ",IF(OR($AC390="",인턴현황!$K$2=""),"",INDEX(인턴근무계획!$M$3:$R$62,$AC390,인턴현황!$K$2)&amp;""))-1),$AE390))</f>
        <v/>
      </c>
      <c r="AH390" s="17">
        <f>IF($B390="","",IF(TRIM($J390&amp;"")="",0,SUMPRODUCT((파견수련계획!$Q$4:$Q$83=TRIM($J390&amp;""))*(파견수련계획!$S$4:$S$83="서울병원")*파견수련계획!$W$4:$W$83))+IF($AG390="서울병원",MAX(0,DAY(EOMONTH(요약!$B$3,0))-N($X390)),0))</f>
        <v/>
      </c>
      <c r="AI390" s="17">
        <f>IF($B390="","",IF(TRIM($J390&amp;"")="",0,SUMPRODUCT((파견수련계획!$Q$4:$Q$83=TRIM($J390&amp;""))*(파견수련계획!$S$4:$S$83="구리병원")*파견수련계획!$W$4:$W$83))+IF($AG390="구리병원",MAX(0,DAY(EOMONTH(요약!$B$3,0))-N($X390)),0))</f>
        <v/>
      </c>
      <c r="AJ390" s="10">
        <f>IF(OR($B390="",TRIM($J390&amp;"")=""),"",IFERROR(MATCH(TRIM($J390&amp;"")&amp;"|월",파견수련계획!$Z$4:$Z$83,0),""))</f>
        <v/>
      </c>
      <c r="AK390" s="10">
        <f>IF(OR($B390="",TRIM($J390&amp;"")=""),"",IFERROR(MATCH(TRIM($J390&amp;"")&amp;"|다기관",파견수련계획!$AE$4:$AE$83,0),""))</f>
        <v/>
      </c>
      <c r="AL390" s="10">
        <f>IF($AK390="","","다기관 "&amp;TEXT(INDEX(파견수련계획!$AB$4:$AB$83,$AK390),"yyyy-mm-dd")&amp;"~"&amp;IF(ISNUMBER(INDEX(파견수련계획!$AC$4:$AC$83,$AK390)),TEXT(INDEX(파견수련계획!$AC$4:$AC$83,$AK390),"yyyy-mm-dd"),""))</f>
        <v/>
      </c>
    </row>
    <row r="391">
      <c r="A391" s="10">
        <f>IF(B391="","",ROW()-1)</f>
        <v/>
      </c>
      <c r="B391" s="18" t="n"/>
      <c r="C391" s="10">
        <f>IF($AB391="","",IF(INDEX(기본자료!$C$2:$C$1001,$AB391)="","",INDEX(기본자료!$C$2:$C$1001,$AB391)))</f>
        <v/>
      </c>
      <c r="D391" s="10">
        <f>IF($AB391="","",IF(INDEX(기본자료!$J$2:$J$1001,$AB391)="","",INDEX(기본자료!$J$2:$J$1001,$AB391)))</f>
        <v/>
      </c>
      <c r="E391" s="11">
        <f>IF($AB391="","",IF(INDEX(기본자료!$K$2:$K$1001,$AB391)="","",IF(NOT(ISNUMBER(INDEX(기본자료!$K$2:$K$1001,$AB391))),INDEX(기본자료!$K$2:$K$1001,$AB391),IF(INDEX(기본자료!$K$2:$K$1001,$AB391)&lt;1000000,INDEX(기본자료!$K$2:$K$1001,$AB391),IF(AND(INDEX(기본자료!$K$2:$K$1001,$AB391)&gt;=10000101,INT(MOD(INDEX(기본자료!$K$2:$K$1001,$AB391),10000)/100)&gt;=1,INT(MOD(INDEX(기본자료!$K$2:$K$1001,$AB391),10000)/100)&lt;=12,MOD(INDEX(기본자료!$K$2:$K$1001,$AB391),100)&gt;=1,MOD(INDEX(기본자료!$K$2:$K$1001,$AB391),100)&lt;=31),DATE(INT(INDEX(기본자료!$K$2:$K$1001,$AB391)/10000),INT(MOD(INDEX(기본자료!$K$2:$K$1001,$AB391),10000)/100),MOD(INDEX(기본자료!$K$2:$K$1001,$AB391),100)),INDEX(기본자료!$K$2:$K$1001,$AB391)&amp;"")))))</f>
        <v/>
      </c>
      <c r="F391" s="10">
        <f>IF($AB391="","",IF(INDEX(기본자료!$D$2:$D$1001,$AB391)="","",INDEX(기본자료!$D$2:$D$1001,$AB391)))</f>
        <v/>
      </c>
      <c r="G391" s="10">
        <f>IF($AB391="","",IF(INDEX(기본자료!$E$2:$E$1001,$AB391)="","",INDEX(기본자료!$E$2:$E$1001,$AB391)))</f>
        <v/>
      </c>
      <c r="H391" s="10">
        <f>IF($AB391="","",IF(INDEX(기본자료!$F$2:$F$1001,$AB391)="","",INDEX(기본자료!$F$2:$F$1001,$AB391)))</f>
        <v/>
      </c>
      <c r="I391" s="11">
        <f>IF($AB391="","",IF(INDEX(기본자료!$G$2:$G$1001,$AB391)="","",IF(NOT(ISNUMBER(INDEX(기본자료!$G$2:$G$1001,$AB391))),INDEX(기본자료!$G$2:$G$1001,$AB391),IF(INDEX(기본자료!$G$2:$G$1001,$AB391)&lt;1000000,INDEX(기본자료!$G$2:$G$1001,$AB391),IF(AND(INDEX(기본자료!$G$2:$G$1001,$AB391)&gt;=10000101,INT(MOD(INDEX(기본자료!$G$2:$G$1001,$AB391),10000)/100)&gt;=1,INT(MOD(INDEX(기본자료!$G$2:$G$1001,$AB391),10000)/100)&lt;=12,MOD(INDEX(기본자료!$G$2:$G$1001,$AB391),100)&gt;=1,MOD(INDEX(기본자료!$G$2:$G$1001,$AB391),100)&lt;=31),DATE(INT(INDEX(기본자료!$G$2:$G$1001,$AB391)/10000),INT(MOD(INDEX(기본자료!$G$2:$G$1001,$AB391),10000)/100),MOD(INDEX(기본자료!$G$2:$G$1001,$AB391),100)),INDEX(기본자료!$G$2:$G$1001,$AB391)&amp;"")))))</f>
        <v/>
      </c>
      <c r="J391" s="10">
        <f>IF($AB391="","",IF(INDEX(기본자료!$H$2:$H$1001,$AB391)="","",INDEX(기본자료!$H$2:$H$1001,$AB391)))</f>
        <v/>
      </c>
      <c r="K391" s="10">
        <f>IF($AB391="","",IF(INDEX(기본자료!$I$2:$I$1001,$AB391)="","",INDEX(기본자료!$I$2:$I$1001,$AB391)))</f>
        <v/>
      </c>
      <c r="L391" s="10">
        <f>IF($AB391="","",IF(INDEX(기본자료!$A$2:$A$1001,$AB391)="","",INDEX(기본자료!$A$2:$A$1001,$AB391)))</f>
        <v/>
      </c>
      <c r="M391" s="15" t="n"/>
      <c r="N391" s="10">
        <f>IF($B391="","",IF(AND($U391="파견중",$Q391&lt;&gt;""),$Q391,IF(AND($AD391&lt;&gt;"",LEFT($AD391,1)&lt;&gt;"⚠"),LEFT($AD391,FIND(" ",$AD391)-1),IF($H391="","",IF(RIGHT($H391,2)="병원",$H391,$H391&amp;"병원")))))</f>
        <v/>
      </c>
      <c r="O391" s="10">
        <f>IF($B391="","",IF(AND($U391="파견중",$Q391&lt;&gt;""),IF($R391&lt;&gt;"",$R391,"파견과 미입력"),IF(AND($AD391&lt;&gt;"",LEFT($AD391,1)&lt;&gt;"⚠"),MID($AD391,FIND(" ",$AD391)+1,60),IF($F391="","",IF($F391="인턴","수련교육부(인턴)",$F391)))))</f>
        <v/>
      </c>
      <c r="P391" s="10">
        <f>IF($B391="","",IF($AK391&lt;&gt;"",IF(AND(TODAY()&gt;=INDEX(파견수련계획!$AB$4:$AB$83,$AK391),OR(NOT(ISNUMBER(INDEX(파견수련계획!$AC$4:$AC$83,$AK391))),TODAY()&lt;=INDEX(파견수련계획!$AC$4:$AC$83,$AK391))),"다기관",IF($AF391="","",INDEX(파견수련계획!$T$4:$T$83,$AF391))),IF($AF391="","",INDEX(파견수련계획!$T$4:$T$83,$AF391))))</f>
        <v/>
      </c>
      <c r="Q391" s="10">
        <f>IF($AF391="","",INDEX(파견수련계획!$S$4:$S$83,$AF391))</f>
        <v/>
      </c>
      <c r="R391" s="10">
        <f>IF($AF391="","",INDEX(파견수련계획!$U$4:$U$83,$AF391))</f>
        <v/>
      </c>
      <c r="S391" s="11">
        <f>IF($AF391="","",IF(INDEX(파견수련계획!$H$4:$H$83,$AF391)="","",INDEX(파견수련계획!$H$4:$H$83,$AF391)))</f>
        <v/>
      </c>
      <c r="T391" s="11">
        <f>IF($AF391="","",IF(INDEX(파견수련계획!$I$4:$I$83,$AF391)="","",INDEX(파견수련계획!$I$4:$I$83,$AF391)))</f>
        <v/>
      </c>
      <c r="U391" s="10">
        <f>IF($AF391="","",INDEX(파견수련계획!$X$4:$X$83,$AF391))</f>
        <v/>
      </c>
      <c r="V391" s="17">
        <f>IF($AF391="","",INDEX(파견수련계획!$V$4:$V$83,$AF391))</f>
        <v/>
      </c>
      <c r="W391" s="17">
        <f>IF(AND($U391="파견중",$T391&lt;&gt;""),$T391-TODAY(),"")</f>
        <v/>
      </c>
      <c r="X391" s="17">
        <f>IF(OR($B391="",TRIM($J391&amp;"")=""),"",SUMPRODUCT((파견수련계획!$Q$4:$Q$83=TRIM($J391&amp;""))*파견수련계획!$W$4:$W$83))</f>
        <v/>
      </c>
      <c r="Y391" s="10">
        <f>IF($B391="","",IF($AG391="","",IF(IF(TRIM($J391&amp;"")="",0,SUMPRODUCT((파견수련계획!$Q$4:$Q$83=TRIM($J391&amp;""))*파견수련계획!$AD$4:$AD$83))&gt;0,$AE391,IF(N($X391)&lt;=0,$AG391,IF($AH391+$AI391=DAY(EOMONTH(요약!$B$3,0)),IF(AND($AH391&gt;=요약!$E$3,$AI391&lt;요약!$E$3),"서울병원",IF(AND($AI391&gt;=요약!$E$3,$AH391&lt;요약!$E$3),"구리병원","⚠15일 판정불가(서울 "&amp;$AH391&amp;"일/구리 "&amp;$AI391&amp;"일)")),IF($AJ391="",$AE391,IF(INDEX(파견수련계획!$T$4:$T$83,$AJ391)="통합수련",INDEX(파견수련계획!$S$4:$S$83,$AJ391),$AE391)))))))</f>
        <v/>
      </c>
      <c r="Z391" s="19">
        <f>IF($B391="","",IF($AB391="","기본자료에 없는 사번",IF(COUNTIF($B$2:$B$401,$B391)&gt;1,"중복 사번",IF($AE391="","소속(입사장소) 입력",IF(IF(TRIM($J391&amp;"")="",0,SUMPRODUCT((파견수련계획!$Q$4:$Q$83=TRIM($J391&amp;""))*(파견수련계획!$AA$4:$AA$83&lt;&gt;"")))&gt;0,"파견수련계획 입력오류 확인",IF(LEFT($Y391,1)="⚠","서울·구리 15일 판정 불가(양쪽 모두 이상/미만)",IF(IF($AC391="",0,N(INDEX(인턴근무계획!$T$3:$T$62,$AC391)))&gt;0,"인턴계획 입력오류 확인",IF(AND($AC391&lt;&gt;"",$U391&lt;&gt;"파견중",$N391&lt;&gt;$AE391),"인턴 타지역 근무: 파견 여부 확인","정상"))))))))</f>
        <v/>
      </c>
      <c r="AA391" s="5" t="n"/>
      <c r="AB391" s="10">
        <f>IF($B391="","",IFERROR(MATCH($B391,기본자료!$B$2:$B$1001,0),IFERROR(MATCH($B391&amp;"",기본자료!$B$2:$B$1001,0),IFERROR(MATCH(VALUE($B391),기본자료!$B$2:$B$1001,0),""))))</f>
        <v/>
      </c>
      <c r="AC391" s="10">
        <f>IF($B391="","",IFERROR(MATCH($B391,인턴근무계획!$D$3:$D$62,0),IFERROR(MATCH($B391&amp;"",인턴근무계획!$D$3:$D$62,0),IFERROR(MATCH(VALUE($B391),인턴근무계획!$D$3:$D$62,0),""))))</f>
        <v/>
      </c>
      <c r="AD391" s="10">
        <f>IF(OR($AC391="",인턴현황!$G$3=""),"",INDEX(인턴근무계획!$M$3:$R$62,$AC391,인턴현황!$G$3)&amp;"")</f>
        <v/>
      </c>
      <c r="AE391" s="10">
        <f>IF($B391="","",IF($M391&lt;&gt;"",$M391,IF($AF391&lt;&gt;"",IF(LEFT(INDEX(파견수련계획!$R$4:$R$83,$AF391),1)&lt;&gt;"⚠",INDEX(파견수련계획!$R$4:$R$83,$AF391),IF($H391="","",IF(RIGHT($H391,2)="병원",$H391,$H391&amp;"병원"))),IF($H391="","",IF(RIGHT($H391,2)="병원",$H391,$H391&amp;"병원")))))</f>
        <v/>
      </c>
      <c r="AF391" s="10">
        <f>IF(OR($B391="",TRIM($J391&amp;"")=""),"",IFERROR(MATCH(TRIM($J391&amp;"")&amp;"|파견중",파견수련계획!$Y$4:$Y$83,0),IFERROR(MATCH(TRIM($J391&amp;"")&amp;"|파견예정",파견수련계획!$Y$4:$Y$83,0),IFERROR(MATCH(TRIM($J391&amp;"")&amp;"|파견종료",파견수련계획!$Y$4:$Y$83,0),""))))</f>
        <v/>
      </c>
      <c r="AG391" s="10">
        <f>IF($B391="","",IF(AND(IF(OR($AC391="",인턴현황!$K$2=""),"",INDEX(인턴근무계획!$M$3:$R$62,$AC391,인턴현황!$K$2)&amp;"")&lt;&gt;"",LEFT(IF(OR($AC391="",인턴현황!$K$2=""),"",INDEX(인턴근무계획!$M$3:$R$62,$AC391,인턴현황!$K$2)&amp;""),1)&lt;&gt;"⚠"),LEFT(IF(OR($AC391="",인턴현황!$K$2=""),"",INDEX(인턴근무계획!$M$3:$R$62,$AC391,인턴현황!$K$2)&amp;""),FIND(" ",IF(OR($AC391="",인턴현황!$K$2=""),"",INDEX(인턴근무계획!$M$3:$R$62,$AC391,인턴현황!$K$2)&amp;""))-1),$AE391))</f>
        <v/>
      </c>
      <c r="AH391" s="17">
        <f>IF($B391="","",IF(TRIM($J391&amp;"")="",0,SUMPRODUCT((파견수련계획!$Q$4:$Q$83=TRIM($J391&amp;""))*(파견수련계획!$S$4:$S$83="서울병원")*파견수련계획!$W$4:$W$83))+IF($AG391="서울병원",MAX(0,DAY(EOMONTH(요약!$B$3,0))-N($X391)),0))</f>
        <v/>
      </c>
      <c r="AI391" s="17">
        <f>IF($B391="","",IF(TRIM($J391&amp;"")="",0,SUMPRODUCT((파견수련계획!$Q$4:$Q$83=TRIM($J391&amp;""))*(파견수련계획!$S$4:$S$83="구리병원")*파견수련계획!$W$4:$W$83))+IF($AG391="구리병원",MAX(0,DAY(EOMONTH(요약!$B$3,0))-N($X391)),0))</f>
        <v/>
      </c>
      <c r="AJ391" s="10">
        <f>IF(OR($B391="",TRIM($J391&amp;"")=""),"",IFERROR(MATCH(TRIM($J391&amp;"")&amp;"|월",파견수련계획!$Z$4:$Z$83,0),""))</f>
        <v/>
      </c>
      <c r="AK391" s="10">
        <f>IF(OR($B391="",TRIM($J391&amp;"")=""),"",IFERROR(MATCH(TRIM($J391&amp;"")&amp;"|다기관",파견수련계획!$AE$4:$AE$83,0),""))</f>
        <v/>
      </c>
      <c r="AL391" s="10">
        <f>IF($AK391="","","다기관 "&amp;TEXT(INDEX(파견수련계획!$AB$4:$AB$83,$AK391),"yyyy-mm-dd")&amp;"~"&amp;IF(ISNUMBER(INDEX(파견수련계획!$AC$4:$AC$83,$AK391)),TEXT(INDEX(파견수련계획!$AC$4:$AC$83,$AK391),"yyyy-mm-dd"),""))</f>
        <v/>
      </c>
    </row>
    <row r="392">
      <c r="A392" s="10">
        <f>IF(B392="","",ROW()-1)</f>
        <v/>
      </c>
      <c r="B392" s="18" t="n"/>
      <c r="C392" s="10">
        <f>IF($AB392="","",IF(INDEX(기본자료!$C$2:$C$1001,$AB392)="","",INDEX(기본자료!$C$2:$C$1001,$AB392)))</f>
        <v/>
      </c>
      <c r="D392" s="10">
        <f>IF($AB392="","",IF(INDEX(기본자료!$J$2:$J$1001,$AB392)="","",INDEX(기본자료!$J$2:$J$1001,$AB392)))</f>
        <v/>
      </c>
      <c r="E392" s="11">
        <f>IF($AB392="","",IF(INDEX(기본자료!$K$2:$K$1001,$AB392)="","",IF(NOT(ISNUMBER(INDEX(기본자료!$K$2:$K$1001,$AB392))),INDEX(기본자료!$K$2:$K$1001,$AB392),IF(INDEX(기본자료!$K$2:$K$1001,$AB392)&lt;1000000,INDEX(기본자료!$K$2:$K$1001,$AB392),IF(AND(INDEX(기본자료!$K$2:$K$1001,$AB392)&gt;=10000101,INT(MOD(INDEX(기본자료!$K$2:$K$1001,$AB392),10000)/100)&gt;=1,INT(MOD(INDEX(기본자료!$K$2:$K$1001,$AB392),10000)/100)&lt;=12,MOD(INDEX(기본자료!$K$2:$K$1001,$AB392),100)&gt;=1,MOD(INDEX(기본자료!$K$2:$K$1001,$AB392),100)&lt;=31),DATE(INT(INDEX(기본자료!$K$2:$K$1001,$AB392)/10000),INT(MOD(INDEX(기본자료!$K$2:$K$1001,$AB392),10000)/100),MOD(INDEX(기본자료!$K$2:$K$1001,$AB392),100)),INDEX(기본자료!$K$2:$K$1001,$AB392)&amp;"")))))</f>
        <v/>
      </c>
      <c r="F392" s="10">
        <f>IF($AB392="","",IF(INDEX(기본자료!$D$2:$D$1001,$AB392)="","",INDEX(기본자료!$D$2:$D$1001,$AB392)))</f>
        <v/>
      </c>
      <c r="G392" s="10">
        <f>IF($AB392="","",IF(INDEX(기본자료!$E$2:$E$1001,$AB392)="","",INDEX(기본자료!$E$2:$E$1001,$AB392)))</f>
        <v/>
      </c>
      <c r="H392" s="10">
        <f>IF($AB392="","",IF(INDEX(기본자료!$F$2:$F$1001,$AB392)="","",INDEX(기본자료!$F$2:$F$1001,$AB392)))</f>
        <v/>
      </c>
      <c r="I392" s="11">
        <f>IF($AB392="","",IF(INDEX(기본자료!$G$2:$G$1001,$AB392)="","",IF(NOT(ISNUMBER(INDEX(기본자료!$G$2:$G$1001,$AB392))),INDEX(기본자료!$G$2:$G$1001,$AB392),IF(INDEX(기본자료!$G$2:$G$1001,$AB392)&lt;1000000,INDEX(기본자료!$G$2:$G$1001,$AB392),IF(AND(INDEX(기본자료!$G$2:$G$1001,$AB392)&gt;=10000101,INT(MOD(INDEX(기본자료!$G$2:$G$1001,$AB392),10000)/100)&gt;=1,INT(MOD(INDEX(기본자료!$G$2:$G$1001,$AB392),10000)/100)&lt;=12,MOD(INDEX(기본자료!$G$2:$G$1001,$AB392),100)&gt;=1,MOD(INDEX(기본자료!$G$2:$G$1001,$AB392),100)&lt;=31),DATE(INT(INDEX(기본자료!$G$2:$G$1001,$AB392)/10000),INT(MOD(INDEX(기본자료!$G$2:$G$1001,$AB392),10000)/100),MOD(INDEX(기본자료!$G$2:$G$1001,$AB392),100)),INDEX(기본자료!$G$2:$G$1001,$AB392)&amp;"")))))</f>
        <v/>
      </c>
      <c r="J392" s="10">
        <f>IF($AB392="","",IF(INDEX(기본자료!$H$2:$H$1001,$AB392)="","",INDEX(기본자료!$H$2:$H$1001,$AB392)))</f>
        <v/>
      </c>
      <c r="K392" s="10">
        <f>IF($AB392="","",IF(INDEX(기본자료!$I$2:$I$1001,$AB392)="","",INDEX(기본자료!$I$2:$I$1001,$AB392)))</f>
        <v/>
      </c>
      <c r="L392" s="10">
        <f>IF($AB392="","",IF(INDEX(기본자료!$A$2:$A$1001,$AB392)="","",INDEX(기본자료!$A$2:$A$1001,$AB392)))</f>
        <v/>
      </c>
      <c r="M392" s="15" t="n"/>
      <c r="N392" s="10">
        <f>IF($B392="","",IF(AND($U392="파견중",$Q392&lt;&gt;""),$Q392,IF(AND($AD392&lt;&gt;"",LEFT($AD392,1)&lt;&gt;"⚠"),LEFT($AD392,FIND(" ",$AD392)-1),IF($H392="","",IF(RIGHT($H392,2)="병원",$H392,$H392&amp;"병원")))))</f>
        <v/>
      </c>
      <c r="O392" s="10">
        <f>IF($B392="","",IF(AND($U392="파견중",$Q392&lt;&gt;""),IF($R392&lt;&gt;"",$R392,"파견과 미입력"),IF(AND($AD392&lt;&gt;"",LEFT($AD392,1)&lt;&gt;"⚠"),MID($AD392,FIND(" ",$AD392)+1,60),IF($F392="","",IF($F392="인턴","수련교육부(인턴)",$F392)))))</f>
        <v/>
      </c>
      <c r="P392" s="10">
        <f>IF($B392="","",IF($AK392&lt;&gt;"",IF(AND(TODAY()&gt;=INDEX(파견수련계획!$AB$4:$AB$83,$AK392),OR(NOT(ISNUMBER(INDEX(파견수련계획!$AC$4:$AC$83,$AK392))),TODAY()&lt;=INDEX(파견수련계획!$AC$4:$AC$83,$AK392))),"다기관",IF($AF392="","",INDEX(파견수련계획!$T$4:$T$83,$AF392))),IF($AF392="","",INDEX(파견수련계획!$T$4:$T$83,$AF392))))</f>
        <v/>
      </c>
      <c r="Q392" s="10">
        <f>IF($AF392="","",INDEX(파견수련계획!$S$4:$S$83,$AF392))</f>
        <v/>
      </c>
      <c r="R392" s="10">
        <f>IF($AF392="","",INDEX(파견수련계획!$U$4:$U$83,$AF392))</f>
        <v/>
      </c>
      <c r="S392" s="11">
        <f>IF($AF392="","",IF(INDEX(파견수련계획!$H$4:$H$83,$AF392)="","",INDEX(파견수련계획!$H$4:$H$83,$AF392)))</f>
        <v/>
      </c>
      <c r="T392" s="11">
        <f>IF($AF392="","",IF(INDEX(파견수련계획!$I$4:$I$83,$AF392)="","",INDEX(파견수련계획!$I$4:$I$83,$AF392)))</f>
        <v/>
      </c>
      <c r="U392" s="10">
        <f>IF($AF392="","",INDEX(파견수련계획!$X$4:$X$83,$AF392))</f>
        <v/>
      </c>
      <c r="V392" s="17">
        <f>IF($AF392="","",INDEX(파견수련계획!$V$4:$V$83,$AF392))</f>
        <v/>
      </c>
      <c r="W392" s="17">
        <f>IF(AND($U392="파견중",$T392&lt;&gt;""),$T392-TODAY(),"")</f>
        <v/>
      </c>
      <c r="X392" s="17">
        <f>IF(OR($B392="",TRIM($J392&amp;"")=""),"",SUMPRODUCT((파견수련계획!$Q$4:$Q$83=TRIM($J392&amp;""))*파견수련계획!$W$4:$W$83))</f>
        <v/>
      </c>
      <c r="Y392" s="10">
        <f>IF($B392="","",IF($AG392="","",IF(IF(TRIM($J392&amp;"")="",0,SUMPRODUCT((파견수련계획!$Q$4:$Q$83=TRIM($J392&amp;""))*파견수련계획!$AD$4:$AD$83))&gt;0,$AE392,IF(N($X392)&lt;=0,$AG392,IF($AH392+$AI392=DAY(EOMONTH(요약!$B$3,0)),IF(AND($AH392&gt;=요약!$E$3,$AI392&lt;요약!$E$3),"서울병원",IF(AND($AI392&gt;=요약!$E$3,$AH392&lt;요약!$E$3),"구리병원","⚠15일 판정불가(서울 "&amp;$AH392&amp;"일/구리 "&amp;$AI392&amp;"일)")),IF($AJ392="",$AE392,IF(INDEX(파견수련계획!$T$4:$T$83,$AJ392)="통합수련",INDEX(파견수련계획!$S$4:$S$83,$AJ392),$AE392)))))))</f>
        <v/>
      </c>
      <c r="Z392" s="19">
        <f>IF($B392="","",IF($AB392="","기본자료에 없는 사번",IF(COUNTIF($B$2:$B$401,$B392)&gt;1,"중복 사번",IF($AE392="","소속(입사장소) 입력",IF(IF(TRIM($J392&amp;"")="",0,SUMPRODUCT((파견수련계획!$Q$4:$Q$83=TRIM($J392&amp;""))*(파견수련계획!$AA$4:$AA$83&lt;&gt;"")))&gt;0,"파견수련계획 입력오류 확인",IF(LEFT($Y392,1)="⚠","서울·구리 15일 판정 불가(양쪽 모두 이상/미만)",IF(IF($AC392="",0,N(INDEX(인턴근무계획!$T$3:$T$62,$AC392)))&gt;0,"인턴계획 입력오류 확인",IF(AND($AC392&lt;&gt;"",$U392&lt;&gt;"파견중",$N392&lt;&gt;$AE392),"인턴 타지역 근무: 파견 여부 확인","정상"))))))))</f>
        <v/>
      </c>
      <c r="AA392" s="5" t="n"/>
      <c r="AB392" s="10">
        <f>IF($B392="","",IFERROR(MATCH($B392,기본자료!$B$2:$B$1001,0),IFERROR(MATCH($B392&amp;"",기본자료!$B$2:$B$1001,0),IFERROR(MATCH(VALUE($B392),기본자료!$B$2:$B$1001,0),""))))</f>
        <v/>
      </c>
      <c r="AC392" s="10">
        <f>IF($B392="","",IFERROR(MATCH($B392,인턴근무계획!$D$3:$D$62,0),IFERROR(MATCH($B392&amp;"",인턴근무계획!$D$3:$D$62,0),IFERROR(MATCH(VALUE($B392),인턴근무계획!$D$3:$D$62,0),""))))</f>
        <v/>
      </c>
      <c r="AD392" s="10">
        <f>IF(OR($AC392="",인턴현황!$G$3=""),"",INDEX(인턴근무계획!$M$3:$R$62,$AC392,인턴현황!$G$3)&amp;"")</f>
        <v/>
      </c>
      <c r="AE392" s="10">
        <f>IF($B392="","",IF($M392&lt;&gt;"",$M392,IF($AF392&lt;&gt;"",IF(LEFT(INDEX(파견수련계획!$R$4:$R$83,$AF392),1)&lt;&gt;"⚠",INDEX(파견수련계획!$R$4:$R$83,$AF392),IF($H392="","",IF(RIGHT($H392,2)="병원",$H392,$H392&amp;"병원"))),IF($H392="","",IF(RIGHT($H392,2)="병원",$H392,$H392&amp;"병원")))))</f>
        <v/>
      </c>
      <c r="AF392" s="10">
        <f>IF(OR($B392="",TRIM($J392&amp;"")=""),"",IFERROR(MATCH(TRIM($J392&amp;"")&amp;"|파견중",파견수련계획!$Y$4:$Y$83,0),IFERROR(MATCH(TRIM($J392&amp;"")&amp;"|파견예정",파견수련계획!$Y$4:$Y$83,0),IFERROR(MATCH(TRIM($J392&amp;"")&amp;"|파견종료",파견수련계획!$Y$4:$Y$83,0),""))))</f>
        <v/>
      </c>
      <c r="AG392" s="10">
        <f>IF($B392="","",IF(AND(IF(OR($AC392="",인턴현황!$K$2=""),"",INDEX(인턴근무계획!$M$3:$R$62,$AC392,인턴현황!$K$2)&amp;"")&lt;&gt;"",LEFT(IF(OR($AC392="",인턴현황!$K$2=""),"",INDEX(인턴근무계획!$M$3:$R$62,$AC392,인턴현황!$K$2)&amp;""),1)&lt;&gt;"⚠"),LEFT(IF(OR($AC392="",인턴현황!$K$2=""),"",INDEX(인턴근무계획!$M$3:$R$62,$AC392,인턴현황!$K$2)&amp;""),FIND(" ",IF(OR($AC392="",인턴현황!$K$2=""),"",INDEX(인턴근무계획!$M$3:$R$62,$AC392,인턴현황!$K$2)&amp;""))-1),$AE392))</f>
        <v/>
      </c>
      <c r="AH392" s="17">
        <f>IF($B392="","",IF(TRIM($J392&amp;"")="",0,SUMPRODUCT((파견수련계획!$Q$4:$Q$83=TRIM($J392&amp;""))*(파견수련계획!$S$4:$S$83="서울병원")*파견수련계획!$W$4:$W$83))+IF($AG392="서울병원",MAX(0,DAY(EOMONTH(요약!$B$3,0))-N($X392)),0))</f>
        <v/>
      </c>
      <c r="AI392" s="17">
        <f>IF($B392="","",IF(TRIM($J392&amp;"")="",0,SUMPRODUCT((파견수련계획!$Q$4:$Q$83=TRIM($J392&amp;""))*(파견수련계획!$S$4:$S$83="구리병원")*파견수련계획!$W$4:$W$83))+IF($AG392="구리병원",MAX(0,DAY(EOMONTH(요약!$B$3,0))-N($X392)),0))</f>
        <v/>
      </c>
      <c r="AJ392" s="10">
        <f>IF(OR($B392="",TRIM($J392&amp;"")=""),"",IFERROR(MATCH(TRIM($J392&amp;"")&amp;"|월",파견수련계획!$Z$4:$Z$83,0),""))</f>
        <v/>
      </c>
      <c r="AK392" s="10">
        <f>IF(OR($B392="",TRIM($J392&amp;"")=""),"",IFERROR(MATCH(TRIM($J392&amp;"")&amp;"|다기관",파견수련계획!$AE$4:$AE$83,0),""))</f>
        <v/>
      </c>
      <c r="AL392" s="10">
        <f>IF($AK392="","","다기관 "&amp;TEXT(INDEX(파견수련계획!$AB$4:$AB$83,$AK392),"yyyy-mm-dd")&amp;"~"&amp;IF(ISNUMBER(INDEX(파견수련계획!$AC$4:$AC$83,$AK392)),TEXT(INDEX(파견수련계획!$AC$4:$AC$83,$AK392),"yyyy-mm-dd"),""))</f>
        <v/>
      </c>
    </row>
    <row r="393">
      <c r="A393" s="10">
        <f>IF(B393="","",ROW()-1)</f>
        <v/>
      </c>
      <c r="B393" s="18" t="n"/>
      <c r="C393" s="10">
        <f>IF($AB393="","",IF(INDEX(기본자료!$C$2:$C$1001,$AB393)="","",INDEX(기본자료!$C$2:$C$1001,$AB393)))</f>
        <v/>
      </c>
      <c r="D393" s="10">
        <f>IF($AB393="","",IF(INDEX(기본자료!$J$2:$J$1001,$AB393)="","",INDEX(기본자료!$J$2:$J$1001,$AB393)))</f>
        <v/>
      </c>
      <c r="E393" s="11">
        <f>IF($AB393="","",IF(INDEX(기본자료!$K$2:$K$1001,$AB393)="","",IF(NOT(ISNUMBER(INDEX(기본자료!$K$2:$K$1001,$AB393))),INDEX(기본자료!$K$2:$K$1001,$AB393),IF(INDEX(기본자료!$K$2:$K$1001,$AB393)&lt;1000000,INDEX(기본자료!$K$2:$K$1001,$AB393),IF(AND(INDEX(기본자료!$K$2:$K$1001,$AB393)&gt;=10000101,INT(MOD(INDEX(기본자료!$K$2:$K$1001,$AB393),10000)/100)&gt;=1,INT(MOD(INDEX(기본자료!$K$2:$K$1001,$AB393),10000)/100)&lt;=12,MOD(INDEX(기본자료!$K$2:$K$1001,$AB393),100)&gt;=1,MOD(INDEX(기본자료!$K$2:$K$1001,$AB393),100)&lt;=31),DATE(INT(INDEX(기본자료!$K$2:$K$1001,$AB393)/10000),INT(MOD(INDEX(기본자료!$K$2:$K$1001,$AB393),10000)/100),MOD(INDEX(기본자료!$K$2:$K$1001,$AB393),100)),INDEX(기본자료!$K$2:$K$1001,$AB393)&amp;"")))))</f>
        <v/>
      </c>
      <c r="F393" s="10">
        <f>IF($AB393="","",IF(INDEX(기본자료!$D$2:$D$1001,$AB393)="","",INDEX(기본자료!$D$2:$D$1001,$AB393)))</f>
        <v/>
      </c>
      <c r="G393" s="10">
        <f>IF($AB393="","",IF(INDEX(기본자료!$E$2:$E$1001,$AB393)="","",INDEX(기본자료!$E$2:$E$1001,$AB393)))</f>
        <v/>
      </c>
      <c r="H393" s="10">
        <f>IF($AB393="","",IF(INDEX(기본자료!$F$2:$F$1001,$AB393)="","",INDEX(기본자료!$F$2:$F$1001,$AB393)))</f>
        <v/>
      </c>
      <c r="I393" s="11">
        <f>IF($AB393="","",IF(INDEX(기본자료!$G$2:$G$1001,$AB393)="","",IF(NOT(ISNUMBER(INDEX(기본자료!$G$2:$G$1001,$AB393))),INDEX(기본자료!$G$2:$G$1001,$AB393),IF(INDEX(기본자료!$G$2:$G$1001,$AB393)&lt;1000000,INDEX(기본자료!$G$2:$G$1001,$AB393),IF(AND(INDEX(기본자료!$G$2:$G$1001,$AB393)&gt;=10000101,INT(MOD(INDEX(기본자료!$G$2:$G$1001,$AB393),10000)/100)&gt;=1,INT(MOD(INDEX(기본자료!$G$2:$G$1001,$AB393),10000)/100)&lt;=12,MOD(INDEX(기본자료!$G$2:$G$1001,$AB393),100)&gt;=1,MOD(INDEX(기본자료!$G$2:$G$1001,$AB393),100)&lt;=31),DATE(INT(INDEX(기본자료!$G$2:$G$1001,$AB393)/10000),INT(MOD(INDEX(기본자료!$G$2:$G$1001,$AB393),10000)/100),MOD(INDEX(기본자료!$G$2:$G$1001,$AB393),100)),INDEX(기본자료!$G$2:$G$1001,$AB393)&amp;"")))))</f>
        <v/>
      </c>
      <c r="J393" s="10">
        <f>IF($AB393="","",IF(INDEX(기본자료!$H$2:$H$1001,$AB393)="","",INDEX(기본자료!$H$2:$H$1001,$AB393)))</f>
        <v/>
      </c>
      <c r="K393" s="10">
        <f>IF($AB393="","",IF(INDEX(기본자료!$I$2:$I$1001,$AB393)="","",INDEX(기본자료!$I$2:$I$1001,$AB393)))</f>
        <v/>
      </c>
      <c r="L393" s="10">
        <f>IF($AB393="","",IF(INDEX(기본자료!$A$2:$A$1001,$AB393)="","",INDEX(기본자료!$A$2:$A$1001,$AB393)))</f>
        <v/>
      </c>
      <c r="M393" s="15" t="n"/>
      <c r="N393" s="10">
        <f>IF($B393="","",IF(AND($U393="파견중",$Q393&lt;&gt;""),$Q393,IF(AND($AD393&lt;&gt;"",LEFT($AD393,1)&lt;&gt;"⚠"),LEFT($AD393,FIND(" ",$AD393)-1),IF($H393="","",IF(RIGHT($H393,2)="병원",$H393,$H393&amp;"병원")))))</f>
        <v/>
      </c>
      <c r="O393" s="10">
        <f>IF($B393="","",IF(AND($U393="파견중",$Q393&lt;&gt;""),IF($R393&lt;&gt;"",$R393,"파견과 미입력"),IF(AND($AD393&lt;&gt;"",LEFT($AD393,1)&lt;&gt;"⚠"),MID($AD393,FIND(" ",$AD393)+1,60),IF($F393="","",IF($F393="인턴","수련교육부(인턴)",$F393)))))</f>
        <v/>
      </c>
      <c r="P393" s="10">
        <f>IF($B393="","",IF($AK393&lt;&gt;"",IF(AND(TODAY()&gt;=INDEX(파견수련계획!$AB$4:$AB$83,$AK393),OR(NOT(ISNUMBER(INDEX(파견수련계획!$AC$4:$AC$83,$AK393))),TODAY()&lt;=INDEX(파견수련계획!$AC$4:$AC$83,$AK393))),"다기관",IF($AF393="","",INDEX(파견수련계획!$T$4:$T$83,$AF393))),IF($AF393="","",INDEX(파견수련계획!$T$4:$T$83,$AF393))))</f>
        <v/>
      </c>
      <c r="Q393" s="10">
        <f>IF($AF393="","",INDEX(파견수련계획!$S$4:$S$83,$AF393))</f>
        <v/>
      </c>
      <c r="R393" s="10">
        <f>IF($AF393="","",INDEX(파견수련계획!$U$4:$U$83,$AF393))</f>
        <v/>
      </c>
      <c r="S393" s="11">
        <f>IF($AF393="","",IF(INDEX(파견수련계획!$H$4:$H$83,$AF393)="","",INDEX(파견수련계획!$H$4:$H$83,$AF393)))</f>
        <v/>
      </c>
      <c r="T393" s="11">
        <f>IF($AF393="","",IF(INDEX(파견수련계획!$I$4:$I$83,$AF393)="","",INDEX(파견수련계획!$I$4:$I$83,$AF393)))</f>
        <v/>
      </c>
      <c r="U393" s="10">
        <f>IF($AF393="","",INDEX(파견수련계획!$X$4:$X$83,$AF393))</f>
        <v/>
      </c>
      <c r="V393" s="17">
        <f>IF($AF393="","",INDEX(파견수련계획!$V$4:$V$83,$AF393))</f>
        <v/>
      </c>
      <c r="W393" s="17">
        <f>IF(AND($U393="파견중",$T393&lt;&gt;""),$T393-TODAY(),"")</f>
        <v/>
      </c>
      <c r="X393" s="17">
        <f>IF(OR($B393="",TRIM($J393&amp;"")=""),"",SUMPRODUCT((파견수련계획!$Q$4:$Q$83=TRIM($J393&amp;""))*파견수련계획!$W$4:$W$83))</f>
        <v/>
      </c>
      <c r="Y393" s="10">
        <f>IF($B393="","",IF($AG393="","",IF(IF(TRIM($J393&amp;"")="",0,SUMPRODUCT((파견수련계획!$Q$4:$Q$83=TRIM($J393&amp;""))*파견수련계획!$AD$4:$AD$83))&gt;0,$AE393,IF(N($X393)&lt;=0,$AG393,IF($AH393+$AI393=DAY(EOMONTH(요약!$B$3,0)),IF(AND($AH393&gt;=요약!$E$3,$AI393&lt;요약!$E$3),"서울병원",IF(AND($AI393&gt;=요약!$E$3,$AH393&lt;요약!$E$3),"구리병원","⚠15일 판정불가(서울 "&amp;$AH393&amp;"일/구리 "&amp;$AI393&amp;"일)")),IF($AJ393="",$AE393,IF(INDEX(파견수련계획!$T$4:$T$83,$AJ393)="통합수련",INDEX(파견수련계획!$S$4:$S$83,$AJ393),$AE393)))))))</f>
        <v/>
      </c>
      <c r="Z393" s="19">
        <f>IF($B393="","",IF($AB393="","기본자료에 없는 사번",IF(COUNTIF($B$2:$B$401,$B393)&gt;1,"중복 사번",IF($AE393="","소속(입사장소) 입력",IF(IF(TRIM($J393&amp;"")="",0,SUMPRODUCT((파견수련계획!$Q$4:$Q$83=TRIM($J393&amp;""))*(파견수련계획!$AA$4:$AA$83&lt;&gt;"")))&gt;0,"파견수련계획 입력오류 확인",IF(LEFT($Y393,1)="⚠","서울·구리 15일 판정 불가(양쪽 모두 이상/미만)",IF(IF($AC393="",0,N(INDEX(인턴근무계획!$T$3:$T$62,$AC393)))&gt;0,"인턴계획 입력오류 확인",IF(AND($AC393&lt;&gt;"",$U393&lt;&gt;"파견중",$N393&lt;&gt;$AE393),"인턴 타지역 근무: 파견 여부 확인","정상"))))))))</f>
        <v/>
      </c>
      <c r="AA393" s="5" t="n"/>
      <c r="AB393" s="10">
        <f>IF($B393="","",IFERROR(MATCH($B393,기본자료!$B$2:$B$1001,0),IFERROR(MATCH($B393&amp;"",기본자료!$B$2:$B$1001,0),IFERROR(MATCH(VALUE($B393),기본자료!$B$2:$B$1001,0),""))))</f>
        <v/>
      </c>
      <c r="AC393" s="10">
        <f>IF($B393="","",IFERROR(MATCH($B393,인턴근무계획!$D$3:$D$62,0),IFERROR(MATCH($B393&amp;"",인턴근무계획!$D$3:$D$62,0),IFERROR(MATCH(VALUE($B393),인턴근무계획!$D$3:$D$62,0),""))))</f>
        <v/>
      </c>
      <c r="AD393" s="10">
        <f>IF(OR($AC393="",인턴현황!$G$3=""),"",INDEX(인턴근무계획!$M$3:$R$62,$AC393,인턴현황!$G$3)&amp;"")</f>
        <v/>
      </c>
      <c r="AE393" s="10">
        <f>IF($B393="","",IF($M393&lt;&gt;"",$M393,IF($AF393&lt;&gt;"",IF(LEFT(INDEX(파견수련계획!$R$4:$R$83,$AF393),1)&lt;&gt;"⚠",INDEX(파견수련계획!$R$4:$R$83,$AF393),IF($H393="","",IF(RIGHT($H393,2)="병원",$H393,$H393&amp;"병원"))),IF($H393="","",IF(RIGHT($H393,2)="병원",$H393,$H393&amp;"병원")))))</f>
        <v/>
      </c>
      <c r="AF393" s="10">
        <f>IF(OR($B393="",TRIM($J393&amp;"")=""),"",IFERROR(MATCH(TRIM($J393&amp;"")&amp;"|파견중",파견수련계획!$Y$4:$Y$83,0),IFERROR(MATCH(TRIM($J393&amp;"")&amp;"|파견예정",파견수련계획!$Y$4:$Y$83,0),IFERROR(MATCH(TRIM($J393&amp;"")&amp;"|파견종료",파견수련계획!$Y$4:$Y$83,0),""))))</f>
        <v/>
      </c>
      <c r="AG393" s="10">
        <f>IF($B393="","",IF(AND(IF(OR($AC393="",인턴현황!$K$2=""),"",INDEX(인턴근무계획!$M$3:$R$62,$AC393,인턴현황!$K$2)&amp;"")&lt;&gt;"",LEFT(IF(OR($AC393="",인턴현황!$K$2=""),"",INDEX(인턴근무계획!$M$3:$R$62,$AC393,인턴현황!$K$2)&amp;""),1)&lt;&gt;"⚠"),LEFT(IF(OR($AC393="",인턴현황!$K$2=""),"",INDEX(인턴근무계획!$M$3:$R$62,$AC393,인턴현황!$K$2)&amp;""),FIND(" ",IF(OR($AC393="",인턴현황!$K$2=""),"",INDEX(인턴근무계획!$M$3:$R$62,$AC393,인턴현황!$K$2)&amp;""))-1),$AE393))</f>
        <v/>
      </c>
      <c r="AH393" s="17">
        <f>IF($B393="","",IF(TRIM($J393&amp;"")="",0,SUMPRODUCT((파견수련계획!$Q$4:$Q$83=TRIM($J393&amp;""))*(파견수련계획!$S$4:$S$83="서울병원")*파견수련계획!$W$4:$W$83))+IF($AG393="서울병원",MAX(0,DAY(EOMONTH(요약!$B$3,0))-N($X393)),0))</f>
        <v/>
      </c>
      <c r="AI393" s="17">
        <f>IF($B393="","",IF(TRIM($J393&amp;"")="",0,SUMPRODUCT((파견수련계획!$Q$4:$Q$83=TRIM($J393&amp;""))*(파견수련계획!$S$4:$S$83="구리병원")*파견수련계획!$W$4:$W$83))+IF($AG393="구리병원",MAX(0,DAY(EOMONTH(요약!$B$3,0))-N($X393)),0))</f>
        <v/>
      </c>
      <c r="AJ393" s="10">
        <f>IF(OR($B393="",TRIM($J393&amp;"")=""),"",IFERROR(MATCH(TRIM($J393&amp;"")&amp;"|월",파견수련계획!$Z$4:$Z$83,0),""))</f>
        <v/>
      </c>
      <c r="AK393" s="10">
        <f>IF(OR($B393="",TRIM($J393&amp;"")=""),"",IFERROR(MATCH(TRIM($J393&amp;"")&amp;"|다기관",파견수련계획!$AE$4:$AE$83,0),""))</f>
        <v/>
      </c>
      <c r="AL393" s="10">
        <f>IF($AK393="","","다기관 "&amp;TEXT(INDEX(파견수련계획!$AB$4:$AB$83,$AK393),"yyyy-mm-dd")&amp;"~"&amp;IF(ISNUMBER(INDEX(파견수련계획!$AC$4:$AC$83,$AK393)),TEXT(INDEX(파견수련계획!$AC$4:$AC$83,$AK393),"yyyy-mm-dd"),""))</f>
        <v/>
      </c>
    </row>
    <row r="394">
      <c r="A394" s="10">
        <f>IF(B394="","",ROW()-1)</f>
        <v/>
      </c>
      <c r="B394" s="18" t="n"/>
      <c r="C394" s="10">
        <f>IF($AB394="","",IF(INDEX(기본자료!$C$2:$C$1001,$AB394)="","",INDEX(기본자료!$C$2:$C$1001,$AB394)))</f>
        <v/>
      </c>
      <c r="D394" s="10">
        <f>IF($AB394="","",IF(INDEX(기본자료!$J$2:$J$1001,$AB394)="","",INDEX(기본자료!$J$2:$J$1001,$AB394)))</f>
        <v/>
      </c>
      <c r="E394" s="11">
        <f>IF($AB394="","",IF(INDEX(기본자료!$K$2:$K$1001,$AB394)="","",IF(NOT(ISNUMBER(INDEX(기본자료!$K$2:$K$1001,$AB394))),INDEX(기본자료!$K$2:$K$1001,$AB394),IF(INDEX(기본자료!$K$2:$K$1001,$AB394)&lt;1000000,INDEX(기본자료!$K$2:$K$1001,$AB394),IF(AND(INDEX(기본자료!$K$2:$K$1001,$AB394)&gt;=10000101,INT(MOD(INDEX(기본자료!$K$2:$K$1001,$AB394),10000)/100)&gt;=1,INT(MOD(INDEX(기본자료!$K$2:$K$1001,$AB394),10000)/100)&lt;=12,MOD(INDEX(기본자료!$K$2:$K$1001,$AB394),100)&gt;=1,MOD(INDEX(기본자료!$K$2:$K$1001,$AB394),100)&lt;=31),DATE(INT(INDEX(기본자료!$K$2:$K$1001,$AB394)/10000),INT(MOD(INDEX(기본자료!$K$2:$K$1001,$AB394),10000)/100),MOD(INDEX(기본자료!$K$2:$K$1001,$AB394),100)),INDEX(기본자료!$K$2:$K$1001,$AB394)&amp;"")))))</f>
        <v/>
      </c>
      <c r="F394" s="10">
        <f>IF($AB394="","",IF(INDEX(기본자료!$D$2:$D$1001,$AB394)="","",INDEX(기본자료!$D$2:$D$1001,$AB394)))</f>
        <v/>
      </c>
      <c r="G394" s="10">
        <f>IF($AB394="","",IF(INDEX(기본자료!$E$2:$E$1001,$AB394)="","",INDEX(기본자료!$E$2:$E$1001,$AB394)))</f>
        <v/>
      </c>
      <c r="H394" s="10">
        <f>IF($AB394="","",IF(INDEX(기본자료!$F$2:$F$1001,$AB394)="","",INDEX(기본자료!$F$2:$F$1001,$AB394)))</f>
        <v/>
      </c>
      <c r="I394" s="11">
        <f>IF($AB394="","",IF(INDEX(기본자료!$G$2:$G$1001,$AB394)="","",IF(NOT(ISNUMBER(INDEX(기본자료!$G$2:$G$1001,$AB394))),INDEX(기본자료!$G$2:$G$1001,$AB394),IF(INDEX(기본자료!$G$2:$G$1001,$AB394)&lt;1000000,INDEX(기본자료!$G$2:$G$1001,$AB394),IF(AND(INDEX(기본자료!$G$2:$G$1001,$AB394)&gt;=10000101,INT(MOD(INDEX(기본자료!$G$2:$G$1001,$AB394),10000)/100)&gt;=1,INT(MOD(INDEX(기본자료!$G$2:$G$1001,$AB394),10000)/100)&lt;=12,MOD(INDEX(기본자료!$G$2:$G$1001,$AB394),100)&gt;=1,MOD(INDEX(기본자료!$G$2:$G$1001,$AB394),100)&lt;=31),DATE(INT(INDEX(기본자료!$G$2:$G$1001,$AB394)/10000),INT(MOD(INDEX(기본자료!$G$2:$G$1001,$AB394),10000)/100),MOD(INDEX(기본자료!$G$2:$G$1001,$AB394),100)),INDEX(기본자료!$G$2:$G$1001,$AB394)&amp;"")))))</f>
        <v/>
      </c>
      <c r="J394" s="10">
        <f>IF($AB394="","",IF(INDEX(기본자료!$H$2:$H$1001,$AB394)="","",INDEX(기본자료!$H$2:$H$1001,$AB394)))</f>
        <v/>
      </c>
      <c r="K394" s="10">
        <f>IF($AB394="","",IF(INDEX(기본자료!$I$2:$I$1001,$AB394)="","",INDEX(기본자료!$I$2:$I$1001,$AB394)))</f>
        <v/>
      </c>
      <c r="L394" s="10">
        <f>IF($AB394="","",IF(INDEX(기본자료!$A$2:$A$1001,$AB394)="","",INDEX(기본자료!$A$2:$A$1001,$AB394)))</f>
        <v/>
      </c>
      <c r="M394" s="15" t="n"/>
      <c r="N394" s="10">
        <f>IF($B394="","",IF(AND($U394="파견중",$Q394&lt;&gt;""),$Q394,IF(AND($AD394&lt;&gt;"",LEFT($AD394,1)&lt;&gt;"⚠"),LEFT($AD394,FIND(" ",$AD394)-1),IF($H394="","",IF(RIGHT($H394,2)="병원",$H394,$H394&amp;"병원")))))</f>
        <v/>
      </c>
      <c r="O394" s="10">
        <f>IF($B394="","",IF(AND($U394="파견중",$Q394&lt;&gt;""),IF($R394&lt;&gt;"",$R394,"파견과 미입력"),IF(AND($AD394&lt;&gt;"",LEFT($AD394,1)&lt;&gt;"⚠"),MID($AD394,FIND(" ",$AD394)+1,60),IF($F394="","",IF($F394="인턴","수련교육부(인턴)",$F394)))))</f>
        <v/>
      </c>
      <c r="P394" s="10">
        <f>IF($B394="","",IF($AK394&lt;&gt;"",IF(AND(TODAY()&gt;=INDEX(파견수련계획!$AB$4:$AB$83,$AK394),OR(NOT(ISNUMBER(INDEX(파견수련계획!$AC$4:$AC$83,$AK394))),TODAY()&lt;=INDEX(파견수련계획!$AC$4:$AC$83,$AK394))),"다기관",IF($AF394="","",INDEX(파견수련계획!$T$4:$T$83,$AF394))),IF($AF394="","",INDEX(파견수련계획!$T$4:$T$83,$AF394))))</f>
        <v/>
      </c>
      <c r="Q394" s="10">
        <f>IF($AF394="","",INDEX(파견수련계획!$S$4:$S$83,$AF394))</f>
        <v/>
      </c>
      <c r="R394" s="10">
        <f>IF($AF394="","",INDEX(파견수련계획!$U$4:$U$83,$AF394))</f>
        <v/>
      </c>
      <c r="S394" s="11">
        <f>IF($AF394="","",IF(INDEX(파견수련계획!$H$4:$H$83,$AF394)="","",INDEX(파견수련계획!$H$4:$H$83,$AF394)))</f>
        <v/>
      </c>
      <c r="T394" s="11">
        <f>IF($AF394="","",IF(INDEX(파견수련계획!$I$4:$I$83,$AF394)="","",INDEX(파견수련계획!$I$4:$I$83,$AF394)))</f>
        <v/>
      </c>
      <c r="U394" s="10">
        <f>IF($AF394="","",INDEX(파견수련계획!$X$4:$X$83,$AF394))</f>
        <v/>
      </c>
      <c r="V394" s="17">
        <f>IF($AF394="","",INDEX(파견수련계획!$V$4:$V$83,$AF394))</f>
        <v/>
      </c>
      <c r="W394" s="17">
        <f>IF(AND($U394="파견중",$T394&lt;&gt;""),$T394-TODAY(),"")</f>
        <v/>
      </c>
      <c r="X394" s="17">
        <f>IF(OR($B394="",TRIM($J394&amp;"")=""),"",SUMPRODUCT((파견수련계획!$Q$4:$Q$83=TRIM($J394&amp;""))*파견수련계획!$W$4:$W$83))</f>
        <v/>
      </c>
      <c r="Y394" s="10">
        <f>IF($B394="","",IF($AG394="","",IF(IF(TRIM($J394&amp;"")="",0,SUMPRODUCT((파견수련계획!$Q$4:$Q$83=TRIM($J394&amp;""))*파견수련계획!$AD$4:$AD$83))&gt;0,$AE394,IF(N($X394)&lt;=0,$AG394,IF($AH394+$AI394=DAY(EOMONTH(요약!$B$3,0)),IF(AND($AH394&gt;=요약!$E$3,$AI394&lt;요약!$E$3),"서울병원",IF(AND($AI394&gt;=요약!$E$3,$AH394&lt;요약!$E$3),"구리병원","⚠15일 판정불가(서울 "&amp;$AH394&amp;"일/구리 "&amp;$AI394&amp;"일)")),IF($AJ394="",$AE394,IF(INDEX(파견수련계획!$T$4:$T$83,$AJ394)="통합수련",INDEX(파견수련계획!$S$4:$S$83,$AJ394),$AE394)))))))</f>
        <v/>
      </c>
      <c r="Z394" s="19">
        <f>IF($B394="","",IF($AB394="","기본자료에 없는 사번",IF(COUNTIF($B$2:$B$401,$B394)&gt;1,"중복 사번",IF($AE394="","소속(입사장소) 입력",IF(IF(TRIM($J394&amp;"")="",0,SUMPRODUCT((파견수련계획!$Q$4:$Q$83=TRIM($J394&amp;""))*(파견수련계획!$AA$4:$AA$83&lt;&gt;"")))&gt;0,"파견수련계획 입력오류 확인",IF(LEFT($Y394,1)="⚠","서울·구리 15일 판정 불가(양쪽 모두 이상/미만)",IF(IF($AC394="",0,N(INDEX(인턴근무계획!$T$3:$T$62,$AC394)))&gt;0,"인턴계획 입력오류 확인",IF(AND($AC394&lt;&gt;"",$U394&lt;&gt;"파견중",$N394&lt;&gt;$AE394),"인턴 타지역 근무: 파견 여부 확인","정상"))))))))</f>
        <v/>
      </c>
      <c r="AA394" s="5" t="n"/>
      <c r="AB394" s="10">
        <f>IF($B394="","",IFERROR(MATCH($B394,기본자료!$B$2:$B$1001,0),IFERROR(MATCH($B394&amp;"",기본자료!$B$2:$B$1001,0),IFERROR(MATCH(VALUE($B394),기본자료!$B$2:$B$1001,0),""))))</f>
        <v/>
      </c>
      <c r="AC394" s="10">
        <f>IF($B394="","",IFERROR(MATCH($B394,인턴근무계획!$D$3:$D$62,0),IFERROR(MATCH($B394&amp;"",인턴근무계획!$D$3:$D$62,0),IFERROR(MATCH(VALUE($B394),인턴근무계획!$D$3:$D$62,0),""))))</f>
        <v/>
      </c>
      <c r="AD394" s="10">
        <f>IF(OR($AC394="",인턴현황!$G$3=""),"",INDEX(인턴근무계획!$M$3:$R$62,$AC394,인턴현황!$G$3)&amp;"")</f>
        <v/>
      </c>
      <c r="AE394" s="10">
        <f>IF($B394="","",IF($M394&lt;&gt;"",$M394,IF($AF394&lt;&gt;"",IF(LEFT(INDEX(파견수련계획!$R$4:$R$83,$AF394),1)&lt;&gt;"⚠",INDEX(파견수련계획!$R$4:$R$83,$AF394),IF($H394="","",IF(RIGHT($H394,2)="병원",$H394,$H394&amp;"병원"))),IF($H394="","",IF(RIGHT($H394,2)="병원",$H394,$H394&amp;"병원")))))</f>
        <v/>
      </c>
      <c r="AF394" s="10">
        <f>IF(OR($B394="",TRIM($J394&amp;"")=""),"",IFERROR(MATCH(TRIM($J394&amp;"")&amp;"|파견중",파견수련계획!$Y$4:$Y$83,0),IFERROR(MATCH(TRIM($J394&amp;"")&amp;"|파견예정",파견수련계획!$Y$4:$Y$83,0),IFERROR(MATCH(TRIM($J394&amp;"")&amp;"|파견종료",파견수련계획!$Y$4:$Y$83,0),""))))</f>
        <v/>
      </c>
      <c r="AG394" s="10">
        <f>IF($B394="","",IF(AND(IF(OR($AC394="",인턴현황!$K$2=""),"",INDEX(인턴근무계획!$M$3:$R$62,$AC394,인턴현황!$K$2)&amp;"")&lt;&gt;"",LEFT(IF(OR($AC394="",인턴현황!$K$2=""),"",INDEX(인턴근무계획!$M$3:$R$62,$AC394,인턴현황!$K$2)&amp;""),1)&lt;&gt;"⚠"),LEFT(IF(OR($AC394="",인턴현황!$K$2=""),"",INDEX(인턴근무계획!$M$3:$R$62,$AC394,인턴현황!$K$2)&amp;""),FIND(" ",IF(OR($AC394="",인턴현황!$K$2=""),"",INDEX(인턴근무계획!$M$3:$R$62,$AC394,인턴현황!$K$2)&amp;""))-1),$AE394))</f>
        <v/>
      </c>
      <c r="AH394" s="17">
        <f>IF($B394="","",IF(TRIM($J394&amp;"")="",0,SUMPRODUCT((파견수련계획!$Q$4:$Q$83=TRIM($J394&amp;""))*(파견수련계획!$S$4:$S$83="서울병원")*파견수련계획!$W$4:$W$83))+IF($AG394="서울병원",MAX(0,DAY(EOMONTH(요약!$B$3,0))-N($X394)),0))</f>
        <v/>
      </c>
      <c r="AI394" s="17">
        <f>IF($B394="","",IF(TRIM($J394&amp;"")="",0,SUMPRODUCT((파견수련계획!$Q$4:$Q$83=TRIM($J394&amp;""))*(파견수련계획!$S$4:$S$83="구리병원")*파견수련계획!$W$4:$W$83))+IF($AG394="구리병원",MAX(0,DAY(EOMONTH(요약!$B$3,0))-N($X394)),0))</f>
        <v/>
      </c>
      <c r="AJ394" s="10">
        <f>IF(OR($B394="",TRIM($J394&amp;"")=""),"",IFERROR(MATCH(TRIM($J394&amp;"")&amp;"|월",파견수련계획!$Z$4:$Z$83,0),""))</f>
        <v/>
      </c>
      <c r="AK394" s="10">
        <f>IF(OR($B394="",TRIM($J394&amp;"")=""),"",IFERROR(MATCH(TRIM($J394&amp;"")&amp;"|다기관",파견수련계획!$AE$4:$AE$83,0),""))</f>
        <v/>
      </c>
      <c r="AL394" s="10">
        <f>IF($AK394="","","다기관 "&amp;TEXT(INDEX(파견수련계획!$AB$4:$AB$83,$AK394),"yyyy-mm-dd")&amp;"~"&amp;IF(ISNUMBER(INDEX(파견수련계획!$AC$4:$AC$83,$AK394)),TEXT(INDEX(파견수련계획!$AC$4:$AC$83,$AK394),"yyyy-mm-dd"),""))</f>
        <v/>
      </c>
    </row>
    <row r="395">
      <c r="A395" s="10">
        <f>IF(B395="","",ROW()-1)</f>
        <v/>
      </c>
      <c r="B395" s="18" t="n"/>
      <c r="C395" s="10">
        <f>IF($AB395="","",IF(INDEX(기본자료!$C$2:$C$1001,$AB395)="","",INDEX(기본자료!$C$2:$C$1001,$AB395)))</f>
        <v/>
      </c>
      <c r="D395" s="10">
        <f>IF($AB395="","",IF(INDEX(기본자료!$J$2:$J$1001,$AB395)="","",INDEX(기본자료!$J$2:$J$1001,$AB395)))</f>
        <v/>
      </c>
      <c r="E395" s="11">
        <f>IF($AB395="","",IF(INDEX(기본자료!$K$2:$K$1001,$AB395)="","",IF(NOT(ISNUMBER(INDEX(기본자료!$K$2:$K$1001,$AB395))),INDEX(기본자료!$K$2:$K$1001,$AB395),IF(INDEX(기본자료!$K$2:$K$1001,$AB395)&lt;1000000,INDEX(기본자료!$K$2:$K$1001,$AB395),IF(AND(INDEX(기본자료!$K$2:$K$1001,$AB395)&gt;=10000101,INT(MOD(INDEX(기본자료!$K$2:$K$1001,$AB395),10000)/100)&gt;=1,INT(MOD(INDEX(기본자료!$K$2:$K$1001,$AB395),10000)/100)&lt;=12,MOD(INDEX(기본자료!$K$2:$K$1001,$AB395),100)&gt;=1,MOD(INDEX(기본자료!$K$2:$K$1001,$AB395),100)&lt;=31),DATE(INT(INDEX(기본자료!$K$2:$K$1001,$AB395)/10000),INT(MOD(INDEX(기본자료!$K$2:$K$1001,$AB395),10000)/100),MOD(INDEX(기본자료!$K$2:$K$1001,$AB395),100)),INDEX(기본자료!$K$2:$K$1001,$AB395)&amp;"")))))</f>
        <v/>
      </c>
      <c r="F395" s="10">
        <f>IF($AB395="","",IF(INDEX(기본자료!$D$2:$D$1001,$AB395)="","",INDEX(기본자료!$D$2:$D$1001,$AB395)))</f>
        <v/>
      </c>
      <c r="G395" s="10">
        <f>IF($AB395="","",IF(INDEX(기본자료!$E$2:$E$1001,$AB395)="","",INDEX(기본자료!$E$2:$E$1001,$AB395)))</f>
        <v/>
      </c>
      <c r="H395" s="10">
        <f>IF($AB395="","",IF(INDEX(기본자료!$F$2:$F$1001,$AB395)="","",INDEX(기본자료!$F$2:$F$1001,$AB395)))</f>
        <v/>
      </c>
      <c r="I395" s="11">
        <f>IF($AB395="","",IF(INDEX(기본자료!$G$2:$G$1001,$AB395)="","",IF(NOT(ISNUMBER(INDEX(기본자료!$G$2:$G$1001,$AB395))),INDEX(기본자료!$G$2:$G$1001,$AB395),IF(INDEX(기본자료!$G$2:$G$1001,$AB395)&lt;1000000,INDEX(기본자료!$G$2:$G$1001,$AB395),IF(AND(INDEX(기본자료!$G$2:$G$1001,$AB395)&gt;=10000101,INT(MOD(INDEX(기본자료!$G$2:$G$1001,$AB395),10000)/100)&gt;=1,INT(MOD(INDEX(기본자료!$G$2:$G$1001,$AB395),10000)/100)&lt;=12,MOD(INDEX(기본자료!$G$2:$G$1001,$AB395),100)&gt;=1,MOD(INDEX(기본자료!$G$2:$G$1001,$AB395),100)&lt;=31),DATE(INT(INDEX(기본자료!$G$2:$G$1001,$AB395)/10000),INT(MOD(INDEX(기본자료!$G$2:$G$1001,$AB395),10000)/100),MOD(INDEX(기본자료!$G$2:$G$1001,$AB395),100)),INDEX(기본자료!$G$2:$G$1001,$AB395)&amp;"")))))</f>
        <v/>
      </c>
      <c r="J395" s="10">
        <f>IF($AB395="","",IF(INDEX(기본자료!$H$2:$H$1001,$AB395)="","",INDEX(기본자료!$H$2:$H$1001,$AB395)))</f>
        <v/>
      </c>
      <c r="K395" s="10">
        <f>IF($AB395="","",IF(INDEX(기본자료!$I$2:$I$1001,$AB395)="","",INDEX(기본자료!$I$2:$I$1001,$AB395)))</f>
        <v/>
      </c>
      <c r="L395" s="10">
        <f>IF($AB395="","",IF(INDEX(기본자료!$A$2:$A$1001,$AB395)="","",INDEX(기본자료!$A$2:$A$1001,$AB395)))</f>
        <v/>
      </c>
      <c r="M395" s="15" t="n"/>
      <c r="N395" s="10">
        <f>IF($B395="","",IF(AND($U395="파견중",$Q395&lt;&gt;""),$Q395,IF(AND($AD395&lt;&gt;"",LEFT($AD395,1)&lt;&gt;"⚠"),LEFT($AD395,FIND(" ",$AD395)-1),IF($H395="","",IF(RIGHT($H395,2)="병원",$H395,$H395&amp;"병원")))))</f>
        <v/>
      </c>
      <c r="O395" s="10">
        <f>IF($B395="","",IF(AND($U395="파견중",$Q395&lt;&gt;""),IF($R395&lt;&gt;"",$R395,"파견과 미입력"),IF(AND($AD395&lt;&gt;"",LEFT($AD395,1)&lt;&gt;"⚠"),MID($AD395,FIND(" ",$AD395)+1,60),IF($F395="","",IF($F395="인턴","수련교육부(인턴)",$F395)))))</f>
        <v/>
      </c>
      <c r="P395" s="10">
        <f>IF($B395="","",IF($AK395&lt;&gt;"",IF(AND(TODAY()&gt;=INDEX(파견수련계획!$AB$4:$AB$83,$AK395),OR(NOT(ISNUMBER(INDEX(파견수련계획!$AC$4:$AC$83,$AK395))),TODAY()&lt;=INDEX(파견수련계획!$AC$4:$AC$83,$AK395))),"다기관",IF($AF395="","",INDEX(파견수련계획!$T$4:$T$83,$AF395))),IF($AF395="","",INDEX(파견수련계획!$T$4:$T$83,$AF395))))</f>
        <v/>
      </c>
      <c r="Q395" s="10">
        <f>IF($AF395="","",INDEX(파견수련계획!$S$4:$S$83,$AF395))</f>
        <v/>
      </c>
      <c r="R395" s="10">
        <f>IF($AF395="","",INDEX(파견수련계획!$U$4:$U$83,$AF395))</f>
        <v/>
      </c>
      <c r="S395" s="11">
        <f>IF($AF395="","",IF(INDEX(파견수련계획!$H$4:$H$83,$AF395)="","",INDEX(파견수련계획!$H$4:$H$83,$AF395)))</f>
        <v/>
      </c>
      <c r="T395" s="11">
        <f>IF($AF395="","",IF(INDEX(파견수련계획!$I$4:$I$83,$AF395)="","",INDEX(파견수련계획!$I$4:$I$83,$AF395)))</f>
        <v/>
      </c>
      <c r="U395" s="10">
        <f>IF($AF395="","",INDEX(파견수련계획!$X$4:$X$83,$AF395))</f>
        <v/>
      </c>
      <c r="V395" s="17">
        <f>IF($AF395="","",INDEX(파견수련계획!$V$4:$V$83,$AF395))</f>
        <v/>
      </c>
      <c r="W395" s="17">
        <f>IF(AND($U395="파견중",$T395&lt;&gt;""),$T395-TODAY(),"")</f>
        <v/>
      </c>
      <c r="X395" s="17">
        <f>IF(OR($B395="",TRIM($J395&amp;"")=""),"",SUMPRODUCT((파견수련계획!$Q$4:$Q$83=TRIM($J395&amp;""))*파견수련계획!$W$4:$W$83))</f>
        <v/>
      </c>
      <c r="Y395" s="10">
        <f>IF($B395="","",IF($AG395="","",IF(IF(TRIM($J395&amp;"")="",0,SUMPRODUCT((파견수련계획!$Q$4:$Q$83=TRIM($J395&amp;""))*파견수련계획!$AD$4:$AD$83))&gt;0,$AE395,IF(N($X395)&lt;=0,$AG395,IF($AH395+$AI395=DAY(EOMONTH(요약!$B$3,0)),IF(AND($AH395&gt;=요약!$E$3,$AI395&lt;요약!$E$3),"서울병원",IF(AND($AI395&gt;=요약!$E$3,$AH395&lt;요약!$E$3),"구리병원","⚠15일 판정불가(서울 "&amp;$AH395&amp;"일/구리 "&amp;$AI395&amp;"일)")),IF($AJ395="",$AE395,IF(INDEX(파견수련계획!$T$4:$T$83,$AJ395)="통합수련",INDEX(파견수련계획!$S$4:$S$83,$AJ395),$AE395)))))))</f>
        <v/>
      </c>
      <c r="Z395" s="19">
        <f>IF($B395="","",IF($AB395="","기본자료에 없는 사번",IF(COUNTIF($B$2:$B$401,$B395)&gt;1,"중복 사번",IF($AE395="","소속(입사장소) 입력",IF(IF(TRIM($J395&amp;"")="",0,SUMPRODUCT((파견수련계획!$Q$4:$Q$83=TRIM($J395&amp;""))*(파견수련계획!$AA$4:$AA$83&lt;&gt;"")))&gt;0,"파견수련계획 입력오류 확인",IF(LEFT($Y395,1)="⚠","서울·구리 15일 판정 불가(양쪽 모두 이상/미만)",IF(IF($AC395="",0,N(INDEX(인턴근무계획!$T$3:$T$62,$AC395)))&gt;0,"인턴계획 입력오류 확인",IF(AND($AC395&lt;&gt;"",$U395&lt;&gt;"파견중",$N395&lt;&gt;$AE395),"인턴 타지역 근무: 파견 여부 확인","정상"))))))))</f>
        <v/>
      </c>
      <c r="AA395" s="5" t="n"/>
      <c r="AB395" s="10">
        <f>IF($B395="","",IFERROR(MATCH($B395,기본자료!$B$2:$B$1001,0),IFERROR(MATCH($B395&amp;"",기본자료!$B$2:$B$1001,0),IFERROR(MATCH(VALUE($B395),기본자료!$B$2:$B$1001,0),""))))</f>
        <v/>
      </c>
      <c r="AC395" s="10">
        <f>IF($B395="","",IFERROR(MATCH($B395,인턴근무계획!$D$3:$D$62,0),IFERROR(MATCH($B395&amp;"",인턴근무계획!$D$3:$D$62,0),IFERROR(MATCH(VALUE($B395),인턴근무계획!$D$3:$D$62,0),""))))</f>
        <v/>
      </c>
      <c r="AD395" s="10">
        <f>IF(OR($AC395="",인턴현황!$G$3=""),"",INDEX(인턴근무계획!$M$3:$R$62,$AC395,인턴현황!$G$3)&amp;"")</f>
        <v/>
      </c>
      <c r="AE395" s="10">
        <f>IF($B395="","",IF($M395&lt;&gt;"",$M395,IF($AF395&lt;&gt;"",IF(LEFT(INDEX(파견수련계획!$R$4:$R$83,$AF395),1)&lt;&gt;"⚠",INDEX(파견수련계획!$R$4:$R$83,$AF395),IF($H395="","",IF(RIGHT($H395,2)="병원",$H395,$H395&amp;"병원"))),IF($H395="","",IF(RIGHT($H395,2)="병원",$H395,$H395&amp;"병원")))))</f>
        <v/>
      </c>
      <c r="AF395" s="10">
        <f>IF(OR($B395="",TRIM($J395&amp;"")=""),"",IFERROR(MATCH(TRIM($J395&amp;"")&amp;"|파견중",파견수련계획!$Y$4:$Y$83,0),IFERROR(MATCH(TRIM($J395&amp;"")&amp;"|파견예정",파견수련계획!$Y$4:$Y$83,0),IFERROR(MATCH(TRIM($J395&amp;"")&amp;"|파견종료",파견수련계획!$Y$4:$Y$83,0),""))))</f>
        <v/>
      </c>
      <c r="AG395" s="10">
        <f>IF($B395="","",IF(AND(IF(OR($AC395="",인턴현황!$K$2=""),"",INDEX(인턴근무계획!$M$3:$R$62,$AC395,인턴현황!$K$2)&amp;"")&lt;&gt;"",LEFT(IF(OR($AC395="",인턴현황!$K$2=""),"",INDEX(인턴근무계획!$M$3:$R$62,$AC395,인턴현황!$K$2)&amp;""),1)&lt;&gt;"⚠"),LEFT(IF(OR($AC395="",인턴현황!$K$2=""),"",INDEX(인턴근무계획!$M$3:$R$62,$AC395,인턴현황!$K$2)&amp;""),FIND(" ",IF(OR($AC395="",인턴현황!$K$2=""),"",INDEX(인턴근무계획!$M$3:$R$62,$AC395,인턴현황!$K$2)&amp;""))-1),$AE395))</f>
        <v/>
      </c>
      <c r="AH395" s="17">
        <f>IF($B395="","",IF(TRIM($J395&amp;"")="",0,SUMPRODUCT((파견수련계획!$Q$4:$Q$83=TRIM($J395&amp;""))*(파견수련계획!$S$4:$S$83="서울병원")*파견수련계획!$W$4:$W$83))+IF($AG395="서울병원",MAX(0,DAY(EOMONTH(요약!$B$3,0))-N($X395)),0))</f>
        <v/>
      </c>
      <c r="AI395" s="17">
        <f>IF($B395="","",IF(TRIM($J395&amp;"")="",0,SUMPRODUCT((파견수련계획!$Q$4:$Q$83=TRIM($J395&amp;""))*(파견수련계획!$S$4:$S$83="구리병원")*파견수련계획!$W$4:$W$83))+IF($AG395="구리병원",MAX(0,DAY(EOMONTH(요약!$B$3,0))-N($X395)),0))</f>
        <v/>
      </c>
      <c r="AJ395" s="10">
        <f>IF(OR($B395="",TRIM($J395&amp;"")=""),"",IFERROR(MATCH(TRIM($J395&amp;"")&amp;"|월",파견수련계획!$Z$4:$Z$83,0),""))</f>
        <v/>
      </c>
      <c r="AK395" s="10">
        <f>IF(OR($B395="",TRIM($J395&amp;"")=""),"",IFERROR(MATCH(TRIM($J395&amp;"")&amp;"|다기관",파견수련계획!$AE$4:$AE$83,0),""))</f>
        <v/>
      </c>
      <c r="AL395" s="10">
        <f>IF($AK395="","","다기관 "&amp;TEXT(INDEX(파견수련계획!$AB$4:$AB$83,$AK395),"yyyy-mm-dd")&amp;"~"&amp;IF(ISNUMBER(INDEX(파견수련계획!$AC$4:$AC$83,$AK395)),TEXT(INDEX(파견수련계획!$AC$4:$AC$83,$AK395),"yyyy-mm-dd"),""))</f>
        <v/>
      </c>
    </row>
    <row r="396">
      <c r="A396" s="10">
        <f>IF(B396="","",ROW()-1)</f>
        <v/>
      </c>
      <c r="B396" s="18" t="n"/>
      <c r="C396" s="10">
        <f>IF($AB396="","",IF(INDEX(기본자료!$C$2:$C$1001,$AB396)="","",INDEX(기본자료!$C$2:$C$1001,$AB396)))</f>
        <v/>
      </c>
      <c r="D396" s="10">
        <f>IF($AB396="","",IF(INDEX(기본자료!$J$2:$J$1001,$AB396)="","",INDEX(기본자료!$J$2:$J$1001,$AB396)))</f>
        <v/>
      </c>
      <c r="E396" s="11">
        <f>IF($AB396="","",IF(INDEX(기본자료!$K$2:$K$1001,$AB396)="","",IF(NOT(ISNUMBER(INDEX(기본자료!$K$2:$K$1001,$AB396))),INDEX(기본자료!$K$2:$K$1001,$AB396),IF(INDEX(기본자료!$K$2:$K$1001,$AB396)&lt;1000000,INDEX(기본자료!$K$2:$K$1001,$AB396),IF(AND(INDEX(기본자료!$K$2:$K$1001,$AB396)&gt;=10000101,INT(MOD(INDEX(기본자료!$K$2:$K$1001,$AB396),10000)/100)&gt;=1,INT(MOD(INDEX(기본자료!$K$2:$K$1001,$AB396),10000)/100)&lt;=12,MOD(INDEX(기본자료!$K$2:$K$1001,$AB396),100)&gt;=1,MOD(INDEX(기본자료!$K$2:$K$1001,$AB396),100)&lt;=31),DATE(INT(INDEX(기본자료!$K$2:$K$1001,$AB396)/10000),INT(MOD(INDEX(기본자료!$K$2:$K$1001,$AB396),10000)/100),MOD(INDEX(기본자료!$K$2:$K$1001,$AB396),100)),INDEX(기본자료!$K$2:$K$1001,$AB396)&amp;"")))))</f>
        <v/>
      </c>
      <c r="F396" s="10">
        <f>IF($AB396="","",IF(INDEX(기본자료!$D$2:$D$1001,$AB396)="","",INDEX(기본자료!$D$2:$D$1001,$AB396)))</f>
        <v/>
      </c>
      <c r="G396" s="10">
        <f>IF($AB396="","",IF(INDEX(기본자료!$E$2:$E$1001,$AB396)="","",INDEX(기본자료!$E$2:$E$1001,$AB396)))</f>
        <v/>
      </c>
      <c r="H396" s="10">
        <f>IF($AB396="","",IF(INDEX(기본자료!$F$2:$F$1001,$AB396)="","",INDEX(기본자료!$F$2:$F$1001,$AB396)))</f>
        <v/>
      </c>
      <c r="I396" s="11">
        <f>IF($AB396="","",IF(INDEX(기본자료!$G$2:$G$1001,$AB396)="","",IF(NOT(ISNUMBER(INDEX(기본자료!$G$2:$G$1001,$AB396))),INDEX(기본자료!$G$2:$G$1001,$AB396),IF(INDEX(기본자료!$G$2:$G$1001,$AB396)&lt;1000000,INDEX(기본자료!$G$2:$G$1001,$AB396),IF(AND(INDEX(기본자료!$G$2:$G$1001,$AB396)&gt;=10000101,INT(MOD(INDEX(기본자료!$G$2:$G$1001,$AB396),10000)/100)&gt;=1,INT(MOD(INDEX(기본자료!$G$2:$G$1001,$AB396),10000)/100)&lt;=12,MOD(INDEX(기본자료!$G$2:$G$1001,$AB396),100)&gt;=1,MOD(INDEX(기본자료!$G$2:$G$1001,$AB396),100)&lt;=31),DATE(INT(INDEX(기본자료!$G$2:$G$1001,$AB396)/10000),INT(MOD(INDEX(기본자료!$G$2:$G$1001,$AB396),10000)/100),MOD(INDEX(기본자료!$G$2:$G$1001,$AB396),100)),INDEX(기본자료!$G$2:$G$1001,$AB396)&amp;"")))))</f>
        <v/>
      </c>
      <c r="J396" s="10">
        <f>IF($AB396="","",IF(INDEX(기본자료!$H$2:$H$1001,$AB396)="","",INDEX(기본자료!$H$2:$H$1001,$AB396)))</f>
        <v/>
      </c>
      <c r="K396" s="10">
        <f>IF($AB396="","",IF(INDEX(기본자료!$I$2:$I$1001,$AB396)="","",INDEX(기본자료!$I$2:$I$1001,$AB396)))</f>
        <v/>
      </c>
      <c r="L396" s="10">
        <f>IF($AB396="","",IF(INDEX(기본자료!$A$2:$A$1001,$AB396)="","",INDEX(기본자료!$A$2:$A$1001,$AB396)))</f>
        <v/>
      </c>
      <c r="M396" s="15" t="n"/>
      <c r="N396" s="10">
        <f>IF($B396="","",IF(AND($U396="파견중",$Q396&lt;&gt;""),$Q396,IF(AND($AD396&lt;&gt;"",LEFT($AD396,1)&lt;&gt;"⚠"),LEFT($AD396,FIND(" ",$AD396)-1),IF($H396="","",IF(RIGHT($H396,2)="병원",$H396,$H396&amp;"병원")))))</f>
        <v/>
      </c>
      <c r="O396" s="10">
        <f>IF($B396="","",IF(AND($U396="파견중",$Q396&lt;&gt;""),IF($R396&lt;&gt;"",$R396,"파견과 미입력"),IF(AND($AD396&lt;&gt;"",LEFT($AD396,1)&lt;&gt;"⚠"),MID($AD396,FIND(" ",$AD396)+1,60),IF($F396="","",IF($F396="인턴","수련교육부(인턴)",$F396)))))</f>
        <v/>
      </c>
      <c r="P396" s="10">
        <f>IF($B396="","",IF($AK396&lt;&gt;"",IF(AND(TODAY()&gt;=INDEX(파견수련계획!$AB$4:$AB$83,$AK396),OR(NOT(ISNUMBER(INDEX(파견수련계획!$AC$4:$AC$83,$AK396))),TODAY()&lt;=INDEX(파견수련계획!$AC$4:$AC$83,$AK396))),"다기관",IF($AF396="","",INDEX(파견수련계획!$T$4:$T$83,$AF396))),IF($AF396="","",INDEX(파견수련계획!$T$4:$T$83,$AF396))))</f>
        <v/>
      </c>
      <c r="Q396" s="10">
        <f>IF($AF396="","",INDEX(파견수련계획!$S$4:$S$83,$AF396))</f>
        <v/>
      </c>
      <c r="R396" s="10">
        <f>IF($AF396="","",INDEX(파견수련계획!$U$4:$U$83,$AF396))</f>
        <v/>
      </c>
      <c r="S396" s="11">
        <f>IF($AF396="","",IF(INDEX(파견수련계획!$H$4:$H$83,$AF396)="","",INDEX(파견수련계획!$H$4:$H$83,$AF396)))</f>
        <v/>
      </c>
      <c r="T396" s="11">
        <f>IF($AF396="","",IF(INDEX(파견수련계획!$I$4:$I$83,$AF396)="","",INDEX(파견수련계획!$I$4:$I$83,$AF396)))</f>
        <v/>
      </c>
      <c r="U396" s="10">
        <f>IF($AF396="","",INDEX(파견수련계획!$X$4:$X$83,$AF396))</f>
        <v/>
      </c>
      <c r="V396" s="17">
        <f>IF($AF396="","",INDEX(파견수련계획!$V$4:$V$83,$AF396))</f>
        <v/>
      </c>
      <c r="W396" s="17">
        <f>IF(AND($U396="파견중",$T396&lt;&gt;""),$T396-TODAY(),"")</f>
        <v/>
      </c>
      <c r="X396" s="17">
        <f>IF(OR($B396="",TRIM($J396&amp;"")=""),"",SUMPRODUCT((파견수련계획!$Q$4:$Q$83=TRIM($J396&amp;""))*파견수련계획!$W$4:$W$83))</f>
        <v/>
      </c>
      <c r="Y396" s="10">
        <f>IF($B396="","",IF($AG396="","",IF(IF(TRIM($J396&amp;"")="",0,SUMPRODUCT((파견수련계획!$Q$4:$Q$83=TRIM($J396&amp;""))*파견수련계획!$AD$4:$AD$83))&gt;0,$AE396,IF(N($X396)&lt;=0,$AG396,IF($AH396+$AI396=DAY(EOMONTH(요약!$B$3,0)),IF(AND($AH396&gt;=요약!$E$3,$AI396&lt;요약!$E$3),"서울병원",IF(AND($AI396&gt;=요약!$E$3,$AH396&lt;요약!$E$3),"구리병원","⚠15일 판정불가(서울 "&amp;$AH396&amp;"일/구리 "&amp;$AI396&amp;"일)")),IF($AJ396="",$AE396,IF(INDEX(파견수련계획!$T$4:$T$83,$AJ396)="통합수련",INDEX(파견수련계획!$S$4:$S$83,$AJ396),$AE396)))))))</f>
        <v/>
      </c>
      <c r="Z396" s="19">
        <f>IF($B396="","",IF($AB396="","기본자료에 없는 사번",IF(COUNTIF($B$2:$B$401,$B396)&gt;1,"중복 사번",IF($AE396="","소속(입사장소) 입력",IF(IF(TRIM($J396&amp;"")="",0,SUMPRODUCT((파견수련계획!$Q$4:$Q$83=TRIM($J396&amp;""))*(파견수련계획!$AA$4:$AA$83&lt;&gt;"")))&gt;0,"파견수련계획 입력오류 확인",IF(LEFT($Y396,1)="⚠","서울·구리 15일 판정 불가(양쪽 모두 이상/미만)",IF(IF($AC396="",0,N(INDEX(인턴근무계획!$T$3:$T$62,$AC396)))&gt;0,"인턴계획 입력오류 확인",IF(AND($AC396&lt;&gt;"",$U396&lt;&gt;"파견중",$N396&lt;&gt;$AE396),"인턴 타지역 근무: 파견 여부 확인","정상"))))))))</f>
        <v/>
      </c>
      <c r="AA396" s="5" t="n"/>
      <c r="AB396" s="10">
        <f>IF($B396="","",IFERROR(MATCH($B396,기본자료!$B$2:$B$1001,0),IFERROR(MATCH($B396&amp;"",기본자료!$B$2:$B$1001,0),IFERROR(MATCH(VALUE($B396),기본자료!$B$2:$B$1001,0),""))))</f>
        <v/>
      </c>
      <c r="AC396" s="10">
        <f>IF($B396="","",IFERROR(MATCH($B396,인턴근무계획!$D$3:$D$62,0),IFERROR(MATCH($B396&amp;"",인턴근무계획!$D$3:$D$62,0),IFERROR(MATCH(VALUE($B396),인턴근무계획!$D$3:$D$62,0),""))))</f>
        <v/>
      </c>
      <c r="AD396" s="10">
        <f>IF(OR($AC396="",인턴현황!$G$3=""),"",INDEX(인턴근무계획!$M$3:$R$62,$AC396,인턴현황!$G$3)&amp;"")</f>
        <v/>
      </c>
      <c r="AE396" s="10">
        <f>IF($B396="","",IF($M396&lt;&gt;"",$M396,IF($AF396&lt;&gt;"",IF(LEFT(INDEX(파견수련계획!$R$4:$R$83,$AF396),1)&lt;&gt;"⚠",INDEX(파견수련계획!$R$4:$R$83,$AF396),IF($H396="","",IF(RIGHT($H396,2)="병원",$H396,$H396&amp;"병원"))),IF($H396="","",IF(RIGHT($H396,2)="병원",$H396,$H396&amp;"병원")))))</f>
        <v/>
      </c>
      <c r="AF396" s="10">
        <f>IF(OR($B396="",TRIM($J396&amp;"")=""),"",IFERROR(MATCH(TRIM($J396&amp;"")&amp;"|파견중",파견수련계획!$Y$4:$Y$83,0),IFERROR(MATCH(TRIM($J396&amp;"")&amp;"|파견예정",파견수련계획!$Y$4:$Y$83,0),IFERROR(MATCH(TRIM($J396&amp;"")&amp;"|파견종료",파견수련계획!$Y$4:$Y$83,0),""))))</f>
        <v/>
      </c>
      <c r="AG396" s="10">
        <f>IF($B396="","",IF(AND(IF(OR($AC396="",인턴현황!$K$2=""),"",INDEX(인턴근무계획!$M$3:$R$62,$AC396,인턴현황!$K$2)&amp;"")&lt;&gt;"",LEFT(IF(OR($AC396="",인턴현황!$K$2=""),"",INDEX(인턴근무계획!$M$3:$R$62,$AC396,인턴현황!$K$2)&amp;""),1)&lt;&gt;"⚠"),LEFT(IF(OR($AC396="",인턴현황!$K$2=""),"",INDEX(인턴근무계획!$M$3:$R$62,$AC396,인턴현황!$K$2)&amp;""),FIND(" ",IF(OR($AC396="",인턴현황!$K$2=""),"",INDEX(인턴근무계획!$M$3:$R$62,$AC396,인턴현황!$K$2)&amp;""))-1),$AE396))</f>
        <v/>
      </c>
      <c r="AH396" s="17">
        <f>IF($B396="","",IF(TRIM($J396&amp;"")="",0,SUMPRODUCT((파견수련계획!$Q$4:$Q$83=TRIM($J396&amp;""))*(파견수련계획!$S$4:$S$83="서울병원")*파견수련계획!$W$4:$W$83))+IF($AG396="서울병원",MAX(0,DAY(EOMONTH(요약!$B$3,0))-N($X396)),0))</f>
        <v/>
      </c>
      <c r="AI396" s="17">
        <f>IF($B396="","",IF(TRIM($J396&amp;"")="",0,SUMPRODUCT((파견수련계획!$Q$4:$Q$83=TRIM($J396&amp;""))*(파견수련계획!$S$4:$S$83="구리병원")*파견수련계획!$W$4:$W$83))+IF($AG396="구리병원",MAX(0,DAY(EOMONTH(요약!$B$3,0))-N($X396)),0))</f>
        <v/>
      </c>
      <c r="AJ396" s="10">
        <f>IF(OR($B396="",TRIM($J396&amp;"")=""),"",IFERROR(MATCH(TRIM($J396&amp;"")&amp;"|월",파견수련계획!$Z$4:$Z$83,0),""))</f>
        <v/>
      </c>
      <c r="AK396" s="10">
        <f>IF(OR($B396="",TRIM($J396&amp;"")=""),"",IFERROR(MATCH(TRIM($J396&amp;"")&amp;"|다기관",파견수련계획!$AE$4:$AE$83,0),""))</f>
        <v/>
      </c>
      <c r="AL396" s="10">
        <f>IF($AK396="","","다기관 "&amp;TEXT(INDEX(파견수련계획!$AB$4:$AB$83,$AK396),"yyyy-mm-dd")&amp;"~"&amp;IF(ISNUMBER(INDEX(파견수련계획!$AC$4:$AC$83,$AK396)),TEXT(INDEX(파견수련계획!$AC$4:$AC$83,$AK396),"yyyy-mm-dd"),""))</f>
        <v/>
      </c>
    </row>
    <row r="397">
      <c r="A397" s="10">
        <f>IF(B397="","",ROW()-1)</f>
        <v/>
      </c>
      <c r="B397" s="18" t="n"/>
      <c r="C397" s="10">
        <f>IF($AB397="","",IF(INDEX(기본자료!$C$2:$C$1001,$AB397)="","",INDEX(기본자료!$C$2:$C$1001,$AB397)))</f>
        <v/>
      </c>
      <c r="D397" s="10">
        <f>IF($AB397="","",IF(INDEX(기본자료!$J$2:$J$1001,$AB397)="","",INDEX(기본자료!$J$2:$J$1001,$AB397)))</f>
        <v/>
      </c>
      <c r="E397" s="11">
        <f>IF($AB397="","",IF(INDEX(기본자료!$K$2:$K$1001,$AB397)="","",IF(NOT(ISNUMBER(INDEX(기본자료!$K$2:$K$1001,$AB397))),INDEX(기본자료!$K$2:$K$1001,$AB397),IF(INDEX(기본자료!$K$2:$K$1001,$AB397)&lt;1000000,INDEX(기본자료!$K$2:$K$1001,$AB397),IF(AND(INDEX(기본자료!$K$2:$K$1001,$AB397)&gt;=10000101,INT(MOD(INDEX(기본자료!$K$2:$K$1001,$AB397),10000)/100)&gt;=1,INT(MOD(INDEX(기본자료!$K$2:$K$1001,$AB397),10000)/100)&lt;=12,MOD(INDEX(기본자료!$K$2:$K$1001,$AB397),100)&gt;=1,MOD(INDEX(기본자료!$K$2:$K$1001,$AB397),100)&lt;=31),DATE(INT(INDEX(기본자료!$K$2:$K$1001,$AB397)/10000),INT(MOD(INDEX(기본자료!$K$2:$K$1001,$AB397),10000)/100),MOD(INDEX(기본자료!$K$2:$K$1001,$AB397),100)),INDEX(기본자료!$K$2:$K$1001,$AB397)&amp;"")))))</f>
        <v/>
      </c>
      <c r="F397" s="10">
        <f>IF($AB397="","",IF(INDEX(기본자료!$D$2:$D$1001,$AB397)="","",INDEX(기본자료!$D$2:$D$1001,$AB397)))</f>
        <v/>
      </c>
      <c r="G397" s="10">
        <f>IF($AB397="","",IF(INDEX(기본자료!$E$2:$E$1001,$AB397)="","",INDEX(기본자료!$E$2:$E$1001,$AB397)))</f>
        <v/>
      </c>
      <c r="H397" s="10">
        <f>IF($AB397="","",IF(INDEX(기본자료!$F$2:$F$1001,$AB397)="","",INDEX(기본자료!$F$2:$F$1001,$AB397)))</f>
        <v/>
      </c>
      <c r="I397" s="11">
        <f>IF($AB397="","",IF(INDEX(기본자료!$G$2:$G$1001,$AB397)="","",IF(NOT(ISNUMBER(INDEX(기본자료!$G$2:$G$1001,$AB397))),INDEX(기본자료!$G$2:$G$1001,$AB397),IF(INDEX(기본자료!$G$2:$G$1001,$AB397)&lt;1000000,INDEX(기본자료!$G$2:$G$1001,$AB397),IF(AND(INDEX(기본자료!$G$2:$G$1001,$AB397)&gt;=10000101,INT(MOD(INDEX(기본자료!$G$2:$G$1001,$AB397),10000)/100)&gt;=1,INT(MOD(INDEX(기본자료!$G$2:$G$1001,$AB397),10000)/100)&lt;=12,MOD(INDEX(기본자료!$G$2:$G$1001,$AB397),100)&gt;=1,MOD(INDEX(기본자료!$G$2:$G$1001,$AB397),100)&lt;=31),DATE(INT(INDEX(기본자료!$G$2:$G$1001,$AB397)/10000),INT(MOD(INDEX(기본자료!$G$2:$G$1001,$AB397),10000)/100),MOD(INDEX(기본자료!$G$2:$G$1001,$AB397),100)),INDEX(기본자료!$G$2:$G$1001,$AB397)&amp;"")))))</f>
        <v/>
      </c>
      <c r="J397" s="10">
        <f>IF($AB397="","",IF(INDEX(기본자료!$H$2:$H$1001,$AB397)="","",INDEX(기본자료!$H$2:$H$1001,$AB397)))</f>
        <v/>
      </c>
      <c r="K397" s="10">
        <f>IF($AB397="","",IF(INDEX(기본자료!$I$2:$I$1001,$AB397)="","",INDEX(기본자료!$I$2:$I$1001,$AB397)))</f>
        <v/>
      </c>
      <c r="L397" s="10">
        <f>IF($AB397="","",IF(INDEX(기본자료!$A$2:$A$1001,$AB397)="","",INDEX(기본자료!$A$2:$A$1001,$AB397)))</f>
        <v/>
      </c>
      <c r="M397" s="15" t="n"/>
      <c r="N397" s="10">
        <f>IF($B397="","",IF(AND($U397="파견중",$Q397&lt;&gt;""),$Q397,IF(AND($AD397&lt;&gt;"",LEFT($AD397,1)&lt;&gt;"⚠"),LEFT($AD397,FIND(" ",$AD397)-1),IF($H397="","",IF(RIGHT($H397,2)="병원",$H397,$H397&amp;"병원")))))</f>
        <v/>
      </c>
      <c r="O397" s="10">
        <f>IF($B397="","",IF(AND($U397="파견중",$Q397&lt;&gt;""),IF($R397&lt;&gt;"",$R397,"파견과 미입력"),IF(AND($AD397&lt;&gt;"",LEFT($AD397,1)&lt;&gt;"⚠"),MID($AD397,FIND(" ",$AD397)+1,60),IF($F397="","",IF($F397="인턴","수련교육부(인턴)",$F397)))))</f>
        <v/>
      </c>
      <c r="P397" s="10">
        <f>IF($B397="","",IF($AK397&lt;&gt;"",IF(AND(TODAY()&gt;=INDEX(파견수련계획!$AB$4:$AB$83,$AK397),OR(NOT(ISNUMBER(INDEX(파견수련계획!$AC$4:$AC$83,$AK397))),TODAY()&lt;=INDEX(파견수련계획!$AC$4:$AC$83,$AK397))),"다기관",IF($AF397="","",INDEX(파견수련계획!$T$4:$T$83,$AF397))),IF($AF397="","",INDEX(파견수련계획!$T$4:$T$83,$AF397))))</f>
        <v/>
      </c>
      <c r="Q397" s="10">
        <f>IF($AF397="","",INDEX(파견수련계획!$S$4:$S$83,$AF397))</f>
        <v/>
      </c>
      <c r="R397" s="10">
        <f>IF($AF397="","",INDEX(파견수련계획!$U$4:$U$83,$AF397))</f>
        <v/>
      </c>
      <c r="S397" s="11">
        <f>IF($AF397="","",IF(INDEX(파견수련계획!$H$4:$H$83,$AF397)="","",INDEX(파견수련계획!$H$4:$H$83,$AF397)))</f>
        <v/>
      </c>
      <c r="T397" s="11">
        <f>IF($AF397="","",IF(INDEX(파견수련계획!$I$4:$I$83,$AF397)="","",INDEX(파견수련계획!$I$4:$I$83,$AF397)))</f>
        <v/>
      </c>
      <c r="U397" s="10">
        <f>IF($AF397="","",INDEX(파견수련계획!$X$4:$X$83,$AF397))</f>
        <v/>
      </c>
      <c r="V397" s="17">
        <f>IF($AF397="","",INDEX(파견수련계획!$V$4:$V$83,$AF397))</f>
        <v/>
      </c>
      <c r="W397" s="17">
        <f>IF(AND($U397="파견중",$T397&lt;&gt;""),$T397-TODAY(),"")</f>
        <v/>
      </c>
      <c r="X397" s="17">
        <f>IF(OR($B397="",TRIM($J397&amp;"")=""),"",SUMPRODUCT((파견수련계획!$Q$4:$Q$83=TRIM($J397&amp;""))*파견수련계획!$W$4:$W$83))</f>
        <v/>
      </c>
      <c r="Y397" s="10">
        <f>IF($B397="","",IF($AG397="","",IF(IF(TRIM($J397&amp;"")="",0,SUMPRODUCT((파견수련계획!$Q$4:$Q$83=TRIM($J397&amp;""))*파견수련계획!$AD$4:$AD$83))&gt;0,$AE397,IF(N($X397)&lt;=0,$AG397,IF($AH397+$AI397=DAY(EOMONTH(요약!$B$3,0)),IF(AND($AH397&gt;=요약!$E$3,$AI397&lt;요약!$E$3),"서울병원",IF(AND($AI397&gt;=요약!$E$3,$AH397&lt;요약!$E$3),"구리병원","⚠15일 판정불가(서울 "&amp;$AH397&amp;"일/구리 "&amp;$AI397&amp;"일)")),IF($AJ397="",$AE397,IF(INDEX(파견수련계획!$T$4:$T$83,$AJ397)="통합수련",INDEX(파견수련계획!$S$4:$S$83,$AJ397),$AE397)))))))</f>
        <v/>
      </c>
      <c r="Z397" s="19">
        <f>IF($B397="","",IF($AB397="","기본자료에 없는 사번",IF(COUNTIF($B$2:$B$401,$B397)&gt;1,"중복 사번",IF($AE397="","소속(입사장소) 입력",IF(IF(TRIM($J397&amp;"")="",0,SUMPRODUCT((파견수련계획!$Q$4:$Q$83=TRIM($J397&amp;""))*(파견수련계획!$AA$4:$AA$83&lt;&gt;"")))&gt;0,"파견수련계획 입력오류 확인",IF(LEFT($Y397,1)="⚠","서울·구리 15일 판정 불가(양쪽 모두 이상/미만)",IF(IF($AC397="",0,N(INDEX(인턴근무계획!$T$3:$T$62,$AC397)))&gt;0,"인턴계획 입력오류 확인",IF(AND($AC397&lt;&gt;"",$U397&lt;&gt;"파견중",$N397&lt;&gt;$AE397),"인턴 타지역 근무: 파견 여부 확인","정상"))))))))</f>
        <v/>
      </c>
      <c r="AA397" s="5" t="n"/>
      <c r="AB397" s="10">
        <f>IF($B397="","",IFERROR(MATCH($B397,기본자료!$B$2:$B$1001,0),IFERROR(MATCH($B397&amp;"",기본자료!$B$2:$B$1001,0),IFERROR(MATCH(VALUE($B397),기본자료!$B$2:$B$1001,0),""))))</f>
        <v/>
      </c>
      <c r="AC397" s="10">
        <f>IF($B397="","",IFERROR(MATCH($B397,인턴근무계획!$D$3:$D$62,0),IFERROR(MATCH($B397&amp;"",인턴근무계획!$D$3:$D$62,0),IFERROR(MATCH(VALUE($B397),인턴근무계획!$D$3:$D$62,0),""))))</f>
        <v/>
      </c>
      <c r="AD397" s="10">
        <f>IF(OR($AC397="",인턴현황!$G$3=""),"",INDEX(인턴근무계획!$M$3:$R$62,$AC397,인턴현황!$G$3)&amp;"")</f>
        <v/>
      </c>
      <c r="AE397" s="10">
        <f>IF($B397="","",IF($M397&lt;&gt;"",$M397,IF($AF397&lt;&gt;"",IF(LEFT(INDEX(파견수련계획!$R$4:$R$83,$AF397),1)&lt;&gt;"⚠",INDEX(파견수련계획!$R$4:$R$83,$AF397),IF($H397="","",IF(RIGHT($H397,2)="병원",$H397,$H397&amp;"병원"))),IF($H397="","",IF(RIGHT($H397,2)="병원",$H397,$H397&amp;"병원")))))</f>
        <v/>
      </c>
      <c r="AF397" s="10">
        <f>IF(OR($B397="",TRIM($J397&amp;"")=""),"",IFERROR(MATCH(TRIM($J397&amp;"")&amp;"|파견중",파견수련계획!$Y$4:$Y$83,0),IFERROR(MATCH(TRIM($J397&amp;"")&amp;"|파견예정",파견수련계획!$Y$4:$Y$83,0),IFERROR(MATCH(TRIM($J397&amp;"")&amp;"|파견종료",파견수련계획!$Y$4:$Y$83,0),""))))</f>
        <v/>
      </c>
      <c r="AG397" s="10">
        <f>IF($B397="","",IF(AND(IF(OR($AC397="",인턴현황!$K$2=""),"",INDEX(인턴근무계획!$M$3:$R$62,$AC397,인턴현황!$K$2)&amp;"")&lt;&gt;"",LEFT(IF(OR($AC397="",인턴현황!$K$2=""),"",INDEX(인턴근무계획!$M$3:$R$62,$AC397,인턴현황!$K$2)&amp;""),1)&lt;&gt;"⚠"),LEFT(IF(OR($AC397="",인턴현황!$K$2=""),"",INDEX(인턴근무계획!$M$3:$R$62,$AC397,인턴현황!$K$2)&amp;""),FIND(" ",IF(OR($AC397="",인턴현황!$K$2=""),"",INDEX(인턴근무계획!$M$3:$R$62,$AC397,인턴현황!$K$2)&amp;""))-1),$AE397))</f>
        <v/>
      </c>
      <c r="AH397" s="17">
        <f>IF($B397="","",IF(TRIM($J397&amp;"")="",0,SUMPRODUCT((파견수련계획!$Q$4:$Q$83=TRIM($J397&amp;""))*(파견수련계획!$S$4:$S$83="서울병원")*파견수련계획!$W$4:$W$83))+IF($AG397="서울병원",MAX(0,DAY(EOMONTH(요약!$B$3,0))-N($X397)),0))</f>
        <v/>
      </c>
      <c r="AI397" s="17">
        <f>IF($B397="","",IF(TRIM($J397&amp;"")="",0,SUMPRODUCT((파견수련계획!$Q$4:$Q$83=TRIM($J397&amp;""))*(파견수련계획!$S$4:$S$83="구리병원")*파견수련계획!$W$4:$W$83))+IF($AG397="구리병원",MAX(0,DAY(EOMONTH(요약!$B$3,0))-N($X397)),0))</f>
        <v/>
      </c>
      <c r="AJ397" s="10">
        <f>IF(OR($B397="",TRIM($J397&amp;"")=""),"",IFERROR(MATCH(TRIM($J397&amp;"")&amp;"|월",파견수련계획!$Z$4:$Z$83,0),""))</f>
        <v/>
      </c>
      <c r="AK397" s="10">
        <f>IF(OR($B397="",TRIM($J397&amp;"")=""),"",IFERROR(MATCH(TRIM($J397&amp;"")&amp;"|다기관",파견수련계획!$AE$4:$AE$83,0),""))</f>
        <v/>
      </c>
      <c r="AL397" s="10">
        <f>IF($AK397="","","다기관 "&amp;TEXT(INDEX(파견수련계획!$AB$4:$AB$83,$AK397),"yyyy-mm-dd")&amp;"~"&amp;IF(ISNUMBER(INDEX(파견수련계획!$AC$4:$AC$83,$AK397)),TEXT(INDEX(파견수련계획!$AC$4:$AC$83,$AK397),"yyyy-mm-dd"),""))</f>
        <v/>
      </c>
    </row>
    <row r="398">
      <c r="A398" s="10">
        <f>IF(B398="","",ROW()-1)</f>
        <v/>
      </c>
      <c r="B398" s="18" t="n"/>
      <c r="C398" s="10">
        <f>IF($AB398="","",IF(INDEX(기본자료!$C$2:$C$1001,$AB398)="","",INDEX(기본자료!$C$2:$C$1001,$AB398)))</f>
        <v/>
      </c>
      <c r="D398" s="10">
        <f>IF($AB398="","",IF(INDEX(기본자료!$J$2:$J$1001,$AB398)="","",INDEX(기본자료!$J$2:$J$1001,$AB398)))</f>
        <v/>
      </c>
      <c r="E398" s="11">
        <f>IF($AB398="","",IF(INDEX(기본자료!$K$2:$K$1001,$AB398)="","",IF(NOT(ISNUMBER(INDEX(기본자료!$K$2:$K$1001,$AB398))),INDEX(기본자료!$K$2:$K$1001,$AB398),IF(INDEX(기본자료!$K$2:$K$1001,$AB398)&lt;1000000,INDEX(기본자료!$K$2:$K$1001,$AB398),IF(AND(INDEX(기본자료!$K$2:$K$1001,$AB398)&gt;=10000101,INT(MOD(INDEX(기본자료!$K$2:$K$1001,$AB398),10000)/100)&gt;=1,INT(MOD(INDEX(기본자료!$K$2:$K$1001,$AB398),10000)/100)&lt;=12,MOD(INDEX(기본자료!$K$2:$K$1001,$AB398),100)&gt;=1,MOD(INDEX(기본자료!$K$2:$K$1001,$AB398),100)&lt;=31),DATE(INT(INDEX(기본자료!$K$2:$K$1001,$AB398)/10000),INT(MOD(INDEX(기본자료!$K$2:$K$1001,$AB398),10000)/100),MOD(INDEX(기본자료!$K$2:$K$1001,$AB398),100)),INDEX(기본자료!$K$2:$K$1001,$AB398)&amp;"")))))</f>
        <v/>
      </c>
      <c r="F398" s="10">
        <f>IF($AB398="","",IF(INDEX(기본자료!$D$2:$D$1001,$AB398)="","",INDEX(기본자료!$D$2:$D$1001,$AB398)))</f>
        <v/>
      </c>
      <c r="G398" s="10">
        <f>IF($AB398="","",IF(INDEX(기본자료!$E$2:$E$1001,$AB398)="","",INDEX(기본자료!$E$2:$E$1001,$AB398)))</f>
        <v/>
      </c>
      <c r="H398" s="10">
        <f>IF($AB398="","",IF(INDEX(기본자료!$F$2:$F$1001,$AB398)="","",INDEX(기본자료!$F$2:$F$1001,$AB398)))</f>
        <v/>
      </c>
      <c r="I398" s="11">
        <f>IF($AB398="","",IF(INDEX(기본자료!$G$2:$G$1001,$AB398)="","",IF(NOT(ISNUMBER(INDEX(기본자료!$G$2:$G$1001,$AB398))),INDEX(기본자료!$G$2:$G$1001,$AB398),IF(INDEX(기본자료!$G$2:$G$1001,$AB398)&lt;1000000,INDEX(기본자료!$G$2:$G$1001,$AB398),IF(AND(INDEX(기본자료!$G$2:$G$1001,$AB398)&gt;=10000101,INT(MOD(INDEX(기본자료!$G$2:$G$1001,$AB398),10000)/100)&gt;=1,INT(MOD(INDEX(기본자료!$G$2:$G$1001,$AB398),10000)/100)&lt;=12,MOD(INDEX(기본자료!$G$2:$G$1001,$AB398),100)&gt;=1,MOD(INDEX(기본자료!$G$2:$G$1001,$AB398),100)&lt;=31),DATE(INT(INDEX(기본자료!$G$2:$G$1001,$AB398)/10000),INT(MOD(INDEX(기본자료!$G$2:$G$1001,$AB398),10000)/100),MOD(INDEX(기본자료!$G$2:$G$1001,$AB398),100)),INDEX(기본자료!$G$2:$G$1001,$AB398)&amp;"")))))</f>
        <v/>
      </c>
      <c r="J398" s="10">
        <f>IF($AB398="","",IF(INDEX(기본자료!$H$2:$H$1001,$AB398)="","",INDEX(기본자료!$H$2:$H$1001,$AB398)))</f>
        <v/>
      </c>
      <c r="K398" s="10">
        <f>IF($AB398="","",IF(INDEX(기본자료!$I$2:$I$1001,$AB398)="","",INDEX(기본자료!$I$2:$I$1001,$AB398)))</f>
        <v/>
      </c>
      <c r="L398" s="10">
        <f>IF($AB398="","",IF(INDEX(기본자료!$A$2:$A$1001,$AB398)="","",INDEX(기본자료!$A$2:$A$1001,$AB398)))</f>
        <v/>
      </c>
      <c r="M398" s="15" t="n"/>
      <c r="N398" s="10">
        <f>IF($B398="","",IF(AND($U398="파견중",$Q398&lt;&gt;""),$Q398,IF(AND($AD398&lt;&gt;"",LEFT($AD398,1)&lt;&gt;"⚠"),LEFT($AD398,FIND(" ",$AD398)-1),IF($H398="","",IF(RIGHT($H398,2)="병원",$H398,$H398&amp;"병원")))))</f>
        <v/>
      </c>
      <c r="O398" s="10">
        <f>IF($B398="","",IF(AND($U398="파견중",$Q398&lt;&gt;""),IF($R398&lt;&gt;"",$R398,"파견과 미입력"),IF(AND($AD398&lt;&gt;"",LEFT($AD398,1)&lt;&gt;"⚠"),MID($AD398,FIND(" ",$AD398)+1,60),IF($F398="","",IF($F398="인턴","수련교육부(인턴)",$F398)))))</f>
        <v/>
      </c>
      <c r="P398" s="10">
        <f>IF($B398="","",IF($AK398&lt;&gt;"",IF(AND(TODAY()&gt;=INDEX(파견수련계획!$AB$4:$AB$83,$AK398),OR(NOT(ISNUMBER(INDEX(파견수련계획!$AC$4:$AC$83,$AK398))),TODAY()&lt;=INDEX(파견수련계획!$AC$4:$AC$83,$AK398))),"다기관",IF($AF398="","",INDEX(파견수련계획!$T$4:$T$83,$AF398))),IF($AF398="","",INDEX(파견수련계획!$T$4:$T$83,$AF398))))</f>
        <v/>
      </c>
      <c r="Q398" s="10">
        <f>IF($AF398="","",INDEX(파견수련계획!$S$4:$S$83,$AF398))</f>
        <v/>
      </c>
      <c r="R398" s="10">
        <f>IF($AF398="","",INDEX(파견수련계획!$U$4:$U$83,$AF398))</f>
        <v/>
      </c>
      <c r="S398" s="11">
        <f>IF($AF398="","",IF(INDEX(파견수련계획!$H$4:$H$83,$AF398)="","",INDEX(파견수련계획!$H$4:$H$83,$AF398)))</f>
        <v/>
      </c>
      <c r="T398" s="11">
        <f>IF($AF398="","",IF(INDEX(파견수련계획!$I$4:$I$83,$AF398)="","",INDEX(파견수련계획!$I$4:$I$83,$AF398)))</f>
        <v/>
      </c>
      <c r="U398" s="10">
        <f>IF($AF398="","",INDEX(파견수련계획!$X$4:$X$83,$AF398))</f>
        <v/>
      </c>
      <c r="V398" s="17">
        <f>IF($AF398="","",INDEX(파견수련계획!$V$4:$V$83,$AF398))</f>
        <v/>
      </c>
      <c r="W398" s="17">
        <f>IF(AND($U398="파견중",$T398&lt;&gt;""),$T398-TODAY(),"")</f>
        <v/>
      </c>
      <c r="X398" s="17">
        <f>IF(OR($B398="",TRIM($J398&amp;"")=""),"",SUMPRODUCT((파견수련계획!$Q$4:$Q$83=TRIM($J398&amp;""))*파견수련계획!$W$4:$W$83))</f>
        <v/>
      </c>
      <c r="Y398" s="10">
        <f>IF($B398="","",IF($AG398="","",IF(IF(TRIM($J398&amp;"")="",0,SUMPRODUCT((파견수련계획!$Q$4:$Q$83=TRIM($J398&amp;""))*파견수련계획!$AD$4:$AD$83))&gt;0,$AE398,IF(N($X398)&lt;=0,$AG398,IF($AH398+$AI398=DAY(EOMONTH(요약!$B$3,0)),IF(AND($AH398&gt;=요약!$E$3,$AI398&lt;요약!$E$3),"서울병원",IF(AND($AI398&gt;=요약!$E$3,$AH398&lt;요약!$E$3),"구리병원","⚠15일 판정불가(서울 "&amp;$AH398&amp;"일/구리 "&amp;$AI398&amp;"일)")),IF($AJ398="",$AE398,IF(INDEX(파견수련계획!$T$4:$T$83,$AJ398)="통합수련",INDEX(파견수련계획!$S$4:$S$83,$AJ398),$AE398)))))))</f>
        <v/>
      </c>
      <c r="Z398" s="19">
        <f>IF($B398="","",IF($AB398="","기본자료에 없는 사번",IF(COUNTIF($B$2:$B$401,$B398)&gt;1,"중복 사번",IF($AE398="","소속(입사장소) 입력",IF(IF(TRIM($J398&amp;"")="",0,SUMPRODUCT((파견수련계획!$Q$4:$Q$83=TRIM($J398&amp;""))*(파견수련계획!$AA$4:$AA$83&lt;&gt;"")))&gt;0,"파견수련계획 입력오류 확인",IF(LEFT($Y398,1)="⚠","서울·구리 15일 판정 불가(양쪽 모두 이상/미만)",IF(IF($AC398="",0,N(INDEX(인턴근무계획!$T$3:$T$62,$AC398)))&gt;0,"인턴계획 입력오류 확인",IF(AND($AC398&lt;&gt;"",$U398&lt;&gt;"파견중",$N398&lt;&gt;$AE398),"인턴 타지역 근무: 파견 여부 확인","정상"))))))))</f>
        <v/>
      </c>
      <c r="AA398" s="5" t="n"/>
      <c r="AB398" s="10">
        <f>IF($B398="","",IFERROR(MATCH($B398,기본자료!$B$2:$B$1001,0),IFERROR(MATCH($B398&amp;"",기본자료!$B$2:$B$1001,0),IFERROR(MATCH(VALUE($B398),기본자료!$B$2:$B$1001,0),""))))</f>
        <v/>
      </c>
      <c r="AC398" s="10">
        <f>IF($B398="","",IFERROR(MATCH($B398,인턴근무계획!$D$3:$D$62,0),IFERROR(MATCH($B398&amp;"",인턴근무계획!$D$3:$D$62,0),IFERROR(MATCH(VALUE($B398),인턴근무계획!$D$3:$D$62,0),""))))</f>
        <v/>
      </c>
      <c r="AD398" s="10">
        <f>IF(OR($AC398="",인턴현황!$G$3=""),"",INDEX(인턴근무계획!$M$3:$R$62,$AC398,인턴현황!$G$3)&amp;"")</f>
        <v/>
      </c>
      <c r="AE398" s="10">
        <f>IF($B398="","",IF($M398&lt;&gt;"",$M398,IF($AF398&lt;&gt;"",IF(LEFT(INDEX(파견수련계획!$R$4:$R$83,$AF398),1)&lt;&gt;"⚠",INDEX(파견수련계획!$R$4:$R$83,$AF398),IF($H398="","",IF(RIGHT($H398,2)="병원",$H398,$H398&amp;"병원"))),IF($H398="","",IF(RIGHT($H398,2)="병원",$H398,$H398&amp;"병원")))))</f>
        <v/>
      </c>
      <c r="AF398" s="10">
        <f>IF(OR($B398="",TRIM($J398&amp;"")=""),"",IFERROR(MATCH(TRIM($J398&amp;"")&amp;"|파견중",파견수련계획!$Y$4:$Y$83,0),IFERROR(MATCH(TRIM($J398&amp;"")&amp;"|파견예정",파견수련계획!$Y$4:$Y$83,0),IFERROR(MATCH(TRIM($J398&amp;"")&amp;"|파견종료",파견수련계획!$Y$4:$Y$83,0),""))))</f>
        <v/>
      </c>
      <c r="AG398" s="10">
        <f>IF($B398="","",IF(AND(IF(OR($AC398="",인턴현황!$K$2=""),"",INDEX(인턴근무계획!$M$3:$R$62,$AC398,인턴현황!$K$2)&amp;"")&lt;&gt;"",LEFT(IF(OR($AC398="",인턴현황!$K$2=""),"",INDEX(인턴근무계획!$M$3:$R$62,$AC398,인턴현황!$K$2)&amp;""),1)&lt;&gt;"⚠"),LEFT(IF(OR($AC398="",인턴현황!$K$2=""),"",INDEX(인턴근무계획!$M$3:$R$62,$AC398,인턴현황!$K$2)&amp;""),FIND(" ",IF(OR($AC398="",인턴현황!$K$2=""),"",INDEX(인턴근무계획!$M$3:$R$62,$AC398,인턴현황!$K$2)&amp;""))-1),$AE398))</f>
        <v/>
      </c>
      <c r="AH398" s="17">
        <f>IF($B398="","",IF(TRIM($J398&amp;"")="",0,SUMPRODUCT((파견수련계획!$Q$4:$Q$83=TRIM($J398&amp;""))*(파견수련계획!$S$4:$S$83="서울병원")*파견수련계획!$W$4:$W$83))+IF($AG398="서울병원",MAX(0,DAY(EOMONTH(요약!$B$3,0))-N($X398)),0))</f>
        <v/>
      </c>
      <c r="AI398" s="17">
        <f>IF($B398="","",IF(TRIM($J398&amp;"")="",0,SUMPRODUCT((파견수련계획!$Q$4:$Q$83=TRIM($J398&amp;""))*(파견수련계획!$S$4:$S$83="구리병원")*파견수련계획!$W$4:$W$83))+IF($AG398="구리병원",MAX(0,DAY(EOMONTH(요약!$B$3,0))-N($X398)),0))</f>
        <v/>
      </c>
      <c r="AJ398" s="10">
        <f>IF(OR($B398="",TRIM($J398&amp;"")=""),"",IFERROR(MATCH(TRIM($J398&amp;"")&amp;"|월",파견수련계획!$Z$4:$Z$83,0),""))</f>
        <v/>
      </c>
      <c r="AK398" s="10">
        <f>IF(OR($B398="",TRIM($J398&amp;"")=""),"",IFERROR(MATCH(TRIM($J398&amp;"")&amp;"|다기관",파견수련계획!$AE$4:$AE$83,0),""))</f>
        <v/>
      </c>
      <c r="AL398" s="10">
        <f>IF($AK398="","","다기관 "&amp;TEXT(INDEX(파견수련계획!$AB$4:$AB$83,$AK398),"yyyy-mm-dd")&amp;"~"&amp;IF(ISNUMBER(INDEX(파견수련계획!$AC$4:$AC$83,$AK398)),TEXT(INDEX(파견수련계획!$AC$4:$AC$83,$AK398),"yyyy-mm-dd"),""))</f>
        <v/>
      </c>
    </row>
    <row r="399">
      <c r="A399" s="10">
        <f>IF(B399="","",ROW()-1)</f>
        <v/>
      </c>
      <c r="B399" s="18" t="n"/>
      <c r="C399" s="10">
        <f>IF($AB399="","",IF(INDEX(기본자료!$C$2:$C$1001,$AB399)="","",INDEX(기본자료!$C$2:$C$1001,$AB399)))</f>
        <v/>
      </c>
      <c r="D399" s="10">
        <f>IF($AB399="","",IF(INDEX(기본자료!$J$2:$J$1001,$AB399)="","",INDEX(기본자료!$J$2:$J$1001,$AB399)))</f>
        <v/>
      </c>
      <c r="E399" s="11">
        <f>IF($AB399="","",IF(INDEX(기본자료!$K$2:$K$1001,$AB399)="","",IF(NOT(ISNUMBER(INDEX(기본자료!$K$2:$K$1001,$AB399))),INDEX(기본자료!$K$2:$K$1001,$AB399),IF(INDEX(기본자료!$K$2:$K$1001,$AB399)&lt;1000000,INDEX(기본자료!$K$2:$K$1001,$AB399),IF(AND(INDEX(기본자료!$K$2:$K$1001,$AB399)&gt;=10000101,INT(MOD(INDEX(기본자료!$K$2:$K$1001,$AB399),10000)/100)&gt;=1,INT(MOD(INDEX(기본자료!$K$2:$K$1001,$AB399),10000)/100)&lt;=12,MOD(INDEX(기본자료!$K$2:$K$1001,$AB399),100)&gt;=1,MOD(INDEX(기본자료!$K$2:$K$1001,$AB399),100)&lt;=31),DATE(INT(INDEX(기본자료!$K$2:$K$1001,$AB399)/10000),INT(MOD(INDEX(기본자료!$K$2:$K$1001,$AB399),10000)/100),MOD(INDEX(기본자료!$K$2:$K$1001,$AB399),100)),INDEX(기본자료!$K$2:$K$1001,$AB399)&amp;"")))))</f>
        <v/>
      </c>
      <c r="F399" s="10">
        <f>IF($AB399="","",IF(INDEX(기본자료!$D$2:$D$1001,$AB399)="","",INDEX(기본자료!$D$2:$D$1001,$AB399)))</f>
        <v/>
      </c>
      <c r="G399" s="10">
        <f>IF($AB399="","",IF(INDEX(기본자료!$E$2:$E$1001,$AB399)="","",INDEX(기본자료!$E$2:$E$1001,$AB399)))</f>
        <v/>
      </c>
      <c r="H399" s="10">
        <f>IF($AB399="","",IF(INDEX(기본자료!$F$2:$F$1001,$AB399)="","",INDEX(기본자료!$F$2:$F$1001,$AB399)))</f>
        <v/>
      </c>
      <c r="I399" s="11">
        <f>IF($AB399="","",IF(INDEX(기본자료!$G$2:$G$1001,$AB399)="","",IF(NOT(ISNUMBER(INDEX(기본자료!$G$2:$G$1001,$AB399))),INDEX(기본자료!$G$2:$G$1001,$AB399),IF(INDEX(기본자료!$G$2:$G$1001,$AB399)&lt;1000000,INDEX(기본자료!$G$2:$G$1001,$AB399),IF(AND(INDEX(기본자료!$G$2:$G$1001,$AB399)&gt;=10000101,INT(MOD(INDEX(기본자료!$G$2:$G$1001,$AB399),10000)/100)&gt;=1,INT(MOD(INDEX(기본자료!$G$2:$G$1001,$AB399),10000)/100)&lt;=12,MOD(INDEX(기본자료!$G$2:$G$1001,$AB399),100)&gt;=1,MOD(INDEX(기본자료!$G$2:$G$1001,$AB399),100)&lt;=31),DATE(INT(INDEX(기본자료!$G$2:$G$1001,$AB399)/10000),INT(MOD(INDEX(기본자료!$G$2:$G$1001,$AB399),10000)/100),MOD(INDEX(기본자료!$G$2:$G$1001,$AB399),100)),INDEX(기본자료!$G$2:$G$1001,$AB399)&amp;"")))))</f>
        <v/>
      </c>
      <c r="J399" s="10">
        <f>IF($AB399="","",IF(INDEX(기본자료!$H$2:$H$1001,$AB399)="","",INDEX(기본자료!$H$2:$H$1001,$AB399)))</f>
        <v/>
      </c>
      <c r="K399" s="10">
        <f>IF($AB399="","",IF(INDEX(기본자료!$I$2:$I$1001,$AB399)="","",INDEX(기본자료!$I$2:$I$1001,$AB399)))</f>
        <v/>
      </c>
      <c r="L399" s="10">
        <f>IF($AB399="","",IF(INDEX(기본자료!$A$2:$A$1001,$AB399)="","",INDEX(기본자료!$A$2:$A$1001,$AB399)))</f>
        <v/>
      </c>
      <c r="M399" s="15" t="n"/>
      <c r="N399" s="10">
        <f>IF($B399="","",IF(AND($U399="파견중",$Q399&lt;&gt;""),$Q399,IF(AND($AD399&lt;&gt;"",LEFT($AD399,1)&lt;&gt;"⚠"),LEFT($AD399,FIND(" ",$AD399)-1),IF($H399="","",IF(RIGHT($H399,2)="병원",$H399,$H399&amp;"병원")))))</f>
        <v/>
      </c>
      <c r="O399" s="10">
        <f>IF($B399="","",IF(AND($U399="파견중",$Q399&lt;&gt;""),IF($R399&lt;&gt;"",$R399,"파견과 미입력"),IF(AND($AD399&lt;&gt;"",LEFT($AD399,1)&lt;&gt;"⚠"),MID($AD399,FIND(" ",$AD399)+1,60),IF($F399="","",IF($F399="인턴","수련교육부(인턴)",$F399)))))</f>
        <v/>
      </c>
      <c r="P399" s="10">
        <f>IF($B399="","",IF($AK399&lt;&gt;"",IF(AND(TODAY()&gt;=INDEX(파견수련계획!$AB$4:$AB$83,$AK399),OR(NOT(ISNUMBER(INDEX(파견수련계획!$AC$4:$AC$83,$AK399))),TODAY()&lt;=INDEX(파견수련계획!$AC$4:$AC$83,$AK399))),"다기관",IF($AF399="","",INDEX(파견수련계획!$T$4:$T$83,$AF399))),IF($AF399="","",INDEX(파견수련계획!$T$4:$T$83,$AF399))))</f>
        <v/>
      </c>
      <c r="Q399" s="10">
        <f>IF($AF399="","",INDEX(파견수련계획!$S$4:$S$83,$AF399))</f>
        <v/>
      </c>
      <c r="R399" s="10">
        <f>IF($AF399="","",INDEX(파견수련계획!$U$4:$U$83,$AF399))</f>
        <v/>
      </c>
      <c r="S399" s="11">
        <f>IF($AF399="","",IF(INDEX(파견수련계획!$H$4:$H$83,$AF399)="","",INDEX(파견수련계획!$H$4:$H$83,$AF399)))</f>
        <v/>
      </c>
      <c r="T399" s="11">
        <f>IF($AF399="","",IF(INDEX(파견수련계획!$I$4:$I$83,$AF399)="","",INDEX(파견수련계획!$I$4:$I$83,$AF399)))</f>
        <v/>
      </c>
      <c r="U399" s="10">
        <f>IF($AF399="","",INDEX(파견수련계획!$X$4:$X$83,$AF399))</f>
        <v/>
      </c>
      <c r="V399" s="17">
        <f>IF($AF399="","",INDEX(파견수련계획!$V$4:$V$83,$AF399))</f>
        <v/>
      </c>
      <c r="W399" s="17">
        <f>IF(AND($U399="파견중",$T399&lt;&gt;""),$T399-TODAY(),"")</f>
        <v/>
      </c>
      <c r="X399" s="17">
        <f>IF(OR($B399="",TRIM($J399&amp;"")=""),"",SUMPRODUCT((파견수련계획!$Q$4:$Q$83=TRIM($J399&amp;""))*파견수련계획!$W$4:$W$83))</f>
        <v/>
      </c>
      <c r="Y399" s="10">
        <f>IF($B399="","",IF($AG399="","",IF(IF(TRIM($J399&amp;"")="",0,SUMPRODUCT((파견수련계획!$Q$4:$Q$83=TRIM($J399&amp;""))*파견수련계획!$AD$4:$AD$83))&gt;0,$AE399,IF(N($X399)&lt;=0,$AG399,IF($AH399+$AI399=DAY(EOMONTH(요약!$B$3,0)),IF(AND($AH399&gt;=요약!$E$3,$AI399&lt;요약!$E$3),"서울병원",IF(AND($AI399&gt;=요약!$E$3,$AH399&lt;요약!$E$3),"구리병원","⚠15일 판정불가(서울 "&amp;$AH399&amp;"일/구리 "&amp;$AI399&amp;"일)")),IF($AJ399="",$AE399,IF(INDEX(파견수련계획!$T$4:$T$83,$AJ399)="통합수련",INDEX(파견수련계획!$S$4:$S$83,$AJ399),$AE399)))))))</f>
        <v/>
      </c>
      <c r="Z399" s="19">
        <f>IF($B399="","",IF($AB399="","기본자료에 없는 사번",IF(COUNTIF($B$2:$B$401,$B399)&gt;1,"중복 사번",IF($AE399="","소속(입사장소) 입력",IF(IF(TRIM($J399&amp;"")="",0,SUMPRODUCT((파견수련계획!$Q$4:$Q$83=TRIM($J399&amp;""))*(파견수련계획!$AA$4:$AA$83&lt;&gt;"")))&gt;0,"파견수련계획 입력오류 확인",IF(LEFT($Y399,1)="⚠","서울·구리 15일 판정 불가(양쪽 모두 이상/미만)",IF(IF($AC399="",0,N(INDEX(인턴근무계획!$T$3:$T$62,$AC399)))&gt;0,"인턴계획 입력오류 확인",IF(AND($AC399&lt;&gt;"",$U399&lt;&gt;"파견중",$N399&lt;&gt;$AE399),"인턴 타지역 근무: 파견 여부 확인","정상"))))))))</f>
        <v/>
      </c>
      <c r="AA399" s="5" t="n"/>
      <c r="AB399" s="10">
        <f>IF($B399="","",IFERROR(MATCH($B399,기본자료!$B$2:$B$1001,0),IFERROR(MATCH($B399&amp;"",기본자료!$B$2:$B$1001,0),IFERROR(MATCH(VALUE($B399),기본자료!$B$2:$B$1001,0),""))))</f>
        <v/>
      </c>
      <c r="AC399" s="10">
        <f>IF($B399="","",IFERROR(MATCH($B399,인턴근무계획!$D$3:$D$62,0),IFERROR(MATCH($B399&amp;"",인턴근무계획!$D$3:$D$62,0),IFERROR(MATCH(VALUE($B399),인턴근무계획!$D$3:$D$62,0),""))))</f>
        <v/>
      </c>
      <c r="AD399" s="10">
        <f>IF(OR($AC399="",인턴현황!$G$3=""),"",INDEX(인턴근무계획!$M$3:$R$62,$AC399,인턴현황!$G$3)&amp;"")</f>
        <v/>
      </c>
      <c r="AE399" s="10">
        <f>IF($B399="","",IF($M399&lt;&gt;"",$M399,IF($AF399&lt;&gt;"",IF(LEFT(INDEX(파견수련계획!$R$4:$R$83,$AF399),1)&lt;&gt;"⚠",INDEX(파견수련계획!$R$4:$R$83,$AF399),IF($H399="","",IF(RIGHT($H399,2)="병원",$H399,$H399&amp;"병원"))),IF($H399="","",IF(RIGHT($H399,2)="병원",$H399,$H399&amp;"병원")))))</f>
        <v/>
      </c>
      <c r="AF399" s="10">
        <f>IF(OR($B399="",TRIM($J399&amp;"")=""),"",IFERROR(MATCH(TRIM($J399&amp;"")&amp;"|파견중",파견수련계획!$Y$4:$Y$83,0),IFERROR(MATCH(TRIM($J399&amp;"")&amp;"|파견예정",파견수련계획!$Y$4:$Y$83,0),IFERROR(MATCH(TRIM($J399&amp;"")&amp;"|파견종료",파견수련계획!$Y$4:$Y$83,0),""))))</f>
        <v/>
      </c>
      <c r="AG399" s="10">
        <f>IF($B399="","",IF(AND(IF(OR($AC399="",인턴현황!$K$2=""),"",INDEX(인턴근무계획!$M$3:$R$62,$AC399,인턴현황!$K$2)&amp;"")&lt;&gt;"",LEFT(IF(OR($AC399="",인턴현황!$K$2=""),"",INDEX(인턴근무계획!$M$3:$R$62,$AC399,인턴현황!$K$2)&amp;""),1)&lt;&gt;"⚠"),LEFT(IF(OR($AC399="",인턴현황!$K$2=""),"",INDEX(인턴근무계획!$M$3:$R$62,$AC399,인턴현황!$K$2)&amp;""),FIND(" ",IF(OR($AC399="",인턴현황!$K$2=""),"",INDEX(인턴근무계획!$M$3:$R$62,$AC399,인턴현황!$K$2)&amp;""))-1),$AE399))</f>
        <v/>
      </c>
      <c r="AH399" s="17">
        <f>IF($B399="","",IF(TRIM($J399&amp;"")="",0,SUMPRODUCT((파견수련계획!$Q$4:$Q$83=TRIM($J399&amp;""))*(파견수련계획!$S$4:$S$83="서울병원")*파견수련계획!$W$4:$W$83))+IF($AG399="서울병원",MAX(0,DAY(EOMONTH(요약!$B$3,0))-N($X399)),0))</f>
        <v/>
      </c>
      <c r="AI399" s="17">
        <f>IF($B399="","",IF(TRIM($J399&amp;"")="",0,SUMPRODUCT((파견수련계획!$Q$4:$Q$83=TRIM($J399&amp;""))*(파견수련계획!$S$4:$S$83="구리병원")*파견수련계획!$W$4:$W$83))+IF($AG399="구리병원",MAX(0,DAY(EOMONTH(요약!$B$3,0))-N($X399)),0))</f>
        <v/>
      </c>
      <c r="AJ399" s="10">
        <f>IF(OR($B399="",TRIM($J399&amp;"")=""),"",IFERROR(MATCH(TRIM($J399&amp;"")&amp;"|월",파견수련계획!$Z$4:$Z$83,0),""))</f>
        <v/>
      </c>
      <c r="AK399" s="10">
        <f>IF(OR($B399="",TRIM($J399&amp;"")=""),"",IFERROR(MATCH(TRIM($J399&amp;"")&amp;"|다기관",파견수련계획!$AE$4:$AE$83,0),""))</f>
        <v/>
      </c>
      <c r="AL399" s="10">
        <f>IF($AK399="","","다기관 "&amp;TEXT(INDEX(파견수련계획!$AB$4:$AB$83,$AK399),"yyyy-mm-dd")&amp;"~"&amp;IF(ISNUMBER(INDEX(파견수련계획!$AC$4:$AC$83,$AK399)),TEXT(INDEX(파견수련계획!$AC$4:$AC$83,$AK399),"yyyy-mm-dd"),""))</f>
        <v/>
      </c>
    </row>
    <row r="400">
      <c r="A400" s="10">
        <f>IF(B400="","",ROW()-1)</f>
        <v/>
      </c>
      <c r="B400" s="18" t="n"/>
      <c r="C400" s="10">
        <f>IF($AB400="","",IF(INDEX(기본자료!$C$2:$C$1001,$AB400)="","",INDEX(기본자료!$C$2:$C$1001,$AB400)))</f>
        <v/>
      </c>
      <c r="D400" s="10">
        <f>IF($AB400="","",IF(INDEX(기본자료!$J$2:$J$1001,$AB400)="","",INDEX(기본자료!$J$2:$J$1001,$AB400)))</f>
        <v/>
      </c>
      <c r="E400" s="11">
        <f>IF($AB400="","",IF(INDEX(기본자료!$K$2:$K$1001,$AB400)="","",IF(NOT(ISNUMBER(INDEX(기본자료!$K$2:$K$1001,$AB400))),INDEX(기본자료!$K$2:$K$1001,$AB400),IF(INDEX(기본자료!$K$2:$K$1001,$AB400)&lt;1000000,INDEX(기본자료!$K$2:$K$1001,$AB400),IF(AND(INDEX(기본자료!$K$2:$K$1001,$AB400)&gt;=10000101,INT(MOD(INDEX(기본자료!$K$2:$K$1001,$AB400),10000)/100)&gt;=1,INT(MOD(INDEX(기본자료!$K$2:$K$1001,$AB400),10000)/100)&lt;=12,MOD(INDEX(기본자료!$K$2:$K$1001,$AB400),100)&gt;=1,MOD(INDEX(기본자료!$K$2:$K$1001,$AB400),100)&lt;=31),DATE(INT(INDEX(기본자료!$K$2:$K$1001,$AB400)/10000),INT(MOD(INDEX(기본자료!$K$2:$K$1001,$AB400),10000)/100),MOD(INDEX(기본자료!$K$2:$K$1001,$AB400),100)),INDEX(기본자료!$K$2:$K$1001,$AB400)&amp;"")))))</f>
        <v/>
      </c>
      <c r="F400" s="10">
        <f>IF($AB400="","",IF(INDEX(기본자료!$D$2:$D$1001,$AB400)="","",INDEX(기본자료!$D$2:$D$1001,$AB400)))</f>
        <v/>
      </c>
      <c r="G400" s="10">
        <f>IF($AB400="","",IF(INDEX(기본자료!$E$2:$E$1001,$AB400)="","",INDEX(기본자료!$E$2:$E$1001,$AB400)))</f>
        <v/>
      </c>
      <c r="H400" s="10">
        <f>IF($AB400="","",IF(INDEX(기본자료!$F$2:$F$1001,$AB400)="","",INDEX(기본자료!$F$2:$F$1001,$AB400)))</f>
        <v/>
      </c>
      <c r="I400" s="11">
        <f>IF($AB400="","",IF(INDEX(기본자료!$G$2:$G$1001,$AB400)="","",IF(NOT(ISNUMBER(INDEX(기본자료!$G$2:$G$1001,$AB400))),INDEX(기본자료!$G$2:$G$1001,$AB400),IF(INDEX(기본자료!$G$2:$G$1001,$AB400)&lt;1000000,INDEX(기본자료!$G$2:$G$1001,$AB400),IF(AND(INDEX(기본자료!$G$2:$G$1001,$AB400)&gt;=10000101,INT(MOD(INDEX(기본자료!$G$2:$G$1001,$AB400),10000)/100)&gt;=1,INT(MOD(INDEX(기본자료!$G$2:$G$1001,$AB400),10000)/100)&lt;=12,MOD(INDEX(기본자료!$G$2:$G$1001,$AB400),100)&gt;=1,MOD(INDEX(기본자료!$G$2:$G$1001,$AB400),100)&lt;=31),DATE(INT(INDEX(기본자료!$G$2:$G$1001,$AB400)/10000),INT(MOD(INDEX(기본자료!$G$2:$G$1001,$AB400),10000)/100),MOD(INDEX(기본자료!$G$2:$G$1001,$AB400),100)),INDEX(기본자료!$G$2:$G$1001,$AB400)&amp;"")))))</f>
        <v/>
      </c>
      <c r="J400" s="10">
        <f>IF($AB400="","",IF(INDEX(기본자료!$H$2:$H$1001,$AB400)="","",INDEX(기본자료!$H$2:$H$1001,$AB400)))</f>
        <v/>
      </c>
      <c r="K400" s="10">
        <f>IF($AB400="","",IF(INDEX(기본자료!$I$2:$I$1001,$AB400)="","",INDEX(기본자료!$I$2:$I$1001,$AB400)))</f>
        <v/>
      </c>
      <c r="L400" s="10">
        <f>IF($AB400="","",IF(INDEX(기본자료!$A$2:$A$1001,$AB400)="","",INDEX(기본자료!$A$2:$A$1001,$AB400)))</f>
        <v/>
      </c>
      <c r="M400" s="15" t="n"/>
      <c r="N400" s="10">
        <f>IF($B400="","",IF(AND($U400="파견중",$Q400&lt;&gt;""),$Q400,IF(AND($AD400&lt;&gt;"",LEFT($AD400,1)&lt;&gt;"⚠"),LEFT($AD400,FIND(" ",$AD400)-1),IF($H400="","",IF(RIGHT($H400,2)="병원",$H400,$H400&amp;"병원")))))</f>
        <v/>
      </c>
      <c r="O400" s="10">
        <f>IF($B400="","",IF(AND($U400="파견중",$Q400&lt;&gt;""),IF($R400&lt;&gt;"",$R400,"파견과 미입력"),IF(AND($AD400&lt;&gt;"",LEFT($AD400,1)&lt;&gt;"⚠"),MID($AD400,FIND(" ",$AD400)+1,60),IF($F400="","",IF($F400="인턴","수련교육부(인턴)",$F400)))))</f>
        <v/>
      </c>
      <c r="P400" s="10">
        <f>IF($B400="","",IF($AK400&lt;&gt;"",IF(AND(TODAY()&gt;=INDEX(파견수련계획!$AB$4:$AB$83,$AK400),OR(NOT(ISNUMBER(INDEX(파견수련계획!$AC$4:$AC$83,$AK400))),TODAY()&lt;=INDEX(파견수련계획!$AC$4:$AC$83,$AK400))),"다기관",IF($AF400="","",INDEX(파견수련계획!$T$4:$T$83,$AF400))),IF($AF400="","",INDEX(파견수련계획!$T$4:$T$83,$AF400))))</f>
        <v/>
      </c>
      <c r="Q400" s="10">
        <f>IF($AF400="","",INDEX(파견수련계획!$S$4:$S$83,$AF400))</f>
        <v/>
      </c>
      <c r="R400" s="10">
        <f>IF($AF400="","",INDEX(파견수련계획!$U$4:$U$83,$AF400))</f>
        <v/>
      </c>
      <c r="S400" s="11">
        <f>IF($AF400="","",IF(INDEX(파견수련계획!$H$4:$H$83,$AF400)="","",INDEX(파견수련계획!$H$4:$H$83,$AF400)))</f>
        <v/>
      </c>
      <c r="T400" s="11">
        <f>IF($AF400="","",IF(INDEX(파견수련계획!$I$4:$I$83,$AF400)="","",INDEX(파견수련계획!$I$4:$I$83,$AF400)))</f>
        <v/>
      </c>
      <c r="U400" s="10">
        <f>IF($AF400="","",INDEX(파견수련계획!$X$4:$X$83,$AF400))</f>
        <v/>
      </c>
      <c r="V400" s="17">
        <f>IF($AF400="","",INDEX(파견수련계획!$V$4:$V$83,$AF400))</f>
        <v/>
      </c>
      <c r="W400" s="17">
        <f>IF(AND($U400="파견중",$T400&lt;&gt;""),$T400-TODAY(),"")</f>
        <v/>
      </c>
      <c r="X400" s="17">
        <f>IF(OR($B400="",TRIM($J400&amp;"")=""),"",SUMPRODUCT((파견수련계획!$Q$4:$Q$83=TRIM($J400&amp;""))*파견수련계획!$W$4:$W$83))</f>
        <v/>
      </c>
      <c r="Y400" s="10">
        <f>IF($B400="","",IF($AG400="","",IF(IF(TRIM($J400&amp;"")="",0,SUMPRODUCT((파견수련계획!$Q$4:$Q$83=TRIM($J400&amp;""))*파견수련계획!$AD$4:$AD$83))&gt;0,$AE400,IF(N($X400)&lt;=0,$AG400,IF($AH400+$AI400=DAY(EOMONTH(요약!$B$3,0)),IF(AND($AH400&gt;=요약!$E$3,$AI400&lt;요약!$E$3),"서울병원",IF(AND($AI400&gt;=요약!$E$3,$AH400&lt;요약!$E$3),"구리병원","⚠15일 판정불가(서울 "&amp;$AH400&amp;"일/구리 "&amp;$AI400&amp;"일)")),IF($AJ400="",$AE400,IF(INDEX(파견수련계획!$T$4:$T$83,$AJ400)="통합수련",INDEX(파견수련계획!$S$4:$S$83,$AJ400),$AE400)))))))</f>
        <v/>
      </c>
      <c r="Z400" s="19">
        <f>IF($B400="","",IF($AB400="","기본자료에 없는 사번",IF(COUNTIF($B$2:$B$401,$B400)&gt;1,"중복 사번",IF($AE400="","소속(입사장소) 입력",IF(IF(TRIM($J400&amp;"")="",0,SUMPRODUCT((파견수련계획!$Q$4:$Q$83=TRIM($J400&amp;""))*(파견수련계획!$AA$4:$AA$83&lt;&gt;"")))&gt;0,"파견수련계획 입력오류 확인",IF(LEFT($Y400,1)="⚠","서울·구리 15일 판정 불가(양쪽 모두 이상/미만)",IF(IF($AC400="",0,N(INDEX(인턴근무계획!$T$3:$T$62,$AC400)))&gt;0,"인턴계획 입력오류 확인",IF(AND($AC400&lt;&gt;"",$U400&lt;&gt;"파견중",$N400&lt;&gt;$AE400),"인턴 타지역 근무: 파견 여부 확인","정상"))))))))</f>
        <v/>
      </c>
      <c r="AA400" s="5" t="n"/>
      <c r="AB400" s="10">
        <f>IF($B400="","",IFERROR(MATCH($B400,기본자료!$B$2:$B$1001,0),IFERROR(MATCH($B400&amp;"",기본자료!$B$2:$B$1001,0),IFERROR(MATCH(VALUE($B400),기본자료!$B$2:$B$1001,0),""))))</f>
        <v/>
      </c>
      <c r="AC400" s="10">
        <f>IF($B400="","",IFERROR(MATCH($B400,인턴근무계획!$D$3:$D$62,0),IFERROR(MATCH($B400&amp;"",인턴근무계획!$D$3:$D$62,0),IFERROR(MATCH(VALUE($B400),인턴근무계획!$D$3:$D$62,0),""))))</f>
        <v/>
      </c>
      <c r="AD400" s="10">
        <f>IF(OR($AC400="",인턴현황!$G$3=""),"",INDEX(인턴근무계획!$M$3:$R$62,$AC400,인턴현황!$G$3)&amp;"")</f>
        <v/>
      </c>
      <c r="AE400" s="10">
        <f>IF($B400="","",IF($M400&lt;&gt;"",$M400,IF($AF400&lt;&gt;"",IF(LEFT(INDEX(파견수련계획!$R$4:$R$83,$AF400),1)&lt;&gt;"⚠",INDEX(파견수련계획!$R$4:$R$83,$AF400),IF($H400="","",IF(RIGHT($H400,2)="병원",$H400,$H400&amp;"병원"))),IF($H400="","",IF(RIGHT($H400,2)="병원",$H400,$H400&amp;"병원")))))</f>
        <v/>
      </c>
      <c r="AF400" s="10">
        <f>IF(OR($B400="",TRIM($J400&amp;"")=""),"",IFERROR(MATCH(TRIM($J400&amp;"")&amp;"|파견중",파견수련계획!$Y$4:$Y$83,0),IFERROR(MATCH(TRIM($J400&amp;"")&amp;"|파견예정",파견수련계획!$Y$4:$Y$83,0),IFERROR(MATCH(TRIM($J400&amp;"")&amp;"|파견종료",파견수련계획!$Y$4:$Y$83,0),""))))</f>
        <v/>
      </c>
      <c r="AG400" s="10">
        <f>IF($B400="","",IF(AND(IF(OR($AC400="",인턴현황!$K$2=""),"",INDEX(인턴근무계획!$M$3:$R$62,$AC400,인턴현황!$K$2)&amp;"")&lt;&gt;"",LEFT(IF(OR($AC400="",인턴현황!$K$2=""),"",INDEX(인턴근무계획!$M$3:$R$62,$AC400,인턴현황!$K$2)&amp;""),1)&lt;&gt;"⚠"),LEFT(IF(OR($AC400="",인턴현황!$K$2=""),"",INDEX(인턴근무계획!$M$3:$R$62,$AC400,인턴현황!$K$2)&amp;""),FIND(" ",IF(OR($AC400="",인턴현황!$K$2=""),"",INDEX(인턴근무계획!$M$3:$R$62,$AC400,인턴현황!$K$2)&amp;""))-1),$AE400))</f>
        <v/>
      </c>
      <c r="AH400" s="17">
        <f>IF($B400="","",IF(TRIM($J400&amp;"")="",0,SUMPRODUCT((파견수련계획!$Q$4:$Q$83=TRIM($J400&amp;""))*(파견수련계획!$S$4:$S$83="서울병원")*파견수련계획!$W$4:$W$83))+IF($AG400="서울병원",MAX(0,DAY(EOMONTH(요약!$B$3,0))-N($X400)),0))</f>
        <v/>
      </c>
      <c r="AI400" s="17">
        <f>IF($B400="","",IF(TRIM($J400&amp;"")="",0,SUMPRODUCT((파견수련계획!$Q$4:$Q$83=TRIM($J400&amp;""))*(파견수련계획!$S$4:$S$83="구리병원")*파견수련계획!$W$4:$W$83))+IF($AG400="구리병원",MAX(0,DAY(EOMONTH(요약!$B$3,0))-N($X400)),0))</f>
        <v/>
      </c>
      <c r="AJ400" s="10">
        <f>IF(OR($B400="",TRIM($J400&amp;"")=""),"",IFERROR(MATCH(TRIM($J400&amp;"")&amp;"|월",파견수련계획!$Z$4:$Z$83,0),""))</f>
        <v/>
      </c>
      <c r="AK400" s="10">
        <f>IF(OR($B400="",TRIM($J400&amp;"")=""),"",IFERROR(MATCH(TRIM($J400&amp;"")&amp;"|다기관",파견수련계획!$AE$4:$AE$83,0),""))</f>
        <v/>
      </c>
      <c r="AL400" s="10">
        <f>IF($AK400="","","다기관 "&amp;TEXT(INDEX(파견수련계획!$AB$4:$AB$83,$AK400),"yyyy-mm-dd")&amp;"~"&amp;IF(ISNUMBER(INDEX(파견수련계획!$AC$4:$AC$83,$AK400)),TEXT(INDEX(파견수련계획!$AC$4:$AC$83,$AK400),"yyyy-mm-dd"),""))</f>
        <v/>
      </c>
    </row>
    <row r="401">
      <c r="A401" s="10">
        <f>IF(B401="","",ROW()-1)</f>
        <v/>
      </c>
      <c r="B401" s="18" t="n"/>
      <c r="C401" s="10">
        <f>IF($AB401="","",IF(INDEX(기본자료!$C$2:$C$1001,$AB401)="","",INDEX(기본자료!$C$2:$C$1001,$AB401)))</f>
        <v/>
      </c>
      <c r="D401" s="10">
        <f>IF($AB401="","",IF(INDEX(기본자료!$J$2:$J$1001,$AB401)="","",INDEX(기본자료!$J$2:$J$1001,$AB401)))</f>
        <v/>
      </c>
      <c r="E401" s="11">
        <f>IF($AB401="","",IF(INDEX(기본자료!$K$2:$K$1001,$AB401)="","",IF(NOT(ISNUMBER(INDEX(기본자료!$K$2:$K$1001,$AB401))),INDEX(기본자료!$K$2:$K$1001,$AB401),IF(INDEX(기본자료!$K$2:$K$1001,$AB401)&lt;1000000,INDEX(기본자료!$K$2:$K$1001,$AB401),IF(AND(INDEX(기본자료!$K$2:$K$1001,$AB401)&gt;=10000101,INT(MOD(INDEX(기본자료!$K$2:$K$1001,$AB401),10000)/100)&gt;=1,INT(MOD(INDEX(기본자료!$K$2:$K$1001,$AB401),10000)/100)&lt;=12,MOD(INDEX(기본자료!$K$2:$K$1001,$AB401),100)&gt;=1,MOD(INDEX(기본자료!$K$2:$K$1001,$AB401),100)&lt;=31),DATE(INT(INDEX(기본자료!$K$2:$K$1001,$AB401)/10000),INT(MOD(INDEX(기본자료!$K$2:$K$1001,$AB401),10000)/100),MOD(INDEX(기본자료!$K$2:$K$1001,$AB401),100)),INDEX(기본자료!$K$2:$K$1001,$AB401)&amp;"")))))</f>
        <v/>
      </c>
      <c r="F401" s="10">
        <f>IF($AB401="","",IF(INDEX(기본자료!$D$2:$D$1001,$AB401)="","",INDEX(기본자료!$D$2:$D$1001,$AB401)))</f>
        <v/>
      </c>
      <c r="G401" s="10">
        <f>IF($AB401="","",IF(INDEX(기본자료!$E$2:$E$1001,$AB401)="","",INDEX(기본자료!$E$2:$E$1001,$AB401)))</f>
        <v/>
      </c>
      <c r="H401" s="10">
        <f>IF($AB401="","",IF(INDEX(기본자료!$F$2:$F$1001,$AB401)="","",INDEX(기본자료!$F$2:$F$1001,$AB401)))</f>
        <v/>
      </c>
      <c r="I401" s="11">
        <f>IF($AB401="","",IF(INDEX(기본자료!$G$2:$G$1001,$AB401)="","",IF(NOT(ISNUMBER(INDEX(기본자료!$G$2:$G$1001,$AB401))),INDEX(기본자료!$G$2:$G$1001,$AB401),IF(INDEX(기본자료!$G$2:$G$1001,$AB401)&lt;1000000,INDEX(기본자료!$G$2:$G$1001,$AB401),IF(AND(INDEX(기본자료!$G$2:$G$1001,$AB401)&gt;=10000101,INT(MOD(INDEX(기본자료!$G$2:$G$1001,$AB401),10000)/100)&gt;=1,INT(MOD(INDEX(기본자료!$G$2:$G$1001,$AB401),10000)/100)&lt;=12,MOD(INDEX(기본자료!$G$2:$G$1001,$AB401),100)&gt;=1,MOD(INDEX(기본자료!$G$2:$G$1001,$AB401),100)&lt;=31),DATE(INT(INDEX(기본자료!$G$2:$G$1001,$AB401)/10000),INT(MOD(INDEX(기본자료!$G$2:$G$1001,$AB401),10000)/100),MOD(INDEX(기본자료!$G$2:$G$1001,$AB401),100)),INDEX(기본자료!$G$2:$G$1001,$AB401)&amp;"")))))</f>
        <v/>
      </c>
      <c r="J401" s="10">
        <f>IF($AB401="","",IF(INDEX(기본자료!$H$2:$H$1001,$AB401)="","",INDEX(기본자료!$H$2:$H$1001,$AB401)))</f>
        <v/>
      </c>
      <c r="K401" s="10">
        <f>IF($AB401="","",IF(INDEX(기본자료!$I$2:$I$1001,$AB401)="","",INDEX(기본자료!$I$2:$I$1001,$AB401)))</f>
        <v/>
      </c>
      <c r="L401" s="10">
        <f>IF($AB401="","",IF(INDEX(기본자료!$A$2:$A$1001,$AB401)="","",INDEX(기본자료!$A$2:$A$1001,$AB401)))</f>
        <v/>
      </c>
      <c r="M401" s="15" t="n"/>
      <c r="N401" s="10">
        <f>IF($B401="","",IF(AND($U401="파견중",$Q401&lt;&gt;""),$Q401,IF(AND($AD401&lt;&gt;"",LEFT($AD401,1)&lt;&gt;"⚠"),LEFT($AD401,FIND(" ",$AD401)-1),IF($H401="","",IF(RIGHT($H401,2)="병원",$H401,$H401&amp;"병원")))))</f>
        <v/>
      </c>
      <c r="O401" s="10">
        <f>IF($B401="","",IF(AND($U401="파견중",$Q401&lt;&gt;""),IF($R401&lt;&gt;"",$R401,"파견과 미입력"),IF(AND($AD401&lt;&gt;"",LEFT($AD401,1)&lt;&gt;"⚠"),MID($AD401,FIND(" ",$AD401)+1,60),IF($F401="","",IF($F401="인턴","수련교육부(인턴)",$F401)))))</f>
        <v/>
      </c>
      <c r="P401" s="10">
        <f>IF($B401="","",IF($AK401&lt;&gt;"",IF(AND(TODAY()&gt;=INDEX(파견수련계획!$AB$4:$AB$83,$AK401),OR(NOT(ISNUMBER(INDEX(파견수련계획!$AC$4:$AC$83,$AK401))),TODAY()&lt;=INDEX(파견수련계획!$AC$4:$AC$83,$AK401))),"다기관",IF($AF401="","",INDEX(파견수련계획!$T$4:$T$83,$AF401))),IF($AF401="","",INDEX(파견수련계획!$T$4:$T$83,$AF401))))</f>
        <v/>
      </c>
      <c r="Q401" s="10">
        <f>IF($AF401="","",INDEX(파견수련계획!$S$4:$S$83,$AF401))</f>
        <v/>
      </c>
      <c r="R401" s="10">
        <f>IF($AF401="","",INDEX(파견수련계획!$U$4:$U$83,$AF401))</f>
        <v/>
      </c>
      <c r="S401" s="11">
        <f>IF($AF401="","",IF(INDEX(파견수련계획!$H$4:$H$83,$AF401)="","",INDEX(파견수련계획!$H$4:$H$83,$AF401)))</f>
        <v/>
      </c>
      <c r="T401" s="11">
        <f>IF($AF401="","",IF(INDEX(파견수련계획!$I$4:$I$83,$AF401)="","",INDEX(파견수련계획!$I$4:$I$83,$AF401)))</f>
        <v/>
      </c>
      <c r="U401" s="10">
        <f>IF($AF401="","",INDEX(파견수련계획!$X$4:$X$83,$AF401))</f>
        <v/>
      </c>
      <c r="V401" s="17">
        <f>IF($AF401="","",INDEX(파견수련계획!$V$4:$V$83,$AF401))</f>
        <v/>
      </c>
      <c r="W401" s="17">
        <f>IF(AND($U401="파견중",$T401&lt;&gt;""),$T401-TODAY(),"")</f>
        <v/>
      </c>
      <c r="X401" s="17">
        <f>IF(OR($B401="",TRIM($J401&amp;"")=""),"",SUMPRODUCT((파견수련계획!$Q$4:$Q$83=TRIM($J401&amp;""))*파견수련계획!$W$4:$W$83))</f>
        <v/>
      </c>
      <c r="Y401" s="10">
        <f>IF($B401="","",IF($AG401="","",IF(IF(TRIM($J401&amp;"")="",0,SUMPRODUCT((파견수련계획!$Q$4:$Q$83=TRIM($J401&amp;""))*파견수련계획!$AD$4:$AD$83))&gt;0,$AE401,IF(N($X401)&lt;=0,$AG401,IF($AH401+$AI401=DAY(EOMONTH(요약!$B$3,0)),IF(AND($AH401&gt;=요약!$E$3,$AI401&lt;요약!$E$3),"서울병원",IF(AND($AI401&gt;=요약!$E$3,$AH401&lt;요약!$E$3),"구리병원","⚠15일 판정불가(서울 "&amp;$AH401&amp;"일/구리 "&amp;$AI401&amp;"일)")),IF($AJ401="",$AE401,IF(INDEX(파견수련계획!$T$4:$T$83,$AJ401)="통합수련",INDEX(파견수련계획!$S$4:$S$83,$AJ401),$AE401)))))))</f>
        <v/>
      </c>
      <c r="Z401" s="19">
        <f>IF($B401="","",IF($AB401="","기본자료에 없는 사번",IF(COUNTIF($B$2:$B$401,$B401)&gt;1,"중복 사번",IF($AE401="","소속(입사장소) 입력",IF(IF(TRIM($J401&amp;"")="",0,SUMPRODUCT((파견수련계획!$Q$4:$Q$83=TRIM($J401&amp;""))*(파견수련계획!$AA$4:$AA$83&lt;&gt;"")))&gt;0,"파견수련계획 입력오류 확인",IF(LEFT($Y401,1)="⚠","서울·구리 15일 판정 불가(양쪽 모두 이상/미만)",IF(IF($AC401="",0,N(INDEX(인턴근무계획!$T$3:$T$62,$AC401)))&gt;0,"인턴계획 입력오류 확인",IF(AND($AC401&lt;&gt;"",$U401&lt;&gt;"파견중",$N401&lt;&gt;$AE401),"인턴 타지역 근무: 파견 여부 확인","정상"))))))))</f>
        <v/>
      </c>
      <c r="AA401" s="5" t="n"/>
      <c r="AB401" s="10">
        <f>IF($B401="","",IFERROR(MATCH($B401,기본자료!$B$2:$B$1001,0),IFERROR(MATCH($B401&amp;"",기본자료!$B$2:$B$1001,0),IFERROR(MATCH(VALUE($B401),기본자료!$B$2:$B$1001,0),""))))</f>
        <v/>
      </c>
      <c r="AC401" s="10">
        <f>IF($B401="","",IFERROR(MATCH($B401,인턴근무계획!$D$3:$D$62,0),IFERROR(MATCH($B401&amp;"",인턴근무계획!$D$3:$D$62,0),IFERROR(MATCH(VALUE($B401),인턴근무계획!$D$3:$D$62,0),""))))</f>
        <v/>
      </c>
      <c r="AD401" s="10">
        <f>IF(OR($AC401="",인턴현황!$G$3=""),"",INDEX(인턴근무계획!$M$3:$R$62,$AC401,인턴현황!$G$3)&amp;"")</f>
        <v/>
      </c>
      <c r="AE401" s="10">
        <f>IF($B401="","",IF($M401&lt;&gt;"",$M401,IF($AF401&lt;&gt;"",IF(LEFT(INDEX(파견수련계획!$R$4:$R$83,$AF401),1)&lt;&gt;"⚠",INDEX(파견수련계획!$R$4:$R$83,$AF401),IF($H401="","",IF(RIGHT($H401,2)="병원",$H401,$H401&amp;"병원"))),IF($H401="","",IF(RIGHT($H401,2)="병원",$H401,$H401&amp;"병원")))))</f>
        <v/>
      </c>
      <c r="AF401" s="10">
        <f>IF(OR($B401="",TRIM($J401&amp;"")=""),"",IFERROR(MATCH(TRIM($J401&amp;"")&amp;"|파견중",파견수련계획!$Y$4:$Y$83,0),IFERROR(MATCH(TRIM($J401&amp;"")&amp;"|파견예정",파견수련계획!$Y$4:$Y$83,0),IFERROR(MATCH(TRIM($J401&amp;"")&amp;"|파견종료",파견수련계획!$Y$4:$Y$83,0),""))))</f>
        <v/>
      </c>
      <c r="AG401" s="10">
        <f>IF($B401="","",IF(AND(IF(OR($AC401="",인턴현황!$K$2=""),"",INDEX(인턴근무계획!$M$3:$R$62,$AC401,인턴현황!$K$2)&amp;"")&lt;&gt;"",LEFT(IF(OR($AC401="",인턴현황!$K$2=""),"",INDEX(인턴근무계획!$M$3:$R$62,$AC401,인턴현황!$K$2)&amp;""),1)&lt;&gt;"⚠"),LEFT(IF(OR($AC401="",인턴현황!$K$2=""),"",INDEX(인턴근무계획!$M$3:$R$62,$AC401,인턴현황!$K$2)&amp;""),FIND(" ",IF(OR($AC401="",인턴현황!$K$2=""),"",INDEX(인턴근무계획!$M$3:$R$62,$AC401,인턴현황!$K$2)&amp;""))-1),$AE401))</f>
        <v/>
      </c>
      <c r="AH401" s="17">
        <f>IF($B401="","",IF(TRIM($J401&amp;"")="",0,SUMPRODUCT((파견수련계획!$Q$4:$Q$83=TRIM($J401&amp;""))*(파견수련계획!$S$4:$S$83="서울병원")*파견수련계획!$W$4:$W$83))+IF($AG401="서울병원",MAX(0,DAY(EOMONTH(요약!$B$3,0))-N($X401)),0))</f>
        <v/>
      </c>
      <c r="AI401" s="17">
        <f>IF($B401="","",IF(TRIM($J401&amp;"")="",0,SUMPRODUCT((파견수련계획!$Q$4:$Q$83=TRIM($J401&amp;""))*(파견수련계획!$S$4:$S$83="구리병원")*파견수련계획!$W$4:$W$83))+IF($AG401="구리병원",MAX(0,DAY(EOMONTH(요약!$B$3,0))-N($X401)),0))</f>
        <v/>
      </c>
      <c r="AJ401" s="10">
        <f>IF(OR($B401="",TRIM($J401&amp;"")=""),"",IFERROR(MATCH(TRIM($J401&amp;"")&amp;"|월",파견수련계획!$Z$4:$Z$83,0),""))</f>
        <v/>
      </c>
      <c r="AK401" s="10">
        <f>IF(OR($B401="",TRIM($J401&amp;"")=""),"",IFERROR(MATCH(TRIM($J401&amp;"")&amp;"|다기관",파견수련계획!$AE$4:$AE$83,0),""))</f>
        <v/>
      </c>
      <c r="AL401" s="10">
        <f>IF($AK401="","","다기관 "&amp;TEXT(INDEX(파견수련계획!$AB$4:$AB$83,$AK401),"yyyy-mm-dd")&amp;"~"&amp;IF(ISNUMBER(INDEX(파견수련계획!$AC$4:$AC$83,$AK401)),TEXT(INDEX(파견수련계획!$AC$4:$AC$83,$AK401),"yyyy-mm-dd"),""))</f>
        <v/>
      </c>
    </row>
  </sheetData>
  <conditionalFormatting sqref="B2:B401">
    <cfRule type="expression" priority="1" dxfId="3">
      <formula>AND($B2&lt;&gt;"",$AB2="")</formula>
    </cfRule>
    <cfRule type="expression" priority="2" dxfId="4">
      <formula>AND($B2&lt;&gt;"",COUNTIF($B$2:$B$401,$B2)&gt;1)</formula>
    </cfRule>
  </conditionalFormatting>
  <conditionalFormatting sqref="E2:E401">
    <cfRule type="expression" priority="3" dxfId="5">
      <formula>ISTEXT($E2)</formula>
    </cfRule>
  </conditionalFormatting>
  <conditionalFormatting sqref="I2:I401">
    <cfRule type="expression" priority="4" dxfId="5">
      <formula>ISTEXT($I2)</formula>
    </cfRule>
  </conditionalFormatting>
  <conditionalFormatting sqref="Z2:Z401">
    <cfRule type="expression" priority="5" dxfId="6">
      <formula>AND($Z2&lt;&gt;"",$Z2&lt;&gt;"정상")</formula>
    </cfRule>
  </conditionalFormatting>
  <conditionalFormatting sqref="U2:W401">
    <cfRule type="expression" priority="6" dxfId="7">
      <formula>$U2="파견종료"</formula>
    </cfRule>
  </conditionalFormatting>
  <conditionalFormatting sqref="A2:T401">
    <cfRule type="expression" priority="7" dxfId="8">
      <formula>AND($U2="파견중",$W2&lt;&gt;"",$W2&lt;=INDIRECT("요약!$E$2"))</formula>
    </cfRule>
  </conditionalFormatting>
  <conditionalFormatting sqref="U2:U401">
    <cfRule type="expression" priority="8" dxfId="9">
      <formula>$U2="파견중"</formula>
    </cfRule>
    <cfRule type="expression" priority="9" dxfId="10">
      <formula>$U2="파견예정"</formula>
    </cfRule>
  </conditionalFormatting>
  <conditionalFormatting sqref="Y2:Y401">
    <cfRule type="expression" priority="10" dxfId="3">
      <formula>LEFT($Y2,1)="⚠"</formula>
    </cfRule>
    <cfRule type="expression" priority="11" dxfId="11">
      <formula>AND($Y2&lt;&gt;"",$AE2&lt;&gt;"",$Y2&lt;&gt;$AE2)</formula>
    </cfRule>
  </conditionalFormatting>
  <dataValidations count="1">
    <dataValidation sqref="M2:M401" showDropDown="0" showInputMessage="0" showErrorMessage="1" allowBlank="1" errorTitle="등록되지 않은 값" error="병원 목록에 없는 값입니다. 새로운 병원이면 '코드표' 시트에 먼저 추가한 뒤 선택하세요." type="list" errorStyle="stop">
      <formula1>=코드표!$A$2:$A$21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" customWidth="1" min="3" max="3"/>
    <col width="14" customWidth="1" min="4" max="4"/>
    <col width="12" customWidth="1" min="5" max="5"/>
    <col width="14" customWidth="1" min="6" max="6"/>
    <col width="14" customWidth="1" min="7" max="7"/>
    <col width="3" customWidth="1" min="8" max="8"/>
    <col width="20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20">
        <f>TODAY()</f>
        <v/>
      </c>
      <c r="D2" s="3" t="inlineStr">
        <is>
          <t>종료 임박 기준(일)</t>
        </is>
      </c>
      <c r="E2" s="21" t="n">
        <v>30</v>
      </c>
      <c r="F2" s="2" t="inlineStr">
        <is>
          <t>← 전공의명단 주황색 강조에도 반영</t>
        </is>
      </c>
    </row>
    <row r="3">
      <c r="A3" s="3" t="inlineStr">
        <is>
          <t>급여 기준월(1일)</t>
        </is>
      </c>
      <c r="B3" s="22">
        <f>DATE(YEAR(TODAY()),MONTH(TODAY()),1)</f>
        <v/>
      </c>
      <c r="D3" s="3" t="inlineStr">
        <is>
          <t>서울·구리 15일 기준(일)</t>
        </is>
      </c>
      <c r="E3" s="21" t="n">
        <v>15</v>
      </c>
      <c r="F3" s="2" t="inlineStr">
        <is>
          <t>← 급여 기준월은 다른 달의 1일로 바꿔 입력하면 그 달 기준으로 계산됩니다</t>
        </is>
      </c>
    </row>
    <row r="4" ht="30" customHeight="1">
      <c r="A4" s="12" t="inlineStr">
        <is>
          <t>파견상태</t>
        </is>
      </c>
      <c r="B4" s="12" t="inlineStr">
        <is>
          <t>인원</t>
        </is>
      </c>
      <c r="D4" s="12" t="inlineStr">
        <is>
          <t>병원</t>
        </is>
      </c>
      <c r="E4" s="12" t="inlineStr">
        <is>
          <t>현재 근무</t>
        </is>
      </c>
      <c r="F4" s="12" t="inlineStr">
        <is>
          <t>급여 지급(기준월)</t>
        </is>
      </c>
      <c r="G4" s="12" t="inlineStr">
        <is>
          <t>파견 수용(파견중)</t>
        </is>
      </c>
      <c r="I4" s="12" t="inlineStr">
        <is>
          <t>현재 진료과</t>
        </is>
      </c>
      <c r="J4" s="12" t="inlineStr">
        <is>
          <t>인원</t>
        </is>
      </c>
    </row>
    <row r="5">
      <c r="A5" s="23" t="inlineStr">
        <is>
          <t>파견중</t>
        </is>
      </c>
      <c r="B5" s="23">
        <f>COUNTIF(전공의명단!$U$2:$U$401,A5)</f>
        <v/>
      </c>
      <c r="D5" s="23">
        <f>IF(코드표!A2="","",코드표!A2)</f>
        <v/>
      </c>
      <c r="E5" s="23">
        <f>IF(D5="","",COUNTIF(전공의명단!$N$2:$N$401,D5))</f>
        <v/>
      </c>
      <c r="F5" s="23">
        <f>IF(D5="","",COUNTIF(전공의명단!$Y$2:$Y$401,D5))</f>
        <v/>
      </c>
      <c r="G5" s="23">
        <f>IF(D5="","",COUNTIFS(전공의명단!$Q$2:$Q$401,D5,전공의명단!$U$2:$U$401,"파견중"))</f>
        <v/>
      </c>
      <c r="I5" s="23">
        <f>IF(코드표!B2="","",코드표!B2)</f>
        <v/>
      </c>
      <c r="J5" s="23">
        <f>IF(I5="","",COUNTIF(전공의명단!$O$2:$O$401,I5))</f>
        <v/>
      </c>
    </row>
    <row r="6">
      <c r="A6" s="23" t="inlineStr">
        <is>
          <t>파견예정</t>
        </is>
      </c>
      <c r="B6" s="23">
        <f>COUNTIF(전공의명단!$U$2:$U$401,A6)</f>
        <v/>
      </c>
      <c r="D6" s="23">
        <f>IF(코드표!A3="","",코드표!A3)</f>
        <v/>
      </c>
      <c r="E6" s="23">
        <f>IF(D6="","",COUNTIF(전공의명단!$N$2:$N$401,D6))</f>
        <v/>
      </c>
      <c r="F6" s="23">
        <f>IF(D6="","",COUNTIF(전공의명단!$Y$2:$Y$401,D6))</f>
        <v/>
      </c>
      <c r="G6" s="23">
        <f>IF(D6="","",COUNTIFS(전공의명단!$Q$2:$Q$401,D6,전공의명단!$U$2:$U$401,"파견중"))</f>
        <v/>
      </c>
      <c r="I6" s="23">
        <f>IF(코드표!B3="","",코드표!B3)</f>
        <v/>
      </c>
      <c r="J6" s="23">
        <f>IF(I6="","",COUNTIF(전공의명단!$O$2:$O$401,I6))</f>
        <v/>
      </c>
    </row>
    <row r="7">
      <c r="A7" s="23" t="inlineStr">
        <is>
          <t>파견종료</t>
        </is>
      </c>
      <c r="B7" s="23">
        <f>COUNTIF(전공의명단!$U$2:$U$401,A7)</f>
        <v/>
      </c>
      <c r="D7" s="23">
        <f>IF(코드표!A4="","",코드표!A4)</f>
        <v/>
      </c>
      <c r="E7" s="23">
        <f>IF(D7="","",COUNTIF(전공의명단!$N$2:$N$401,D7))</f>
        <v/>
      </c>
      <c r="F7" s="23">
        <f>IF(D7="","",COUNTIF(전공의명단!$Y$2:$Y$401,D7))</f>
        <v/>
      </c>
      <c r="G7" s="23">
        <f>IF(D7="","",COUNTIFS(전공의명단!$Q$2:$Q$401,D7,전공의명단!$U$2:$U$401,"파견중"))</f>
        <v/>
      </c>
      <c r="I7" s="23">
        <f>IF(코드표!B4="","",코드표!B4)</f>
        <v/>
      </c>
      <c r="J7" s="23">
        <f>IF(I7="","",COUNTIF(전공의명단!$O$2:$O$401,I7))</f>
        <v/>
      </c>
    </row>
    <row r="8">
      <c r="A8" s="24" t="inlineStr">
        <is>
          <t>명단 등록 인원</t>
        </is>
      </c>
      <c r="B8" s="24">
        <f>COUNTA(전공의명단!$B$2:$B$401)</f>
        <v/>
      </c>
      <c r="D8" s="23">
        <f>IF(코드표!A5="","",코드표!A5)</f>
        <v/>
      </c>
      <c r="E8" s="23">
        <f>IF(D8="","",COUNTIF(전공의명단!$N$2:$N$401,D8))</f>
        <v/>
      </c>
      <c r="F8" s="23">
        <f>IF(D8="","",COUNTIF(전공의명단!$Y$2:$Y$401,D8))</f>
        <v/>
      </c>
      <c r="G8" s="23">
        <f>IF(D8="","",COUNTIFS(전공의명단!$Q$2:$Q$401,D8,전공의명단!$U$2:$U$401,"파견중"))</f>
        <v/>
      </c>
      <c r="I8" s="23">
        <f>IF(코드표!B5="","",코드표!B5)</f>
        <v/>
      </c>
      <c r="J8" s="23">
        <f>IF(I8="","",COUNTIF(전공의명단!$O$2:$O$401,I8))</f>
        <v/>
      </c>
    </row>
    <row r="9">
      <c r="A9" s="23" t="inlineStr">
        <is>
          <t>종료 임박(파견중)</t>
        </is>
      </c>
      <c r="B9" s="23">
        <f>COUNTIFS(전공의명단!$U$2:$U$401,"파견중",전공의명단!$W$2:$W$401,"&lt;="&amp;$E$2)</f>
        <v/>
      </c>
      <c r="D9" s="23">
        <f>IF(코드표!A6="","",코드표!A6)</f>
        <v/>
      </c>
      <c r="E9" s="23">
        <f>IF(D9="","",COUNTIF(전공의명단!$N$2:$N$401,D9))</f>
        <v/>
      </c>
      <c r="F9" s="23">
        <f>IF(D9="","",COUNTIF(전공의명단!$Y$2:$Y$401,D9))</f>
        <v/>
      </c>
      <c r="G9" s="23">
        <f>IF(D9="","",COUNTIFS(전공의명단!$Q$2:$Q$401,D9,전공의명단!$U$2:$U$401,"파견중"))</f>
        <v/>
      </c>
      <c r="I9" s="23">
        <f>IF(코드표!B6="","",코드표!B6)</f>
        <v/>
      </c>
      <c r="J9" s="23">
        <f>IF(I9="","",COUNTIF(전공의명단!$O$2:$O$401,I9))</f>
        <v/>
      </c>
    </row>
    <row r="10">
      <c r="D10" s="23">
        <f>IF(코드표!A7="","",코드표!A7)</f>
        <v/>
      </c>
      <c r="E10" s="23">
        <f>IF(D10="","",COUNTIF(전공의명단!$N$2:$N$401,D10))</f>
        <v/>
      </c>
      <c r="F10" s="23">
        <f>IF(D10="","",COUNTIF(전공의명단!$Y$2:$Y$401,D10))</f>
        <v/>
      </c>
      <c r="G10" s="23">
        <f>IF(D10="","",COUNTIFS(전공의명단!$Q$2:$Q$401,D10,전공의명단!$U$2:$U$401,"파견중"))</f>
        <v/>
      </c>
      <c r="I10" s="23">
        <f>IF(코드표!B7="","",코드표!B7)</f>
        <v/>
      </c>
      <c r="J10" s="23">
        <f>IF(I10="","",COUNTIF(전공의명단!$O$2:$O$401,I10))</f>
        <v/>
      </c>
    </row>
    <row r="11">
      <c r="D11" s="23">
        <f>IF(코드표!A8="","",코드표!A8)</f>
        <v/>
      </c>
      <c r="E11" s="23">
        <f>IF(D11="","",COUNTIF(전공의명단!$N$2:$N$401,D11))</f>
        <v/>
      </c>
      <c r="F11" s="23">
        <f>IF(D11="","",COUNTIF(전공의명단!$Y$2:$Y$401,D11))</f>
        <v/>
      </c>
      <c r="G11" s="23">
        <f>IF(D11="","",COUNTIFS(전공의명단!$Q$2:$Q$401,D11,전공의명단!$U$2:$U$401,"파견중"))</f>
        <v/>
      </c>
      <c r="I11" s="23">
        <f>IF(코드표!B8="","",코드표!B8)</f>
        <v/>
      </c>
      <c r="J11" s="23">
        <f>IF(I11="","",COUNTIF(전공의명단!$O$2:$O$401,I11))</f>
        <v/>
      </c>
    </row>
    <row r="12">
      <c r="A12" s="12" t="inlineStr">
        <is>
          <t>파견근거(종류)</t>
        </is>
      </c>
      <c r="B12" s="12" t="inlineStr">
        <is>
          <t>인원</t>
        </is>
      </c>
      <c r="D12" s="23">
        <f>IF(코드표!A9="","",코드표!A9)</f>
        <v/>
      </c>
      <c r="E12" s="23">
        <f>IF(D12="","",COUNTIF(전공의명단!$N$2:$N$401,D12))</f>
        <v/>
      </c>
      <c r="F12" s="23">
        <f>IF(D12="","",COUNTIF(전공의명단!$Y$2:$Y$401,D12))</f>
        <v/>
      </c>
      <c r="G12" s="23">
        <f>IF(D12="","",COUNTIFS(전공의명단!$Q$2:$Q$401,D12,전공의명단!$U$2:$U$401,"파견중"))</f>
        <v/>
      </c>
      <c r="I12" s="23">
        <f>IF(코드표!B9="","",코드표!B9)</f>
        <v/>
      </c>
      <c r="J12" s="23">
        <f>IF(I12="","",COUNTIF(전공의명단!$O$2:$O$401,I12))</f>
        <v/>
      </c>
    </row>
    <row r="13">
      <c r="A13" s="23">
        <f>IF(코드표!C2="","",코드표!C2)</f>
        <v/>
      </c>
      <c r="B13" s="23">
        <f>IF(A13="","",COUNTIF(전공의명단!$P$2:$P$401,A13))</f>
        <v/>
      </c>
      <c r="D13" s="23">
        <f>IF(코드표!A10="","",코드표!A10)</f>
        <v/>
      </c>
      <c r="E13" s="23">
        <f>IF(D13="","",COUNTIF(전공의명단!$N$2:$N$401,D13))</f>
        <v/>
      </c>
      <c r="F13" s="23">
        <f>IF(D13="","",COUNTIF(전공의명단!$Y$2:$Y$401,D13))</f>
        <v/>
      </c>
      <c r="G13" s="23">
        <f>IF(D13="","",COUNTIFS(전공의명단!$Q$2:$Q$401,D13,전공의명단!$U$2:$U$401,"파견중"))</f>
        <v/>
      </c>
      <c r="I13" s="23">
        <f>IF(코드표!B10="","",코드표!B10)</f>
        <v/>
      </c>
      <c r="J13" s="23">
        <f>IF(I13="","",COUNTIF(전공의명단!$O$2:$O$401,I13))</f>
        <v/>
      </c>
    </row>
    <row r="14">
      <c r="A14" s="23">
        <f>IF(코드표!C3="","",코드표!C3)</f>
        <v/>
      </c>
      <c r="B14" s="23">
        <f>IF(A14="","",COUNTIF(전공의명단!$P$2:$P$401,A14))</f>
        <v/>
      </c>
      <c r="D14" s="23">
        <f>IF(코드표!A11="","",코드표!A11)</f>
        <v/>
      </c>
      <c r="E14" s="23">
        <f>IF(D14="","",COUNTIF(전공의명단!$N$2:$N$401,D14))</f>
        <v/>
      </c>
      <c r="F14" s="23">
        <f>IF(D14="","",COUNTIF(전공의명단!$Y$2:$Y$401,D14))</f>
        <v/>
      </c>
      <c r="G14" s="23">
        <f>IF(D14="","",COUNTIFS(전공의명단!$Q$2:$Q$401,D14,전공의명단!$U$2:$U$401,"파견중"))</f>
        <v/>
      </c>
      <c r="I14" s="23">
        <f>IF(코드표!B11="","",코드표!B11)</f>
        <v/>
      </c>
      <c r="J14" s="23">
        <f>IF(I14="","",COUNTIF(전공의명단!$O$2:$O$401,I14))</f>
        <v/>
      </c>
    </row>
    <row r="15">
      <c r="A15" s="23">
        <f>IF(코드표!C4="","",코드표!C4)</f>
        <v/>
      </c>
      <c r="B15" s="23">
        <f>IF(A15="","",COUNTIF(전공의명단!$P$2:$P$401,A15))</f>
        <v/>
      </c>
      <c r="D15" s="23">
        <f>IF(코드표!A12="","",코드표!A12)</f>
        <v/>
      </c>
      <c r="E15" s="23">
        <f>IF(D15="","",COUNTIF(전공의명단!$N$2:$N$401,D15))</f>
        <v/>
      </c>
      <c r="F15" s="23">
        <f>IF(D15="","",COUNTIF(전공의명단!$Y$2:$Y$401,D15))</f>
        <v/>
      </c>
      <c r="G15" s="23">
        <f>IF(D15="","",COUNTIFS(전공의명단!$Q$2:$Q$401,D15,전공의명단!$U$2:$U$401,"파견중"))</f>
        <v/>
      </c>
      <c r="I15" s="23">
        <f>IF(코드표!B12="","",코드표!B12)</f>
        <v/>
      </c>
      <c r="J15" s="23">
        <f>IF(I15="","",COUNTIF(전공의명단!$O$2:$O$401,I15))</f>
        <v/>
      </c>
    </row>
    <row r="16">
      <c r="A16" s="23">
        <f>IF(코드표!C5="","",코드표!C5)</f>
        <v/>
      </c>
      <c r="B16" s="23">
        <f>IF(A16="","",COUNTIF(전공의명단!$P$2:$P$401,A16))</f>
        <v/>
      </c>
      <c r="D16" s="23">
        <f>IF(코드표!A13="","",코드표!A13)</f>
        <v/>
      </c>
      <c r="E16" s="23">
        <f>IF(D16="","",COUNTIF(전공의명단!$N$2:$N$401,D16))</f>
        <v/>
      </c>
      <c r="F16" s="23">
        <f>IF(D16="","",COUNTIF(전공의명단!$Y$2:$Y$401,D16))</f>
        <v/>
      </c>
      <c r="G16" s="23">
        <f>IF(D16="","",COUNTIFS(전공의명단!$Q$2:$Q$401,D16,전공의명단!$U$2:$U$401,"파견중"))</f>
        <v/>
      </c>
      <c r="I16" s="23">
        <f>IF(코드표!B13="","",코드표!B13)</f>
        <v/>
      </c>
      <c r="J16" s="23">
        <f>IF(I16="","",COUNTIF(전공의명단!$O$2:$O$401,I16))</f>
        <v/>
      </c>
    </row>
    <row r="17">
      <c r="A17" s="23">
        <f>IF(코드표!C6="","",코드표!C6)</f>
        <v/>
      </c>
      <c r="B17" s="23">
        <f>IF(A17="","",COUNTIF(전공의명단!$P$2:$P$401,A17))</f>
        <v/>
      </c>
      <c r="D17" s="23">
        <f>IF(코드표!A14="","",코드표!A14)</f>
        <v/>
      </c>
      <c r="E17" s="23">
        <f>IF(D17="","",COUNTIF(전공의명단!$N$2:$N$401,D17))</f>
        <v/>
      </c>
      <c r="F17" s="23">
        <f>IF(D17="","",COUNTIF(전공의명단!$Y$2:$Y$401,D17))</f>
        <v/>
      </c>
      <c r="G17" s="23">
        <f>IF(D17="","",COUNTIFS(전공의명단!$Q$2:$Q$401,D17,전공의명단!$U$2:$U$401,"파견중"))</f>
        <v/>
      </c>
      <c r="I17" s="23">
        <f>IF(코드표!B14="","",코드표!B14)</f>
        <v/>
      </c>
      <c r="J17" s="23">
        <f>IF(I17="","",COUNTIF(전공의명단!$O$2:$O$401,I17))</f>
        <v/>
      </c>
    </row>
    <row r="18">
      <c r="A18" s="23">
        <f>IF(코드표!C7="","",코드표!C7)</f>
        <v/>
      </c>
      <c r="B18" s="23">
        <f>IF(A18="","",COUNTIF(전공의명단!$P$2:$P$401,A18))</f>
        <v/>
      </c>
      <c r="D18" s="23">
        <f>IF(코드표!A15="","",코드표!A15)</f>
        <v/>
      </c>
      <c r="E18" s="23">
        <f>IF(D18="","",COUNTIF(전공의명단!$N$2:$N$401,D18))</f>
        <v/>
      </c>
      <c r="F18" s="23">
        <f>IF(D18="","",COUNTIF(전공의명단!$Y$2:$Y$401,D18))</f>
        <v/>
      </c>
      <c r="G18" s="23">
        <f>IF(D18="","",COUNTIFS(전공의명단!$Q$2:$Q$401,D18,전공의명단!$U$2:$U$401,"파견중"))</f>
        <v/>
      </c>
      <c r="I18" s="23">
        <f>IF(코드표!B15="","",코드표!B15)</f>
        <v/>
      </c>
      <c r="J18" s="23">
        <f>IF(I18="","",COUNTIF(전공의명단!$O$2:$O$401,I18))</f>
        <v/>
      </c>
    </row>
    <row r="19">
      <c r="A19" s="23">
        <f>IF(코드표!C8="","",코드표!C8)</f>
        <v/>
      </c>
      <c r="B19" s="23">
        <f>IF(A19="","",COUNTIF(전공의명단!$P$2:$P$401,A19))</f>
        <v/>
      </c>
      <c r="D19" s="23">
        <f>IF(코드표!A16="","",코드표!A16)</f>
        <v/>
      </c>
      <c r="E19" s="23">
        <f>IF(D19="","",COUNTIF(전공의명단!$N$2:$N$401,D19))</f>
        <v/>
      </c>
      <c r="F19" s="23">
        <f>IF(D19="","",COUNTIF(전공의명단!$Y$2:$Y$401,D19))</f>
        <v/>
      </c>
      <c r="G19" s="23">
        <f>IF(D19="","",COUNTIFS(전공의명단!$Q$2:$Q$401,D19,전공의명단!$U$2:$U$401,"파견중"))</f>
        <v/>
      </c>
      <c r="I19" s="23">
        <f>IF(코드표!B16="","",코드표!B16)</f>
        <v/>
      </c>
      <c r="J19" s="23">
        <f>IF(I19="","",COUNTIF(전공의명단!$O$2:$O$401,I19))</f>
        <v/>
      </c>
    </row>
    <row r="20">
      <c r="A20" s="23">
        <f>IF(코드표!C9="","",코드표!C9)</f>
        <v/>
      </c>
      <c r="B20" s="23">
        <f>IF(A20="","",COUNTIF(전공의명단!$P$2:$P$401,A20))</f>
        <v/>
      </c>
      <c r="D20" s="23">
        <f>IF(코드표!A17="","",코드표!A17)</f>
        <v/>
      </c>
      <c r="E20" s="23">
        <f>IF(D20="","",COUNTIF(전공의명단!$N$2:$N$401,D20))</f>
        <v/>
      </c>
      <c r="F20" s="23">
        <f>IF(D20="","",COUNTIF(전공의명단!$Y$2:$Y$401,D20))</f>
        <v/>
      </c>
      <c r="G20" s="23">
        <f>IF(D20="","",COUNTIFS(전공의명단!$Q$2:$Q$401,D20,전공의명단!$U$2:$U$401,"파견중"))</f>
        <v/>
      </c>
      <c r="I20" s="23">
        <f>IF(코드표!B17="","",코드표!B17)</f>
        <v/>
      </c>
      <c r="J20" s="23">
        <f>IF(I20="","",COUNTIF(전공의명단!$O$2:$O$401,I20))</f>
        <v/>
      </c>
    </row>
    <row r="21">
      <c r="D21" s="23">
        <f>IF(코드표!A18="","",코드표!A18)</f>
        <v/>
      </c>
      <c r="E21" s="23">
        <f>IF(D21="","",COUNTIF(전공의명단!$N$2:$N$401,D21))</f>
        <v/>
      </c>
      <c r="F21" s="23">
        <f>IF(D21="","",COUNTIF(전공의명단!$Y$2:$Y$401,D21))</f>
        <v/>
      </c>
      <c r="G21" s="23">
        <f>IF(D21="","",COUNTIFS(전공의명단!$Q$2:$Q$401,D21,전공의명단!$U$2:$U$401,"파견중"))</f>
        <v/>
      </c>
      <c r="I21" s="23">
        <f>IF(코드표!B18="","",코드표!B18)</f>
        <v/>
      </c>
      <c r="J21" s="23">
        <f>IF(I21="","",COUNTIF(전공의명단!$O$2:$O$401,I21))</f>
        <v/>
      </c>
    </row>
    <row r="22">
      <c r="A22" s="12" t="inlineStr">
        <is>
          <t>데이터 점검</t>
        </is>
      </c>
      <c r="B22" s="12" t="inlineStr">
        <is>
          <t>건수</t>
        </is>
      </c>
      <c r="D22" s="23">
        <f>IF(코드표!A19="","",코드표!A19)</f>
        <v/>
      </c>
      <c r="E22" s="23">
        <f>IF(D22="","",COUNTIF(전공의명단!$N$2:$N$401,D22))</f>
        <v/>
      </c>
      <c r="F22" s="23">
        <f>IF(D22="","",COUNTIF(전공의명단!$Y$2:$Y$401,D22))</f>
        <v/>
      </c>
      <c r="G22" s="23">
        <f>IF(D22="","",COUNTIFS(전공의명단!$Q$2:$Q$401,D22,전공의명단!$U$2:$U$401,"파견중"))</f>
        <v/>
      </c>
      <c r="I22" s="23">
        <f>IF(코드표!B19="","",코드표!B19)</f>
        <v/>
      </c>
      <c r="J22" s="23">
        <f>IF(I22="","",COUNTIF(전공의명단!$O$2:$O$401,I22))</f>
        <v/>
      </c>
    </row>
    <row r="23">
      <c r="A23" s="23" t="inlineStr">
        <is>
          <t>기본자료 인원</t>
        </is>
      </c>
      <c r="B23" s="23">
        <f>COUNTA(기본자료!$B$2:$B$1001)</f>
        <v/>
      </c>
      <c r="D23" s="23">
        <f>IF(코드표!A20="","",코드표!A20)</f>
        <v/>
      </c>
      <c r="E23" s="23">
        <f>IF(D23="","",COUNTIF(전공의명단!$N$2:$N$401,D23))</f>
        <v/>
      </c>
      <c r="F23" s="23">
        <f>IF(D23="","",COUNTIF(전공의명단!$Y$2:$Y$401,D23))</f>
        <v/>
      </c>
      <c r="G23" s="23">
        <f>IF(D23="","",COUNTIFS(전공의명단!$Q$2:$Q$401,D23,전공의명단!$U$2:$U$401,"파견중"))</f>
        <v/>
      </c>
      <c r="I23" s="23">
        <f>IF(코드표!B20="","",코드표!B20)</f>
        <v/>
      </c>
      <c r="J23" s="23">
        <f>IF(I23="","",COUNTIF(전공의명단!$O$2:$O$401,I23))</f>
        <v/>
      </c>
    </row>
    <row r="24">
      <c r="A24" s="23" t="inlineStr">
        <is>
          <t>기본자료 재직 인원</t>
        </is>
      </c>
      <c r="B24" s="23">
        <f>COUNTIF(기본자료!$A$2:$A$1001,"재직")</f>
        <v/>
      </c>
      <c r="D24" s="23">
        <f>IF(코드표!A21="","",코드표!A21)</f>
        <v/>
      </c>
      <c r="E24" s="23">
        <f>IF(D24="","",COUNTIF(전공의명단!$N$2:$N$401,D24))</f>
        <v/>
      </c>
      <c r="F24" s="23">
        <f>IF(D24="","",COUNTIF(전공의명단!$Y$2:$Y$401,D24))</f>
        <v/>
      </c>
      <c r="G24" s="23">
        <f>IF(D24="","",COUNTIFS(전공의명단!$Q$2:$Q$401,D24,전공의명단!$U$2:$U$401,"파견중"))</f>
        <v/>
      </c>
      <c r="I24" s="23">
        <f>IF(코드표!B21="","",코드표!B21)</f>
        <v/>
      </c>
      <c r="J24" s="23">
        <f>IF(I24="","",COUNTIF(전공의명단!$O$2:$O$401,I24))</f>
        <v/>
      </c>
    </row>
    <row r="25">
      <c r="A25" s="23" t="inlineStr">
        <is>
          <t>기본자료에 없는 사번</t>
        </is>
      </c>
      <c r="B25" s="23">
        <f>SUMPRODUCT((전공의명단!$B$2:$B$401&lt;&gt;"")*(전공의명단!$AB$2:$AB$401=""))</f>
        <v/>
      </c>
      <c r="I25" s="23">
        <f>IF(코드표!B22="","",코드표!B22)</f>
        <v/>
      </c>
      <c r="J25" s="23">
        <f>IF(I25="","",COUNTIF(전공의명단!$O$2:$O$401,I25))</f>
        <v/>
      </c>
    </row>
    <row r="26">
      <c r="A26" s="23" t="inlineStr">
        <is>
          <t>명단 중복 사번</t>
        </is>
      </c>
      <c r="B26" s="23">
        <f>SUMPRODUCT((전공의명단!$B$2:$B$401&lt;&gt;"")*(COUNTIF(전공의명단!$B$2:$B$401,전공의명단!$B$2:$B$401)&gt;1))</f>
        <v/>
      </c>
      <c r="I26" s="23">
        <f>IF(코드표!B23="","",코드표!B23)</f>
        <v/>
      </c>
      <c r="J26" s="23">
        <f>IF(I26="","",COUNTIF(전공의명단!$O$2:$O$401,I26))</f>
        <v/>
      </c>
    </row>
    <row r="27">
      <c r="A27" s="23" t="inlineStr">
        <is>
          <t>날짜 형식 오류(생년월일/수련개시일)</t>
        </is>
      </c>
      <c r="B27" s="23">
        <f>SUMPRODUCT((전공의명단!$E$2:$E$401&lt;&gt;"")*1)-COUNT(전공의명단!$E$2:$E$401)+SUMPRODUCT((전공의명단!$I$2:$I$401&lt;&gt;"")*1)-COUNT(전공의명단!$I$2:$I$401)</f>
        <v/>
      </c>
      <c r="I27" s="23">
        <f>IF(코드표!B24="","",코드표!B24)</f>
        <v/>
      </c>
      <c r="J27" s="23">
        <f>IF(I27="","",COUNTIF(전공의명단!$O$2:$O$401,I27))</f>
        <v/>
      </c>
    </row>
    <row r="28">
      <c r="A28" s="23" t="inlineStr">
        <is>
          <t>인턴계획 입력 오류(병원/진료과)</t>
        </is>
      </c>
      <c r="B28" s="23">
        <f>SUM(인턴근무계획!$T$3:$T$62)</f>
        <v/>
      </c>
      <c r="I28" s="23">
        <f>IF(코드표!B25="","",코드표!B25)</f>
        <v/>
      </c>
      <c r="J28" s="23">
        <f>IF(I28="","",COUNTIF(전공의명단!$O$2:$O$401,I28))</f>
        <v/>
      </c>
    </row>
    <row r="29">
      <c r="A29" s="23" t="inlineStr">
        <is>
          <t>파견수련계획 입력 오류</t>
        </is>
      </c>
      <c r="B29" s="23">
        <f>SUMPRODUCT(--(LEN(파견수련계획!$AA$4:$AA$83)&gt;0))</f>
        <v/>
      </c>
      <c r="I29" s="23">
        <f>IF(코드표!B26="","",코드표!B26)</f>
        <v/>
      </c>
      <c r="J29" s="23">
        <f>IF(I29="","",COUNTIF(전공의명단!$O$2:$O$401,I29))</f>
        <v/>
      </c>
    </row>
    <row r="30">
      <c r="A30" s="23" t="inlineStr">
        <is>
          <t>명단에 없는 파견 기록(등록번호)</t>
        </is>
      </c>
      <c r="B30" s="23">
        <f>SUMPRODUCT((파견수련계획!$Q$4:$Q$83&lt;&gt;"")*ISNA(MATCH(파견수련계획!$Q$4:$Q$83,전공의명단!$J$2:$J$401,0)))</f>
        <v/>
      </c>
      <c r="I30" s="23">
        <f>IF(코드표!B27="","",코드표!B27)</f>
        <v/>
      </c>
      <c r="J30" s="23">
        <f>IF(I30="","",COUNTIF(전공의명단!$O$2:$O$401,I30))</f>
        <v/>
      </c>
    </row>
    <row r="31">
      <c r="A31" s="23" t="inlineStr">
        <is>
          <t>서울·구리 15일 판정 불가(양쪽 모두 이상/미만)</t>
        </is>
      </c>
      <c r="B31" s="23">
        <f>COUNTIF(전공의명단!$Y$2:$Y$401,"⚠*")</f>
        <v/>
      </c>
      <c r="I31" s="23">
        <f>IF(코드표!B28="","",코드표!B28)</f>
        <v/>
      </c>
      <c r="J31" s="23">
        <f>IF(I31="","",COUNTIF(전공의명단!$O$2:$O$401,I31))</f>
        <v/>
      </c>
    </row>
    <row r="32">
      <c r="A32" s="23" t="inlineStr">
        <is>
          <t>점검 필요 행(전공의명단 '점검' 열)</t>
        </is>
      </c>
      <c r="B32" s="23">
        <f>SUMPRODUCT((전공의명단!$B$2:$B$401&lt;&gt;"")*(전공의명단!$Z$2:$Z$401&lt;&gt;"정상"))</f>
        <v/>
      </c>
      <c r="I32" s="23">
        <f>IF(코드표!B29="","",코드표!B29)</f>
        <v/>
      </c>
      <c r="J32" s="23">
        <f>IF(I32="","",COUNTIF(전공의명단!$O$2:$O$401,I32))</f>
        <v/>
      </c>
    </row>
    <row r="33">
      <c r="I33" s="23">
        <f>IF(코드표!B30="","",코드표!B30)</f>
        <v/>
      </c>
      <c r="J33" s="23">
        <f>IF(I33="","",COUNTIF(전공의명단!$O$2:$O$401,I33))</f>
        <v/>
      </c>
    </row>
    <row r="34">
      <c r="I34" s="23">
        <f>IF(코드표!B31="","",코드표!B31)</f>
        <v/>
      </c>
      <c r="J34" s="23">
        <f>IF(I34="","",COUNTIF(전공의명단!$O$2:$O$401,I34))</f>
        <v/>
      </c>
    </row>
    <row r="35">
      <c r="I35" s="23">
        <f>IF(코드표!B32="","",코드표!B32)</f>
        <v/>
      </c>
      <c r="J35" s="23">
        <f>IF(I35="","",COUNTIF(전공의명단!$O$2:$O$401,I35))</f>
        <v/>
      </c>
    </row>
    <row r="36">
      <c r="I36" s="23">
        <f>IF(코드표!B33="","",코드표!B33)</f>
        <v/>
      </c>
      <c r="J36" s="23">
        <f>IF(I36="","",COUNTIF(전공의명단!$O$2:$O$401,I36))</f>
        <v/>
      </c>
    </row>
    <row r="37">
      <c r="I37" s="23">
        <f>IF(코드표!B34="","",코드표!B34)</f>
        <v/>
      </c>
      <c r="J37" s="23">
        <f>IF(I37="","",COUNTIF(전공의명단!$O$2:$O$401,I37))</f>
        <v/>
      </c>
    </row>
    <row r="38">
      <c r="I38" s="23">
        <f>IF(코드표!B35="","",코드표!B35)</f>
        <v/>
      </c>
      <c r="J38" s="23">
        <f>IF(I38="","",COUNTIF(전공의명단!$O$2:$O$401,I38))</f>
        <v/>
      </c>
    </row>
    <row r="39">
      <c r="I39" s="23">
        <f>IF(코드표!B36="","",코드표!B36)</f>
        <v/>
      </c>
      <c r="J39" s="23">
        <f>IF(I39="","",COUNTIF(전공의명단!$O$2:$O$401,I39))</f>
        <v/>
      </c>
    </row>
    <row r="40">
      <c r="I40" s="23">
        <f>IF(코드표!B37="","",코드표!B37)</f>
        <v/>
      </c>
      <c r="J40" s="23">
        <f>IF(I40="","",COUNTIF(전공의명단!$O$2:$O$401,I40))</f>
        <v/>
      </c>
    </row>
    <row r="41">
      <c r="I41" s="23">
        <f>IF(코드표!B38="","",코드표!B38)</f>
        <v/>
      </c>
      <c r="J41" s="23">
        <f>IF(I41="","",COUNTIF(전공의명단!$O$2:$O$401,I41))</f>
        <v/>
      </c>
    </row>
    <row r="42">
      <c r="I42" s="23">
        <f>IF(코드표!B39="","",코드표!B39)</f>
        <v/>
      </c>
      <c r="J42" s="23">
        <f>IF(I42="","",COUNTIF(전공의명단!$O$2:$O$401,I42))</f>
        <v/>
      </c>
    </row>
    <row r="43">
      <c r="I43" s="23">
        <f>IF(코드표!B40="","",코드표!B40)</f>
        <v/>
      </c>
      <c r="J43" s="23">
        <f>IF(I43="","",COUNTIF(전공의명단!$O$2:$O$401,I43))</f>
        <v/>
      </c>
    </row>
    <row r="44">
      <c r="I44" s="23">
        <f>IF(코드표!B41="","",코드표!B41)</f>
        <v/>
      </c>
      <c r="J44" s="23">
        <f>IF(I44="","",COUNTIF(전공의명단!$O$2:$O$401,I44))</f>
        <v/>
      </c>
    </row>
    <row r="45">
      <c r="I45" s="23">
        <f>IF(코드표!D2="","",코드표!D2&amp;" (인턴)")</f>
        <v/>
      </c>
      <c r="J45" s="23">
        <f>IF(코드표!D2="","",COUNTIF(전공의명단!$O$2:$O$401,코드표!D2))</f>
        <v/>
      </c>
    </row>
    <row r="46">
      <c r="I46" s="23">
        <f>IF(코드표!D3="","",코드표!D3&amp;" (인턴)")</f>
        <v/>
      </c>
      <c r="J46" s="23">
        <f>IF(코드표!D3="","",COUNTIF(전공의명단!$O$2:$O$401,코드표!D3))</f>
        <v/>
      </c>
    </row>
  </sheetData>
  <conditionalFormatting sqref="B25:B32">
    <cfRule type="expression" priority="1" dxfId="0">
      <formula>B25&gt;0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6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6" customWidth="1" min="8" max="8"/>
    <col width="15" customWidth="1" min="9" max="9"/>
    <col width="1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9" customWidth="1" min="17" max="17"/>
    <col width="3" customWidth="1" min="18" max="18"/>
    <col width="14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20">
        <f>TODAY()</f>
        <v/>
      </c>
      <c r="J2" s="8" t="inlineStr">
        <is>
          <t>급여 기준월 위치→</t>
        </is>
      </c>
      <c r="K2" s="25">
        <f>IFERROR(MATCH(MONTH(요약!$B$3),$K$3:$P$3,0),"")</f>
        <v/>
      </c>
    </row>
    <row r="3">
      <c r="A3" s="8" t="inlineStr">
        <is>
          <t>계획 월 번호(자동)</t>
        </is>
      </c>
      <c r="F3" s="8" t="inlineStr">
        <is>
          <t>이번/다음 달 위치→</t>
        </is>
      </c>
      <c r="G3" s="25">
        <f>IFERROR(MATCH(MONTH(TODAY()),$K$3:$P$3,0),"")</f>
        <v/>
      </c>
      <c r="I3" s="25">
        <f>IFERROR(MATCH(MONTH(EDATE(TODAY(),1)),$K$3:$P$3,0),"")</f>
        <v/>
      </c>
      <c r="K3" s="25">
        <f>IFERROR(VALUE(SUBSTITUTE(TRIM(K5),"월","")),"")</f>
        <v/>
      </c>
      <c r="L3" s="25">
        <f>IFERROR(VALUE(SUBSTITUTE(TRIM(L5),"월","")),"")</f>
        <v/>
      </c>
      <c r="M3" s="25">
        <f>IFERROR(VALUE(SUBSTITUTE(TRIM(M5),"월","")),"")</f>
        <v/>
      </c>
      <c r="N3" s="25">
        <f>IFERROR(VALUE(SUBSTITUTE(TRIM(N5),"월","")),"")</f>
        <v/>
      </c>
      <c r="O3" s="25">
        <f>IFERROR(VALUE(SUBSTITUTE(TRIM(O5),"월","")),"")</f>
        <v/>
      </c>
      <c r="P3" s="25">
        <f>IFERROR(VALUE(SUBSTITUTE(TRIM(P5),"월","")),"")</f>
        <v/>
      </c>
    </row>
    <row r="4">
      <c r="S4" s="3" t="inlineStr">
        <is>
          <t>월별 병원별 인턴 인원</t>
        </is>
      </c>
    </row>
    <row r="5" ht="30" customHeight="1">
      <c r="A5" s="12" t="inlineStr">
        <is>
          <t>계획행</t>
        </is>
      </c>
      <c r="B5" s="12" t="inlineStr">
        <is>
          <t>순번</t>
        </is>
      </c>
      <c r="C5" s="12" t="inlineStr">
        <is>
          <t>이름</t>
        </is>
      </c>
      <c r="D5" s="12" t="inlineStr">
        <is>
          <t>사번</t>
        </is>
      </c>
      <c r="E5" s="12" t="inlineStr">
        <is>
          <t>기본자료 확인</t>
        </is>
      </c>
      <c r="F5" s="12" t="inlineStr">
        <is>
          <t>입사일</t>
        </is>
      </c>
      <c r="G5" s="12">
        <f>"이번 달("&amp;IF($G$3="","계획 외",MONTH(TODAY())&amp;"월")&amp;") 병원"</f>
        <v/>
      </c>
      <c r="H5" s="12" t="inlineStr">
        <is>
          <t>이번 달 진료과</t>
        </is>
      </c>
      <c r="I5" s="12">
        <f>"다음 달("&amp;IF($I$3="","계획 외",MONTH(EDATE(TODAY(),1))&amp;"월")&amp;") 병원"</f>
        <v/>
      </c>
      <c r="J5" s="12" t="inlineStr">
        <is>
          <t>다음 달 진료과</t>
        </is>
      </c>
      <c r="K5" s="12">
        <f>TRIM(인턴근무계획!E$2&amp;"")</f>
        <v/>
      </c>
      <c r="L5" s="12">
        <f>TRIM(인턴근무계획!F$2&amp;"")</f>
        <v/>
      </c>
      <c r="M5" s="12">
        <f>TRIM(인턴근무계획!G$2&amp;"")</f>
        <v/>
      </c>
      <c r="N5" s="12">
        <f>TRIM(인턴근무계획!H$2&amp;"")</f>
        <v/>
      </c>
      <c r="O5" s="12">
        <f>TRIM(인턴근무계획!I$2&amp;"")</f>
        <v/>
      </c>
      <c r="P5" s="12">
        <f>TRIM(인턴근무계획!J$2&amp;"")</f>
        <v/>
      </c>
      <c r="Q5" s="12" t="inlineStr">
        <is>
          <t>입력오류(건)</t>
        </is>
      </c>
      <c r="S5" s="12" t="inlineStr">
        <is>
          <t>병원</t>
        </is>
      </c>
      <c r="T5" s="12">
        <f>K5</f>
        <v/>
      </c>
      <c r="U5" s="12">
        <f>L5</f>
        <v/>
      </c>
      <c r="V5" s="12">
        <f>M5</f>
        <v/>
      </c>
      <c r="W5" s="12">
        <f>N5</f>
        <v/>
      </c>
      <c r="X5" s="12">
        <f>O5</f>
        <v/>
      </c>
      <c r="Y5" s="12">
        <f>P5</f>
        <v/>
      </c>
    </row>
    <row r="6">
      <c r="A6" s="26" t="n">
        <v>1</v>
      </c>
      <c r="B6" s="23">
        <f>IF($C6="","",INDEX(인턴근무계획!$B$3:$B$62,$A6))</f>
        <v/>
      </c>
      <c r="C6" s="23">
        <f>IFERROR(TRIM(INDEX(인턴근무계획!$C$3:$C$62,$A6)&amp;""),"")</f>
        <v/>
      </c>
      <c r="D6" s="23">
        <f>IF($C6="","",INDEX(인턴근무계획!$D$3:$D$62,$A6))</f>
        <v/>
      </c>
      <c r="E6" s="23">
        <f>IF($C6="","",IF(IFERROR(MATCH($D6,기본자료!$B$2:$B$1001,0),IFERROR(MATCH($D6&amp;"",기본자료!$B$2:$B$1001,0),IFERROR(MATCH(VALUE($D6),기본자료!$B$2:$B$1001,0),0)))&gt;0,"확인","미등록"))</f>
        <v/>
      </c>
      <c r="F6" s="27">
        <f>IF($C6="","",INDEX(인턴근무계획!$S$3:$S$62,$A6))</f>
        <v/>
      </c>
      <c r="G6" s="23">
        <f>IF(OR($C6="",$G$3=""),"",IF(INDEX(인턴근무계획!$M$3:$R$62,$A6,$G$3)&amp;""="","",IF(LEFT(INDEX(인턴근무계획!$M$3:$R$62,$A6,$G$3)&amp;"",1)="⚠",INDEX(인턴근무계획!$M$3:$R$62,$A6,$G$3)&amp;"",LEFT(INDEX(인턴근무계획!$M$3:$R$62,$A6,$G$3)&amp;"",FIND(" ",INDEX(인턴근무계획!$M$3:$R$62,$A6,$G$3)&amp;"")-1))))</f>
        <v/>
      </c>
      <c r="H6" s="23">
        <f>IF(OR($C6="",$G$3=""),"",IF(INDEX(인턴근무계획!$M$3:$R$62,$A6,$G$3)&amp;""="","",IF(LEFT(INDEX(인턴근무계획!$M$3:$R$62,$A6,$G$3)&amp;"",1)="⚠","",MID(INDEX(인턴근무계획!$M$3:$R$62,$A6,$G$3)&amp;"",FIND(" ",INDEX(인턴근무계획!$M$3:$R$62,$A6,$G$3)&amp;"")+1,60))))</f>
        <v/>
      </c>
      <c r="I6" s="23">
        <f>IF(OR($C6="",$I$3=""),"",IF(INDEX(인턴근무계획!$M$3:$R$62,$A6,$I$3)&amp;""="","",IF(LEFT(INDEX(인턴근무계획!$M$3:$R$62,$A6,$I$3)&amp;"",1)="⚠",INDEX(인턴근무계획!$M$3:$R$62,$A6,$I$3)&amp;"",LEFT(INDEX(인턴근무계획!$M$3:$R$62,$A6,$I$3)&amp;"",FIND(" ",INDEX(인턴근무계획!$M$3:$R$62,$A6,$I$3)&amp;"")-1))))</f>
        <v/>
      </c>
      <c r="J6" s="23">
        <f>IF(OR($C6="",$I$3=""),"",IF(INDEX(인턴근무계획!$M$3:$R$62,$A6,$I$3)&amp;""="","",IF(LEFT(INDEX(인턴근무계획!$M$3:$R$62,$A6,$I$3)&amp;"",1)="⚠","",MID(INDEX(인턴근무계획!$M$3:$R$62,$A6,$I$3)&amp;"",FIND(" ",INDEX(인턴근무계획!$M$3:$R$62,$A6,$I$3)&amp;"")+1,60))))</f>
        <v/>
      </c>
      <c r="K6" s="23">
        <f>IF($C6="","",INDEX(인턴근무계획!$M$3:$M$62,$A6)&amp;"")</f>
        <v/>
      </c>
      <c r="L6" s="23">
        <f>IF($C6="","",INDEX(인턴근무계획!$N$3:$N$62,$A6)&amp;"")</f>
        <v/>
      </c>
      <c r="M6" s="23">
        <f>IF($C6="","",INDEX(인턴근무계획!$O$3:$O$62,$A6)&amp;"")</f>
        <v/>
      </c>
      <c r="N6" s="23">
        <f>IF($C6="","",INDEX(인턴근무계획!$P$3:$P$62,$A6)&amp;"")</f>
        <v/>
      </c>
      <c r="O6" s="23">
        <f>IF($C6="","",INDEX(인턴근무계획!$Q$3:$Q$62,$A6)&amp;"")</f>
        <v/>
      </c>
      <c r="P6" s="23">
        <f>IF($C6="","",INDEX(인턴근무계획!$R$3:$R$62,$A6)&amp;"")</f>
        <v/>
      </c>
      <c r="Q6" s="23">
        <f>IF($C6="","",INDEX(인턴근무계획!$T$3:$T$62,$A6))</f>
        <v/>
      </c>
      <c r="S6" s="23">
        <f>IF(코드표!A2="","",코드표!A2)</f>
        <v/>
      </c>
      <c r="T6" s="23">
        <f>IF($S6="","",COUNTIF(K$6:K$65,$S6&amp;" *"))</f>
        <v/>
      </c>
      <c r="U6" s="23">
        <f>IF($S6="","",COUNTIF(L$6:L$65,$S6&amp;" *"))</f>
        <v/>
      </c>
      <c r="V6" s="23">
        <f>IF($S6="","",COUNTIF(M$6:M$65,$S6&amp;" *"))</f>
        <v/>
      </c>
      <c r="W6" s="23">
        <f>IF($S6="","",COUNTIF(N$6:N$65,$S6&amp;" *"))</f>
        <v/>
      </c>
      <c r="X6" s="23">
        <f>IF($S6="","",COUNTIF(O$6:O$65,$S6&amp;" *"))</f>
        <v/>
      </c>
      <c r="Y6" s="23">
        <f>IF($S6="","",COUNTIF(P$6:P$65,$S6&amp;" *"))</f>
        <v/>
      </c>
    </row>
    <row r="7">
      <c r="A7" s="26" t="n">
        <v>2</v>
      </c>
      <c r="B7" s="23">
        <f>IF($C7="","",INDEX(인턴근무계획!$B$3:$B$62,$A7))</f>
        <v/>
      </c>
      <c r="C7" s="23">
        <f>IFERROR(TRIM(INDEX(인턴근무계획!$C$3:$C$62,$A7)&amp;""),"")</f>
        <v/>
      </c>
      <c r="D7" s="23">
        <f>IF($C7="","",INDEX(인턴근무계획!$D$3:$D$62,$A7))</f>
        <v/>
      </c>
      <c r="E7" s="23">
        <f>IF($C7="","",IF(IFERROR(MATCH($D7,기본자료!$B$2:$B$1001,0),IFERROR(MATCH($D7&amp;"",기본자료!$B$2:$B$1001,0),IFERROR(MATCH(VALUE($D7),기본자료!$B$2:$B$1001,0),0)))&gt;0,"확인","미등록"))</f>
        <v/>
      </c>
      <c r="F7" s="27">
        <f>IF($C7="","",INDEX(인턴근무계획!$S$3:$S$62,$A7))</f>
        <v/>
      </c>
      <c r="G7" s="23">
        <f>IF(OR($C7="",$G$3=""),"",IF(INDEX(인턴근무계획!$M$3:$R$62,$A7,$G$3)&amp;""="","",IF(LEFT(INDEX(인턴근무계획!$M$3:$R$62,$A7,$G$3)&amp;"",1)="⚠",INDEX(인턴근무계획!$M$3:$R$62,$A7,$G$3)&amp;"",LEFT(INDEX(인턴근무계획!$M$3:$R$62,$A7,$G$3)&amp;"",FIND(" ",INDEX(인턴근무계획!$M$3:$R$62,$A7,$G$3)&amp;"")-1))))</f>
        <v/>
      </c>
      <c r="H7" s="23">
        <f>IF(OR($C7="",$G$3=""),"",IF(INDEX(인턴근무계획!$M$3:$R$62,$A7,$G$3)&amp;""="","",IF(LEFT(INDEX(인턴근무계획!$M$3:$R$62,$A7,$G$3)&amp;"",1)="⚠","",MID(INDEX(인턴근무계획!$M$3:$R$62,$A7,$G$3)&amp;"",FIND(" ",INDEX(인턴근무계획!$M$3:$R$62,$A7,$G$3)&amp;"")+1,60))))</f>
        <v/>
      </c>
      <c r="I7" s="23">
        <f>IF(OR($C7="",$I$3=""),"",IF(INDEX(인턴근무계획!$M$3:$R$62,$A7,$I$3)&amp;""="","",IF(LEFT(INDEX(인턴근무계획!$M$3:$R$62,$A7,$I$3)&amp;"",1)="⚠",INDEX(인턴근무계획!$M$3:$R$62,$A7,$I$3)&amp;"",LEFT(INDEX(인턴근무계획!$M$3:$R$62,$A7,$I$3)&amp;"",FIND(" ",INDEX(인턴근무계획!$M$3:$R$62,$A7,$I$3)&amp;"")-1))))</f>
        <v/>
      </c>
      <c r="J7" s="23">
        <f>IF(OR($C7="",$I$3=""),"",IF(INDEX(인턴근무계획!$M$3:$R$62,$A7,$I$3)&amp;""="","",IF(LEFT(INDEX(인턴근무계획!$M$3:$R$62,$A7,$I$3)&amp;"",1)="⚠","",MID(INDEX(인턴근무계획!$M$3:$R$62,$A7,$I$3)&amp;"",FIND(" ",INDEX(인턴근무계획!$M$3:$R$62,$A7,$I$3)&amp;"")+1,60))))</f>
        <v/>
      </c>
      <c r="K7" s="23">
        <f>IF($C7="","",INDEX(인턴근무계획!$M$3:$M$62,$A7)&amp;"")</f>
        <v/>
      </c>
      <c r="L7" s="23">
        <f>IF($C7="","",INDEX(인턴근무계획!$N$3:$N$62,$A7)&amp;"")</f>
        <v/>
      </c>
      <c r="M7" s="23">
        <f>IF($C7="","",INDEX(인턴근무계획!$O$3:$O$62,$A7)&amp;"")</f>
        <v/>
      </c>
      <c r="N7" s="23">
        <f>IF($C7="","",INDEX(인턴근무계획!$P$3:$P$62,$A7)&amp;"")</f>
        <v/>
      </c>
      <c r="O7" s="23">
        <f>IF($C7="","",INDEX(인턴근무계획!$Q$3:$Q$62,$A7)&amp;"")</f>
        <v/>
      </c>
      <c r="P7" s="23">
        <f>IF($C7="","",INDEX(인턴근무계획!$R$3:$R$62,$A7)&amp;"")</f>
        <v/>
      </c>
      <c r="Q7" s="23">
        <f>IF($C7="","",INDEX(인턴근무계획!$T$3:$T$62,$A7))</f>
        <v/>
      </c>
      <c r="S7" s="23">
        <f>IF(코드표!A3="","",코드표!A3)</f>
        <v/>
      </c>
      <c r="T7" s="23">
        <f>IF($S7="","",COUNTIF(K$6:K$65,$S7&amp;" *"))</f>
        <v/>
      </c>
      <c r="U7" s="23">
        <f>IF($S7="","",COUNTIF(L$6:L$65,$S7&amp;" *"))</f>
        <v/>
      </c>
      <c r="V7" s="23">
        <f>IF($S7="","",COUNTIF(M$6:M$65,$S7&amp;" *"))</f>
        <v/>
      </c>
      <c r="W7" s="23">
        <f>IF($S7="","",COUNTIF(N$6:N$65,$S7&amp;" *"))</f>
        <v/>
      </c>
      <c r="X7" s="23">
        <f>IF($S7="","",COUNTIF(O$6:O$65,$S7&amp;" *"))</f>
        <v/>
      </c>
      <c r="Y7" s="23">
        <f>IF($S7="","",COUNTIF(P$6:P$65,$S7&amp;" *"))</f>
        <v/>
      </c>
    </row>
    <row r="8">
      <c r="A8" s="26" t="n">
        <v>3</v>
      </c>
      <c r="B8" s="23">
        <f>IF($C8="","",INDEX(인턴근무계획!$B$3:$B$62,$A8))</f>
        <v/>
      </c>
      <c r="C8" s="23">
        <f>IFERROR(TRIM(INDEX(인턴근무계획!$C$3:$C$62,$A8)&amp;""),"")</f>
        <v/>
      </c>
      <c r="D8" s="23">
        <f>IF($C8="","",INDEX(인턴근무계획!$D$3:$D$62,$A8))</f>
        <v/>
      </c>
      <c r="E8" s="23">
        <f>IF($C8="","",IF(IFERROR(MATCH($D8,기본자료!$B$2:$B$1001,0),IFERROR(MATCH($D8&amp;"",기본자료!$B$2:$B$1001,0),IFERROR(MATCH(VALUE($D8),기본자료!$B$2:$B$1001,0),0)))&gt;0,"확인","미등록"))</f>
        <v/>
      </c>
      <c r="F8" s="27">
        <f>IF($C8="","",INDEX(인턴근무계획!$S$3:$S$62,$A8))</f>
        <v/>
      </c>
      <c r="G8" s="23">
        <f>IF(OR($C8="",$G$3=""),"",IF(INDEX(인턴근무계획!$M$3:$R$62,$A8,$G$3)&amp;""="","",IF(LEFT(INDEX(인턴근무계획!$M$3:$R$62,$A8,$G$3)&amp;"",1)="⚠",INDEX(인턴근무계획!$M$3:$R$62,$A8,$G$3)&amp;"",LEFT(INDEX(인턴근무계획!$M$3:$R$62,$A8,$G$3)&amp;"",FIND(" ",INDEX(인턴근무계획!$M$3:$R$62,$A8,$G$3)&amp;"")-1))))</f>
        <v/>
      </c>
      <c r="H8" s="23">
        <f>IF(OR($C8="",$G$3=""),"",IF(INDEX(인턴근무계획!$M$3:$R$62,$A8,$G$3)&amp;""="","",IF(LEFT(INDEX(인턴근무계획!$M$3:$R$62,$A8,$G$3)&amp;"",1)="⚠","",MID(INDEX(인턴근무계획!$M$3:$R$62,$A8,$G$3)&amp;"",FIND(" ",INDEX(인턴근무계획!$M$3:$R$62,$A8,$G$3)&amp;"")+1,60))))</f>
        <v/>
      </c>
      <c r="I8" s="23">
        <f>IF(OR($C8="",$I$3=""),"",IF(INDEX(인턴근무계획!$M$3:$R$62,$A8,$I$3)&amp;""="","",IF(LEFT(INDEX(인턴근무계획!$M$3:$R$62,$A8,$I$3)&amp;"",1)="⚠",INDEX(인턴근무계획!$M$3:$R$62,$A8,$I$3)&amp;"",LEFT(INDEX(인턴근무계획!$M$3:$R$62,$A8,$I$3)&amp;"",FIND(" ",INDEX(인턴근무계획!$M$3:$R$62,$A8,$I$3)&amp;"")-1))))</f>
        <v/>
      </c>
      <c r="J8" s="23">
        <f>IF(OR($C8="",$I$3=""),"",IF(INDEX(인턴근무계획!$M$3:$R$62,$A8,$I$3)&amp;""="","",IF(LEFT(INDEX(인턴근무계획!$M$3:$R$62,$A8,$I$3)&amp;"",1)="⚠","",MID(INDEX(인턴근무계획!$M$3:$R$62,$A8,$I$3)&amp;"",FIND(" ",INDEX(인턴근무계획!$M$3:$R$62,$A8,$I$3)&amp;"")+1,60))))</f>
        <v/>
      </c>
      <c r="K8" s="23">
        <f>IF($C8="","",INDEX(인턴근무계획!$M$3:$M$62,$A8)&amp;"")</f>
        <v/>
      </c>
      <c r="L8" s="23">
        <f>IF($C8="","",INDEX(인턴근무계획!$N$3:$N$62,$A8)&amp;"")</f>
        <v/>
      </c>
      <c r="M8" s="23">
        <f>IF($C8="","",INDEX(인턴근무계획!$O$3:$O$62,$A8)&amp;"")</f>
        <v/>
      </c>
      <c r="N8" s="23">
        <f>IF($C8="","",INDEX(인턴근무계획!$P$3:$P$62,$A8)&amp;"")</f>
        <v/>
      </c>
      <c r="O8" s="23">
        <f>IF($C8="","",INDEX(인턴근무계획!$Q$3:$Q$62,$A8)&amp;"")</f>
        <v/>
      </c>
      <c r="P8" s="23">
        <f>IF($C8="","",INDEX(인턴근무계획!$R$3:$R$62,$A8)&amp;"")</f>
        <v/>
      </c>
      <c r="Q8" s="23">
        <f>IF($C8="","",INDEX(인턴근무계획!$T$3:$T$62,$A8))</f>
        <v/>
      </c>
      <c r="S8" s="23">
        <f>IF(코드표!A4="","",코드표!A4)</f>
        <v/>
      </c>
      <c r="T8" s="23">
        <f>IF($S8="","",COUNTIF(K$6:K$65,$S8&amp;" *"))</f>
        <v/>
      </c>
      <c r="U8" s="23">
        <f>IF($S8="","",COUNTIF(L$6:L$65,$S8&amp;" *"))</f>
        <v/>
      </c>
      <c r="V8" s="23">
        <f>IF($S8="","",COUNTIF(M$6:M$65,$S8&amp;" *"))</f>
        <v/>
      </c>
      <c r="W8" s="23">
        <f>IF($S8="","",COUNTIF(N$6:N$65,$S8&amp;" *"))</f>
        <v/>
      </c>
      <c r="X8" s="23">
        <f>IF($S8="","",COUNTIF(O$6:O$65,$S8&amp;" *"))</f>
        <v/>
      </c>
      <c r="Y8" s="23">
        <f>IF($S8="","",COUNTIF(P$6:P$65,$S8&amp;" *"))</f>
        <v/>
      </c>
    </row>
    <row r="9">
      <c r="A9" s="26" t="n">
        <v>4</v>
      </c>
      <c r="B9" s="23">
        <f>IF($C9="","",INDEX(인턴근무계획!$B$3:$B$62,$A9))</f>
        <v/>
      </c>
      <c r="C9" s="23">
        <f>IFERROR(TRIM(INDEX(인턴근무계획!$C$3:$C$62,$A9)&amp;""),"")</f>
        <v/>
      </c>
      <c r="D9" s="23">
        <f>IF($C9="","",INDEX(인턴근무계획!$D$3:$D$62,$A9))</f>
        <v/>
      </c>
      <c r="E9" s="23">
        <f>IF($C9="","",IF(IFERROR(MATCH($D9,기본자료!$B$2:$B$1001,0),IFERROR(MATCH($D9&amp;"",기본자료!$B$2:$B$1001,0),IFERROR(MATCH(VALUE($D9),기본자료!$B$2:$B$1001,0),0)))&gt;0,"확인","미등록"))</f>
        <v/>
      </c>
      <c r="F9" s="27">
        <f>IF($C9="","",INDEX(인턴근무계획!$S$3:$S$62,$A9))</f>
        <v/>
      </c>
      <c r="G9" s="23">
        <f>IF(OR($C9="",$G$3=""),"",IF(INDEX(인턴근무계획!$M$3:$R$62,$A9,$G$3)&amp;""="","",IF(LEFT(INDEX(인턴근무계획!$M$3:$R$62,$A9,$G$3)&amp;"",1)="⚠",INDEX(인턴근무계획!$M$3:$R$62,$A9,$G$3)&amp;"",LEFT(INDEX(인턴근무계획!$M$3:$R$62,$A9,$G$3)&amp;"",FIND(" ",INDEX(인턴근무계획!$M$3:$R$62,$A9,$G$3)&amp;"")-1))))</f>
        <v/>
      </c>
      <c r="H9" s="23">
        <f>IF(OR($C9="",$G$3=""),"",IF(INDEX(인턴근무계획!$M$3:$R$62,$A9,$G$3)&amp;""="","",IF(LEFT(INDEX(인턴근무계획!$M$3:$R$62,$A9,$G$3)&amp;"",1)="⚠","",MID(INDEX(인턴근무계획!$M$3:$R$62,$A9,$G$3)&amp;"",FIND(" ",INDEX(인턴근무계획!$M$3:$R$62,$A9,$G$3)&amp;"")+1,60))))</f>
        <v/>
      </c>
      <c r="I9" s="23">
        <f>IF(OR($C9="",$I$3=""),"",IF(INDEX(인턴근무계획!$M$3:$R$62,$A9,$I$3)&amp;""="","",IF(LEFT(INDEX(인턴근무계획!$M$3:$R$62,$A9,$I$3)&amp;"",1)="⚠",INDEX(인턴근무계획!$M$3:$R$62,$A9,$I$3)&amp;"",LEFT(INDEX(인턴근무계획!$M$3:$R$62,$A9,$I$3)&amp;"",FIND(" ",INDEX(인턴근무계획!$M$3:$R$62,$A9,$I$3)&amp;"")-1))))</f>
        <v/>
      </c>
      <c r="J9" s="23">
        <f>IF(OR($C9="",$I$3=""),"",IF(INDEX(인턴근무계획!$M$3:$R$62,$A9,$I$3)&amp;""="","",IF(LEFT(INDEX(인턴근무계획!$M$3:$R$62,$A9,$I$3)&amp;"",1)="⚠","",MID(INDEX(인턴근무계획!$M$3:$R$62,$A9,$I$3)&amp;"",FIND(" ",INDEX(인턴근무계획!$M$3:$R$62,$A9,$I$3)&amp;"")+1,60))))</f>
        <v/>
      </c>
      <c r="K9" s="23">
        <f>IF($C9="","",INDEX(인턴근무계획!$M$3:$M$62,$A9)&amp;"")</f>
        <v/>
      </c>
      <c r="L9" s="23">
        <f>IF($C9="","",INDEX(인턴근무계획!$N$3:$N$62,$A9)&amp;"")</f>
        <v/>
      </c>
      <c r="M9" s="23">
        <f>IF($C9="","",INDEX(인턴근무계획!$O$3:$O$62,$A9)&amp;"")</f>
        <v/>
      </c>
      <c r="N9" s="23">
        <f>IF($C9="","",INDEX(인턴근무계획!$P$3:$P$62,$A9)&amp;"")</f>
        <v/>
      </c>
      <c r="O9" s="23">
        <f>IF($C9="","",INDEX(인턴근무계획!$Q$3:$Q$62,$A9)&amp;"")</f>
        <v/>
      </c>
      <c r="P9" s="23">
        <f>IF($C9="","",INDEX(인턴근무계획!$R$3:$R$62,$A9)&amp;"")</f>
        <v/>
      </c>
      <c r="Q9" s="23">
        <f>IF($C9="","",INDEX(인턴근무계획!$T$3:$T$62,$A9))</f>
        <v/>
      </c>
      <c r="S9" s="23">
        <f>IF(코드표!A5="","",코드표!A5)</f>
        <v/>
      </c>
      <c r="T9" s="23">
        <f>IF($S9="","",COUNTIF(K$6:K$65,$S9&amp;" *"))</f>
        <v/>
      </c>
      <c r="U9" s="23">
        <f>IF($S9="","",COUNTIF(L$6:L$65,$S9&amp;" *"))</f>
        <v/>
      </c>
      <c r="V9" s="23">
        <f>IF($S9="","",COUNTIF(M$6:M$65,$S9&amp;" *"))</f>
        <v/>
      </c>
      <c r="W9" s="23">
        <f>IF($S9="","",COUNTIF(N$6:N$65,$S9&amp;" *"))</f>
        <v/>
      </c>
      <c r="X9" s="23">
        <f>IF($S9="","",COUNTIF(O$6:O$65,$S9&amp;" *"))</f>
        <v/>
      </c>
      <c r="Y9" s="23">
        <f>IF($S9="","",COUNTIF(P$6:P$65,$S9&amp;" *"))</f>
        <v/>
      </c>
    </row>
    <row r="10">
      <c r="A10" s="26" t="n">
        <v>5</v>
      </c>
      <c r="B10" s="23">
        <f>IF($C10="","",INDEX(인턴근무계획!$B$3:$B$62,$A10))</f>
        <v/>
      </c>
      <c r="C10" s="23">
        <f>IFERROR(TRIM(INDEX(인턴근무계획!$C$3:$C$62,$A10)&amp;""),"")</f>
        <v/>
      </c>
      <c r="D10" s="23">
        <f>IF($C10="","",INDEX(인턴근무계획!$D$3:$D$62,$A10))</f>
        <v/>
      </c>
      <c r="E10" s="23">
        <f>IF($C10="","",IF(IFERROR(MATCH($D10,기본자료!$B$2:$B$1001,0),IFERROR(MATCH($D10&amp;"",기본자료!$B$2:$B$1001,0),IFERROR(MATCH(VALUE($D10),기본자료!$B$2:$B$1001,0),0)))&gt;0,"확인","미등록"))</f>
        <v/>
      </c>
      <c r="F10" s="27">
        <f>IF($C10="","",INDEX(인턴근무계획!$S$3:$S$62,$A10))</f>
        <v/>
      </c>
      <c r="G10" s="23">
        <f>IF(OR($C10="",$G$3=""),"",IF(INDEX(인턴근무계획!$M$3:$R$62,$A10,$G$3)&amp;""="","",IF(LEFT(INDEX(인턴근무계획!$M$3:$R$62,$A10,$G$3)&amp;"",1)="⚠",INDEX(인턴근무계획!$M$3:$R$62,$A10,$G$3)&amp;"",LEFT(INDEX(인턴근무계획!$M$3:$R$62,$A10,$G$3)&amp;"",FIND(" ",INDEX(인턴근무계획!$M$3:$R$62,$A10,$G$3)&amp;"")-1))))</f>
        <v/>
      </c>
      <c r="H10" s="23">
        <f>IF(OR($C10="",$G$3=""),"",IF(INDEX(인턴근무계획!$M$3:$R$62,$A10,$G$3)&amp;""="","",IF(LEFT(INDEX(인턴근무계획!$M$3:$R$62,$A10,$G$3)&amp;"",1)="⚠","",MID(INDEX(인턴근무계획!$M$3:$R$62,$A10,$G$3)&amp;"",FIND(" ",INDEX(인턴근무계획!$M$3:$R$62,$A10,$G$3)&amp;"")+1,60))))</f>
        <v/>
      </c>
      <c r="I10" s="23">
        <f>IF(OR($C10="",$I$3=""),"",IF(INDEX(인턴근무계획!$M$3:$R$62,$A10,$I$3)&amp;""="","",IF(LEFT(INDEX(인턴근무계획!$M$3:$R$62,$A10,$I$3)&amp;"",1)="⚠",INDEX(인턴근무계획!$M$3:$R$62,$A10,$I$3)&amp;"",LEFT(INDEX(인턴근무계획!$M$3:$R$62,$A10,$I$3)&amp;"",FIND(" ",INDEX(인턴근무계획!$M$3:$R$62,$A10,$I$3)&amp;"")-1))))</f>
        <v/>
      </c>
      <c r="J10" s="23">
        <f>IF(OR($C10="",$I$3=""),"",IF(INDEX(인턴근무계획!$M$3:$R$62,$A10,$I$3)&amp;""="","",IF(LEFT(INDEX(인턴근무계획!$M$3:$R$62,$A10,$I$3)&amp;"",1)="⚠","",MID(INDEX(인턴근무계획!$M$3:$R$62,$A10,$I$3)&amp;"",FIND(" ",INDEX(인턴근무계획!$M$3:$R$62,$A10,$I$3)&amp;"")+1,60))))</f>
        <v/>
      </c>
      <c r="K10" s="23">
        <f>IF($C10="","",INDEX(인턴근무계획!$M$3:$M$62,$A10)&amp;"")</f>
        <v/>
      </c>
      <c r="L10" s="23">
        <f>IF($C10="","",INDEX(인턴근무계획!$N$3:$N$62,$A10)&amp;"")</f>
        <v/>
      </c>
      <c r="M10" s="23">
        <f>IF($C10="","",INDEX(인턴근무계획!$O$3:$O$62,$A10)&amp;"")</f>
        <v/>
      </c>
      <c r="N10" s="23">
        <f>IF($C10="","",INDEX(인턴근무계획!$P$3:$P$62,$A10)&amp;"")</f>
        <v/>
      </c>
      <c r="O10" s="23">
        <f>IF($C10="","",INDEX(인턴근무계획!$Q$3:$Q$62,$A10)&amp;"")</f>
        <v/>
      </c>
      <c r="P10" s="23">
        <f>IF($C10="","",INDEX(인턴근무계획!$R$3:$R$62,$A10)&amp;"")</f>
        <v/>
      </c>
      <c r="Q10" s="23">
        <f>IF($C10="","",INDEX(인턴근무계획!$T$3:$T$62,$A10))</f>
        <v/>
      </c>
      <c r="S10" s="23">
        <f>IF(코드표!A6="","",코드표!A6)</f>
        <v/>
      </c>
      <c r="T10" s="23">
        <f>IF($S10="","",COUNTIF(K$6:K$65,$S10&amp;" *"))</f>
        <v/>
      </c>
      <c r="U10" s="23">
        <f>IF($S10="","",COUNTIF(L$6:L$65,$S10&amp;" *"))</f>
        <v/>
      </c>
      <c r="V10" s="23">
        <f>IF($S10="","",COUNTIF(M$6:M$65,$S10&amp;" *"))</f>
        <v/>
      </c>
      <c r="W10" s="23">
        <f>IF($S10="","",COUNTIF(N$6:N$65,$S10&amp;" *"))</f>
        <v/>
      </c>
      <c r="X10" s="23">
        <f>IF($S10="","",COUNTIF(O$6:O$65,$S10&amp;" *"))</f>
        <v/>
      </c>
      <c r="Y10" s="23">
        <f>IF($S10="","",COUNTIF(P$6:P$65,$S10&amp;" *"))</f>
        <v/>
      </c>
    </row>
    <row r="11">
      <c r="A11" s="26" t="n">
        <v>6</v>
      </c>
      <c r="B11" s="23">
        <f>IF($C11="","",INDEX(인턴근무계획!$B$3:$B$62,$A11))</f>
        <v/>
      </c>
      <c r="C11" s="23">
        <f>IFERROR(TRIM(INDEX(인턴근무계획!$C$3:$C$62,$A11)&amp;""),"")</f>
        <v/>
      </c>
      <c r="D11" s="23">
        <f>IF($C11="","",INDEX(인턴근무계획!$D$3:$D$62,$A11))</f>
        <v/>
      </c>
      <c r="E11" s="23">
        <f>IF($C11="","",IF(IFERROR(MATCH($D11,기본자료!$B$2:$B$1001,0),IFERROR(MATCH($D11&amp;"",기본자료!$B$2:$B$1001,0),IFERROR(MATCH(VALUE($D11),기본자료!$B$2:$B$1001,0),0)))&gt;0,"확인","미등록"))</f>
        <v/>
      </c>
      <c r="F11" s="27">
        <f>IF($C11="","",INDEX(인턴근무계획!$S$3:$S$62,$A11))</f>
        <v/>
      </c>
      <c r="G11" s="23">
        <f>IF(OR($C11="",$G$3=""),"",IF(INDEX(인턴근무계획!$M$3:$R$62,$A11,$G$3)&amp;""="","",IF(LEFT(INDEX(인턴근무계획!$M$3:$R$62,$A11,$G$3)&amp;"",1)="⚠",INDEX(인턴근무계획!$M$3:$R$62,$A11,$G$3)&amp;"",LEFT(INDEX(인턴근무계획!$M$3:$R$62,$A11,$G$3)&amp;"",FIND(" ",INDEX(인턴근무계획!$M$3:$R$62,$A11,$G$3)&amp;"")-1))))</f>
        <v/>
      </c>
      <c r="H11" s="23">
        <f>IF(OR($C11="",$G$3=""),"",IF(INDEX(인턴근무계획!$M$3:$R$62,$A11,$G$3)&amp;""="","",IF(LEFT(INDEX(인턴근무계획!$M$3:$R$62,$A11,$G$3)&amp;"",1)="⚠","",MID(INDEX(인턴근무계획!$M$3:$R$62,$A11,$G$3)&amp;"",FIND(" ",INDEX(인턴근무계획!$M$3:$R$62,$A11,$G$3)&amp;"")+1,60))))</f>
        <v/>
      </c>
      <c r="I11" s="23">
        <f>IF(OR($C11="",$I$3=""),"",IF(INDEX(인턴근무계획!$M$3:$R$62,$A11,$I$3)&amp;""="","",IF(LEFT(INDEX(인턴근무계획!$M$3:$R$62,$A11,$I$3)&amp;"",1)="⚠",INDEX(인턴근무계획!$M$3:$R$62,$A11,$I$3)&amp;"",LEFT(INDEX(인턴근무계획!$M$3:$R$62,$A11,$I$3)&amp;"",FIND(" ",INDEX(인턴근무계획!$M$3:$R$62,$A11,$I$3)&amp;"")-1))))</f>
        <v/>
      </c>
      <c r="J11" s="23">
        <f>IF(OR($C11="",$I$3=""),"",IF(INDEX(인턴근무계획!$M$3:$R$62,$A11,$I$3)&amp;""="","",IF(LEFT(INDEX(인턴근무계획!$M$3:$R$62,$A11,$I$3)&amp;"",1)="⚠","",MID(INDEX(인턴근무계획!$M$3:$R$62,$A11,$I$3)&amp;"",FIND(" ",INDEX(인턴근무계획!$M$3:$R$62,$A11,$I$3)&amp;"")+1,60))))</f>
        <v/>
      </c>
      <c r="K11" s="23">
        <f>IF($C11="","",INDEX(인턴근무계획!$M$3:$M$62,$A11)&amp;"")</f>
        <v/>
      </c>
      <c r="L11" s="23">
        <f>IF($C11="","",INDEX(인턴근무계획!$N$3:$N$62,$A11)&amp;"")</f>
        <v/>
      </c>
      <c r="M11" s="23">
        <f>IF($C11="","",INDEX(인턴근무계획!$O$3:$O$62,$A11)&amp;"")</f>
        <v/>
      </c>
      <c r="N11" s="23">
        <f>IF($C11="","",INDEX(인턴근무계획!$P$3:$P$62,$A11)&amp;"")</f>
        <v/>
      </c>
      <c r="O11" s="23">
        <f>IF($C11="","",INDEX(인턴근무계획!$Q$3:$Q$62,$A11)&amp;"")</f>
        <v/>
      </c>
      <c r="P11" s="23">
        <f>IF($C11="","",INDEX(인턴근무계획!$R$3:$R$62,$A11)&amp;"")</f>
        <v/>
      </c>
      <c r="Q11" s="23">
        <f>IF($C11="","",INDEX(인턴근무계획!$T$3:$T$62,$A11))</f>
        <v/>
      </c>
      <c r="S11" s="23">
        <f>IF(코드표!A7="","",코드표!A7)</f>
        <v/>
      </c>
      <c r="T11" s="23">
        <f>IF($S11="","",COUNTIF(K$6:K$65,$S11&amp;" *"))</f>
        <v/>
      </c>
      <c r="U11" s="23">
        <f>IF($S11="","",COUNTIF(L$6:L$65,$S11&amp;" *"))</f>
        <v/>
      </c>
      <c r="V11" s="23">
        <f>IF($S11="","",COUNTIF(M$6:M$65,$S11&amp;" *"))</f>
        <v/>
      </c>
      <c r="W11" s="23">
        <f>IF($S11="","",COUNTIF(N$6:N$65,$S11&amp;" *"))</f>
        <v/>
      </c>
      <c r="X11" s="23">
        <f>IF($S11="","",COUNTIF(O$6:O$65,$S11&amp;" *"))</f>
        <v/>
      </c>
      <c r="Y11" s="23">
        <f>IF($S11="","",COUNTIF(P$6:P$65,$S11&amp;" *"))</f>
        <v/>
      </c>
    </row>
    <row r="12">
      <c r="A12" s="26" t="n">
        <v>7</v>
      </c>
      <c r="B12" s="23">
        <f>IF($C12="","",INDEX(인턴근무계획!$B$3:$B$62,$A12))</f>
        <v/>
      </c>
      <c r="C12" s="23">
        <f>IFERROR(TRIM(INDEX(인턴근무계획!$C$3:$C$62,$A12)&amp;""),"")</f>
        <v/>
      </c>
      <c r="D12" s="23">
        <f>IF($C12="","",INDEX(인턴근무계획!$D$3:$D$62,$A12))</f>
        <v/>
      </c>
      <c r="E12" s="23">
        <f>IF($C12="","",IF(IFERROR(MATCH($D12,기본자료!$B$2:$B$1001,0),IFERROR(MATCH($D12&amp;"",기본자료!$B$2:$B$1001,0),IFERROR(MATCH(VALUE($D12),기본자료!$B$2:$B$1001,0),0)))&gt;0,"확인","미등록"))</f>
        <v/>
      </c>
      <c r="F12" s="27">
        <f>IF($C12="","",INDEX(인턴근무계획!$S$3:$S$62,$A12))</f>
        <v/>
      </c>
      <c r="G12" s="23">
        <f>IF(OR($C12="",$G$3=""),"",IF(INDEX(인턴근무계획!$M$3:$R$62,$A12,$G$3)&amp;""="","",IF(LEFT(INDEX(인턴근무계획!$M$3:$R$62,$A12,$G$3)&amp;"",1)="⚠",INDEX(인턴근무계획!$M$3:$R$62,$A12,$G$3)&amp;"",LEFT(INDEX(인턴근무계획!$M$3:$R$62,$A12,$G$3)&amp;"",FIND(" ",INDEX(인턴근무계획!$M$3:$R$62,$A12,$G$3)&amp;"")-1))))</f>
        <v/>
      </c>
      <c r="H12" s="23">
        <f>IF(OR($C12="",$G$3=""),"",IF(INDEX(인턴근무계획!$M$3:$R$62,$A12,$G$3)&amp;""="","",IF(LEFT(INDEX(인턴근무계획!$M$3:$R$62,$A12,$G$3)&amp;"",1)="⚠","",MID(INDEX(인턴근무계획!$M$3:$R$62,$A12,$G$3)&amp;"",FIND(" ",INDEX(인턴근무계획!$M$3:$R$62,$A12,$G$3)&amp;"")+1,60))))</f>
        <v/>
      </c>
      <c r="I12" s="23">
        <f>IF(OR($C12="",$I$3=""),"",IF(INDEX(인턴근무계획!$M$3:$R$62,$A12,$I$3)&amp;""="","",IF(LEFT(INDEX(인턴근무계획!$M$3:$R$62,$A12,$I$3)&amp;"",1)="⚠",INDEX(인턴근무계획!$M$3:$R$62,$A12,$I$3)&amp;"",LEFT(INDEX(인턴근무계획!$M$3:$R$62,$A12,$I$3)&amp;"",FIND(" ",INDEX(인턴근무계획!$M$3:$R$62,$A12,$I$3)&amp;"")-1))))</f>
        <v/>
      </c>
      <c r="J12" s="23">
        <f>IF(OR($C12="",$I$3=""),"",IF(INDEX(인턴근무계획!$M$3:$R$62,$A12,$I$3)&amp;""="","",IF(LEFT(INDEX(인턴근무계획!$M$3:$R$62,$A12,$I$3)&amp;"",1)="⚠","",MID(INDEX(인턴근무계획!$M$3:$R$62,$A12,$I$3)&amp;"",FIND(" ",INDEX(인턴근무계획!$M$3:$R$62,$A12,$I$3)&amp;"")+1,60))))</f>
        <v/>
      </c>
      <c r="K12" s="23">
        <f>IF($C12="","",INDEX(인턴근무계획!$M$3:$M$62,$A12)&amp;"")</f>
        <v/>
      </c>
      <c r="L12" s="23">
        <f>IF($C12="","",INDEX(인턴근무계획!$N$3:$N$62,$A12)&amp;"")</f>
        <v/>
      </c>
      <c r="M12" s="23">
        <f>IF($C12="","",INDEX(인턴근무계획!$O$3:$O$62,$A12)&amp;"")</f>
        <v/>
      </c>
      <c r="N12" s="23">
        <f>IF($C12="","",INDEX(인턴근무계획!$P$3:$P$62,$A12)&amp;"")</f>
        <v/>
      </c>
      <c r="O12" s="23">
        <f>IF($C12="","",INDEX(인턴근무계획!$Q$3:$Q$62,$A12)&amp;"")</f>
        <v/>
      </c>
      <c r="P12" s="23">
        <f>IF($C12="","",INDEX(인턴근무계획!$R$3:$R$62,$A12)&amp;"")</f>
        <v/>
      </c>
      <c r="Q12" s="23">
        <f>IF($C12="","",INDEX(인턴근무계획!$T$3:$T$62,$A12))</f>
        <v/>
      </c>
      <c r="S12" s="23">
        <f>IF(코드표!A8="","",코드표!A8)</f>
        <v/>
      </c>
      <c r="T12" s="23">
        <f>IF($S12="","",COUNTIF(K$6:K$65,$S12&amp;" *"))</f>
        <v/>
      </c>
      <c r="U12" s="23">
        <f>IF($S12="","",COUNTIF(L$6:L$65,$S12&amp;" *"))</f>
        <v/>
      </c>
      <c r="V12" s="23">
        <f>IF($S12="","",COUNTIF(M$6:M$65,$S12&amp;" *"))</f>
        <v/>
      </c>
      <c r="W12" s="23">
        <f>IF($S12="","",COUNTIF(N$6:N$65,$S12&amp;" *"))</f>
        <v/>
      </c>
      <c r="X12" s="23">
        <f>IF($S12="","",COUNTIF(O$6:O$65,$S12&amp;" *"))</f>
        <v/>
      </c>
      <c r="Y12" s="23">
        <f>IF($S12="","",COUNTIF(P$6:P$65,$S12&amp;" *"))</f>
        <v/>
      </c>
    </row>
    <row r="13">
      <c r="A13" s="26" t="n">
        <v>8</v>
      </c>
      <c r="B13" s="23">
        <f>IF($C13="","",INDEX(인턴근무계획!$B$3:$B$62,$A13))</f>
        <v/>
      </c>
      <c r="C13" s="23">
        <f>IFERROR(TRIM(INDEX(인턴근무계획!$C$3:$C$62,$A13)&amp;""),"")</f>
        <v/>
      </c>
      <c r="D13" s="23">
        <f>IF($C13="","",INDEX(인턴근무계획!$D$3:$D$62,$A13))</f>
        <v/>
      </c>
      <c r="E13" s="23">
        <f>IF($C13="","",IF(IFERROR(MATCH($D13,기본자료!$B$2:$B$1001,0),IFERROR(MATCH($D13&amp;"",기본자료!$B$2:$B$1001,0),IFERROR(MATCH(VALUE($D13),기본자료!$B$2:$B$1001,0),0)))&gt;0,"확인","미등록"))</f>
        <v/>
      </c>
      <c r="F13" s="27">
        <f>IF($C13="","",INDEX(인턴근무계획!$S$3:$S$62,$A13))</f>
        <v/>
      </c>
      <c r="G13" s="23">
        <f>IF(OR($C13="",$G$3=""),"",IF(INDEX(인턴근무계획!$M$3:$R$62,$A13,$G$3)&amp;""="","",IF(LEFT(INDEX(인턴근무계획!$M$3:$R$62,$A13,$G$3)&amp;"",1)="⚠",INDEX(인턴근무계획!$M$3:$R$62,$A13,$G$3)&amp;"",LEFT(INDEX(인턴근무계획!$M$3:$R$62,$A13,$G$3)&amp;"",FIND(" ",INDEX(인턴근무계획!$M$3:$R$62,$A13,$G$3)&amp;"")-1))))</f>
        <v/>
      </c>
      <c r="H13" s="23">
        <f>IF(OR($C13="",$G$3=""),"",IF(INDEX(인턴근무계획!$M$3:$R$62,$A13,$G$3)&amp;""="","",IF(LEFT(INDEX(인턴근무계획!$M$3:$R$62,$A13,$G$3)&amp;"",1)="⚠","",MID(INDEX(인턴근무계획!$M$3:$R$62,$A13,$G$3)&amp;"",FIND(" ",INDEX(인턴근무계획!$M$3:$R$62,$A13,$G$3)&amp;"")+1,60))))</f>
        <v/>
      </c>
      <c r="I13" s="23">
        <f>IF(OR($C13="",$I$3=""),"",IF(INDEX(인턴근무계획!$M$3:$R$62,$A13,$I$3)&amp;""="","",IF(LEFT(INDEX(인턴근무계획!$M$3:$R$62,$A13,$I$3)&amp;"",1)="⚠",INDEX(인턴근무계획!$M$3:$R$62,$A13,$I$3)&amp;"",LEFT(INDEX(인턴근무계획!$M$3:$R$62,$A13,$I$3)&amp;"",FIND(" ",INDEX(인턴근무계획!$M$3:$R$62,$A13,$I$3)&amp;"")-1))))</f>
        <v/>
      </c>
      <c r="J13" s="23">
        <f>IF(OR($C13="",$I$3=""),"",IF(INDEX(인턴근무계획!$M$3:$R$62,$A13,$I$3)&amp;""="","",IF(LEFT(INDEX(인턴근무계획!$M$3:$R$62,$A13,$I$3)&amp;"",1)="⚠","",MID(INDEX(인턴근무계획!$M$3:$R$62,$A13,$I$3)&amp;"",FIND(" ",INDEX(인턴근무계획!$M$3:$R$62,$A13,$I$3)&amp;"")+1,60))))</f>
        <v/>
      </c>
      <c r="K13" s="23">
        <f>IF($C13="","",INDEX(인턴근무계획!$M$3:$M$62,$A13)&amp;"")</f>
        <v/>
      </c>
      <c r="L13" s="23">
        <f>IF($C13="","",INDEX(인턴근무계획!$N$3:$N$62,$A13)&amp;"")</f>
        <v/>
      </c>
      <c r="M13" s="23">
        <f>IF($C13="","",INDEX(인턴근무계획!$O$3:$O$62,$A13)&amp;"")</f>
        <v/>
      </c>
      <c r="N13" s="23">
        <f>IF($C13="","",INDEX(인턴근무계획!$P$3:$P$62,$A13)&amp;"")</f>
        <v/>
      </c>
      <c r="O13" s="23">
        <f>IF($C13="","",INDEX(인턴근무계획!$Q$3:$Q$62,$A13)&amp;"")</f>
        <v/>
      </c>
      <c r="P13" s="23">
        <f>IF($C13="","",INDEX(인턴근무계획!$R$3:$R$62,$A13)&amp;"")</f>
        <v/>
      </c>
      <c r="Q13" s="23">
        <f>IF($C13="","",INDEX(인턴근무계획!$T$3:$T$62,$A13))</f>
        <v/>
      </c>
      <c r="S13" s="23">
        <f>IF(코드표!A9="","",코드표!A9)</f>
        <v/>
      </c>
      <c r="T13" s="23">
        <f>IF($S13="","",COUNTIF(K$6:K$65,$S13&amp;" *"))</f>
        <v/>
      </c>
      <c r="U13" s="23">
        <f>IF($S13="","",COUNTIF(L$6:L$65,$S13&amp;" *"))</f>
        <v/>
      </c>
      <c r="V13" s="23">
        <f>IF($S13="","",COUNTIF(M$6:M$65,$S13&amp;" *"))</f>
        <v/>
      </c>
      <c r="W13" s="23">
        <f>IF($S13="","",COUNTIF(N$6:N$65,$S13&amp;" *"))</f>
        <v/>
      </c>
      <c r="X13" s="23">
        <f>IF($S13="","",COUNTIF(O$6:O$65,$S13&amp;" *"))</f>
        <v/>
      </c>
      <c r="Y13" s="23">
        <f>IF($S13="","",COUNTIF(P$6:P$65,$S13&amp;" *"))</f>
        <v/>
      </c>
    </row>
    <row r="14">
      <c r="A14" s="26" t="n">
        <v>9</v>
      </c>
      <c r="B14" s="23">
        <f>IF($C14="","",INDEX(인턴근무계획!$B$3:$B$62,$A14))</f>
        <v/>
      </c>
      <c r="C14" s="23">
        <f>IFERROR(TRIM(INDEX(인턴근무계획!$C$3:$C$62,$A14)&amp;""),"")</f>
        <v/>
      </c>
      <c r="D14" s="23">
        <f>IF($C14="","",INDEX(인턴근무계획!$D$3:$D$62,$A14))</f>
        <v/>
      </c>
      <c r="E14" s="23">
        <f>IF($C14="","",IF(IFERROR(MATCH($D14,기본자료!$B$2:$B$1001,0),IFERROR(MATCH($D14&amp;"",기본자료!$B$2:$B$1001,0),IFERROR(MATCH(VALUE($D14),기본자료!$B$2:$B$1001,0),0)))&gt;0,"확인","미등록"))</f>
        <v/>
      </c>
      <c r="F14" s="27">
        <f>IF($C14="","",INDEX(인턴근무계획!$S$3:$S$62,$A14))</f>
        <v/>
      </c>
      <c r="G14" s="23">
        <f>IF(OR($C14="",$G$3=""),"",IF(INDEX(인턴근무계획!$M$3:$R$62,$A14,$G$3)&amp;""="","",IF(LEFT(INDEX(인턴근무계획!$M$3:$R$62,$A14,$G$3)&amp;"",1)="⚠",INDEX(인턴근무계획!$M$3:$R$62,$A14,$G$3)&amp;"",LEFT(INDEX(인턴근무계획!$M$3:$R$62,$A14,$G$3)&amp;"",FIND(" ",INDEX(인턴근무계획!$M$3:$R$62,$A14,$G$3)&amp;"")-1))))</f>
        <v/>
      </c>
      <c r="H14" s="23">
        <f>IF(OR($C14="",$G$3=""),"",IF(INDEX(인턴근무계획!$M$3:$R$62,$A14,$G$3)&amp;""="","",IF(LEFT(INDEX(인턴근무계획!$M$3:$R$62,$A14,$G$3)&amp;"",1)="⚠","",MID(INDEX(인턴근무계획!$M$3:$R$62,$A14,$G$3)&amp;"",FIND(" ",INDEX(인턴근무계획!$M$3:$R$62,$A14,$G$3)&amp;"")+1,60))))</f>
        <v/>
      </c>
      <c r="I14" s="23">
        <f>IF(OR($C14="",$I$3=""),"",IF(INDEX(인턴근무계획!$M$3:$R$62,$A14,$I$3)&amp;""="","",IF(LEFT(INDEX(인턴근무계획!$M$3:$R$62,$A14,$I$3)&amp;"",1)="⚠",INDEX(인턴근무계획!$M$3:$R$62,$A14,$I$3)&amp;"",LEFT(INDEX(인턴근무계획!$M$3:$R$62,$A14,$I$3)&amp;"",FIND(" ",INDEX(인턴근무계획!$M$3:$R$62,$A14,$I$3)&amp;"")-1))))</f>
        <v/>
      </c>
      <c r="J14" s="23">
        <f>IF(OR($C14="",$I$3=""),"",IF(INDEX(인턴근무계획!$M$3:$R$62,$A14,$I$3)&amp;""="","",IF(LEFT(INDEX(인턴근무계획!$M$3:$R$62,$A14,$I$3)&amp;"",1)="⚠","",MID(INDEX(인턴근무계획!$M$3:$R$62,$A14,$I$3)&amp;"",FIND(" ",INDEX(인턴근무계획!$M$3:$R$62,$A14,$I$3)&amp;"")+1,60))))</f>
        <v/>
      </c>
      <c r="K14" s="23">
        <f>IF($C14="","",INDEX(인턴근무계획!$M$3:$M$62,$A14)&amp;"")</f>
        <v/>
      </c>
      <c r="L14" s="23">
        <f>IF($C14="","",INDEX(인턴근무계획!$N$3:$N$62,$A14)&amp;"")</f>
        <v/>
      </c>
      <c r="M14" s="23">
        <f>IF($C14="","",INDEX(인턴근무계획!$O$3:$O$62,$A14)&amp;"")</f>
        <v/>
      </c>
      <c r="N14" s="23">
        <f>IF($C14="","",INDEX(인턴근무계획!$P$3:$P$62,$A14)&amp;"")</f>
        <v/>
      </c>
      <c r="O14" s="23">
        <f>IF($C14="","",INDEX(인턴근무계획!$Q$3:$Q$62,$A14)&amp;"")</f>
        <v/>
      </c>
      <c r="P14" s="23">
        <f>IF($C14="","",INDEX(인턴근무계획!$R$3:$R$62,$A14)&amp;"")</f>
        <v/>
      </c>
      <c r="Q14" s="23">
        <f>IF($C14="","",INDEX(인턴근무계획!$T$3:$T$62,$A14))</f>
        <v/>
      </c>
      <c r="S14" s="23">
        <f>IF(코드표!A10="","",코드표!A10)</f>
        <v/>
      </c>
      <c r="T14" s="23">
        <f>IF($S14="","",COUNTIF(K$6:K$65,$S14&amp;" *"))</f>
        <v/>
      </c>
      <c r="U14" s="23">
        <f>IF($S14="","",COUNTIF(L$6:L$65,$S14&amp;" *"))</f>
        <v/>
      </c>
      <c r="V14" s="23">
        <f>IF($S14="","",COUNTIF(M$6:M$65,$S14&amp;" *"))</f>
        <v/>
      </c>
      <c r="W14" s="23">
        <f>IF($S14="","",COUNTIF(N$6:N$65,$S14&amp;" *"))</f>
        <v/>
      </c>
      <c r="X14" s="23">
        <f>IF($S14="","",COUNTIF(O$6:O$65,$S14&amp;" *"))</f>
        <v/>
      </c>
      <c r="Y14" s="23">
        <f>IF($S14="","",COUNTIF(P$6:P$65,$S14&amp;" *"))</f>
        <v/>
      </c>
    </row>
    <row r="15">
      <c r="A15" s="26" t="n">
        <v>10</v>
      </c>
      <c r="B15" s="23">
        <f>IF($C15="","",INDEX(인턴근무계획!$B$3:$B$62,$A15))</f>
        <v/>
      </c>
      <c r="C15" s="23">
        <f>IFERROR(TRIM(INDEX(인턴근무계획!$C$3:$C$62,$A15)&amp;""),"")</f>
        <v/>
      </c>
      <c r="D15" s="23">
        <f>IF($C15="","",INDEX(인턴근무계획!$D$3:$D$62,$A15))</f>
        <v/>
      </c>
      <c r="E15" s="23">
        <f>IF($C15="","",IF(IFERROR(MATCH($D15,기본자료!$B$2:$B$1001,0),IFERROR(MATCH($D15&amp;"",기본자료!$B$2:$B$1001,0),IFERROR(MATCH(VALUE($D15),기본자료!$B$2:$B$1001,0),0)))&gt;0,"확인","미등록"))</f>
        <v/>
      </c>
      <c r="F15" s="27">
        <f>IF($C15="","",INDEX(인턴근무계획!$S$3:$S$62,$A15))</f>
        <v/>
      </c>
      <c r="G15" s="23">
        <f>IF(OR($C15="",$G$3=""),"",IF(INDEX(인턴근무계획!$M$3:$R$62,$A15,$G$3)&amp;""="","",IF(LEFT(INDEX(인턴근무계획!$M$3:$R$62,$A15,$G$3)&amp;"",1)="⚠",INDEX(인턴근무계획!$M$3:$R$62,$A15,$G$3)&amp;"",LEFT(INDEX(인턴근무계획!$M$3:$R$62,$A15,$G$3)&amp;"",FIND(" ",INDEX(인턴근무계획!$M$3:$R$62,$A15,$G$3)&amp;"")-1))))</f>
        <v/>
      </c>
      <c r="H15" s="23">
        <f>IF(OR($C15="",$G$3=""),"",IF(INDEX(인턴근무계획!$M$3:$R$62,$A15,$G$3)&amp;""="","",IF(LEFT(INDEX(인턴근무계획!$M$3:$R$62,$A15,$G$3)&amp;"",1)="⚠","",MID(INDEX(인턴근무계획!$M$3:$R$62,$A15,$G$3)&amp;"",FIND(" ",INDEX(인턴근무계획!$M$3:$R$62,$A15,$G$3)&amp;"")+1,60))))</f>
        <v/>
      </c>
      <c r="I15" s="23">
        <f>IF(OR($C15="",$I$3=""),"",IF(INDEX(인턴근무계획!$M$3:$R$62,$A15,$I$3)&amp;""="","",IF(LEFT(INDEX(인턴근무계획!$M$3:$R$62,$A15,$I$3)&amp;"",1)="⚠",INDEX(인턴근무계획!$M$3:$R$62,$A15,$I$3)&amp;"",LEFT(INDEX(인턴근무계획!$M$3:$R$62,$A15,$I$3)&amp;"",FIND(" ",INDEX(인턴근무계획!$M$3:$R$62,$A15,$I$3)&amp;"")-1))))</f>
        <v/>
      </c>
      <c r="J15" s="23">
        <f>IF(OR($C15="",$I$3=""),"",IF(INDEX(인턴근무계획!$M$3:$R$62,$A15,$I$3)&amp;""="","",IF(LEFT(INDEX(인턴근무계획!$M$3:$R$62,$A15,$I$3)&amp;"",1)="⚠","",MID(INDEX(인턴근무계획!$M$3:$R$62,$A15,$I$3)&amp;"",FIND(" ",INDEX(인턴근무계획!$M$3:$R$62,$A15,$I$3)&amp;"")+1,60))))</f>
        <v/>
      </c>
      <c r="K15" s="23">
        <f>IF($C15="","",INDEX(인턴근무계획!$M$3:$M$62,$A15)&amp;"")</f>
        <v/>
      </c>
      <c r="L15" s="23">
        <f>IF($C15="","",INDEX(인턴근무계획!$N$3:$N$62,$A15)&amp;"")</f>
        <v/>
      </c>
      <c r="M15" s="23">
        <f>IF($C15="","",INDEX(인턴근무계획!$O$3:$O$62,$A15)&amp;"")</f>
        <v/>
      </c>
      <c r="N15" s="23">
        <f>IF($C15="","",INDEX(인턴근무계획!$P$3:$P$62,$A15)&amp;"")</f>
        <v/>
      </c>
      <c r="O15" s="23">
        <f>IF($C15="","",INDEX(인턴근무계획!$Q$3:$Q$62,$A15)&amp;"")</f>
        <v/>
      </c>
      <c r="P15" s="23">
        <f>IF($C15="","",INDEX(인턴근무계획!$R$3:$R$62,$A15)&amp;"")</f>
        <v/>
      </c>
      <c r="Q15" s="23">
        <f>IF($C15="","",INDEX(인턴근무계획!$T$3:$T$62,$A15))</f>
        <v/>
      </c>
      <c r="S15" s="23">
        <f>IF(코드표!A11="","",코드표!A11)</f>
        <v/>
      </c>
      <c r="T15" s="23">
        <f>IF($S15="","",COUNTIF(K$6:K$65,$S15&amp;" *"))</f>
        <v/>
      </c>
      <c r="U15" s="23">
        <f>IF($S15="","",COUNTIF(L$6:L$65,$S15&amp;" *"))</f>
        <v/>
      </c>
      <c r="V15" s="23">
        <f>IF($S15="","",COUNTIF(M$6:M$65,$S15&amp;" *"))</f>
        <v/>
      </c>
      <c r="W15" s="23">
        <f>IF($S15="","",COUNTIF(N$6:N$65,$S15&amp;" *"))</f>
        <v/>
      </c>
      <c r="X15" s="23">
        <f>IF($S15="","",COUNTIF(O$6:O$65,$S15&amp;" *"))</f>
        <v/>
      </c>
      <c r="Y15" s="23">
        <f>IF($S15="","",COUNTIF(P$6:P$65,$S15&amp;" *"))</f>
        <v/>
      </c>
    </row>
    <row r="16">
      <c r="A16" s="26" t="n">
        <v>11</v>
      </c>
      <c r="B16" s="23">
        <f>IF($C16="","",INDEX(인턴근무계획!$B$3:$B$62,$A16))</f>
        <v/>
      </c>
      <c r="C16" s="23">
        <f>IFERROR(TRIM(INDEX(인턴근무계획!$C$3:$C$62,$A16)&amp;""),"")</f>
        <v/>
      </c>
      <c r="D16" s="23">
        <f>IF($C16="","",INDEX(인턴근무계획!$D$3:$D$62,$A16))</f>
        <v/>
      </c>
      <c r="E16" s="23">
        <f>IF($C16="","",IF(IFERROR(MATCH($D16,기본자료!$B$2:$B$1001,0),IFERROR(MATCH($D16&amp;"",기본자료!$B$2:$B$1001,0),IFERROR(MATCH(VALUE($D16),기본자료!$B$2:$B$1001,0),0)))&gt;0,"확인","미등록"))</f>
        <v/>
      </c>
      <c r="F16" s="27">
        <f>IF($C16="","",INDEX(인턴근무계획!$S$3:$S$62,$A16))</f>
        <v/>
      </c>
      <c r="G16" s="23">
        <f>IF(OR($C16="",$G$3=""),"",IF(INDEX(인턴근무계획!$M$3:$R$62,$A16,$G$3)&amp;""="","",IF(LEFT(INDEX(인턴근무계획!$M$3:$R$62,$A16,$G$3)&amp;"",1)="⚠",INDEX(인턴근무계획!$M$3:$R$62,$A16,$G$3)&amp;"",LEFT(INDEX(인턴근무계획!$M$3:$R$62,$A16,$G$3)&amp;"",FIND(" ",INDEX(인턴근무계획!$M$3:$R$62,$A16,$G$3)&amp;"")-1))))</f>
        <v/>
      </c>
      <c r="H16" s="23">
        <f>IF(OR($C16="",$G$3=""),"",IF(INDEX(인턴근무계획!$M$3:$R$62,$A16,$G$3)&amp;""="","",IF(LEFT(INDEX(인턴근무계획!$M$3:$R$62,$A16,$G$3)&amp;"",1)="⚠","",MID(INDEX(인턴근무계획!$M$3:$R$62,$A16,$G$3)&amp;"",FIND(" ",INDEX(인턴근무계획!$M$3:$R$62,$A16,$G$3)&amp;"")+1,60))))</f>
        <v/>
      </c>
      <c r="I16" s="23">
        <f>IF(OR($C16="",$I$3=""),"",IF(INDEX(인턴근무계획!$M$3:$R$62,$A16,$I$3)&amp;""="","",IF(LEFT(INDEX(인턴근무계획!$M$3:$R$62,$A16,$I$3)&amp;"",1)="⚠",INDEX(인턴근무계획!$M$3:$R$62,$A16,$I$3)&amp;"",LEFT(INDEX(인턴근무계획!$M$3:$R$62,$A16,$I$3)&amp;"",FIND(" ",INDEX(인턴근무계획!$M$3:$R$62,$A16,$I$3)&amp;"")-1))))</f>
        <v/>
      </c>
      <c r="J16" s="23">
        <f>IF(OR($C16="",$I$3=""),"",IF(INDEX(인턴근무계획!$M$3:$R$62,$A16,$I$3)&amp;""="","",IF(LEFT(INDEX(인턴근무계획!$M$3:$R$62,$A16,$I$3)&amp;"",1)="⚠","",MID(INDEX(인턴근무계획!$M$3:$R$62,$A16,$I$3)&amp;"",FIND(" ",INDEX(인턴근무계획!$M$3:$R$62,$A16,$I$3)&amp;"")+1,60))))</f>
        <v/>
      </c>
      <c r="K16" s="23">
        <f>IF($C16="","",INDEX(인턴근무계획!$M$3:$M$62,$A16)&amp;"")</f>
        <v/>
      </c>
      <c r="L16" s="23">
        <f>IF($C16="","",INDEX(인턴근무계획!$N$3:$N$62,$A16)&amp;"")</f>
        <v/>
      </c>
      <c r="M16" s="23">
        <f>IF($C16="","",INDEX(인턴근무계획!$O$3:$O$62,$A16)&amp;"")</f>
        <v/>
      </c>
      <c r="N16" s="23">
        <f>IF($C16="","",INDEX(인턴근무계획!$P$3:$P$62,$A16)&amp;"")</f>
        <v/>
      </c>
      <c r="O16" s="23">
        <f>IF($C16="","",INDEX(인턴근무계획!$Q$3:$Q$62,$A16)&amp;"")</f>
        <v/>
      </c>
      <c r="P16" s="23">
        <f>IF($C16="","",INDEX(인턴근무계획!$R$3:$R$62,$A16)&amp;"")</f>
        <v/>
      </c>
      <c r="Q16" s="23">
        <f>IF($C16="","",INDEX(인턴근무계획!$T$3:$T$62,$A16))</f>
        <v/>
      </c>
      <c r="S16" s="23">
        <f>IF(코드표!A12="","",코드표!A12)</f>
        <v/>
      </c>
      <c r="T16" s="23">
        <f>IF($S16="","",COUNTIF(K$6:K$65,$S16&amp;" *"))</f>
        <v/>
      </c>
      <c r="U16" s="23">
        <f>IF($S16="","",COUNTIF(L$6:L$65,$S16&amp;" *"))</f>
        <v/>
      </c>
      <c r="V16" s="23">
        <f>IF($S16="","",COUNTIF(M$6:M$65,$S16&amp;" *"))</f>
        <v/>
      </c>
      <c r="W16" s="23">
        <f>IF($S16="","",COUNTIF(N$6:N$65,$S16&amp;" *"))</f>
        <v/>
      </c>
      <c r="X16" s="23">
        <f>IF($S16="","",COUNTIF(O$6:O$65,$S16&amp;" *"))</f>
        <v/>
      </c>
      <c r="Y16" s="23">
        <f>IF($S16="","",COUNTIF(P$6:P$65,$S16&amp;" *"))</f>
        <v/>
      </c>
    </row>
    <row r="17">
      <c r="A17" s="26" t="n">
        <v>12</v>
      </c>
      <c r="B17" s="23">
        <f>IF($C17="","",INDEX(인턴근무계획!$B$3:$B$62,$A17))</f>
        <v/>
      </c>
      <c r="C17" s="23">
        <f>IFERROR(TRIM(INDEX(인턴근무계획!$C$3:$C$62,$A17)&amp;""),"")</f>
        <v/>
      </c>
      <c r="D17" s="23">
        <f>IF($C17="","",INDEX(인턴근무계획!$D$3:$D$62,$A17))</f>
        <v/>
      </c>
      <c r="E17" s="23">
        <f>IF($C17="","",IF(IFERROR(MATCH($D17,기본자료!$B$2:$B$1001,0),IFERROR(MATCH($D17&amp;"",기본자료!$B$2:$B$1001,0),IFERROR(MATCH(VALUE($D17),기본자료!$B$2:$B$1001,0),0)))&gt;0,"확인","미등록"))</f>
        <v/>
      </c>
      <c r="F17" s="27">
        <f>IF($C17="","",INDEX(인턴근무계획!$S$3:$S$62,$A17))</f>
        <v/>
      </c>
      <c r="G17" s="23">
        <f>IF(OR($C17="",$G$3=""),"",IF(INDEX(인턴근무계획!$M$3:$R$62,$A17,$G$3)&amp;""="","",IF(LEFT(INDEX(인턴근무계획!$M$3:$R$62,$A17,$G$3)&amp;"",1)="⚠",INDEX(인턴근무계획!$M$3:$R$62,$A17,$G$3)&amp;"",LEFT(INDEX(인턴근무계획!$M$3:$R$62,$A17,$G$3)&amp;"",FIND(" ",INDEX(인턴근무계획!$M$3:$R$62,$A17,$G$3)&amp;"")-1))))</f>
        <v/>
      </c>
      <c r="H17" s="23">
        <f>IF(OR($C17="",$G$3=""),"",IF(INDEX(인턴근무계획!$M$3:$R$62,$A17,$G$3)&amp;""="","",IF(LEFT(INDEX(인턴근무계획!$M$3:$R$62,$A17,$G$3)&amp;"",1)="⚠","",MID(INDEX(인턴근무계획!$M$3:$R$62,$A17,$G$3)&amp;"",FIND(" ",INDEX(인턴근무계획!$M$3:$R$62,$A17,$G$3)&amp;"")+1,60))))</f>
        <v/>
      </c>
      <c r="I17" s="23">
        <f>IF(OR($C17="",$I$3=""),"",IF(INDEX(인턴근무계획!$M$3:$R$62,$A17,$I$3)&amp;""="","",IF(LEFT(INDEX(인턴근무계획!$M$3:$R$62,$A17,$I$3)&amp;"",1)="⚠",INDEX(인턴근무계획!$M$3:$R$62,$A17,$I$3)&amp;"",LEFT(INDEX(인턴근무계획!$M$3:$R$62,$A17,$I$3)&amp;"",FIND(" ",INDEX(인턴근무계획!$M$3:$R$62,$A17,$I$3)&amp;"")-1))))</f>
        <v/>
      </c>
      <c r="J17" s="23">
        <f>IF(OR($C17="",$I$3=""),"",IF(INDEX(인턴근무계획!$M$3:$R$62,$A17,$I$3)&amp;""="","",IF(LEFT(INDEX(인턴근무계획!$M$3:$R$62,$A17,$I$3)&amp;"",1)="⚠","",MID(INDEX(인턴근무계획!$M$3:$R$62,$A17,$I$3)&amp;"",FIND(" ",INDEX(인턴근무계획!$M$3:$R$62,$A17,$I$3)&amp;"")+1,60))))</f>
        <v/>
      </c>
      <c r="K17" s="23">
        <f>IF($C17="","",INDEX(인턴근무계획!$M$3:$M$62,$A17)&amp;"")</f>
        <v/>
      </c>
      <c r="L17" s="23">
        <f>IF($C17="","",INDEX(인턴근무계획!$N$3:$N$62,$A17)&amp;"")</f>
        <v/>
      </c>
      <c r="M17" s="23">
        <f>IF($C17="","",INDEX(인턴근무계획!$O$3:$O$62,$A17)&amp;"")</f>
        <v/>
      </c>
      <c r="N17" s="23">
        <f>IF($C17="","",INDEX(인턴근무계획!$P$3:$P$62,$A17)&amp;"")</f>
        <v/>
      </c>
      <c r="O17" s="23">
        <f>IF($C17="","",INDEX(인턴근무계획!$Q$3:$Q$62,$A17)&amp;"")</f>
        <v/>
      </c>
      <c r="P17" s="23">
        <f>IF($C17="","",INDEX(인턴근무계획!$R$3:$R$62,$A17)&amp;"")</f>
        <v/>
      </c>
      <c r="Q17" s="23">
        <f>IF($C17="","",INDEX(인턴근무계획!$T$3:$T$62,$A17))</f>
        <v/>
      </c>
      <c r="S17" s="23">
        <f>IF(코드표!A13="","",코드표!A13)</f>
        <v/>
      </c>
      <c r="T17" s="23">
        <f>IF($S17="","",COUNTIF(K$6:K$65,$S17&amp;" *"))</f>
        <v/>
      </c>
      <c r="U17" s="23">
        <f>IF($S17="","",COUNTIF(L$6:L$65,$S17&amp;" *"))</f>
        <v/>
      </c>
      <c r="V17" s="23">
        <f>IF($S17="","",COUNTIF(M$6:M$65,$S17&amp;" *"))</f>
        <v/>
      </c>
      <c r="W17" s="23">
        <f>IF($S17="","",COUNTIF(N$6:N$65,$S17&amp;" *"))</f>
        <v/>
      </c>
      <c r="X17" s="23">
        <f>IF($S17="","",COUNTIF(O$6:O$65,$S17&amp;" *"))</f>
        <v/>
      </c>
      <c r="Y17" s="23">
        <f>IF($S17="","",COUNTIF(P$6:P$65,$S17&amp;" *"))</f>
        <v/>
      </c>
    </row>
    <row r="18">
      <c r="A18" s="26" t="n">
        <v>13</v>
      </c>
      <c r="B18" s="23">
        <f>IF($C18="","",INDEX(인턴근무계획!$B$3:$B$62,$A18))</f>
        <v/>
      </c>
      <c r="C18" s="23">
        <f>IFERROR(TRIM(INDEX(인턴근무계획!$C$3:$C$62,$A18)&amp;""),"")</f>
        <v/>
      </c>
      <c r="D18" s="23">
        <f>IF($C18="","",INDEX(인턴근무계획!$D$3:$D$62,$A18))</f>
        <v/>
      </c>
      <c r="E18" s="23">
        <f>IF($C18="","",IF(IFERROR(MATCH($D18,기본자료!$B$2:$B$1001,0),IFERROR(MATCH($D18&amp;"",기본자료!$B$2:$B$1001,0),IFERROR(MATCH(VALUE($D18),기본자료!$B$2:$B$1001,0),0)))&gt;0,"확인","미등록"))</f>
        <v/>
      </c>
      <c r="F18" s="27">
        <f>IF($C18="","",INDEX(인턴근무계획!$S$3:$S$62,$A18))</f>
        <v/>
      </c>
      <c r="G18" s="23">
        <f>IF(OR($C18="",$G$3=""),"",IF(INDEX(인턴근무계획!$M$3:$R$62,$A18,$G$3)&amp;""="","",IF(LEFT(INDEX(인턴근무계획!$M$3:$R$62,$A18,$G$3)&amp;"",1)="⚠",INDEX(인턴근무계획!$M$3:$R$62,$A18,$G$3)&amp;"",LEFT(INDEX(인턴근무계획!$M$3:$R$62,$A18,$G$3)&amp;"",FIND(" ",INDEX(인턴근무계획!$M$3:$R$62,$A18,$G$3)&amp;"")-1))))</f>
        <v/>
      </c>
      <c r="H18" s="23">
        <f>IF(OR($C18="",$G$3=""),"",IF(INDEX(인턴근무계획!$M$3:$R$62,$A18,$G$3)&amp;""="","",IF(LEFT(INDEX(인턴근무계획!$M$3:$R$62,$A18,$G$3)&amp;"",1)="⚠","",MID(INDEX(인턴근무계획!$M$3:$R$62,$A18,$G$3)&amp;"",FIND(" ",INDEX(인턴근무계획!$M$3:$R$62,$A18,$G$3)&amp;"")+1,60))))</f>
        <v/>
      </c>
      <c r="I18" s="23">
        <f>IF(OR($C18="",$I$3=""),"",IF(INDEX(인턴근무계획!$M$3:$R$62,$A18,$I$3)&amp;""="","",IF(LEFT(INDEX(인턴근무계획!$M$3:$R$62,$A18,$I$3)&amp;"",1)="⚠",INDEX(인턴근무계획!$M$3:$R$62,$A18,$I$3)&amp;"",LEFT(INDEX(인턴근무계획!$M$3:$R$62,$A18,$I$3)&amp;"",FIND(" ",INDEX(인턴근무계획!$M$3:$R$62,$A18,$I$3)&amp;"")-1))))</f>
        <v/>
      </c>
      <c r="J18" s="23">
        <f>IF(OR($C18="",$I$3=""),"",IF(INDEX(인턴근무계획!$M$3:$R$62,$A18,$I$3)&amp;""="","",IF(LEFT(INDEX(인턴근무계획!$M$3:$R$62,$A18,$I$3)&amp;"",1)="⚠","",MID(INDEX(인턴근무계획!$M$3:$R$62,$A18,$I$3)&amp;"",FIND(" ",INDEX(인턴근무계획!$M$3:$R$62,$A18,$I$3)&amp;"")+1,60))))</f>
        <v/>
      </c>
      <c r="K18" s="23">
        <f>IF($C18="","",INDEX(인턴근무계획!$M$3:$M$62,$A18)&amp;"")</f>
        <v/>
      </c>
      <c r="L18" s="23">
        <f>IF($C18="","",INDEX(인턴근무계획!$N$3:$N$62,$A18)&amp;"")</f>
        <v/>
      </c>
      <c r="M18" s="23">
        <f>IF($C18="","",INDEX(인턴근무계획!$O$3:$O$62,$A18)&amp;"")</f>
        <v/>
      </c>
      <c r="N18" s="23">
        <f>IF($C18="","",INDEX(인턴근무계획!$P$3:$P$62,$A18)&amp;"")</f>
        <v/>
      </c>
      <c r="O18" s="23">
        <f>IF($C18="","",INDEX(인턴근무계획!$Q$3:$Q$62,$A18)&amp;"")</f>
        <v/>
      </c>
      <c r="P18" s="23">
        <f>IF($C18="","",INDEX(인턴근무계획!$R$3:$R$62,$A18)&amp;"")</f>
        <v/>
      </c>
      <c r="Q18" s="23">
        <f>IF($C18="","",INDEX(인턴근무계획!$T$3:$T$62,$A18))</f>
        <v/>
      </c>
      <c r="S18" s="23">
        <f>IF(코드표!A14="","",코드표!A14)</f>
        <v/>
      </c>
      <c r="T18" s="23">
        <f>IF($S18="","",COUNTIF(K$6:K$65,$S18&amp;" *"))</f>
        <v/>
      </c>
      <c r="U18" s="23">
        <f>IF($S18="","",COUNTIF(L$6:L$65,$S18&amp;" *"))</f>
        <v/>
      </c>
      <c r="V18" s="23">
        <f>IF($S18="","",COUNTIF(M$6:M$65,$S18&amp;" *"))</f>
        <v/>
      </c>
      <c r="W18" s="23">
        <f>IF($S18="","",COUNTIF(N$6:N$65,$S18&amp;" *"))</f>
        <v/>
      </c>
      <c r="X18" s="23">
        <f>IF($S18="","",COUNTIF(O$6:O$65,$S18&amp;" *"))</f>
        <v/>
      </c>
      <c r="Y18" s="23">
        <f>IF($S18="","",COUNTIF(P$6:P$65,$S18&amp;" *"))</f>
        <v/>
      </c>
    </row>
    <row r="19">
      <c r="A19" s="26" t="n">
        <v>14</v>
      </c>
      <c r="B19" s="23">
        <f>IF($C19="","",INDEX(인턴근무계획!$B$3:$B$62,$A19))</f>
        <v/>
      </c>
      <c r="C19" s="23">
        <f>IFERROR(TRIM(INDEX(인턴근무계획!$C$3:$C$62,$A19)&amp;""),"")</f>
        <v/>
      </c>
      <c r="D19" s="23">
        <f>IF($C19="","",INDEX(인턴근무계획!$D$3:$D$62,$A19))</f>
        <v/>
      </c>
      <c r="E19" s="23">
        <f>IF($C19="","",IF(IFERROR(MATCH($D19,기본자료!$B$2:$B$1001,0),IFERROR(MATCH($D19&amp;"",기본자료!$B$2:$B$1001,0),IFERROR(MATCH(VALUE($D19),기본자료!$B$2:$B$1001,0),0)))&gt;0,"확인","미등록"))</f>
        <v/>
      </c>
      <c r="F19" s="27">
        <f>IF($C19="","",INDEX(인턴근무계획!$S$3:$S$62,$A19))</f>
        <v/>
      </c>
      <c r="G19" s="23">
        <f>IF(OR($C19="",$G$3=""),"",IF(INDEX(인턴근무계획!$M$3:$R$62,$A19,$G$3)&amp;""="","",IF(LEFT(INDEX(인턴근무계획!$M$3:$R$62,$A19,$G$3)&amp;"",1)="⚠",INDEX(인턴근무계획!$M$3:$R$62,$A19,$G$3)&amp;"",LEFT(INDEX(인턴근무계획!$M$3:$R$62,$A19,$G$3)&amp;"",FIND(" ",INDEX(인턴근무계획!$M$3:$R$62,$A19,$G$3)&amp;"")-1))))</f>
        <v/>
      </c>
      <c r="H19" s="23">
        <f>IF(OR($C19="",$G$3=""),"",IF(INDEX(인턴근무계획!$M$3:$R$62,$A19,$G$3)&amp;""="","",IF(LEFT(INDEX(인턴근무계획!$M$3:$R$62,$A19,$G$3)&amp;"",1)="⚠","",MID(INDEX(인턴근무계획!$M$3:$R$62,$A19,$G$3)&amp;"",FIND(" ",INDEX(인턴근무계획!$M$3:$R$62,$A19,$G$3)&amp;"")+1,60))))</f>
        <v/>
      </c>
      <c r="I19" s="23">
        <f>IF(OR($C19="",$I$3=""),"",IF(INDEX(인턴근무계획!$M$3:$R$62,$A19,$I$3)&amp;""="","",IF(LEFT(INDEX(인턴근무계획!$M$3:$R$62,$A19,$I$3)&amp;"",1)="⚠",INDEX(인턴근무계획!$M$3:$R$62,$A19,$I$3)&amp;"",LEFT(INDEX(인턴근무계획!$M$3:$R$62,$A19,$I$3)&amp;"",FIND(" ",INDEX(인턴근무계획!$M$3:$R$62,$A19,$I$3)&amp;"")-1))))</f>
        <v/>
      </c>
      <c r="J19" s="23">
        <f>IF(OR($C19="",$I$3=""),"",IF(INDEX(인턴근무계획!$M$3:$R$62,$A19,$I$3)&amp;""="","",IF(LEFT(INDEX(인턴근무계획!$M$3:$R$62,$A19,$I$3)&amp;"",1)="⚠","",MID(INDEX(인턴근무계획!$M$3:$R$62,$A19,$I$3)&amp;"",FIND(" ",INDEX(인턴근무계획!$M$3:$R$62,$A19,$I$3)&amp;"")+1,60))))</f>
        <v/>
      </c>
      <c r="K19" s="23">
        <f>IF($C19="","",INDEX(인턴근무계획!$M$3:$M$62,$A19)&amp;"")</f>
        <v/>
      </c>
      <c r="L19" s="23">
        <f>IF($C19="","",INDEX(인턴근무계획!$N$3:$N$62,$A19)&amp;"")</f>
        <v/>
      </c>
      <c r="M19" s="23">
        <f>IF($C19="","",INDEX(인턴근무계획!$O$3:$O$62,$A19)&amp;"")</f>
        <v/>
      </c>
      <c r="N19" s="23">
        <f>IF($C19="","",INDEX(인턴근무계획!$P$3:$P$62,$A19)&amp;"")</f>
        <v/>
      </c>
      <c r="O19" s="23">
        <f>IF($C19="","",INDEX(인턴근무계획!$Q$3:$Q$62,$A19)&amp;"")</f>
        <v/>
      </c>
      <c r="P19" s="23">
        <f>IF($C19="","",INDEX(인턴근무계획!$R$3:$R$62,$A19)&amp;"")</f>
        <v/>
      </c>
      <c r="Q19" s="23">
        <f>IF($C19="","",INDEX(인턴근무계획!$T$3:$T$62,$A19))</f>
        <v/>
      </c>
      <c r="S19" s="23">
        <f>IF(코드표!A15="","",코드표!A15)</f>
        <v/>
      </c>
      <c r="T19" s="23">
        <f>IF($S19="","",COUNTIF(K$6:K$65,$S19&amp;" *"))</f>
        <v/>
      </c>
      <c r="U19" s="23">
        <f>IF($S19="","",COUNTIF(L$6:L$65,$S19&amp;" *"))</f>
        <v/>
      </c>
      <c r="V19" s="23">
        <f>IF($S19="","",COUNTIF(M$6:M$65,$S19&amp;" *"))</f>
        <v/>
      </c>
      <c r="W19" s="23">
        <f>IF($S19="","",COUNTIF(N$6:N$65,$S19&amp;" *"))</f>
        <v/>
      </c>
      <c r="X19" s="23">
        <f>IF($S19="","",COUNTIF(O$6:O$65,$S19&amp;" *"))</f>
        <v/>
      </c>
      <c r="Y19" s="23">
        <f>IF($S19="","",COUNTIF(P$6:P$65,$S19&amp;" *"))</f>
        <v/>
      </c>
    </row>
    <row r="20">
      <c r="A20" s="26" t="n">
        <v>15</v>
      </c>
      <c r="B20" s="23">
        <f>IF($C20="","",INDEX(인턴근무계획!$B$3:$B$62,$A20))</f>
        <v/>
      </c>
      <c r="C20" s="23">
        <f>IFERROR(TRIM(INDEX(인턴근무계획!$C$3:$C$62,$A20)&amp;""),"")</f>
        <v/>
      </c>
      <c r="D20" s="23">
        <f>IF($C20="","",INDEX(인턴근무계획!$D$3:$D$62,$A20))</f>
        <v/>
      </c>
      <c r="E20" s="23">
        <f>IF($C20="","",IF(IFERROR(MATCH($D20,기본자료!$B$2:$B$1001,0),IFERROR(MATCH($D20&amp;"",기본자료!$B$2:$B$1001,0),IFERROR(MATCH(VALUE($D20),기본자료!$B$2:$B$1001,0),0)))&gt;0,"확인","미등록"))</f>
        <v/>
      </c>
      <c r="F20" s="27">
        <f>IF($C20="","",INDEX(인턴근무계획!$S$3:$S$62,$A20))</f>
        <v/>
      </c>
      <c r="G20" s="23">
        <f>IF(OR($C20="",$G$3=""),"",IF(INDEX(인턴근무계획!$M$3:$R$62,$A20,$G$3)&amp;""="","",IF(LEFT(INDEX(인턴근무계획!$M$3:$R$62,$A20,$G$3)&amp;"",1)="⚠",INDEX(인턴근무계획!$M$3:$R$62,$A20,$G$3)&amp;"",LEFT(INDEX(인턴근무계획!$M$3:$R$62,$A20,$G$3)&amp;"",FIND(" ",INDEX(인턴근무계획!$M$3:$R$62,$A20,$G$3)&amp;"")-1))))</f>
        <v/>
      </c>
      <c r="H20" s="23">
        <f>IF(OR($C20="",$G$3=""),"",IF(INDEX(인턴근무계획!$M$3:$R$62,$A20,$G$3)&amp;""="","",IF(LEFT(INDEX(인턴근무계획!$M$3:$R$62,$A20,$G$3)&amp;"",1)="⚠","",MID(INDEX(인턴근무계획!$M$3:$R$62,$A20,$G$3)&amp;"",FIND(" ",INDEX(인턴근무계획!$M$3:$R$62,$A20,$G$3)&amp;"")+1,60))))</f>
        <v/>
      </c>
      <c r="I20" s="23">
        <f>IF(OR($C20="",$I$3=""),"",IF(INDEX(인턴근무계획!$M$3:$R$62,$A20,$I$3)&amp;""="","",IF(LEFT(INDEX(인턴근무계획!$M$3:$R$62,$A20,$I$3)&amp;"",1)="⚠",INDEX(인턴근무계획!$M$3:$R$62,$A20,$I$3)&amp;"",LEFT(INDEX(인턴근무계획!$M$3:$R$62,$A20,$I$3)&amp;"",FIND(" ",INDEX(인턴근무계획!$M$3:$R$62,$A20,$I$3)&amp;"")-1))))</f>
        <v/>
      </c>
      <c r="J20" s="23">
        <f>IF(OR($C20="",$I$3=""),"",IF(INDEX(인턴근무계획!$M$3:$R$62,$A20,$I$3)&amp;""="","",IF(LEFT(INDEX(인턴근무계획!$M$3:$R$62,$A20,$I$3)&amp;"",1)="⚠","",MID(INDEX(인턴근무계획!$M$3:$R$62,$A20,$I$3)&amp;"",FIND(" ",INDEX(인턴근무계획!$M$3:$R$62,$A20,$I$3)&amp;"")+1,60))))</f>
        <v/>
      </c>
      <c r="K20" s="23">
        <f>IF($C20="","",INDEX(인턴근무계획!$M$3:$M$62,$A20)&amp;"")</f>
        <v/>
      </c>
      <c r="L20" s="23">
        <f>IF($C20="","",INDEX(인턴근무계획!$N$3:$N$62,$A20)&amp;"")</f>
        <v/>
      </c>
      <c r="M20" s="23">
        <f>IF($C20="","",INDEX(인턴근무계획!$O$3:$O$62,$A20)&amp;"")</f>
        <v/>
      </c>
      <c r="N20" s="23">
        <f>IF($C20="","",INDEX(인턴근무계획!$P$3:$P$62,$A20)&amp;"")</f>
        <v/>
      </c>
      <c r="O20" s="23">
        <f>IF($C20="","",INDEX(인턴근무계획!$Q$3:$Q$62,$A20)&amp;"")</f>
        <v/>
      </c>
      <c r="P20" s="23">
        <f>IF($C20="","",INDEX(인턴근무계획!$R$3:$R$62,$A20)&amp;"")</f>
        <v/>
      </c>
      <c r="Q20" s="23">
        <f>IF($C20="","",INDEX(인턴근무계획!$T$3:$T$62,$A20))</f>
        <v/>
      </c>
      <c r="S20" s="23">
        <f>IF(코드표!A16="","",코드표!A16)</f>
        <v/>
      </c>
      <c r="T20" s="23">
        <f>IF($S20="","",COUNTIF(K$6:K$65,$S20&amp;" *"))</f>
        <v/>
      </c>
      <c r="U20" s="23">
        <f>IF($S20="","",COUNTIF(L$6:L$65,$S20&amp;" *"))</f>
        <v/>
      </c>
      <c r="V20" s="23">
        <f>IF($S20="","",COUNTIF(M$6:M$65,$S20&amp;" *"))</f>
        <v/>
      </c>
      <c r="W20" s="23">
        <f>IF($S20="","",COUNTIF(N$6:N$65,$S20&amp;" *"))</f>
        <v/>
      </c>
      <c r="X20" s="23">
        <f>IF($S20="","",COUNTIF(O$6:O$65,$S20&amp;" *"))</f>
        <v/>
      </c>
      <c r="Y20" s="23">
        <f>IF($S20="","",COUNTIF(P$6:P$65,$S20&amp;" *"))</f>
        <v/>
      </c>
    </row>
    <row r="21">
      <c r="A21" s="26" t="n">
        <v>16</v>
      </c>
      <c r="B21" s="23">
        <f>IF($C21="","",INDEX(인턴근무계획!$B$3:$B$62,$A21))</f>
        <v/>
      </c>
      <c r="C21" s="23">
        <f>IFERROR(TRIM(INDEX(인턴근무계획!$C$3:$C$62,$A21)&amp;""),"")</f>
        <v/>
      </c>
      <c r="D21" s="23">
        <f>IF($C21="","",INDEX(인턴근무계획!$D$3:$D$62,$A21))</f>
        <v/>
      </c>
      <c r="E21" s="23">
        <f>IF($C21="","",IF(IFERROR(MATCH($D21,기본자료!$B$2:$B$1001,0),IFERROR(MATCH($D21&amp;"",기본자료!$B$2:$B$1001,0),IFERROR(MATCH(VALUE($D21),기본자료!$B$2:$B$1001,0),0)))&gt;0,"확인","미등록"))</f>
        <v/>
      </c>
      <c r="F21" s="27">
        <f>IF($C21="","",INDEX(인턴근무계획!$S$3:$S$62,$A21))</f>
        <v/>
      </c>
      <c r="G21" s="23">
        <f>IF(OR($C21="",$G$3=""),"",IF(INDEX(인턴근무계획!$M$3:$R$62,$A21,$G$3)&amp;""="","",IF(LEFT(INDEX(인턴근무계획!$M$3:$R$62,$A21,$G$3)&amp;"",1)="⚠",INDEX(인턴근무계획!$M$3:$R$62,$A21,$G$3)&amp;"",LEFT(INDEX(인턴근무계획!$M$3:$R$62,$A21,$G$3)&amp;"",FIND(" ",INDEX(인턴근무계획!$M$3:$R$62,$A21,$G$3)&amp;"")-1))))</f>
        <v/>
      </c>
      <c r="H21" s="23">
        <f>IF(OR($C21="",$G$3=""),"",IF(INDEX(인턴근무계획!$M$3:$R$62,$A21,$G$3)&amp;""="","",IF(LEFT(INDEX(인턴근무계획!$M$3:$R$62,$A21,$G$3)&amp;"",1)="⚠","",MID(INDEX(인턴근무계획!$M$3:$R$62,$A21,$G$3)&amp;"",FIND(" ",INDEX(인턴근무계획!$M$3:$R$62,$A21,$G$3)&amp;"")+1,60))))</f>
        <v/>
      </c>
      <c r="I21" s="23">
        <f>IF(OR($C21="",$I$3=""),"",IF(INDEX(인턴근무계획!$M$3:$R$62,$A21,$I$3)&amp;""="","",IF(LEFT(INDEX(인턴근무계획!$M$3:$R$62,$A21,$I$3)&amp;"",1)="⚠",INDEX(인턴근무계획!$M$3:$R$62,$A21,$I$3)&amp;"",LEFT(INDEX(인턴근무계획!$M$3:$R$62,$A21,$I$3)&amp;"",FIND(" ",INDEX(인턴근무계획!$M$3:$R$62,$A21,$I$3)&amp;"")-1))))</f>
        <v/>
      </c>
      <c r="J21" s="23">
        <f>IF(OR($C21="",$I$3=""),"",IF(INDEX(인턴근무계획!$M$3:$R$62,$A21,$I$3)&amp;""="","",IF(LEFT(INDEX(인턴근무계획!$M$3:$R$62,$A21,$I$3)&amp;"",1)="⚠","",MID(INDEX(인턴근무계획!$M$3:$R$62,$A21,$I$3)&amp;"",FIND(" ",INDEX(인턴근무계획!$M$3:$R$62,$A21,$I$3)&amp;"")+1,60))))</f>
        <v/>
      </c>
      <c r="K21" s="23">
        <f>IF($C21="","",INDEX(인턴근무계획!$M$3:$M$62,$A21)&amp;"")</f>
        <v/>
      </c>
      <c r="L21" s="23">
        <f>IF($C21="","",INDEX(인턴근무계획!$N$3:$N$62,$A21)&amp;"")</f>
        <v/>
      </c>
      <c r="M21" s="23">
        <f>IF($C21="","",INDEX(인턴근무계획!$O$3:$O$62,$A21)&amp;"")</f>
        <v/>
      </c>
      <c r="N21" s="23">
        <f>IF($C21="","",INDEX(인턴근무계획!$P$3:$P$62,$A21)&amp;"")</f>
        <v/>
      </c>
      <c r="O21" s="23">
        <f>IF($C21="","",INDEX(인턴근무계획!$Q$3:$Q$62,$A21)&amp;"")</f>
        <v/>
      </c>
      <c r="P21" s="23">
        <f>IF($C21="","",INDEX(인턴근무계획!$R$3:$R$62,$A21)&amp;"")</f>
        <v/>
      </c>
      <c r="Q21" s="23">
        <f>IF($C21="","",INDEX(인턴근무계획!$T$3:$T$62,$A21))</f>
        <v/>
      </c>
      <c r="S21" s="23">
        <f>IF(코드표!A17="","",코드표!A17)</f>
        <v/>
      </c>
      <c r="T21" s="23">
        <f>IF($S21="","",COUNTIF(K$6:K$65,$S21&amp;" *"))</f>
        <v/>
      </c>
      <c r="U21" s="23">
        <f>IF($S21="","",COUNTIF(L$6:L$65,$S21&amp;" *"))</f>
        <v/>
      </c>
      <c r="V21" s="23">
        <f>IF($S21="","",COUNTIF(M$6:M$65,$S21&amp;" *"))</f>
        <v/>
      </c>
      <c r="W21" s="23">
        <f>IF($S21="","",COUNTIF(N$6:N$65,$S21&amp;" *"))</f>
        <v/>
      </c>
      <c r="X21" s="23">
        <f>IF($S21="","",COUNTIF(O$6:O$65,$S21&amp;" *"))</f>
        <v/>
      </c>
      <c r="Y21" s="23">
        <f>IF($S21="","",COUNTIF(P$6:P$65,$S21&amp;" *"))</f>
        <v/>
      </c>
    </row>
    <row r="22">
      <c r="A22" s="26" t="n">
        <v>17</v>
      </c>
      <c r="B22" s="23">
        <f>IF($C22="","",INDEX(인턴근무계획!$B$3:$B$62,$A22))</f>
        <v/>
      </c>
      <c r="C22" s="23">
        <f>IFERROR(TRIM(INDEX(인턴근무계획!$C$3:$C$62,$A22)&amp;""),"")</f>
        <v/>
      </c>
      <c r="D22" s="23">
        <f>IF($C22="","",INDEX(인턴근무계획!$D$3:$D$62,$A22))</f>
        <v/>
      </c>
      <c r="E22" s="23">
        <f>IF($C22="","",IF(IFERROR(MATCH($D22,기본자료!$B$2:$B$1001,0),IFERROR(MATCH($D22&amp;"",기본자료!$B$2:$B$1001,0),IFERROR(MATCH(VALUE($D22),기본자료!$B$2:$B$1001,0),0)))&gt;0,"확인","미등록"))</f>
        <v/>
      </c>
      <c r="F22" s="27">
        <f>IF($C22="","",INDEX(인턴근무계획!$S$3:$S$62,$A22))</f>
        <v/>
      </c>
      <c r="G22" s="23">
        <f>IF(OR($C22="",$G$3=""),"",IF(INDEX(인턴근무계획!$M$3:$R$62,$A22,$G$3)&amp;""="","",IF(LEFT(INDEX(인턴근무계획!$M$3:$R$62,$A22,$G$3)&amp;"",1)="⚠",INDEX(인턴근무계획!$M$3:$R$62,$A22,$G$3)&amp;"",LEFT(INDEX(인턴근무계획!$M$3:$R$62,$A22,$G$3)&amp;"",FIND(" ",INDEX(인턴근무계획!$M$3:$R$62,$A22,$G$3)&amp;"")-1))))</f>
        <v/>
      </c>
      <c r="H22" s="23">
        <f>IF(OR($C22="",$G$3=""),"",IF(INDEX(인턴근무계획!$M$3:$R$62,$A22,$G$3)&amp;""="","",IF(LEFT(INDEX(인턴근무계획!$M$3:$R$62,$A22,$G$3)&amp;"",1)="⚠","",MID(INDEX(인턴근무계획!$M$3:$R$62,$A22,$G$3)&amp;"",FIND(" ",INDEX(인턴근무계획!$M$3:$R$62,$A22,$G$3)&amp;"")+1,60))))</f>
        <v/>
      </c>
      <c r="I22" s="23">
        <f>IF(OR($C22="",$I$3=""),"",IF(INDEX(인턴근무계획!$M$3:$R$62,$A22,$I$3)&amp;""="","",IF(LEFT(INDEX(인턴근무계획!$M$3:$R$62,$A22,$I$3)&amp;"",1)="⚠",INDEX(인턴근무계획!$M$3:$R$62,$A22,$I$3)&amp;"",LEFT(INDEX(인턴근무계획!$M$3:$R$62,$A22,$I$3)&amp;"",FIND(" ",INDEX(인턴근무계획!$M$3:$R$62,$A22,$I$3)&amp;"")-1))))</f>
        <v/>
      </c>
      <c r="J22" s="23">
        <f>IF(OR($C22="",$I$3=""),"",IF(INDEX(인턴근무계획!$M$3:$R$62,$A22,$I$3)&amp;""="","",IF(LEFT(INDEX(인턴근무계획!$M$3:$R$62,$A22,$I$3)&amp;"",1)="⚠","",MID(INDEX(인턴근무계획!$M$3:$R$62,$A22,$I$3)&amp;"",FIND(" ",INDEX(인턴근무계획!$M$3:$R$62,$A22,$I$3)&amp;"")+1,60))))</f>
        <v/>
      </c>
      <c r="K22" s="23">
        <f>IF($C22="","",INDEX(인턴근무계획!$M$3:$M$62,$A22)&amp;"")</f>
        <v/>
      </c>
      <c r="L22" s="23">
        <f>IF($C22="","",INDEX(인턴근무계획!$N$3:$N$62,$A22)&amp;"")</f>
        <v/>
      </c>
      <c r="M22" s="23">
        <f>IF($C22="","",INDEX(인턴근무계획!$O$3:$O$62,$A22)&amp;"")</f>
        <v/>
      </c>
      <c r="N22" s="23">
        <f>IF($C22="","",INDEX(인턴근무계획!$P$3:$P$62,$A22)&amp;"")</f>
        <v/>
      </c>
      <c r="O22" s="23">
        <f>IF($C22="","",INDEX(인턴근무계획!$Q$3:$Q$62,$A22)&amp;"")</f>
        <v/>
      </c>
      <c r="P22" s="23">
        <f>IF($C22="","",INDEX(인턴근무계획!$R$3:$R$62,$A22)&amp;"")</f>
        <v/>
      </c>
      <c r="Q22" s="23">
        <f>IF($C22="","",INDEX(인턴근무계획!$T$3:$T$62,$A22))</f>
        <v/>
      </c>
      <c r="S22" s="23">
        <f>IF(코드표!A18="","",코드표!A18)</f>
        <v/>
      </c>
      <c r="T22" s="23">
        <f>IF($S22="","",COUNTIF(K$6:K$65,$S22&amp;" *"))</f>
        <v/>
      </c>
      <c r="U22" s="23">
        <f>IF($S22="","",COUNTIF(L$6:L$65,$S22&amp;" *"))</f>
        <v/>
      </c>
      <c r="V22" s="23">
        <f>IF($S22="","",COUNTIF(M$6:M$65,$S22&amp;" *"))</f>
        <v/>
      </c>
      <c r="W22" s="23">
        <f>IF($S22="","",COUNTIF(N$6:N$65,$S22&amp;" *"))</f>
        <v/>
      </c>
      <c r="X22" s="23">
        <f>IF($S22="","",COUNTIF(O$6:O$65,$S22&amp;" *"))</f>
        <v/>
      </c>
      <c r="Y22" s="23">
        <f>IF($S22="","",COUNTIF(P$6:P$65,$S22&amp;" *"))</f>
        <v/>
      </c>
    </row>
    <row r="23">
      <c r="A23" s="26" t="n">
        <v>18</v>
      </c>
      <c r="B23" s="23">
        <f>IF($C23="","",INDEX(인턴근무계획!$B$3:$B$62,$A23))</f>
        <v/>
      </c>
      <c r="C23" s="23">
        <f>IFERROR(TRIM(INDEX(인턴근무계획!$C$3:$C$62,$A23)&amp;""),"")</f>
        <v/>
      </c>
      <c r="D23" s="23">
        <f>IF($C23="","",INDEX(인턴근무계획!$D$3:$D$62,$A23))</f>
        <v/>
      </c>
      <c r="E23" s="23">
        <f>IF($C23="","",IF(IFERROR(MATCH($D23,기본자료!$B$2:$B$1001,0),IFERROR(MATCH($D23&amp;"",기본자료!$B$2:$B$1001,0),IFERROR(MATCH(VALUE($D23),기본자료!$B$2:$B$1001,0),0)))&gt;0,"확인","미등록"))</f>
        <v/>
      </c>
      <c r="F23" s="27">
        <f>IF($C23="","",INDEX(인턴근무계획!$S$3:$S$62,$A23))</f>
        <v/>
      </c>
      <c r="G23" s="23">
        <f>IF(OR($C23="",$G$3=""),"",IF(INDEX(인턴근무계획!$M$3:$R$62,$A23,$G$3)&amp;""="","",IF(LEFT(INDEX(인턴근무계획!$M$3:$R$62,$A23,$G$3)&amp;"",1)="⚠",INDEX(인턴근무계획!$M$3:$R$62,$A23,$G$3)&amp;"",LEFT(INDEX(인턴근무계획!$M$3:$R$62,$A23,$G$3)&amp;"",FIND(" ",INDEX(인턴근무계획!$M$3:$R$62,$A23,$G$3)&amp;"")-1))))</f>
        <v/>
      </c>
      <c r="H23" s="23">
        <f>IF(OR($C23="",$G$3=""),"",IF(INDEX(인턴근무계획!$M$3:$R$62,$A23,$G$3)&amp;""="","",IF(LEFT(INDEX(인턴근무계획!$M$3:$R$62,$A23,$G$3)&amp;"",1)="⚠","",MID(INDEX(인턴근무계획!$M$3:$R$62,$A23,$G$3)&amp;"",FIND(" ",INDEX(인턴근무계획!$M$3:$R$62,$A23,$G$3)&amp;"")+1,60))))</f>
        <v/>
      </c>
      <c r="I23" s="23">
        <f>IF(OR($C23="",$I$3=""),"",IF(INDEX(인턴근무계획!$M$3:$R$62,$A23,$I$3)&amp;""="","",IF(LEFT(INDEX(인턴근무계획!$M$3:$R$62,$A23,$I$3)&amp;"",1)="⚠",INDEX(인턴근무계획!$M$3:$R$62,$A23,$I$3)&amp;"",LEFT(INDEX(인턴근무계획!$M$3:$R$62,$A23,$I$3)&amp;"",FIND(" ",INDEX(인턴근무계획!$M$3:$R$62,$A23,$I$3)&amp;"")-1))))</f>
        <v/>
      </c>
      <c r="J23" s="23">
        <f>IF(OR($C23="",$I$3=""),"",IF(INDEX(인턴근무계획!$M$3:$R$62,$A23,$I$3)&amp;""="","",IF(LEFT(INDEX(인턴근무계획!$M$3:$R$62,$A23,$I$3)&amp;"",1)="⚠","",MID(INDEX(인턴근무계획!$M$3:$R$62,$A23,$I$3)&amp;"",FIND(" ",INDEX(인턴근무계획!$M$3:$R$62,$A23,$I$3)&amp;"")+1,60))))</f>
        <v/>
      </c>
      <c r="K23" s="23">
        <f>IF($C23="","",INDEX(인턴근무계획!$M$3:$M$62,$A23)&amp;"")</f>
        <v/>
      </c>
      <c r="L23" s="23">
        <f>IF($C23="","",INDEX(인턴근무계획!$N$3:$N$62,$A23)&amp;"")</f>
        <v/>
      </c>
      <c r="M23" s="23">
        <f>IF($C23="","",INDEX(인턴근무계획!$O$3:$O$62,$A23)&amp;"")</f>
        <v/>
      </c>
      <c r="N23" s="23">
        <f>IF($C23="","",INDEX(인턴근무계획!$P$3:$P$62,$A23)&amp;"")</f>
        <v/>
      </c>
      <c r="O23" s="23">
        <f>IF($C23="","",INDEX(인턴근무계획!$Q$3:$Q$62,$A23)&amp;"")</f>
        <v/>
      </c>
      <c r="P23" s="23">
        <f>IF($C23="","",INDEX(인턴근무계획!$R$3:$R$62,$A23)&amp;"")</f>
        <v/>
      </c>
      <c r="Q23" s="23">
        <f>IF($C23="","",INDEX(인턴근무계획!$T$3:$T$62,$A23))</f>
        <v/>
      </c>
      <c r="S23" s="23">
        <f>IF(코드표!A19="","",코드표!A19)</f>
        <v/>
      </c>
      <c r="T23" s="23">
        <f>IF($S23="","",COUNTIF(K$6:K$65,$S23&amp;" *"))</f>
        <v/>
      </c>
      <c r="U23" s="23">
        <f>IF($S23="","",COUNTIF(L$6:L$65,$S23&amp;" *"))</f>
        <v/>
      </c>
      <c r="V23" s="23">
        <f>IF($S23="","",COUNTIF(M$6:M$65,$S23&amp;" *"))</f>
        <v/>
      </c>
      <c r="W23" s="23">
        <f>IF($S23="","",COUNTIF(N$6:N$65,$S23&amp;" *"))</f>
        <v/>
      </c>
      <c r="X23" s="23">
        <f>IF($S23="","",COUNTIF(O$6:O$65,$S23&amp;" *"))</f>
        <v/>
      </c>
      <c r="Y23" s="23">
        <f>IF($S23="","",COUNTIF(P$6:P$65,$S23&amp;" *"))</f>
        <v/>
      </c>
    </row>
    <row r="24">
      <c r="A24" s="26" t="n">
        <v>19</v>
      </c>
      <c r="B24" s="23">
        <f>IF($C24="","",INDEX(인턴근무계획!$B$3:$B$62,$A24))</f>
        <v/>
      </c>
      <c r="C24" s="23">
        <f>IFERROR(TRIM(INDEX(인턴근무계획!$C$3:$C$62,$A24)&amp;""),"")</f>
        <v/>
      </c>
      <c r="D24" s="23">
        <f>IF($C24="","",INDEX(인턴근무계획!$D$3:$D$62,$A24))</f>
        <v/>
      </c>
      <c r="E24" s="23">
        <f>IF($C24="","",IF(IFERROR(MATCH($D24,기본자료!$B$2:$B$1001,0),IFERROR(MATCH($D24&amp;"",기본자료!$B$2:$B$1001,0),IFERROR(MATCH(VALUE($D24),기본자료!$B$2:$B$1001,0),0)))&gt;0,"확인","미등록"))</f>
        <v/>
      </c>
      <c r="F24" s="27">
        <f>IF($C24="","",INDEX(인턴근무계획!$S$3:$S$62,$A24))</f>
        <v/>
      </c>
      <c r="G24" s="23">
        <f>IF(OR($C24="",$G$3=""),"",IF(INDEX(인턴근무계획!$M$3:$R$62,$A24,$G$3)&amp;""="","",IF(LEFT(INDEX(인턴근무계획!$M$3:$R$62,$A24,$G$3)&amp;"",1)="⚠",INDEX(인턴근무계획!$M$3:$R$62,$A24,$G$3)&amp;"",LEFT(INDEX(인턴근무계획!$M$3:$R$62,$A24,$G$3)&amp;"",FIND(" ",INDEX(인턴근무계획!$M$3:$R$62,$A24,$G$3)&amp;"")-1))))</f>
        <v/>
      </c>
      <c r="H24" s="23">
        <f>IF(OR($C24="",$G$3=""),"",IF(INDEX(인턴근무계획!$M$3:$R$62,$A24,$G$3)&amp;""="","",IF(LEFT(INDEX(인턴근무계획!$M$3:$R$62,$A24,$G$3)&amp;"",1)="⚠","",MID(INDEX(인턴근무계획!$M$3:$R$62,$A24,$G$3)&amp;"",FIND(" ",INDEX(인턴근무계획!$M$3:$R$62,$A24,$G$3)&amp;"")+1,60))))</f>
        <v/>
      </c>
      <c r="I24" s="23">
        <f>IF(OR($C24="",$I$3=""),"",IF(INDEX(인턴근무계획!$M$3:$R$62,$A24,$I$3)&amp;""="","",IF(LEFT(INDEX(인턴근무계획!$M$3:$R$62,$A24,$I$3)&amp;"",1)="⚠",INDEX(인턴근무계획!$M$3:$R$62,$A24,$I$3)&amp;"",LEFT(INDEX(인턴근무계획!$M$3:$R$62,$A24,$I$3)&amp;"",FIND(" ",INDEX(인턴근무계획!$M$3:$R$62,$A24,$I$3)&amp;"")-1))))</f>
        <v/>
      </c>
      <c r="J24" s="23">
        <f>IF(OR($C24="",$I$3=""),"",IF(INDEX(인턴근무계획!$M$3:$R$62,$A24,$I$3)&amp;""="","",IF(LEFT(INDEX(인턴근무계획!$M$3:$R$62,$A24,$I$3)&amp;"",1)="⚠","",MID(INDEX(인턴근무계획!$M$3:$R$62,$A24,$I$3)&amp;"",FIND(" ",INDEX(인턴근무계획!$M$3:$R$62,$A24,$I$3)&amp;"")+1,60))))</f>
        <v/>
      </c>
      <c r="K24" s="23">
        <f>IF($C24="","",INDEX(인턴근무계획!$M$3:$M$62,$A24)&amp;"")</f>
        <v/>
      </c>
      <c r="L24" s="23">
        <f>IF($C24="","",INDEX(인턴근무계획!$N$3:$N$62,$A24)&amp;"")</f>
        <v/>
      </c>
      <c r="M24" s="23">
        <f>IF($C24="","",INDEX(인턴근무계획!$O$3:$O$62,$A24)&amp;"")</f>
        <v/>
      </c>
      <c r="N24" s="23">
        <f>IF($C24="","",INDEX(인턴근무계획!$P$3:$P$62,$A24)&amp;"")</f>
        <v/>
      </c>
      <c r="O24" s="23">
        <f>IF($C24="","",INDEX(인턴근무계획!$Q$3:$Q$62,$A24)&amp;"")</f>
        <v/>
      </c>
      <c r="P24" s="23">
        <f>IF($C24="","",INDEX(인턴근무계획!$R$3:$R$62,$A24)&amp;"")</f>
        <v/>
      </c>
      <c r="Q24" s="23">
        <f>IF($C24="","",INDEX(인턴근무계획!$T$3:$T$62,$A24))</f>
        <v/>
      </c>
      <c r="S24" s="23">
        <f>IF(코드표!A20="","",코드표!A20)</f>
        <v/>
      </c>
      <c r="T24" s="23">
        <f>IF($S24="","",COUNTIF(K$6:K$65,$S24&amp;" *"))</f>
        <v/>
      </c>
      <c r="U24" s="23">
        <f>IF($S24="","",COUNTIF(L$6:L$65,$S24&amp;" *"))</f>
        <v/>
      </c>
      <c r="V24" s="23">
        <f>IF($S24="","",COUNTIF(M$6:M$65,$S24&amp;" *"))</f>
        <v/>
      </c>
      <c r="W24" s="23">
        <f>IF($S24="","",COUNTIF(N$6:N$65,$S24&amp;" *"))</f>
        <v/>
      </c>
      <c r="X24" s="23">
        <f>IF($S24="","",COUNTIF(O$6:O$65,$S24&amp;" *"))</f>
        <v/>
      </c>
      <c r="Y24" s="23">
        <f>IF($S24="","",COUNTIF(P$6:P$65,$S24&amp;" *"))</f>
        <v/>
      </c>
    </row>
    <row r="25">
      <c r="A25" s="26" t="n">
        <v>20</v>
      </c>
      <c r="B25" s="23">
        <f>IF($C25="","",INDEX(인턴근무계획!$B$3:$B$62,$A25))</f>
        <v/>
      </c>
      <c r="C25" s="23">
        <f>IFERROR(TRIM(INDEX(인턴근무계획!$C$3:$C$62,$A25)&amp;""),"")</f>
        <v/>
      </c>
      <c r="D25" s="23">
        <f>IF($C25="","",INDEX(인턴근무계획!$D$3:$D$62,$A25))</f>
        <v/>
      </c>
      <c r="E25" s="23">
        <f>IF($C25="","",IF(IFERROR(MATCH($D25,기본자료!$B$2:$B$1001,0),IFERROR(MATCH($D25&amp;"",기본자료!$B$2:$B$1001,0),IFERROR(MATCH(VALUE($D25),기본자료!$B$2:$B$1001,0),0)))&gt;0,"확인","미등록"))</f>
        <v/>
      </c>
      <c r="F25" s="27">
        <f>IF($C25="","",INDEX(인턴근무계획!$S$3:$S$62,$A25))</f>
        <v/>
      </c>
      <c r="G25" s="23">
        <f>IF(OR($C25="",$G$3=""),"",IF(INDEX(인턴근무계획!$M$3:$R$62,$A25,$G$3)&amp;""="","",IF(LEFT(INDEX(인턴근무계획!$M$3:$R$62,$A25,$G$3)&amp;"",1)="⚠",INDEX(인턴근무계획!$M$3:$R$62,$A25,$G$3)&amp;"",LEFT(INDEX(인턴근무계획!$M$3:$R$62,$A25,$G$3)&amp;"",FIND(" ",INDEX(인턴근무계획!$M$3:$R$62,$A25,$G$3)&amp;"")-1))))</f>
        <v/>
      </c>
      <c r="H25" s="23">
        <f>IF(OR($C25="",$G$3=""),"",IF(INDEX(인턴근무계획!$M$3:$R$62,$A25,$G$3)&amp;""="","",IF(LEFT(INDEX(인턴근무계획!$M$3:$R$62,$A25,$G$3)&amp;"",1)="⚠","",MID(INDEX(인턴근무계획!$M$3:$R$62,$A25,$G$3)&amp;"",FIND(" ",INDEX(인턴근무계획!$M$3:$R$62,$A25,$G$3)&amp;"")+1,60))))</f>
        <v/>
      </c>
      <c r="I25" s="23">
        <f>IF(OR($C25="",$I$3=""),"",IF(INDEX(인턴근무계획!$M$3:$R$62,$A25,$I$3)&amp;""="","",IF(LEFT(INDEX(인턴근무계획!$M$3:$R$62,$A25,$I$3)&amp;"",1)="⚠",INDEX(인턴근무계획!$M$3:$R$62,$A25,$I$3)&amp;"",LEFT(INDEX(인턴근무계획!$M$3:$R$62,$A25,$I$3)&amp;"",FIND(" ",INDEX(인턴근무계획!$M$3:$R$62,$A25,$I$3)&amp;"")-1))))</f>
        <v/>
      </c>
      <c r="J25" s="23">
        <f>IF(OR($C25="",$I$3=""),"",IF(INDEX(인턴근무계획!$M$3:$R$62,$A25,$I$3)&amp;""="","",IF(LEFT(INDEX(인턴근무계획!$M$3:$R$62,$A25,$I$3)&amp;"",1)="⚠","",MID(INDEX(인턴근무계획!$M$3:$R$62,$A25,$I$3)&amp;"",FIND(" ",INDEX(인턴근무계획!$M$3:$R$62,$A25,$I$3)&amp;"")+1,60))))</f>
        <v/>
      </c>
      <c r="K25" s="23">
        <f>IF($C25="","",INDEX(인턴근무계획!$M$3:$M$62,$A25)&amp;"")</f>
        <v/>
      </c>
      <c r="L25" s="23">
        <f>IF($C25="","",INDEX(인턴근무계획!$N$3:$N$62,$A25)&amp;"")</f>
        <v/>
      </c>
      <c r="M25" s="23">
        <f>IF($C25="","",INDEX(인턴근무계획!$O$3:$O$62,$A25)&amp;"")</f>
        <v/>
      </c>
      <c r="N25" s="23">
        <f>IF($C25="","",INDEX(인턴근무계획!$P$3:$P$62,$A25)&amp;"")</f>
        <v/>
      </c>
      <c r="O25" s="23">
        <f>IF($C25="","",INDEX(인턴근무계획!$Q$3:$Q$62,$A25)&amp;"")</f>
        <v/>
      </c>
      <c r="P25" s="23">
        <f>IF($C25="","",INDEX(인턴근무계획!$R$3:$R$62,$A25)&amp;"")</f>
        <v/>
      </c>
      <c r="Q25" s="23">
        <f>IF($C25="","",INDEX(인턴근무계획!$T$3:$T$62,$A25))</f>
        <v/>
      </c>
      <c r="S25" s="23">
        <f>IF(코드표!A21="","",코드표!A21)</f>
        <v/>
      </c>
      <c r="T25" s="23">
        <f>IF($S25="","",COUNTIF(K$6:K$65,$S25&amp;" *"))</f>
        <v/>
      </c>
      <c r="U25" s="23">
        <f>IF($S25="","",COUNTIF(L$6:L$65,$S25&amp;" *"))</f>
        <v/>
      </c>
      <c r="V25" s="23">
        <f>IF($S25="","",COUNTIF(M$6:M$65,$S25&amp;" *"))</f>
        <v/>
      </c>
      <c r="W25" s="23">
        <f>IF($S25="","",COUNTIF(N$6:N$65,$S25&amp;" *"))</f>
        <v/>
      </c>
      <c r="X25" s="23">
        <f>IF($S25="","",COUNTIF(O$6:O$65,$S25&amp;" *"))</f>
        <v/>
      </c>
      <c r="Y25" s="23">
        <f>IF($S25="","",COUNTIF(P$6:P$65,$S25&amp;" *"))</f>
        <v/>
      </c>
    </row>
    <row r="26">
      <c r="A26" s="26" t="n">
        <v>21</v>
      </c>
      <c r="B26" s="23">
        <f>IF($C26="","",INDEX(인턴근무계획!$B$3:$B$62,$A26))</f>
        <v/>
      </c>
      <c r="C26" s="23">
        <f>IFERROR(TRIM(INDEX(인턴근무계획!$C$3:$C$62,$A26)&amp;""),"")</f>
        <v/>
      </c>
      <c r="D26" s="23">
        <f>IF($C26="","",INDEX(인턴근무계획!$D$3:$D$62,$A26))</f>
        <v/>
      </c>
      <c r="E26" s="23">
        <f>IF($C26="","",IF(IFERROR(MATCH($D26,기본자료!$B$2:$B$1001,0),IFERROR(MATCH($D26&amp;"",기본자료!$B$2:$B$1001,0),IFERROR(MATCH(VALUE($D26),기본자료!$B$2:$B$1001,0),0)))&gt;0,"확인","미등록"))</f>
        <v/>
      </c>
      <c r="F26" s="27">
        <f>IF($C26="","",INDEX(인턴근무계획!$S$3:$S$62,$A26))</f>
        <v/>
      </c>
      <c r="G26" s="23">
        <f>IF(OR($C26="",$G$3=""),"",IF(INDEX(인턴근무계획!$M$3:$R$62,$A26,$G$3)&amp;""="","",IF(LEFT(INDEX(인턴근무계획!$M$3:$R$62,$A26,$G$3)&amp;"",1)="⚠",INDEX(인턴근무계획!$M$3:$R$62,$A26,$G$3)&amp;"",LEFT(INDEX(인턴근무계획!$M$3:$R$62,$A26,$G$3)&amp;"",FIND(" ",INDEX(인턴근무계획!$M$3:$R$62,$A26,$G$3)&amp;"")-1))))</f>
        <v/>
      </c>
      <c r="H26" s="23">
        <f>IF(OR($C26="",$G$3=""),"",IF(INDEX(인턴근무계획!$M$3:$R$62,$A26,$G$3)&amp;""="","",IF(LEFT(INDEX(인턴근무계획!$M$3:$R$62,$A26,$G$3)&amp;"",1)="⚠","",MID(INDEX(인턴근무계획!$M$3:$R$62,$A26,$G$3)&amp;"",FIND(" ",INDEX(인턴근무계획!$M$3:$R$62,$A26,$G$3)&amp;"")+1,60))))</f>
        <v/>
      </c>
      <c r="I26" s="23">
        <f>IF(OR($C26="",$I$3=""),"",IF(INDEX(인턴근무계획!$M$3:$R$62,$A26,$I$3)&amp;""="","",IF(LEFT(INDEX(인턴근무계획!$M$3:$R$62,$A26,$I$3)&amp;"",1)="⚠",INDEX(인턴근무계획!$M$3:$R$62,$A26,$I$3)&amp;"",LEFT(INDEX(인턴근무계획!$M$3:$R$62,$A26,$I$3)&amp;"",FIND(" ",INDEX(인턴근무계획!$M$3:$R$62,$A26,$I$3)&amp;"")-1))))</f>
        <v/>
      </c>
      <c r="J26" s="23">
        <f>IF(OR($C26="",$I$3=""),"",IF(INDEX(인턴근무계획!$M$3:$R$62,$A26,$I$3)&amp;""="","",IF(LEFT(INDEX(인턴근무계획!$M$3:$R$62,$A26,$I$3)&amp;"",1)="⚠","",MID(INDEX(인턴근무계획!$M$3:$R$62,$A26,$I$3)&amp;"",FIND(" ",INDEX(인턴근무계획!$M$3:$R$62,$A26,$I$3)&amp;"")+1,60))))</f>
        <v/>
      </c>
      <c r="K26" s="23">
        <f>IF($C26="","",INDEX(인턴근무계획!$M$3:$M$62,$A26)&amp;"")</f>
        <v/>
      </c>
      <c r="L26" s="23">
        <f>IF($C26="","",INDEX(인턴근무계획!$N$3:$N$62,$A26)&amp;"")</f>
        <v/>
      </c>
      <c r="M26" s="23">
        <f>IF($C26="","",INDEX(인턴근무계획!$O$3:$O$62,$A26)&amp;"")</f>
        <v/>
      </c>
      <c r="N26" s="23">
        <f>IF($C26="","",INDEX(인턴근무계획!$P$3:$P$62,$A26)&amp;"")</f>
        <v/>
      </c>
      <c r="O26" s="23">
        <f>IF($C26="","",INDEX(인턴근무계획!$Q$3:$Q$62,$A26)&amp;"")</f>
        <v/>
      </c>
      <c r="P26" s="23">
        <f>IF($C26="","",INDEX(인턴근무계획!$R$3:$R$62,$A26)&amp;"")</f>
        <v/>
      </c>
      <c r="Q26" s="23">
        <f>IF($C26="","",INDEX(인턴근무계획!$T$3:$T$62,$A26))</f>
        <v/>
      </c>
      <c r="S26" s="24" t="inlineStr">
        <is>
          <t>⚠ 오류(인식 불가)</t>
        </is>
      </c>
      <c r="T26" s="24">
        <f>COUNTIF(K$6:K$65,"⚠*")</f>
        <v/>
      </c>
      <c r="U26" s="24">
        <f>COUNTIF(L$6:L$65,"⚠*")</f>
        <v/>
      </c>
      <c r="V26" s="24">
        <f>COUNTIF(M$6:M$65,"⚠*")</f>
        <v/>
      </c>
      <c r="W26" s="24">
        <f>COUNTIF(N$6:N$65,"⚠*")</f>
        <v/>
      </c>
      <c r="X26" s="24">
        <f>COUNTIF(O$6:O$65,"⚠*")</f>
        <v/>
      </c>
      <c r="Y26" s="24">
        <f>COUNTIF(P$6:P$65,"⚠*")</f>
        <v/>
      </c>
    </row>
    <row r="27">
      <c r="A27" s="26" t="n">
        <v>22</v>
      </c>
      <c r="B27" s="23">
        <f>IF($C27="","",INDEX(인턴근무계획!$B$3:$B$62,$A27))</f>
        <v/>
      </c>
      <c r="C27" s="23">
        <f>IFERROR(TRIM(INDEX(인턴근무계획!$C$3:$C$62,$A27)&amp;""),"")</f>
        <v/>
      </c>
      <c r="D27" s="23">
        <f>IF($C27="","",INDEX(인턴근무계획!$D$3:$D$62,$A27))</f>
        <v/>
      </c>
      <c r="E27" s="23">
        <f>IF($C27="","",IF(IFERROR(MATCH($D27,기본자료!$B$2:$B$1001,0),IFERROR(MATCH($D27&amp;"",기본자료!$B$2:$B$1001,0),IFERROR(MATCH(VALUE($D27),기본자료!$B$2:$B$1001,0),0)))&gt;0,"확인","미등록"))</f>
        <v/>
      </c>
      <c r="F27" s="27">
        <f>IF($C27="","",INDEX(인턴근무계획!$S$3:$S$62,$A27))</f>
        <v/>
      </c>
      <c r="G27" s="23">
        <f>IF(OR($C27="",$G$3=""),"",IF(INDEX(인턴근무계획!$M$3:$R$62,$A27,$G$3)&amp;""="","",IF(LEFT(INDEX(인턴근무계획!$M$3:$R$62,$A27,$G$3)&amp;"",1)="⚠",INDEX(인턴근무계획!$M$3:$R$62,$A27,$G$3)&amp;"",LEFT(INDEX(인턴근무계획!$M$3:$R$62,$A27,$G$3)&amp;"",FIND(" ",INDEX(인턴근무계획!$M$3:$R$62,$A27,$G$3)&amp;"")-1))))</f>
        <v/>
      </c>
      <c r="H27" s="23">
        <f>IF(OR($C27="",$G$3=""),"",IF(INDEX(인턴근무계획!$M$3:$R$62,$A27,$G$3)&amp;""="","",IF(LEFT(INDEX(인턴근무계획!$M$3:$R$62,$A27,$G$3)&amp;"",1)="⚠","",MID(INDEX(인턴근무계획!$M$3:$R$62,$A27,$G$3)&amp;"",FIND(" ",INDEX(인턴근무계획!$M$3:$R$62,$A27,$G$3)&amp;"")+1,60))))</f>
        <v/>
      </c>
      <c r="I27" s="23">
        <f>IF(OR($C27="",$I$3=""),"",IF(INDEX(인턴근무계획!$M$3:$R$62,$A27,$I$3)&amp;""="","",IF(LEFT(INDEX(인턴근무계획!$M$3:$R$62,$A27,$I$3)&amp;"",1)="⚠",INDEX(인턴근무계획!$M$3:$R$62,$A27,$I$3)&amp;"",LEFT(INDEX(인턴근무계획!$M$3:$R$62,$A27,$I$3)&amp;"",FIND(" ",INDEX(인턴근무계획!$M$3:$R$62,$A27,$I$3)&amp;"")-1))))</f>
        <v/>
      </c>
      <c r="J27" s="23">
        <f>IF(OR($C27="",$I$3=""),"",IF(INDEX(인턴근무계획!$M$3:$R$62,$A27,$I$3)&amp;""="","",IF(LEFT(INDEX(인턴근무계획!$M$3:$R$62,$A27,$I$3)&amp;"",1)="⚠","",MID(INDEX(인턴근무계획!$M$3:$R$62,$A27,$I$3)&amp;"",FIND(" ",INDEX(인턴근무계획!$M$3:$R$62,$A27,$I$3)&amp;"")+1,60))))</f>
        <v/>
      </c>
      <c r="K27" s="23">
        <f>IF($C27="","",INDEX(인턴근무계획!$M$3:$M$62,$A27)&amp;"")</f>
        <v/>
      </c>
      <c r="L27" s="23">
        <f>IF($C27="","",INDEX(인턴근무계획!$N$3:$N$62,$A27)&amp;"")</f>
        <v/>
      </c>
      <c r="M27" s="23">
        <f>IF($C27="","",INDEX(인턴근무계획!$O$3:$O$62,$A27)&amp;"")</f>
        <v/>
      </c>
      <c r="N27" s="23">
        <f>IF($C27="","",INDEX(인턴근무계획!$P$3:$P$62,$A27)&amp;"")</f>
        <v/>
      </c>
      <c r="O27" s="23">
        <f>IF($C27="","",INDEX(인턴근무계획!$Q$3:$Q$62,$A27)&amp;"")</f>
        <v/>
      </c>
      <c r="P27" s="23">
        <f>IF($C27="","",INDEX(인턴근무계획!$R$3:$R$62,$A27)&amp;"")</f>
        <v/>
      </c>
      <c r="Q27" s="23">
        <f>IF($C27="","",INDEX(인턴근무계획!$T$3:$T$62,$A27))</f>
        <v/>
      </c>
      <c r="S27" s="24" t="inlineStr">
        <is>
          <t>합계</t>
        </is>
      </c>
      <c r="T27" s="24">
        <f>SUM(T6:T26)</f>
        <v/>
      </c>
      <c r="U27" s="24">
        <f>SUM(U6:U26)</f>
        <v/>
      </c>
      <c r="V27" s="24">
        <f>SUM(V6:V26)</f>
        <v/>
      </c>
      <c r="W27" s="24">
        <f>SUM(W6:W26)</f>
        <v/>
      </c>
      <c r="X27" s="24">
        <f>SUM(X6:X26)</f>
        <v/>
      </c>
      <c r="Y27" s="24">
        <f>SUM(Y6:Y26)</f>
        <v/>
      </c>
    </row>
    <row r="28">
      <c r="A28" s="26" t="n">
        <v>23</v>
      </c>
      <c r="B28" s="23">
        <f>IF($C28="","",INDEX(인턴근무계획!$B$3:$B$62,$A28))</f>
        <v/>
      </c>
      <c r="C28" s="23">
        <f>IFERROR(TRIM(INDEX(인턴근무계획!$C$3:$C$62,$A28)&amp;""),"")</f>
        <v/>
      </c>
      <c r="D28" s="23">
        <f>IF($C28="","",INDEX(인턴근무계획!$D$3:$D$62,$A28))</f>
        <v/>
      </c>
      <c r="E28" s="23">
        <f>IF($C28="","",IF(IFERROR(MATCH($D28,기본자료!$B$2:$B$1001,0),IFERROR(MATCH($D28&amp;"",기본자료!$B$2:$B$1001,0),IFERROR(MATCH(VALUE($D28),기본자료!$B$2:$B$1001,0),0)))&gt;0,"확인","미등록"))</f>
        <v/>
      </c>
      <c r="F28" s="27">
        <f>IF($C28="","",INDEX(인턴근무계획!$S$3:$S$62,$A28))</f>
        <v/>
      </c>
      <c r="G28" s="23">
        <f>IF(OR($C28="",$G$3=""),"",IF(INDEX(인턴근무계획!$M$3:$R$62,$A28,$G$3)&amp;""="","",IF(LEFT(INDEX(인턴근무계획!$M$3:$R$62,$A28,$G$3)&amp;"",1)="⚠",INDEX(인턴근무계획!$M$3:$R$62,$A28,$G$3)&amp;"",LEFT(INDEX(인턴근무계획!$M$3:$R$62,$A28,$G$3)&amp;"",FIND(" ",INDEX(인턴근무계획!$M$3:$R$62,$A28,$G$3)&amp;"")-1))))</f>
        <v/>
      </c>
      <c r="H28" s="23">
        <f>IF(OR($C28="",$G$3=""),"",IF(INDEX(인턴근무계획!$M$3:$R$62,$A28,$G$3)&amp;""="","",IF(LEFT(INDEX(인턴근무계획!$M$3:$R$62,$A28,$G$3)&amp;"",1)="⚠","",MID(INDEX(인턴근무계획!$M$3:$R$62,$A28,$G$3)&amp;"",FIND(" ",INDEX(인턴근무계획!$M$3:$R$62,$A28,$G$3)&amp;"")+1,60))))</f>
        <v/>
      </c>
      <c r="I28" s="23">
        <f>IF(OR($C28="",$I$3=""),"",IF(INDEX(인턴근무계획!$M$3:$R$62,$A28,$I$3)&amp;""="","",IF(LEFT(INDEX(인턴근무계획!$M$3:$R$62,$A28,$I$3)&amp;"",1)="⚠",INDEX(인턴근무계획!$M$3:$R$62,$A28,$I$3)&amp;"",LEFT(INDEX(인턴근무계획!$M$3:$R$62,$A28,$I$3)&amp;"",FIND(" ",INDEX(인턴근무계획!$M$3:$R$62,$A28,$I$3)&amp;"")-1))))</f>
        <v/>
      </c>
      <c r="J28" s="23">
        <f>IF(OR($C28="",$I$3=""),"",IF(INDEX(인턴근무계획!$M$3:$R$62,$A28,$I$3)&amp;""="","",IF(LEFT(INDEX(인턴근무계획!$M$3:$R$62,$A28,$I$3)&amp;"",1)="⚠","",MID(INDEX(인턴근무계획!$M$3:$R$62,$A28,$I$3)&amp;"",FIND(" ",INDEX(인턴근무계획!$M$3:$R$62,$A28,$I$3)&amp;"")+1,60))))</f>
        <v/>
      </c>
      <c r="K28" s="23">
        <f>IF($C28="","",INDEX(인턴근무계획!$M$3:$M$62,$A28)&amp;"")</f>
        <v/>
      </c>
      <c r="L28" s="23">
        <f>IF($C28="","",INDEX(인턴근무계획!$N$3:$N$62,$A28)&amp;"")</f>
        <v/>
      </c>
      <c r="M28" s="23">
        <f>IF($C28="","",INDEX(인턴근무계획!$O$3:$O$62,$A28)&amp;"")</f>
        <v/>
      </c>
      <c r="N28" s="23">
        <f>IF($C28="","",INDEX(인턴근무계획!$P$3:$P$62,$A28)&amp;"")</f>
        <v/>
      </c>
      <c r="O28" s="23">
        <f>IF($C28="","",INDEX(인턴근무계획!$Q$3:$Q$62,$A28)&amp;"")</f>
        <v/>
      </c>
      <c r="P28" s="23">
        <f>IF($C28="","",INDEX(인턴근무계획!$R$3:$R$62,$A28)&amp;"")</f>
        <v/>
      </c>
      <c r="Q28" s="23">
        <f>IF($C28="","",INDEX(인턴근무계획!$T$3:$T$62,$A28))</f>
        <v/>
      </c>
      <c r="S28" s="8" t="inlineStr">
        <is>
          <t>※ 합계는 계획표에 입력된 인턴 수와 같아야 합니다.</t>
        </is>
      </c>
    </row>
    <row r="29">
      <c r="A29" s="26" t="n">
        <v>24</v>
      </c>
      <c r="B29" s="23">
        <f>IF($C29="","",INDEX(인턴근무계획!$B$3:$B$62,$A29))</f>
        <v/>
      </c>
      <c r="C29" s="23">
        <f>IFERROR(TRIM(INDEX(인턴근무계획!$C$3:$C$62,$A29)&amp;""),"")</f>
        <v/>
      </c>
      <c r="D29" s="23">
        <f>IF($C29="","",INDEX(인턴근무계획!$D$3:$D$62,$A29))</f>
        <v/>
      </c>
      <c r="E29" s="23">
        <f>IF($C29="","",IF(IFERROR(MATCH($D29,기본자료!$B$2:$B$1001,0),IFERROR(MATCH($D29&amp;"",기본자료!$B$2:$B$1001,0),IFERROR(MATCH(VALUE($D29),기본자료!$B$2:$B$1001,0),0)))&gt;0,"확인","미등록"))</f>
        <v/>
      </c>
      <c r="F29" s="27">
        <f>IF($C29="","",INDEX(인턴근무계획!$S$3:$S$62,$A29))</f>
        <v/>
      </c>
      <c r="G29" s="23">
        <f>IF(OR($C29="",$G$3=""),"",IF(INDEX(인턴근무계획!$M$3:$R$62,$A29,$G$3)&amp;""="","",IF(LEFT(INDEX(인턴근무계획!$M$3:$R$62,$A29,$G$3)&amp;"",1)="⚠",INDEX(인턴근무계획!$M$3:$R$62,$A29,$G$3)&amp;"",LEFT(INDEX(인턴근무계획!$M$3:$R$62,$A29,$G$3)&amp;"",FIND(" ",INDEX(인턴근무계획!$M$3:$R$62,$A29,$G$3)&amp;"")-1))))</f>
        <v/>
      </c>
      <c r="H29" s="23">
        <f>IF(OR($C29="",$G$3=""),"",IF(INDEX(인턴근무계획!$M$3:$R$62,$A29,$G$3)&amp;""="","",IF(LEFT(INDEX(인턴근무계획!$M$3:$R$62,$A29,$G$3)&amp;"",1)="⚠","",MID(INDEX(인턴근무계획!$M$3:$R$62,$A29,$G$3)&amp;"",FIND(" ",INDEX(인턴근무계획!$M$3:$R$62,$A29,$G$3)&amp;"")+1,60))))</f>
        <v/>
      </c>
      <c r="I29" s="23">
        <f>IF(OR($C29="",$I$3=""),"",IF(INDEX(인턴근무계획!$M$3:$R$62,$A29,$I$3)&amp;""="","",IF(LEFT(INDEX(인턴근무계획!$M$3:$R$62,$A29,$I$3)&amp;"",1)="⚠",INDEX(인턴근무계획!$M$3:$R$62,$A29,$I$3)&amp;"",LEFT(INDEX(인턴근무계획!$M$3:$R$62,$A29,$I$3)&amp;"",FIND(" ",INDEX(인턴근무계획!$M$3:$R$62,$A29,$I$3)&amp;"")-1))))</f>
        <v/>
      </c>
      <c r="J29" s="23">
        <f>IF(OR($C29="",$I$3=""),"",IF(INDEX(인턴근무계획!$M$3:$R$62,$A29,$I$3)&amp;""="","",IF(LEFT(INDEX(인턴근무계획!$M$3:$R$62,$A29,$I$3)&amp;"",1)="⚠","",MID(INDEX(인턴근무계획!$M$3:$R$62,$A29,$I$3)&amp;"",FIND(" ",INDEX(인턴근무계획!$M$3:$R$62,$A29,$I$3)&amp;"")+1,60))))</f>
        <v/>
      </c>
      <c r="K29" s="23">
        <f>IF($C29="","",INDEX(인턴근무계획!$M$3:$M$62,$A29)&amp;"")</f>
        <v/>
      </c>
      <c r="L29" s="23">
        <f>IF($C29="","",INDEX(인턴근무계획!$N$3:$N$62,$A29)&amp;"")</f>
        <v/>
      </c>
      <c r="M29" s="23">
        <f>IF($C29="","",INDEX(인턴근무계획!$O$3:$O$62,$A29)&amp;"")</f>
        <v/>
      </c>
      <c r="N29" s="23">
        <f>IF($C29="","",INDEX(인턴근무계획!$P$3:$P$62,$A29)&amp;"")</f>
        <v/>
      </c>
      <c r="O29" s="23">
        <f>IF($C29="","",INDEX(인턴근무계획!$Q$3:$Q$62,$A29)&amp;"")</f>
        <v/>
      </c>
      <c r="P29" s="23">
        <f>IF($C29="","",INDEX(인턴근무계획!$R$3:$R$62,$A29)&amp;"")</f>
        <v/>
      </c>
      <c r="Q29" s="23">
        <f>IF($C29="","",INDEX(인턴근무계획!$T$3:$T$62,$A29))</f>
        <v/>
      </c>
    </row>
    <row r="30">
      <c r="A30" s="26" t="n">
        <v>25</v>
      </c>
      <c r="B30" s="23">
        <f>IF($C30="","",INDEX(인턴근무계획!$B$3:$B$62,$A30))</f>
        <v/>
      </c>
      <c r="C30" s="23">
        <f>IFERROR(TRIM(INDEX(인턴근무계획!$C$3:$C$62,$A30)&amp;""),"")</f>
        <v/>
      </c>
      <c r="D30" s="23">
        <f>IF($C30="","",INDEX(인턴근무계획!$D$3:$D$62,$A30))</f>
        <v/>
      </c>
      <c r="E30" s="23">
        <f>IF($C30="","",IF(IFERROR(MATCH($D30,기본자료!$B$2:$B$1001,0),IFERROR(MATCH($D30&amp;"",기본자료!$B$2:$B$1001,0),IFERROR(MATCH(VALUE($D30),기본자료!$B$2:$B$1001,0),0)))&gt;0,"확인","미등록"))</f>
        <v/>
      </c>
      <c r="F30" s="27">
        <f>IF($C30="","",INDEX(인턴근무계획!$S$3:$S$62,$A30))</f>
        <v/>
      </c>
      <c r="G30" s="23">
        <f>IF(OR($C30="",$G$3=""),"",IF(INDEX(인턴근무계획!$M$3:$R$62,$A30,$G$3)&amp;""="","",IF(LEFT(INDEX(인턴근무계획!$M$3:$R$62,$A30,$G$3)&amp;"",1)="⚠",INDEX(인턴근무계획!$M$3:$R$62,$A30,$G$3)&amp;"",LEFT(INDEX(인턴근무계획!$M$3:$R$62,$A30,$G$3)&amp;"",FIND(" ",INDEX(인턴근무계획!$M$3:$R$62,$A30,$G$3)&amp;"")-1))))</f>
        <v/>
      </c>
      <c r="H30" s="23">
        <f>IF(OR($C30="",$G$3=""),"",IF(INDEX(인턴근무계획!$M$3:$R$62,$A30,$G$3)&amp;""="","",IF(LEFT(INDEX(인턴근무계획!$M$3:$R$62,$A30,$G$3)&amp;"",1)="⚠","",MID(INDEX(인턴근무계획!$M$3:$R$62,$A30,$G$3)&amp;"",FIND(" ",INDEX(인턴근무계획!$M$3:$R$62,$A30,$G$3)&amp;"")+1,60))))</f>
        <v/>
      </c>
      <c r="I30" s="23">
        <f>IF(OR($C30="",$I$3=""),"",IF(INDEX(인턴근무계획!$M$3:$R$62,$A30,$I$3)&amp;""="","",IF(LEFT(INDEX(인턴근무계획!$M$3:$R$62,$A30,$I$3)&amp;"",1)="⚠",INDEX(인턴근무계획!$M$3:$R$62,$A30,$I$3)&amp;"",LEFT(INDEX(인턴근무계획!$M$3:$R$62,$A30,$I$3)&amp;"",FIND(" ",INDEX(인턴근무계획!$M$3:$R$62,$A30,$I$3)&amp;"")-1))))</f>
        <v/>
      </c>
      <c r="J30" s="23">
        <f>IF(OR($C30="",$I$3=""),"",IF(INDEX(인턴근무계획!$M$3:$R$62,$A30,$I$3)&amp;""="","",IF(LEFT(INDEX(인턴근무계획!$M$3:$R$62,$A30,$I$3)&amp;"",1)="⚠","",MID(INDEX(인턴근무계획!$M$3:$R$62,$A30,$I$3)&amp;"",FIND(" ",INDEX(인턴근무계획!$M$3:$R$62,$A30,$I$3)&amp;"")+1,60))))</f>
        <v/>
      </c>
      <c r="K30" s="23">
        <f>IF($C30="","",INDEX(인턴근무계획!$M$3:$M$62,$A30)&amp;"")</f>
        <v/>
      </c>
      <c r="L30" s="23">
        <f>IF($C30="","",INDEX(인턴근무계획!$N$3:$N$62,$A30)&amp;"")</f>
        <v/>
      </c>
      <c r="M30" s="23">
        <f>IF($C30="","",INDEX(인턴근무계획!$O$3:$O$62,$A30)&amp;"")</f>
        <v/>
      </c>
      <c r="N30" s="23">
        <f>IF($C30="","",INDEX(인턴근무계획!$P$3:$P$62,$A30)&amp;"")</f>
        <v/>
      </c>
      <c r="O30" s="23">
        <f>IF($C30="","",INDEX(인턴근무계획!$Q$3:$Q$62,$A30)&amp;"")</f>
        <v/>
      </c>
      <c r="P30" s="23">
        <f>IF($C30="","",INDEX(인턴근무계획!$R$3:$R$62,$A30)&amp;"")</f>
        <v/>
      </c>
      <c r="Q30" s="23">
        <f>IF($C30="","",INDEX(인턴근무계획!$T$3:$T$62,$A30))</f>
        <v/>
      </c>
    </row>
    <row r="31">
      <c r="A31" s="26" t="n">
        <v>26</v>
      </c>
      <c r="B31" s="23">
        <f>IF($C31="","",INDEX(인턴근무계획!$B$3:$B$62,$A31))</f>
        <v/>
      </c>
      <c r="C31" s="23">
        <f>IFERROR(TRIM(INDEX(인턴근무계획!$C$3:$C$62,$A31)&amp;""),"")</f>
        <v/>
      </c>
      <c r="D31" s="23">
        <f>IF($C31="","",INDEX(인턴근무계획!$D$3:$D$62,$A31))</f>
        <v/>
      </c>
      <c r="E31" s="23">
        <f>IF($C31="","",IF(IFERROR(MATCH($D31,기본자료!$B$2:$B$1001,0),IFERROR(MATCH($D31&amp;"",기본자료!$B$2:$B$1001,0),IFERROR(MATCH(VALUE($D31),기본자료!$B$2:$B$1001,0),0)))&gt;0,"확인","미등록"))</f>
        <v/>
      </c>
      <c r="F31" s="27">
        <f>IF($C31="","",INDEX(인턴근무계획!$S$3:$S$62,$A31))</f>
        <v/>
      </c>
      <c r="G31" s="23">
        <f>IF(OR($C31="",$G$3=""),"",IF(INDEX(인턴근무계획!$M$3:$R$62,$A31,$G$3)&amp;""="","",IF(LEFT(INDEX(인턴근무계획!$M$3:$R$62,$A31,$G$3)&amp;"",1)="⚠",INDEX(인턴근무계획!$M$3:$R$62,$A31,$G$3)&amp;"",LEFT(INDEX(인턴근무계획!$M$3:$R$62,$A31,$G$3)&amp;"",FIND(" ",INDEX(인턴근무계획!$M$3:$R$62,$A31,$G$3)&amp;"")-1))))</f>
        <v/>
      </c>
      <c r="H31" s="23">
        <f>IF(OR($C31="",$G$3=""),"",IF(INDEX(인턴근무계획!$M$3:$R$62,$A31,$G$3)&amp;""="","",IF(LEFT(INDEX(인턴근무계획!$M$3:$R$62,$A31,$G$3)&amp;"",1)="⚠","",MID(INDEX(인턴근무계획!$M$3:$R$62,$A31,$G$3)&amp;"",FIND(" ",INDEX(인턴근무계획!$M$3:$R$62,$A31,$G$3)&amp;"")+1,60))))</f>
        <v/>
      </c>
      <c r="I31" s="23">
        <f>IF(OR($C31="",$I$3=""),"",IF(INDEX(인턴근무계획!$M$3:$R$62,$A31,$I$3)&amp;""="","",IF(LEFT(INDEX(인턴근무계획!$M$3:$R$62,$A31,$I$3)&amp;"",1)="⚠",INDEX(인턴근무계획!$M$3:$R$62,$A31,$I$3)&amp;"",LEFT(INDEX(인턴근무계획!$M$3:$R$62,$A31,$I$3)&amp;"",FIND(" ",INDEX(인턴근무계획!$M$3:$R$62,$A31,$I$3)&amp;"")-1))))</f>
        <v/>
      </c>
      <c r="J31" s="23">
        <f>IF(OR($C31="",$I$3=""),"",IF(INDEX(인턴근무계획!$M$3:$R$62,$A31,$I$3)&amp;""="","",IF(LEFT(INDEX(인턴근무계획!$M$3:$R$62,$A31,$I$3)&amp;"",1)="⚠","",MID(INDEX(인턴근무계획!$M$3:$R$62,$A31,$I$3)&amp;"",FIND(" ",INDEX(인턴근무계획!$M$3:$R$62,$A31,$I$3)&amp;"")+1,60))))</f>
        <v/>
      </c>
      <c r="K31" s="23">
        <f>IF($C31="","",INDEX(인턴근무계획!$M$3:$M$62,$A31)&amp;"")</f>
        <v/>
      </c>
      <c r="L31" s="23">
        <f>IF($C31="","",INDEX(인턴근무계획!$N$3:$N$62,$A31)&amp;"")</f>
        <v/>
      </c>
      <c r="M31" s="23">
        <f>IF($C31="","",INDEX(인턴근무계획!$O$3:$O$62,$A31)&amp;"")</f>
        <v/>
      </c>
      <c r="N31" s="23">
        <f>IF($C31="","",INDEX(인턴근무계획!$P$3:$P$62,$A31)&amp;"")</f>
        <v/>
      </c>
      <c r="O31" s="23">
        <f>IF($C31="","",INDEX(인턴근무계획!$Q$3:$Q$62,$A31)&amp;"")</f>
        <v/>
      </c>
      <c r="P31" s="23">
        <f>IF($C31="","",INDEX(인턴근무계획!$R$3:$R$62,$A31)&amp;"")</f>
        <v/>
      </c>
      <c r="Q31" s="23">
        <f>IF($C31="","",INDEX(인턴근무계획!$T$3:$T$62,$A31))</f>
        <v/>
      </c>
    </row>
    <row r="32">
      <c r="A32" s="26" t="n">
        <v>27</v>
      </c>
      <c r="B32" s="23">
        <f>IF($C32="","",INDEX(인턴근무계획!$B$3:$B$62,$A32))</f>
        <v/>
      </c>
      <c r="C32" s="23">
        <f>IFERROR(TRIM(INDEX(인턴근무계획!$C$3:$C$62,$A32)&amp;""),"")</f>
        <v/>
      </c>
      <c r="D32" s="23">
        <f>IF($C32="","",INDEX(인턴근무계획!$D$3:$D$62,$A32))</f>
        <v/>
      </c>
      <c r="E32" s="23">
        <f>IF($C32="","",IF(IFERROR(MATCH($D32,기본자료!$B$2:$B$1001,0),IFERROR(MATCH($D32&amp;"",기본자료!$B$2:$B$1001,0),IFERROR(MATCH(VALUE($D32),기본자료!$B$2:$B$1001,0),0)))&gt;0,"확인","미등록"))</f>
        <v/>
      </c>
      <c r="F32" s="27">
        <f>IF($C32="","",INDEX(인턴근무계획!$S$3:$S$62,$A32))</f>
        <v/>
      </c>
      <c r="G32" s="23">
        <f>IF(OR($C32="",$G$3=""),"",IF(INDEX(인턴근무계획!$M$3:$R$62,$A32,$G$3)&amp;""="","",IF(LEFT(INDEX(인턴근무계획!$M$3:$R$62,$A32,$G$3)&amp;"",1)="⚠",INDEX(인턴근무계획!$M$3:$R$62,$A32,$G$3)&amp;"",LEFT(INDEX(인턴근무계획!$M$3:$R$62,$A32,$G$3)&amp;"",FIND(" ",INDEX(인턴근무계획!$M$3:$R$62,$A32,$G$3)&amp;"")-1))))</f>
        <v/>
      </c>
      <c r="H32" s="23">
        <f>IF(OR($C32="",$G$3=""),"",IF(INDEX(인턴근무계획!$M$3:$R$62,$A32,$G$3)&amp;""="","",IF(LEFT(INDEX(인턴근무계획!$M$3:$R$62,$A32,$G$3)&amp;"",1)="⚠","",MID(INDEX(인턴근무계획!$M$3:$R$62,$A32,$G$3)&amp;"",FIND(" ",INDEX(인턴근무계획!$M$3:$R$62,$A32,$G$3)&amp;"")+1,60))))</f>
        <v/>
      </c>
      <c r="I32" s="23">
        <f>IF(OR($C32="",$I$3=""),"",IF(INDEX(인턴근무계획!$M$3:$R$62,$A32,$I$3)&amp;""="","",IF(LEFT(INDEX(인턴근무계획!$M$3:$R$62,$A32,$I$3)&amp;"",1)="⚠",INDEX(인턴근무계획!$M$3:$R$62,$A32,$I$3)&amp;"",LEFT(INDEX(인턴근무계획!$M$3:$R$62,$A32,$I$3)&amp;"",FIND(" ",INDEX(인턴근무계획!$M$3:$R$62,$A32,$I$3)&amp;"")-1))))</f>
        <v/>
      </c>
      <c r="J32" s="23">
        <f>IF(OR($C32="",$I$3=""),"",IF(INDEX(인턴근무계획!$M$3:$R$62,$A32,$I$3)&amp;""="","",IF(LEFT(INDEX(인턴근무계획!$M$3:$R$62,$A32,$I$3)&amp;"",1)="⚠","",MID(INDEX(인턴근무계획!$M$3:$R$62,$A32,$I$3)&amp;"",FIND(" ",INDEX(인턴근무계획!$M$3:$R$62,$A32,$I$3)&amp;"")+1,60))))</f>
        <v/>
      </c>
      <c r="K32" s="23">
        <f>IF($C32="","",INDEX(인턴근무계획!$M$3:$M$62,$A32)&amp;"")</f>
        <v/>
      </c>
      <c r="L32" s="23">
        <f>IF($C32="","",INDEX(인턴근무계획!$N$3:$N$62,$A32)&amp;"")</f>
        <v/>
      </c>
      <c r="M32" s="23">
        <f>IF($C32="","",INDEX(인턴근무계획!$O$3:$O$62,$A32)&amp;"")</f>
        <v/>
      </c>
      <c r="N32" s="23">
        <f>IF($C32="","",INDEX(인턴근무계획!$P$3:$P$62,$A32)&amp;"")</f>
        <v/>
      </c>
      <c r="O32" s="23">
        <f>IF($C32="","",INDEX(인턴근무계획!$Q$3:$Q$62,$A32)&amp;"")</f>
        <v/>
      </c>
      <c r="P32" s="23">
        <f>IF($C32="","",INDEX(인턴근무계획!$R$3:$R$62,$A32)&amp;"")</f>
        <v/>
      </c>
      <c r="Q32" s="23">
        <f>IF($C32="","",INDEX(인턴근무계획!$T$3:$T$62,$A32))</f>
        <v/>
      </c>
    </row>
    <row r="33">
      <c r="A33" s="26" t="n">
        <v>28</v>
      </c>
      <c r="B33" s="23">
        <f>IF($C33="","",INDEX(인턴근무계획!$B$3:$B$62,$A33))</f>
        <v/>
      </c>
      <c r="C33" s="23">
        <f>IFERROR(TRIM(INDEX(인턴근무계획!$C$3:$C$62,$A33)&amp;""),"")</f>
        <v/>
      </c>
      <c r="D33" s="23">
        <f>IF($C33="","",INDEX(인턴근무계획!$D$3:$D$62,$A33))</f>
        <v/>
      </c>
      <c r="E33" s="23">
        <f>IF($C33="","",IF(IFERROR(MATCH($D33,기본자료!$B$2:$B$1001,0),IFERROR(MATCH($D33&amp;"",기본자료!$B$2:$B$1001,0),IFERROR(MATCH(VALUE($D33),기본자료!$B$2:$B$1001,0),0)))&gt;0,"확인","미등록"))</f>
        <v/>
      </c>
      <c r="F33" s="27">
        <f>IF($C33="","",INDEX(인턴근무계획!$S$3:$S$62,$A33))</f>
        <v/>
      </c>
      <c r="G33" s="23">
        <f>IF(OR($C33="",$G$3=""),"",IF(INDEX(인턴근무계획!$M$3:$R$62,$A33,$G$3)&amp;""="","",IF(LEFT(INDEX(인턴근무계획!$M$3:$R$62,$A33,$G$3)&amp;"",1)="⚠",INDEX(인턴근무계획!$M$3:$R$62,$A33,$G$3)&amp;"",LEFT(INDEX(인턴근무계획!$M$3:$R$62,$A33,$G$3)&amp;"",FIND(" ",INDEX(인턴근무계획!$M$3:$R$62,$A33,$G$3)&amp;"")-1))))</f>
        <v/>
      </c>
      <c r="H33" s="23">
        <f>IF(OR($C33="",$G$3=""),"",IF(INDEX(인턴근무계획!$M$3:$R$62,$A33,$G$3)&amp;""="","",IF(LEFT(INDEX(인턴근무계획!$M$3:$R$62,$A33,$G$3)&amp;"",1)="⚠","",MID(INDEX(인턴근무계획!$M$3:$R$62,$A33,$G$3)&amp;"",FIND(" ",INDEX(인턴근무계획!$M$3:$R$62,$A33,$G$3)&amp;"")+1,60))))</f>
        <v/>
      </c>
      <c r="I33" s="23">
        <f>IF(OR($C33="",$I$3=""),"",IF(INDEX(인턴근무계획!$M$3:$R$62,$A33,$I$3)&amp;""="","",IF(LEFT(INDEX(인턴근무계획!$M$3:$R$62,$A33,$I$3)&amp;"",1)="⚠",INDEX(인턴근무계획!$M$3:$R$62,$A33,$I$3)&amp;"",LEFT(INDEX(인턴근무계획!$M$3:$R$62,$A33,$I$3)&amp;"",FIND(" ",INDEX(인턴근무계획!$M$3:$R$62,$A33,$I$3)&amp;"")-1))))</f>
        <v/>
      </c>
      <c r="J33" s="23">
        <f>IF(OR($C33="",$I$3=""),"",IF(INDEX(인턴근무계획!$M$3:$R$62,$A33,$I$3)&amp;""="","",IF(LEFT(INDEX(인턴근무계획!$M$3:$R$62,$A33,$I$3)&amp;"",1)="⚠","",MID(INDEX(인턴근무계획!$M$3:$R$62,$A33,$I$3)&amp;"",FIND(" ",INDEX(인턴근무계획!$M$3:$R$62,$A33,$I$3)&amp;"")+1,60))))</f>
        <v/>
      </c>
      <c r="K33" s="23">
        <f>IF($C33="","",INDEX(인턴근무계획!$M$3:$M$62,$A33)&amp;"")</f>
        <v/>
      </c>
      <c r="L33" s="23">
        <f>IF($C33="","",INDEX(인턴근무계획!$N$3:$N$62,$A33)&amp;"")</f>
        <v/>
      </c>
      <c r="M33" s="23">
        <f>IF($C33="","",INDEX(인턴근무계획!$O$3:$O$62,$A33)&amp;"")</f>
        <v/>
      </c>
      <c r="N33" s="23">
        <f>IF($C33="","",INDEX(인턴근무계획!$P$3:$P$62,$A33)&amp;"")</f>
        <v/>
      </c>
      <c r="O33" s="23">
        <f>IF($C33="","",INDEX(인턴근무계획!$Q$3:$Q$62,$A33)&amp;"")</f>
        <v/>
      </c>
      <c r="P33" s="23">
        <f>IF($C33="","",INDEX(인턴근무계획!$R$3:$R$62,$A33)&amp;"")</f>
        <v/>
      </c>
      <c r="Q33" s="23">
        <f>IF($C33="","",INDEX(인턴근무계획!$T$3:$T$62,$A33))</f>
        <v/>
      </c>
    </row>
    <row r="34">
      <c r="A34" s="26" t="n">
        <v>29</v>
      </c>
      <c r="B34" s="23">
        <f>IF($C34="","",INDEX(인턴근무계획!$B$3:$B$62,$A34))</f>
        <v/>
      </c>
      <c r="C34" s="23">
        <f>IFERROR(TRIM(INDEX(인턴근무계획!$C$3:$C$62,$A34)&amp;""),"")</f>
        <v/>
      </c>
      <c r="D34" s="23">
        <f>IF($C34="","",INDEX(인턴근무계획!$D$3:$D$62,$A34))</f>
        <v/>
      </c>
      <c r="E34" s="23">
        <f>IF($C34="","",IF(IFERROR(MATCH($D34,기본자료!$B$2:$B$1001,0),IFERROR(MATCH($D34&amp;"",기본자료!$B$2:$B$1001,0),IFERROR(MATCH(VALUE($D34),기본자료!$B$2:$B$1001,0),0)))&gt;0,"확인","미등록"))</f>
        <v/>
      </c>
      <c r="F34" s="27">
        <f>IF($C34="","",INDEX(인턴근무계획!$S$3:$S$62,$A34))</f>
        <v/>
      </c>
      <c r="G34" s="23">
        <f>IF(OR($C34="",$G$3=""),"",IF(INDEX(인턴근무계획!$M$3:$R$62,$A34,$G$3)&amp;""="","",IF(LEFT(INDEX(인턴근무계획!$M$3:$R$62,$A34,$G$3)&amp;"",1)="⚠",INDEX(인턴근무계획!$M$3:$R$62,$A34,$G$3)&amp;"",LEFT(INDEX(인턴근무계획!$M$3:$R$62,$A34,$G$3)&amp;"",FIND(" ",INDEX(인턴근무계획!$M$3:$R$62,$A34,$G$3)&amp;"")-1))))</f>
        <v/>
      </c>
      <c r="H34" s="23">
        <f>IF(OR($C34="",$G$3=""),"",IF(INDEX(인턴근무계획!$M$3:$R$62,$A34,$G$3)&amp;""="","",IF(LEFT(INDEX(인턴근무계획!$M$3:$R$62,$A34,$G$3)&amp;"",1)="⚠","",MID(INDEX(인턴근무계획!$M$3:$R$62,$A34,$G$3)&amp;"",FIND(" ",INDEX(인턴근무계획!$M$3:$R$62,$A34,$G$3)&amp;"")+1,60))))</f>
        <v/>
      </c>
      <c r="I34" s="23">
        <f>IF(OR($C34="",$I$3=""),"",IF(INDEX(인턴근무계획!$M$3:$R$62,$A34,$I$3)&amp;""="","",IF(LEFT(INDEX(인턴근무계획!$M$3:$R$62,$A34,$I$3)&amp;"",1)="⚠",INDEX(인턴근무계획!$M$3:$R$62,$A34,$I$3)&amp;"",LEFT(INDEX(인턴근무계획!$M$3:$R$62,$A34,$I$3)&amp;"",FIND(" ",INDEX(인턴근무계획!$M$3:$R$62,$A34,$I$3)&amp;"")-1))))</f>
        <v/>
      </c>
      <c r="J34" s="23">
        <f>IF(OR($C34="",$I$3=""),"",IF(INDEX(인턴근무계획!$M$3:$R$62,$A34,$I$3)&amp;""="","",IF(LEFT(INDEX(인턴근무계획!$M$3:$R$62,$A34,$I$3)&amp;"",1)="⚠","",MID(INDEX(인턴근무계획!$M$3:$R$62,$A34,$I$3)&amp;"",FIND(" ",INDEX(인턴근무계획!$M$3:$R$62,$A34,$I$3)&amp;"")+1,60))))</f>
        <v/>
      </c>
      <c r="K34" s="23">
        <f>IF($C34="","",INDEX(인턴근무계획!$M$3:$M$62,$A34)&amp;"")</f>
        <v/>
      </c>
      <c r="L34" s="23">
        <f>IF($C34="","",INDEX(인턴근무계획!$N$3:$N$62,$A34)&amp;"")</f>
        <v/>
      </c>
      <c r="M34" s="23">
        <f>IF($C34="","",INDEX(인턴근무계획!$O$3:$O$62,$A34)&amp;"")</f>
        <v/>
      </c>
      <c r="N34" s="23">
        <f>IF($C34="","",INDEX(인턴근무계획!$P$3:$P$62,$A34)&amp;"")</f>
        <v/>
      </c>
      <c r="O34" s="23">
        <f>IF($C34="","",INDEX(인턴근무계획!$Q$3:$Q$62,$A34)&amp;"")</f>
        <v/>
      </c>
      <c r="P34" s="23">
        <f>IF($C34="","",INDEX(인턴근무계획!$R$3:$R$62,$A34)&amp;"")</f>
        <v/>
      </c>
      <c r="Q34" s="23">
        <f>IF($C34="","",INDEX(인턴근무계획!$T$3:$T$62,$A34))</f>
        <v/>
      </c>
    </row>
    <row r="35">
      <c r="A35" s="26" t="n">
        <v>30</v>
      </c>
      <c r="B35" s="23">
        <f>IF($C35="","",INDEX(인턴근무계획!$B$3:$B$62,$A35))</f>
        <v/>
      </c>
      <c r="C35" s="23">
        <f>IFERROR(TRIM(INDEX(인턴근무계획!$C$3:$C$62,$A35)&amp;""),"")</f>
        <v/>
      </c>
      <c r="D35" s="23">
        <f>IF($C35="","",INDEX(인턴근무계획!$D$3:$D$62,$A35))</f>
        <v/>
      </c>
      <c r="E35" s="23">
        <f>IF($C35="","",IF(IFERROR(MATCH($D35,기본자료!$B$2:$B$1001,0),IFERROR(MATCH($D35&amp;"",기본자료!$B$2:$B$1001,0),IFERROR(MATCH(VALUE($D35),기본자료!$B$2:$B$1001,0),0)))&gt;0,"확인","미등록"))</f>
        <v/>
      </c>
      <c r="F35" s="27">
        <f>IF($C35="","",INDEX(인턴근무계획!$S$3:$S$62,$A35))</f>
        <v/>
      </c>
      <c r="G35" s="23">
        <f>IF(OR($C35="",$G$3=""),"",IF(INDEX(인턴근무계획!$M$3:$R$62,$A35,$G$3)&amp;""="","",IF(LEFT(INDEX(인턴근무계획!$M$3:$R$62,$A35,$G$3)&amp;"",1)="⚠",INDEX(인턴근무계획!$M$3:$R$62,$A35,$G$3)&amp;"",LEFT(INDEX(인턴근무계획!$M$3:$R$62,$A35,$G$3)&amp;"",FIND(" ",INDEX(인턴근무계획!$M$3:$R$62,$A35,$G$3)&amp;"")-1))))</f>
        <v/>
      </c>
      <c r="H35" s="23">
        <f>IF(OR($C35="",$G$3=""),"",IF(INDEX(인턴근무계획!$M$3:$R$62,$A35,$G$3)&amp;""="","",IF(LEFT(INDEX(인턴근무계획!$M$3:$R$62,$A35,$G$3)&amp;"",1)="⚠","",MID(INDEX(인턴근무계획!$M$3:$R$62,$A35,$G$3)&amp;"",FIND(" ",INDEX(인턴근무계획!$M$3:$R$62,$A35,$G$3)&amp;"")+1,60))))</f>
        <v/>
      </c>
      <c r="I35" s="23">
        <f>IF(OR($C35="",$I$3=""),"",IF(INDEX(인턴근무계획!$M$3:$R$62,$A35,$I$3)&amp;""="","",IF(LEFT(INDEX(인턴근무계획!$M$3:$R$62,$A35,$I$3)&amp;"",1)="⚠",INDEX(인턴근무계획!$M$3:$R$62,$A35,$I$3)&amp;"",LEFT(INDEX(인턴근무계획!$M$3:$R$62,$A35,$I$3)&amp;"",FIND(" ",INDEX(인턴근무계획!$M$3:$R$62,$A35,$I$3)&amp;"")-1))))</f>
        <v/>
      </c>
      <c r="J35" s="23">
        <f>IF(OR($C35="",$I$3=""),"",IF(INDEX(인턴근무계획!$M$3:$R$62,$A35,$I$3)&amp;""="","",IF(LEFT(INDEX(인턴근무계획!$M$3:$R$62,$A35,$I$3)&amp;"",1)="⚠","",MID(INDEX(인턴근무계획!$M$3:$R$62,$A35,$I$3)&amp;"",FIND(" ",INDEX(인턴근무계획!$M$3:$R$62,$A35,$I$3)&amp;"")+1,60))))</f>
        <v/>
      </c>
      <c r="K35" s="23">
        <f>IF($C35="","",INDEX(인턴근무계획!$M$3:$M$62,$A35)&amp;"")</f>
        <v/>
      </c>
      <c r="L35" s="23">
        <f>IF($C35="","",INDEX(인턴근무계획!$N$3:$N$62,$A35)&amp;"")</f>
        <v/>
      </c>
      <c r="M35" s="23">
        <f>IF($C35="","",INDEX(인턴근무계획!$O$3:$O$62,$A35)&amp;"")</f>
        <v/>
      </c>
      <c r="N35" s="23">
        <f>IF($C35="","",INDEX(인턴근무계획!$P$3:$P$62,$A35)&amp;"")</f>
        <v/>
      </c>
      <c r="O35" s="23">
        <f>IF($C35="","",INDEX(인턴근무계획!$Q$3:$Q$62,$A35)&amp;"")</f>
        <v/>
      </c>
      <c r="P35" s="23">
        <f>IF($C35="","",INDEX(인턴근무계획!$R$3:$R$62,$A35)&amp;"")</f>
        <v/>
      </c>
      <c r="Q35" s="23">
        <f>IF($C35="","",INDEX(인턴근무계획!$T$3:$T$62,$A35))</f>
        <v/>
      </c>
    </row>
    <row r="36">
      <c r="A36" s="26" t="n">
        <v>31</v>
      </c>
      <c r="B36" s="23">
        <f>IF($C36="","",INDEX(인턴근무계획!$B$3:$B$62,$A36))</f>
        <v/>
      </c>
      <c r="C36" s="23">
        <f>IFERROR(TRIM(INDEX(인턴근무계획!$C$3:$C$62,$A36)&amp;""),"")</f>
        <v/>
      </c>
      <c r="D36" s="23">
        <f>IF($C36="","",INDEX(인턴근무계획!$D$3:$D$62,$A36))</f>
        <v/>
      </c>
      <c r="E36" s="23">
        <f>IF($C36="","",IF(IFERROR(MATCH($D36,기본자료!$B$2:$B$1001,0),IFERROR(MATCH($D36&amp;"",기본자료!$B$2:$B$1001,0),IFERROR(MATCH(VALUE($D36),기본자료!$B$2:$B$1001,0),0)))&gt;0,"확인","미등록"))</f>
        <v/>
      </c>
      <c r="F36" s="27">
        <f>IF($C36="","",INDEX(인턴근무계획!$S$3:$S$62,$A36))</f>
        <v/>
      </c>
      <c r="G36" s="23">
        <f>IF(OR($C36="",$G$3=""),"",IF(INDEX(인턴근무계획!$M$3:$R$62,$A36,$G$3)&amp;""="","",IF(LEFT(INDEX(인턴근무계획!$M$3:$R$62,$A36,$G$3)&amp;"",1)="⚠",INDEX(인턴근무계획!$M$3:$R$62,$A36,$G$3)&amp;"",LEFT(INDEX(인턴근무계획!$M$3:$R$62,$A36,$G$3)&amp;"",FIND(" ",INDEX(인턴근무계획!$M$3:$R$62,$A36,$G$3)&amp;"")-1))))</f>
        <v/>
      </c>
      <c r="H36" s="23">
        <f>IF(OR($C36="",$G$3=""),"",IF(INDEX(인턴근무계획!$M$3:$R$62,$A36,$G$3)&amp;""="","",IF(LEFT(INDEX(인턴근무계획!$M$3:$R$62,$A36,$G$3)&amp;"",1)="⚠","",MID(INDEX(인턴근무계획!$M$3:$R$62,$A36,$G$3)&amp;"",FIND(" ",INDEX(인턴근무계획!$M$3:$R$62,$A36,$G$3)&amp;"")+1,60))))</f>
        <v/>
      </c>
      <c r="I36" s="23">
        <f>IF(OR($C36="",$I$3=""),"",IF(INDEX(인턴근무계획!$M$3:$R$62,$A36,$I$3)&amp;""="","",IF(LEFT(INDEX(인턴근무계획!$M$3:$R$62,$A36,$I$3)&amp;"",1)="⚠",INDEX(인턴근무계획!$M$3:$R$62,$A36,$I$3)&amp;"",LEFT(INDEX(인턴근무계획!$M$3:$R$62,$A36,$I$3)&amp;"",FIND(" ",INDEX(인턴근무계획!$M$3:$R$62,$A36,$I$3)&amp;"")-1))))</f>
        <v/>
      </c>
      <c r="J36" s="23">
        <f>IF(OR($C36="",$I$3=""),"",IF(INDEX(인턴근무계획!$M$3:$R$62,$A36,$I$3)&amp;""="","",IF(LEFT(INDEX(인턴근무계획!$M$3:$R$62,$A36,$I$3)&amp;"",1)="⚠","",MID(INDEX(인턴근무계획!$M$3:$R$62,$A36,$I$3)&amp;"",FIND(" ",INDEX(인턴근무계획!$M$3:$R$62,$A36,$I$3)&amp;"")+1,60))))</f>
        <v/>
      </c>
      <c r="K36" s="23">
        <f>IF($C36="","",INDEX(인턴근무계획!$M$3:$M$62,$A36)&amp;"")</f>
        <v/>
      </c>
      <c r="L36" s="23">
        <f>IF($C36="","",INDEX(인턴근무계획!$N$3:$N$62,$A36)&amp;"")</f>
        <v/>
      </c>
      <c r="M36" s="23">
        <f>IF($C36="","",INDEX(인턴근무계획!$O$3:$O$62,$A36)&amp;"")</f>
        <v/>
      </c>
      <c r="N36" s="23">
        <f>IF($C36="","",INDEX(인턴근무계획!$P$3:$P$62,$A36)&amp;"")</f>
        <v/>
      </c>
      <c r="O36" s="23">
        <f>IF($C36="","",INDEX(인턴근무계획!$Q$3:$Q$62,$A36)&amp;"")</f>
        <v/>
      </c>
      <c r="P36" s="23">
        <f>IF($C36="","",INDEX(인턴근무계획!$R$3:$R$62,$A36)&amp;"")</f>
        <v/>
      </c>
      <c r="Q36" s="23">
        <f>IF($C36="","",INDEX(인턴근무계획!$T$3:$T$62,$A36))</f>
        <v/>
      </c>
    </row>
    <row r="37">
      <c r="A37" s="26" t="n">
        <v>32</v>
      </c>
      <c r="B37" s="23">
        <f>IF($C37="","",INDEX(인턴근무계획!$B$3:$B$62,$A37))</f>
        <v/>
      </c>
      <c r="C37" s="23">
        <f>IFERROR(TRIM(INDEX(인턴근무계획!$C$3:$C$62,$A37)&amp;""),"")</f>
        <v/>
      </c>
      <c r="D37" s="23">
        <f>IF($C37="","",INDEX(인턴근무계획!$D$3:$D$62,$A37))</f>
        <v/>
      </c>
      <c r="E37" s="23">
        <f>IF($C37="","",IF(IFERROR(MATCH($D37,기본자료!$B$2:$B$1001,0),IFERROR(MATCH($D37&amp;"",기본자료!$B$2:$B$1001,0),IFERROR(MATCH(VALUE($D37),기본자료!$B$2:$B$1001,0),0)))&gt;0,"확인","미등록"))</f>
        <v/>
      </c>
      <c r="F37" s="27">
        <f>IF($C37="","",INDEX(인턴근무계획!$S$3:$S$62,$A37))</f>
        <v/>
      </c>
      <c r="G37" s="23">
        <f>IF(OR($C37="",$G$3=""),"",IF(INDEX(인턴근무계획!$M$3:$R$62,$A37,$G$3)&amp;""="","",IF(LEFT(INDEX(인턴근무계획!$M$3:$R$62,$A37,$G$3)&amp;"",1)="⚠",INDEX(인턴근무계획!$M$3:$R$62,$A37,$G$3)&amp;"",LEFT(INDEX(인턴근무계획!$M$3:$R$62,$A37,$G$3)&amp;"",FIND(" ",INDEX(인턴근무계획!$M$3:$R$62,$A37,$G$3)&amp;"")-1))))</f>
        <v/>
      </c>
      <c r="H37" s="23">
        <f>IF(OR($C37="",$G$3=""),"",IF(INDEX(인턴근무계획!$M$3:$R$62,$A37,$G$3)&amp;""="","",IF(LEFT(INDEX(인턴근무계획!$M$3:$R$62,$A37,$G$3)&amp;"",1)="⚠","",MID(INDEX(인턴근무계획!$M$3:$R$62,$A37,$G$3)&amp;"",FIND(" ",INDEX(인턴근무계획!$M$3:$R$62,$A37,$G$3)&amp;"")+1,60))))</f>
        <v/>
      </c>
      <c r="I37" s="23">
        <f>IF(OR($C37="",$I$3=""),"",IF(INDEX(인턴근무계획!$M$3:$R$62,$A37,$I$3)&amp;""="","",IF(LEFT(INDEX(인턴근무계획!$M$3:$R$62,$A37,$I$3)&amp;"",1)="⚠",INDEX(인턴근무계획!$M$3:$R$62,$A37,$I$3)&amp;"",LEFT(INDEX(인턴근무계획!$M$3:$R$62,$A37,$I$3)&amp;"",FIND(" ",INDEX(인턴근무계획!$M$3:$R$62,$A37,$I$3)&amp;"")-1))))</f>
        <v/>
      </c>
      <c r="J37" s="23">
        <f>IF(OR($C37="",$I$3=""),"",IF(INDEX(인턴근무계획!$M$3:$R$62,$A37,$I$3)&amp;""="","",IF(LEFT(INDEX(인턴근무계획!$M$3:$R$62,$A37,$I$3)&amp;"",1)="⚠","",MID(INDEX(인턴근무계획!$M$3:$R$62,$A37,$I$3)&amp;"",FIND(" ",INDEX(인턴근무계획!$M$3:$R$62,$A37,$I$3)&amp;"")+1,60))))</f>
        <v/>
      </c>
      <c r="K37" s="23">
        <f>IF($C37="","",INDEX(인턴근무계획!$M$3:$M$62,$A37)&amp;"")</f>
        <v/>
      </c>
      <c r="L37" s="23">
        <f>IF($C37="","",INDEX(인턴근무계획!$N$3:$N$62,$A37)&amp;"")</f>
        <v/>
      </c>
      <c r="M37" s="23">
        <f>IF($C37="","",INDEX(인턴근무계획!$O$3:$O$62,$A37)&amp;"")</f>
        <v/>
      </c>
      <c r="N37" s="23">
        <f>IF($C37="","",INDEX(인턴근무계획!$P$3:$P$62,$A37)&amp;"")</f>
        <v/>
      </c>
      <c r="O37" s="23">
        <f>IF($C37="","",INDEX(인턴근무계획!$Q$3:$Q$62,$A37)&amp;"")</f>
        <v/>
      </c>
      <c r="P37" s="23">
        <f>IF($C37="","",INDEX(인턴근무계획!$R$3:$R$62,$A37)&amp;"")</f>
        <v/>
      </c>
      <c r="Q37" s="23">
        <f>IF($C37="","",INDEX(인턴근무계획!$T$3:$T$62,$A37))</f>
        <v/>
      </c>
    </row>
    <row r="38">
      <c r="A38" s="26" t="n">
        <v>33</v>
      </c>
      <c r="B38" s="23">
        <f>IF($C38="","",INDEX(인턴근무계획!$B$3:$B$62,$A38))</f>
        <v/>
      </c>
      <c r="C38" s="23">
        <f>IFERROR(TRIM(INDEX(인턴근무계획!$C$3:$C$62,$A38)&amp;""),"")</f>
        <v/>
      </c>
      <c r="D38" s="23">
        <f>IF($C38="","",INDEX(인턴근무계획!$D$3:$D$62,$A38))</f>
        <v/>
      </c>
      <c r="E38" s="23">
        <f>IF($C38="","",IF(IFERROR(MATCH($D38,기본자료!$B$2:$B$1001,0),IFERROR(MATCH($D38&amp;"",기본자료!$B$2:$B$1001,0),IFERROR(MATCH(VALUE($D38),기본자료!$B$2:$B$1001,0),0)))&gt;0,"확인","미등록"))</f>
        <v/>
      </c>
      <c r="F38" s="27">
        <f>IF($C38="","",INDEX(인턴근무계획!$S$3:$S$62,$A38))</f>
        <v/>
      </c>
      <c r="G38" s="23">
        <f>IF(OR($C38="",$G$3=""),"",IF(INDEX(인턴근무계획!$M$3:$R$62,$A38,$G$3)&amp;""="","",IF(LEFT(INDEX(인턴근무계획!$M$3:$R$62,$A38,$G$3)&amp;"",1)="⚠",INDEX(인턴근무계획!$M$3:$R$62,$A38,$G$3)&amp;"",LEFT(INDEX(인턴근무계획!$M$3:$R$62,$A38,$G$3)&amp;"",FIND(" ",INDEX(인턴근무계획!$M$3:$R$62,$A38,$G$3)&amp;"")-1))))</f>
        <v/>
      </c>
      <c r="H38" s="23">
        <f>IF(OR($C38="",$G$3=""),"",IF(INDEX(인턴근무계획!$M$3:$R$62,$A38,$G$3)&amp;""="","",IF(LEFT(INDEX(인턴근무계획!$M$3:$R$62,$A38,$G$3)&amp;"",1)="⚠","",MID(INDEX(인턴근무계획!$M$3:$R$62,$A38,$G$3)&amp;"",FIND(" ",INDEX(인턴근무계획!$M$3:$R$62,$A38,$G$3)&amp;"")+1,60))))</f>
        <v/>
      </c>
      <c r="I38" s="23">
        <f>IF(OR($C38="",$I$3=""),"",IF(INDEX(인턴근무계획!$M$3:$R$62,$A38,$I$3)&amp;""="","",IF(LEFT(INDEX(인턴근무계획!$M$3:$R$62,$A38,$I$3)&amp;"",1)="⚠",INDEX(인턴근무계획!$M$3:$R$62,$A38,$I$3)&amp;"",LEFT(INDEX(인턴근무계획!$M$3:$R$62,$A38,$I$3)&amp;"",FIND(" ",INDEX(인턴근무계획!$M$3:$R$62,$A38,$I$3)&amp;"")-1))))</f>
        <v/>
      </c>
      <c r="J38" s="23">
        <f>IF(OR($C38="",$I$3=""),"",IF(INDEX(인턴근무계획!$M$3:$R$62,$A38,$I$3)&amp;""="","",IF(LEFT(INDEX(인턴근무계획!$M$3:$R$62,$A38,$I$3)&amp;"",1)="⚠","",MID(INDEX(인턴근무계획!$M$3:$R$62,$A38,$I$3)&amp;"",FIND(" ",INDEX(인턴근무계획!$M$3:$R$62,$A38,$I$3)&amp;"")+1,60))))</f>
        <v/>
      </c>
      <c r="K38" s="23">
        <f>IF($C38="","",INDEX(인턴근무계획!$M$3:$M$62,$A38)&amp;"")</f>
        <v/>
      </c>
      <c r="L38" s="23">
        <f>IF($C38="","",INDEX(인턴근무계획!$N$3:$N$62,$A38)&amp;"")</f>
        <v/>
      </c>
      <c r="M38" s="23">
        <f>IF($C38="","",INDEX(인턴근무계획!$O$3:$O$62,$A38)&amp;"")</f>
        <v/>
      </c>
      <c r="N38" s="23">
        <f>IF($C38="","",INDEX(인턴근무계획!$P$3:$P$62,$A38)&amp;"")</f>
        <v/>
      </c>
      <c r="O38" s="23">
        <f>IF($C38="","",INDEX(인턴근무계획!$Q$3:$Q$62,$A38)&amp;"")</f>
        <v/>
      </c>
      <c r="P38" s="23">
        <f>IF($C38="","",INDEX(인턴근무계획!$R$3:$R$62,$A38)&amp;"")</f>
        <v/>
      </c>
      <c r="Q38" s="23">
        <f>IF($C38="","",INDEX(인턴근무계획!$T$3:$T$62,$A38))</f>
        <v/>
      </c>
    </row>
    <row r="39">
      <c r="A39" s="26" t="n">
        <v>34</v>
      </c>
      <c r="B39" s="23">
        <f>IF($C39="","",INDEX(인턴근무계획!$B$3:$B$62,$A39))</f>
        <v/>
      </c>
      <c r="C39" s="23">
        <f>IFERROR(TRIM(INDEX(인턴근무계획!$C$3:$C$62,$A39)&amp;""),"")</f>
        <v/>
      </c>
      <c r="D39" s="23">
        <f>IF($C39="","",INDEX(인턴근무계획!$D$3:$D$62,$A39))</f>
        <v/>
      </c>
      <c r="E39" s="23">
        <f>IF($C39="","",IF(IFERROR(MATCH($D39,기본자료!$B$2:$B$1001,0),IFERROR(MATCH($D39&amp;"",기본자료!$B$2:$B$1001,0),IFERROR(MATCH(VALUE($D39),기본자료!$B$2:$B$1001,0),0)))&gt;0,"확인","미등록"))</f>
        <v/>
      </c>
      <c r="F39" s="27">
        <f>IF($C39="","",INDEX(인턴근무계획!$S$3:$S$62,$A39))</f>
        <v/>
      </c>
      <c r="G39" s="23">
        <f>IF(OR($C39="",$G$3=""),"",IF(INDEX(인턴근무계획!$M$3:$R$62,$A39,$G$3)&amp;""="","",IF(LEFT(INDEX(인턴근무계획!$M$3:$R$62,$A39,$G$3)&amp;"",1)="⚠",INDEX(인턴근무계획!$M$3:$R$62,$A39,$G$3)&amp;"",LEFT(INDEX(인턴근무계획!$M$3:$R$62,$A39,$G$3)&amp;"",FIND(" ",INDEX(인턴근무계획!$M$3:$R$62,$A39,$G$3)&amp;"")-1))))</f>
        <v/>
      </c>
      <c r="H39" s="23">
        <f>IF(OR($C39="",$G$3=""),"",IF(INDEX(인턴근무계획!$M$3:$R$62,$A39,$G$3)&amp;""="","",IF(LEFT(INDEX(인턴근무계획!$M$3:$R$62,$A39,$G$3)&amp;"",1)="⚠","",MID(INDEX(인턴근무계획!$M$3:$R$62,$A39,$G$3)&amp;"",FIND(" ",INDEX(인턴근무계획!$M$3:$R$62,$A39,$G$3)&amp;"")+1,60))))</f>
        <v/>
      </c>
      <c r="I39" s="23">
        <f>IF(OR($C39="",$I$3=""),"",IF(INDEX(인턴근무계획!$M$3:$R$62,$A39,$I$3)&amp;""="","",IF(LEFT(INDEX(인턴근무계획!$M$3:$R$62,$A39,$I$3)&amp;"",1)="⚠",INDEX(인턴근무계획!$M$3:$R$62,$A39,$I$3)&amp;"",LEFT(INDEX(인턴근무계획!$M$3:$R$62,$A39,$I$3)&amp;"",FIND(" ",INDEX(인턴근무계획!$M$3:$R$62,$A39,$I$3)&amp;"")-1))))</f>
        <v/>
      </c>
      <c r="J39" s="23">
        <f>IF(OR($C39="",$I$3=""),"",IF(INDEX(인턴근무계획!$M$3:$R$62,$A39,$I$3)&amp;""="","",IF(LEFT(INDEX(인턴근무계획!$M$3:$R$62,$A39,$I$3)&amp;"",1)="⚠","",MID(INDEX(인턴근무계획!$M$3:$R$62,$A39,$I$3)&amp;"",FIND(" ",INDEX(인턴근무계획!$M$3:$R$62,$A39,$I$3)&amp;"")+1,60))))</f>
        <v/>
      </c>
      <c r="K39" s="23">
        <f>IF($C39="","",INDEX(인턴근무계획!$M$3:$M$62,$A39)&amp;"")</f>
        <v/>
      </c>
      <c r="L39" s="23">
        <f>IF($C39="","",INDEX(인턴근무계획!$N$3:$N$62,$A39)&amp;"")</f>
        <v/>
      </c>
      <c r="M39" s="23">
        <f>IF($C39="","",INDEX(인턴근무계획!$O$3:$O$62,$A39)&amp;"")</f>
        <v/>
      </c>
      <c r="N39" s="23">
        <f>IF($C39="","",INDEX(인턴근무계획!$P$3:$P$62,$A39)&amp;"")</f>
        <v/>
      </c>
      <c r="O39" s="23">
        <f>IF($C39="","",INDEX(인턴근무계획!$Q$3:$Q$62,$A39)&amp;"")</f>
        <v/>
      </c>
      <c r="P39" s="23">
        <f>IF($C39="","",INDEX(인턴근무계획!$R$3:$R$62,$A39)&amp;"")</f>
        <v/>
      </c>
      <c r="Q39" s="23">
        <f>IF($C39="","",INDEX(인턴근무계획!$T$3:$T$62,$A39))</f>
        <v/>
      </c>
    </row>
    <row r="40">
      <c r="A40" s="26" t="n">
        <v>35</v>
      </c>
      <c r="B40" s="23">
        <f>IF($C40="","",INDEX(인턴근무계획!$B$3:$B$62,$A40))</f>
        <v/>
      </c>
      <c r="C40" s="23">
        <f>IFERROR(TRIM(INDEX(인턴근무계획!$C$3:$C$62,$A40)&amp;""),"")</f>
        <v/>
      </c>
      <c r="D40" s="23">
        <f>IF($C40="","",INDEX(인턴근무계획!$D$3:$D$62,$A40))</f>
        <v/>
      </c>
      <c r="E40" s="23">
        <f>IF($C40="","",IF(IFERROR(MATCH($D40,기본자료!$B$2:$B$1001,0),IFERROR(MATCH($D40&amp;"",기본자료!$B$2:$B$1001,0),IFERROR(MATCH(VALUE($D40),기본자료!$B$2:$B$1001,0),0)))&gt;0,"확인","미등록"))</f>
        <v/>
      </c>
      <c r="F40" s="27">
        <f>IF($C40="","",INDEX(인턴근무계획!$S$3:$S$62,$A40))</f>
        <v/>
      </c>
      <c r="G40" s="23">
        <f>IF(OR($C40="",$G$3=""),"",IF(INDEX(인턴근무계획!$M$3:$R$62,$A40,$G$3)&amp;""="","",IF(LEFT(INDEX(인턴근무계획!$M$3:$R$62,$A40,$G$3)&amp;"",1)="⚠",INDEX(인턴근무계획!$M$3:$R$62,$A40,$G$3)&amp;"",LEFT(INDEX(인턴근무계획!$M$3:$R$62,$A40,$G$3)&amp;"",FIND(" ",INDEX(인턴근무계획!$M$3:$R$62,$A40,$G$3)&amp;"")-1))))</f>
        <v/>
      </c>
      <c r="H40" s="23">
        <f>IF(OR($C40="",$G$3=""),"",IF(INDEX(인턴근무계획!$M$3:$R$62,$A40,$G$3)&amp;""="","",IF(LEFT(INDEX(인턴근무계획!$M$3:$R$62,$A40,$G$3)&amp;"",1)="⚠","",MID(INDEX(인턴근무계획!$M$3:$R$62,$A40,$G$3)&amp;"",FIND(" ",INDEX(인턴근무계획!$M$3:$R$62,$A40,$G$3)&amp;"")+1,60))))</f>
        <v/>
      </c>
      <c r="I40" s="23">
        <f>IF(OR($C40="",$I$3=""),"",IF(INDEX(인턴근무계획!$M$3:$R$62,$A40,$I$3)&amp;""="","",IF(LEFT(INDEX(인턴근무계획!$M$3:$R$62,$A40,$I$3)&amp;"",1)="⚠",INDEX(인턴근무계획!$M$3:$R$62,$A40,$I$3)&amp;"",LEFT(INDEX(인턴근무계획!$M$3:$R$62,$A40,$I$3)&amp;"",FIND(" ",INDEX(인턴근무계획!$M$3:$R$62,$A40,$I$3)&amp;"")-1))))</f>
        <v/>
      </c>
      <c r="J40" s="23">
        <f>IF(OR($C40="",$I$3=""),"",IF(INDEX(인턴근무계획!$M$3:$R$62,$A40,$I$3)&amp;""="","",IF(LEFT(INDEX(인턴근무계획!$M$3:$R$62,$A40,$I$3)&amp;"",1)="⚠","",MID(INDEX(인턴근무계획!$M$3:$R$62,$A40,$I$3)&amp;"",FIND(" ",INDEX(인턴근무계획!$M$3:$R$62,$A40,$I$3)&amp;"")+1,60))))</f>
        <v/>
      </c>
      <c r="K40" s="23">
        <f>IF($C40="","",INDEX(인턴근무계획!$M$3:$M$62,$A40)&amp;"")</f>
        <v/>
      </c>
      <c r="L40" s="23">
        <f>IF($C40="","",INDEX(인턴근무계획!$N$3:$N$62,$A40)&amp;"")</f>
        <v/>
      </c>
      <c r="M40" s="23">
        <f>IF($C40="","",INDEX(인턴근무계획!$O$3:$O$62,$A40)&amp;"")</f>
        <v/>
      </c>
      <c r="N40" s="23">
        <f>IF($C40="","",INDEX(인턴근무계획!$P$3:$P$62,$A40)&amp;"")</f>
        <v/>
      </c>
      <c r="O40" s="23">
        <f>IF($C40="","",INDEX(인턴근무계획!$Q$3:$Q$62,$A40)&amp;"")</f>
        <v/>
      </c>
      <c r="P40" s="23">
        <f>IF($C40="","",INDEX(인턴근무계획!$R$3:$R$62,$A40)&amp;"")</f>
        <v/>
      </c>
      <c r="Q40" s="23">
        <f>IF($C40="","",INDEX(인턴근무계획!$T$3:$T$62,$A40))</f>
        <v/>
      </c>
    </row>
    <row r="41">
      <c r="A41" s="26" t="n">
        <v>36</v>
      </c>
      <c r="B41" s="23">
        <f>IF($C41="","",INDEX(인턴근무계획!$B$3:$B$62,$A41))</f>
        <v/>
      </c>
      <c r="C41" s="23">
        <f>IFERROR(TRIM(INDEX(인턴근무계획!$C$3:$C$62,$A41)&amp;""),"")</f>
        <v/>
      </c>
      <c r="D41" s="23">
        <f>IF($C41="","",INDEX(인턴근무계획!$D$3:$D$62,$A41))</f>
        <v/>
      </c>
      <c r="E41" s="23">
        <f>IF($C41="","",IF(IFERROR(MATCH($D41,기본자료!$B$2:$B$1001,0),IFERROR(MATCH($D41&amp;"",기본자료!$B$2:$B$1001,0),IFERROR(MATCH(VALUE($D41),기본자료!$B$2:$B$1001,0),0)))&gt;0,"확인","미등록"))</f>
        <v/>
      </c>
      <c r="F41" s="27">
        <f>IF($C41="","",INDEX(인턴근무계획!$S$3:$S$62,$A41))</f>
        <v/>
      </c>
      <c r="G41" s="23">
        <f>IF(OR($C41="",$G$3=""),"",IF(INDEX(인턴근무계획!$M$3:$R$62,$A41,$G$3)&amp;""="","",IF(LEFT(INDEX(인턴근무계획!$M$3:$R$62,$A41,$G$3)&amp;"",1)="⚠",INDEX(인턴근무계획!$M$3:$R$62,$A41,$G$3)&amp;"",LEFT(INDEX(인턴근무계획!$M$3:$R$62,$A41,$G$3)&amp;"",FIND(" ",INDEX(인턴근무계획!$M$3:$R$62,$A41,$G$3)&amp;"")-1))))</f>
        <v/>
      </c>
      <c r="H41" s="23">
        <f>IF(OR($C41="",$G$3=""),"",IF(INDEX(인턴근무계획!$M$3:$R$62,$A41,$G$3)&amp;""="","",IF(LEFT(INDEX(인턴근무계획!$M$3:$R$62,$A41,$G$3)&amp;"",1)="⚠","",MID(INDEX(인턴근무계획!$M$3:$R$62,$A41,$G$3)&amp;"",FIND(" ",INDEX(인턴근무계획!$M$3:$R$62,$A41,$G$3)&amp;"")+1,60))))</f>
        <v/>
      </c>
      <c r="I41" s="23">
        <f>IF(OR($C41="",$I$3=""),"",IF(INDEX(인턴근무계획!$M$3:$R$62,$A41,$I$3)&amp;""="","",IF(LEFT(INDEX(인턴근무계획!$M$3:$R$62,$A41,$I$3)&amp;"",1)="⚠",INDEX(인턴근무계획!$M$3:$R$62,$A41,$I$3)&amp;"",LEFT(INDEX(인턴근무계획!$M$3:$R$62,$A41,$I$3)&amp;"",FIND(" ",INDEX(인턴근무계획!$M$3:$R$62,$A41,$I$3)&amp;"")-1))))</f>
        <v/>
      </c>
      <c r="J41" s="23">
        <f>IF(OR($C41="",$I$3=""),"",IF(INDEX(인턴근무계획!$M$3:$R$62,$A41,$I$3)&amp;""="","",IF(LEFT(INDEX(인턴근무계획!$M$3:$R$62,$A41,$I$3)&amp;"",1)="⚠","",MID(INDEX(인턴근무계획!$M$3:$R$62,$A41,$I$3)&amp;"",FIND(" ",INDEX(인턴근무계획!$M$3:$R$62,$A41,$I$3)&amp;"")+1,60))))</f>
        <v/>
      </c>
      <c r="K41" s="23">
        <f>IF($C41="","",INDEX(인턴근무계획!$M$3:$M$62,$A41)&amp;"")</f>
        <v/>
      </c>
      <c r="L41" s="23">
        <f>IF($C41="","",INDEX(인턴근무계획!$N$3:$N$62,$A41)&amp;"")</f>
        <v/>
      </c>
      <c r="M41" s="23">
        <f>IF($C41="","",INDEX(인턴근무계획!$O$3:$O$62,$A41)&amp;"")</f>
        <v/>
      </c>
      <c r="N41" s="23">
        <f>IF($C41="","",INDEX(인턴근무계획!$P$3:$P$62,$A41)&amp;"")</f>
        <v/>
      </c>
      <c r="O41" s="23">
        <f>IF($C41="","",INDEX(인턴근무계획!$Q$3:$Q$62,$A41)&amp;"")</f>
        <v/>
      </c>
      <c r="P41" s="23">
        <f>IF($C41="","",INDEX(인턴근무계획!$R$3:$R$62,$A41)&amp;"")</f>
        <v/>
      </c>
      <c r="Q41" s="23">
        <f>IF($C41="","",INDEX(인턴근무계획!$T$3:$T$62,$A41))</f>
        <v/>
      </c>
    </row>
    <row r="42">
      <c r="A42" s="26" t="n">
        <v>37</v>
      </c>
      <c r="B42" s="23">
        <f>IF($C42="","",INDEX(인턴근무계획!$B$3:$B$62,$A42))</f>
        <v/>
      </c>
      <c r="C42" s="23">
        <f>IFERROR(TRIM(INDEX(인턴근무계획!$C$3:$C$62,$A42)&amp;""),"")</f>
        <v/>
      </c>
      <c r="D42" s="23">
        <f>IF($C42="","",INDEX(인턴근무계획!$D$3:$D$62,$A42))</f>
        <v/>
      </c>
      <c r="E42" s="23">
        <f>IF($C42="","",IF(IFERROR(MATCH($D42,기본자료!$B$2:$B$1001,0),IFERROR(MATCH($D42&amp;"",기본자료!$B$2:$B$1001,0),IFERROR(MATCH(VALUE($D42),기본자료!$B$2:$B$1001,0),0)))&gt;0,"확인","미등록"))</f>
        <v/>
      </c>
      <c r="F42" s="27">
        <f>IF($C42="","",INDEX(인턴근무계획!$S$3:$S$62,$A42))</f>
        <v/>
      </c>
      <c r="G42" s="23">
        <f>IF(OR($C42="",$G$3=""),"",IF(INDEX(인턴근무계획!$M$3:$R$62,$A42,$G$3)&amp;""="","",IF(LEFT(INDEX(인턴근무계획!$M$3:$R$62,$A42,$G$3)&amp;"",1)="⚠",INDEX(인턴근무계획!$M$3:$R$62,$A42,$G$3)&amp;"",LEFT(INDEX(인턴근무계획!$M$3:$R$62,$A42,$G$3)&amp;"",FIND(" ",INDEX(인턴근무계획!$M$3:$R$62,$A42,$G$3)&amp;"")-1))))</f>
        <v/>
      </c>
      <c r="H42" s="23">
        <f>IF(OR($C42="",$G$3=""),"",IF(INDEX(인턴근무계획!$M$3:$R$62,$A42,$G$3)&amp;""="","",IF(LEFT(INDEX(인턴근무계획!$M$3:$R$62,$A42,$G$3)&amp;"",1)="⚠","",MID(INDEX(인턴근무계획!$M$3:$R$62,$A42,$G$3)&amp;"",FIND(" ",INDEX(인턴근무계획!$M$3:$R$62,$A42,$G$3)&amp;"")+1,60))))</f>
        <v/>
      </c>
      <c r="I42" s="23">
        <f>IF(OR($C42="",$I$3=""),"",IF(INDEX(인턴근무계획!$M$3:$R$62,$A42,$I$3)&amp;""="","",IF(LEFT(INDEX(인턴근무계획!$M$3:$R$62,$A42,$I$3)&amp;"",1)="⚠",INDEX(인턴근무계획!$M$3:$R$62,$A42,$I$3)&amp;"",LEFT(INDEX(인턴근무계획!$M$3:$R$62,$A42,$I$3)&amp;"",FIND(" ",INDEX(인턴근무계획!$M$3:$R$62,$A42,$I$3)&amp;"")-1))))</f>
        <v/>
      </c>
      <c r="J42" s="23">
        <f>IF(OR($C42="",$I$3=""),"",IF(INDEX(인턴근무계획!$M$3:$R$62,$A42,$I$3)&amp;""="","",IF(LEFT(INDEX(인턴근무계획!$M$3:$R$62,$A42,$I$3)&amp;"",1)="⚠","",MID(INDEX(인턴근무계획!$M$3:$R$62,$A42,$I$3)&amp;"",FIND(" ",INDEX(인턴근무계획!$M$3:$R$62,$A42,$I$3)&amp;"")+1,60))))</f>
        <v/>
      </c>
      <c r="K42" s="23">
        <f>IF($C42="","",INDEX(인턴근무계획!$M$3:$M$62,$A42)&amp;"")</f>
        <v/>
      </c>
      <c r="L42" s="23">
        <f>IF($C42="","",INDEX(인턴근무계획!$N$3:$N$62,$A42)&amp;"")</f>
        <v/>
      </c>
      <c r="M42" s="23">
        <f>IF($C42="","",INDEX(인턴근무계획!$O$3:$O$62,$A42)&amp;"")</f>
        <v/>
      </c>
      <c r="N42" s="23">
        <f>IF($C42="","",INDEX(인턴근무계획!$P$3:$P$62,$A42)&amp;"")</f>
        <v/>
      </c>
      <c r="O42" s="23">
        <f>IF($C42="","",INDEX(인턴근무계획!$Q$3:$Q$62,$A42)&amp;"")</f>
        <v/>
      </c>
      <c r="P42" s="23">
        <f>IF($C42="","",INDEX(인턴근무계획!$R$3:$R$62,$A42)&amp;"")</f>
        <v/>
      </c>
      <c r="Q42" s="23">
        <f>IF($C42="","",INDEX(인턴근무계획!$T$3:$T$62,$A42))</f>
        <v/>
      </c>
    </row>
    <row r="43">
      <c r="A43" s="26" t="n">
        <v>38</v>
      </c>
      <c r="B43" s="23">
        <f>IF($C43="","",INDEX(인턴근무계획!$B$3:$B$62,$A43))</f>
        <v/>
      </c>
      <c r="C43" s="23">
        <f>IFERROR(TRIM(INDEX(인턴근무계획!$C$3:$C$62,$A43)&amp;""),"")</f>
        <v/>
      </c>
      <c r="D43" s="23">
        <f>IF($C43="","",INDEX(인턴근무계획!$D$3:$D$62,$A43))</f>
        <v/>
      </c>
      <c r="E43" s="23">
        <f>IF($C43="","",IF(IFERROR(MATCH($D43,기본자료!$B$2:$B$1001,0),IFERROR(MATCH($D43&amp;"",기본자료!$B$2:$B$1001,0),IFERROR(MATCH(VALUE($D43),기본자료!$B$2:$B$1001,0),0)))&gt;0,"확인","미등록"))</f>
        <v/>
      </c>
      <c r="F43" s="27">
        <f>IF($C43="","",INDEX(인턴근무계획!$S$3:$S$62,$A43))</f>
        <v/>
      </c>
      <c r="G43" s="23">
        <f>IF(OR($C43="",$G$3=""),"",IF(INDEX(인턴근무계획!$M$3:$R$62,$A43,$G$3)&amp;""="","",IF(LEFT(INDEX(인턴근무계획!$M$3:$R$62,$A43,$G$3)&amp;"",1)="⚠",INDEX(인턴근무계획!$M$3:$R$62,$A43,$G$3)&amp;"",LEFT(INDEX(인턴근무계획!$M$3:$R$62,$A43,$G$3)&amp;"",FIND(" ",INDEX(인턴근무계획!$M$3:$R$62,$A43,$G$3)&amp;"")-1))))</f>
        <v/>
      </c>
      <c r="H43" s="23">
        <f>IF(OR($C43="",$G$3=""),"",IF(INDEX(인턴근무계획!$M$3:$R$62,$A43,$G$3)&amp;""="","",IF(LEFT(INDEX(인턴근무계획!$M$3:$R$62,$A43,$G$3)&amp;"",1)="⚠","",MID(INDEX(인턴근무계획!$M$3:$R$62,$A43,$G$3)&amp;"",FIND(" ",INDEX(인턴근무계획!$M$3:$R$62,$A43,$G$3)&amp;"")+1,60))))</f>
        <v/>
      </c>
      <c r="I43" s="23">
        <f>IF(OR($C43="",$I$3=""),"",IF(INDEX(인턴근무계획!$M$3:$R$62,$A43,$I$3)&amp;""="","",IF(LEFT(INDEX(인턴근무계획!$M$3:$R$62,$A43,$I$3)&amp;"",1)="⚠",INDEX(인턴근무계획!$M$3:$R$62,$A43,$I$3)&amp;"",LEFT(INDEX(인턴근무계획!$M$3:$R$62,$A43,$I$3)&amp;"",FIND(" ",INDEX(인턴근무계획!$M$3:$R$62,$A43,$I$3)&amp;"")-1))))</f>
        <v/>
      </c>
      <c r="J43" s="23">
        <f>IF(OR($C43="",$I$3=""),"",IF(INDEX(인턴근무계획!$M$3:$R$62,$A43,$I$3)&amp;""="","",IF(LEFT(INDEX(인턴근무계획!$M$3:$R$62,$A43,$I$3)&amp;"",1)="⚠","",MID(INDEX(인턴근무계획!$M$3:$R$62,$A43,$I$3)&amp;"",FIND(" ",INDEX(인턴근무계획!$M$3:$R$62,$A43,$I$3)&amp;"")+1,60))))</f>
        <v/>
      </c>
      <c r="K43" s="23">
        <f>IF($C43="","",INDEX(인턴근무계획!$M$3:$M$62,$A43)&amp;"")</f>
        <v/>
      </c>
      <c r="L43" s="23">
        <f>IF($C43="","",INDEX(인턴근무계획!$N$3:$N$62,$A43)&amp;"")</f>
        <v/>
      </c>
      <c r="M43" s="23">
        <f>IF($C43="","",INDEX(인턴근무계획!$O$3:$O$62,$A43)&amp;"")</f>
        <v/>
      </c>
      <c r="N43" s="23">
        <f>IF($C43="","",INDEX(인턴근무계획!$P$3:$P$62,$A43)&amp;"")</f>
        <v/>
      </c>
      <c r="O43" s="23">
        <f>IF($C43="","",INDEX(인턴근무계획!$Q$3:$Q$62,$A43)&amp;"")</f>
        <v/>
      </c>
      <c r="P43" s="23">
        <f>IF($C43="","",INDEX(인턴근무계획!$R$3:$R$62,$A43)&amp;"")</f>
        <v/>
      </c>
      <c r="Q43" s="23">
        <f>IF($C43="","",INDEX(인턴근무계획!$T$3:$T$62,$A43))</f>
        <v/>
      </c>
    </row>
    <row r="44">
      <c r="A44" s="26" t="n">
        <v>39</v>
      </c>
      <c r="B44" s="23">
        <f>IF($C44="","",INDEX(인턴근무계획!$B$3:$B$62,$A44))</f>
        <v/>
      </c>
      <c r="C44" s="23">
        <f>IFERROR(TRIM(INDEX(인턴근무계획!$C$3:$C$62,$A44)&amp;""),"")</f>
        <v/>
      </c>
      <c r="D44" s="23">
        <f>IF($C44="","",INDEX(인턴근무계획!$D$3:$D$62,$A44))</f>
        <v/>
      </c>
      <c r="E44" s="23">
        <f>IF($C44="","",IF(IFERROR(MATCH($D44,기본자료!$B$2:$B$1001,0),IFERROR(MATCH($D44&amp;"",기본자료!$B$2:$B$1001,0),IFERROR(MATCH(VALUE($D44),기본자료!$B$2:$B$1001,0),0)))&gt;0,"확인","미등록"))</f>
        <v/>
      </c>
      <c r="F44" s="27">
        <f>IF($C44="","",INDEX(인턴근무계획!$S$3:$S$62,$A44))</f>
        <v/>
      </c>
      <c r="G44" s="23">
        <f>IF(OR($C44="",$G$3=""),"",IF(INDEX(인턴근무계획!$M$3:$R$62,$A44,$G$3)&amp;""="","",IF(LEFT(INDEX(인턴근무계획!$M$3:$R$62,$A44,$G$3)&amp;"",1)="⚠",INDEX(인턴근무계획!$M$3:$R$62,$A44,$G$3)&amp;"",LEFT(INDEX(인턴근무계획!$M$3:$R$62,$A44,$G$3)&amp;"",FIND(" ",INDEX(인턴근무계획!$M$3:$R$62,$A44,$G$3)&amp;"")-1))))</f>
        <v/>
      </c>
      <c r="H44" s="23">
        <f>IF(OR($C44="",$G$3=""),"",IF(INDEX(인턴근무계획!$M$3:$R$62,$A44,$G$3)&amp;""="","",IF(LEFT(INDEX(인턴근무계획!$M$3:$R$62,$A44,$G$3)&amp;"",1)="⚠","",MID(INDEX(인턴근무계획!$M$3:$R$62,$A44,$G$3)&amp;"",FIND(" ",INDEX(인턴근무계획!$M$3:$R$62,$A44,$G$3)&amp;"")+1,60))))</f>
        <v/>
      </c>
      <c r="I44" s="23">
        <f>IF(OR($C44="",$I$3=""),"",IF(INDEX(인턴근무계획!$M$3:$R$62,$A44,$I$3)&amp;""="","",IF(LEFT(INDEX(인턴근무계획!$M$3:$R$62,$A44,$I$3)&amp;"",1)="⚠",INDEX(인턴근무계획!$M$3:$R$62,$A44,$I$3)&amp;"",LEFT(INDEX(인턴근무계획!$M$3:$R$62,$A44,$I$3)&amp;"",FIND(" ",INDEX(인턴근무계획!$M$3:$R$62,$A44,$I$3)&amp;"")-1))))</f>
        <v/>
      </c>
      <c r="J44" s="23">
        <f>IF(OR($C44="",$I$3=""),"",IF(INDEX(인턴근무계획!$M$3:$R$62,$A44,$I$3)&amp;""="","",IF(LEFT(INDEX(인턴근무계획!$M$3:$R$62,$A44,$I$3)&amp;"",1)="⚠","",MID(INDEX(인턴근무계획!$M$3:$R$62,$A44,$I$3)&amp;"",FIND(" ",INDEX(인턴근무계획!$M$3:$R$62,$A44,$I$3)&amp;"")+1,60))))</f>
        <v/>
      </c>
      <c r="K44" s="23">
        <f>IF($C44="","",INDEX(인턴근무계획!$M$3:$M$62,$A44)&amp;"")</f>
        <v/>
      </c>
      <c r="L44" s="23">
        <f>IF($C44="","",INDEX(인턴근무계획!$N$3:$N$62,$A44)&amp;"")</f>
        <v/>
      </c>
      <c r="M44" s="23">
        <f>IF($C44="","",INDEX(인턴근무계획!$O$3:$O$62,$A44)&amp;"")</f>
        <v/>
      </c>
      <c r="N44" s="23">
        <f>IF($C44="","",INDEX(인턴근무계획!$P$3:$P$62,$A44)&amp;"")</f>
        <v/>
      </c>
      <c r="O44" s="23">
        <f>IF($C44="","",INDEX(인턴근무계획!$Q$3:$Q$62,$A44)&amp;"")</f>
        <v/>
      </c>
      <c r="P44" s="23">
        <f>IF($C44="","",INDEX(인턴근무계획!$R$3:$R$62,$A44)&amp;"")</f>
        <v/>
      </c>
      <c r="Q44" s="23">
        <f>IF($C44="","",INDEX(인턴근무계획!$T$3:$T$62,$A44))</f>
        <v/>
      </c>
    </row>
    <row r="45">
      <c r="A45" s="26" t="n">
        <v>40</v>
      </c>
      <c r="B45" s="23">
        <f>IF($C45="","",INDEX(인턴근무계획!$B$3:$B$62,$A45))</f>
        <v/>
      </c>
      <c r="C45" s="23">
        <f>IFERROR(TRIM(INDEX(인턴근무계획!$C$3:$C$62,$A45)&amp;""),"")</f>
        <v/>
      </c>
      <c r="D45" s="23">
        <f>IF($C45="","",INDEX(인턴근무계획!$D$3:$D$62,$A45))</f>
        <v/>
      </c>
      <c r="E45" s="23">
        <f>IF($C45="","",IF(IFERROR(MATCH($D45,기본자료!$B$2:$B$1001,0),IFERROR(MATCH($D45&amp;"",기본자료!$B$2:$B$1001,0),IFERROR(MATCH(VALUE($D45),기본자료!$B$2:$B$1001,0),0)))&gt;0,"확인","미등록"))</f>
        <v/>
      </c>
      <c r="F45" s="27">
        <f>IF($C45="","",INDEX(인턴근무계획!$S$3:$S$62,$A45))</f>
        <v/>
      </c>
      <c r="G45" s="23">
        <f>IF(OR($C45="",$G$3=""),"",IF(INDEX(인턴근무계획!$M$3:$R$62,$A45,$G$3)&amp;""="","",IF(LEFT(INDEX(인턴근무계획!$M$3:$R$62,$A45,$G$3)&amp;"",1)="⚠",INDEX(인턴근무계획!$M$3:$R$62,$A45,$G$3)&amp;"",LEFT(INDEX(인턴근무계획!$M$3:$R$62,$A45,$G$3)&amp;"",FIND(" ",INDEX(인턴근무계획!$M$3:$R$62,$A45,$G$3)&amp;"")-1))))</f>
        <v/>
      </c>
      <c r="H45" s="23">
        <f>IF(OR($C45="",$G$3=""),"",IF(INDEX(인턴근무계획!$M$3:$R$62,$A45,$G$3)&amp;""="","",IF(LEFT(INDEX(인턴근무계획!$M$3:$R$62,$A45,$G$3)&amp;"",1)="⚠","",MID(INDEX(인턴근무계획!$M$3:$R$62,$A45,$G$3)&amp;"",FIND(" ",INDEX(인턴근무계획!$M$3:$R$62,$A45,$G$3)&amp;"")+1,60))))</f>
        <v/>
      </c>
      <c r="I45" s="23">
        <f>IF(OR($C45="",$I$3=""),"",IF(INDEX(인턴근무계획!$M$3:$R$62,$A45,$I$3)&amp;""="","",IF(LEFT(INDEX(인턴근무계획!$M$3:$R$62,$A45,$I$3)&amp;"",1)="⚠",INDEX(인턴근무계획!$M$3:$R$62,$A45,$I$3)&amp;"",LEFT(INDEX(인턴근무계획!$M$3:$R$62,$A45,$I$3)&amp;"",FIND(" ",INDEX(인턴근무계획!$M$3:$R$62,$A45,$I$3)&amp;"")-1))))</f>
        <v/>
      </c>
      <c r="J45" s="23">
        <f>IF(OR($C45="",$I$3=""),"",IF(INDEX(인턴근무계획!$M$3:$R$62,$A45,$I$3)&amp;""="","",IF(LEFT(INDEX(인턴근무계획!$M$3:$R$62,$A45,$I$3)&amp;"",1)="⚠","",MID(INDEX(인턴근무계획!$M$3:$R$62,$A45,$I$3)&amp;"",FIND(" ",INDEX(인턴근무계획!$M$3:$R$62,$A45,$I$3)&amp;"")+1,60))))</f>
        <v/>
      </c>
      <c r="K45" s="23">
        <f>IF($C45="","",INDEX(인턴근무계획!$M$3:$M$62,$A45)&amp;"")</f>
        <v/>
      </c>
      <c r="L45" s="23">
        <f>IF($C45="","",INDEX(인턴근무계획!$N$3:$N$62,$A45)&amp;"")</f>
        <v/>
      </c>
      <c r="M45" s="23">
        <f>IF($C45="","",INDEX(인턴근무계획!$O$3:$O$62,$A45)&amp;"")</f>
        <v/>
      </c>
      <c r="N45" s="23">
        <f>IF($C45="","",INDEX(인턴근무계획!$P$3:$P$62,$A45)&amp;"")</f>
        <v/>
      </c>
      <c r="O45" s="23">
        <f>IF($C45="","",INDEX(인턴근무계획!$Q$3:$Q$62,$A45)&amp;"")</f>
        <v/>
      </c>
      <c r="P45" s="23">
        <f>IF($C45="","",INDEX(인턴근무계획!$R$3:$R$62,$A45)&amp;"")</f>
        <v/>
      </c>
      <c r="Q45" s="23">
        <f>IF($C45="","",INDEX(인턴근무계획!$T$3:$T$62,$A45))</f>
        <v/>
      </c>
    </row>
    <row r="46">
      <c r="A46" s="26" t="n">
        <v>41</v>
      </c>
      <c r="B46" s="23">
        <f>IF($C46="","",INDEX(인턴근무계획!$B$3:$B$62,$A46))</f>
        <v/>
      </c>
      <c r="C46" s="23">
        <f>IFERROR(TRIM(INDEX(인턴근무계획!$C$3:$C$62,$A46)&amp;""),"")</f>
        <v/>
      </c>
      <c r="D46" s="23">
        <f>IF($C46="","",INDEX(인턴근무계획!$D$3:$D$62,$A46))</f>
        <v/>
      </c>
      <c r="E46" s="23">
        <f>IF($C46="","",IF(IFERROR(MATCH($D46,기본자료!$B$2:$B$1001,0),IFERROR(MATCH($D46&amp;"",기본자료!$B$2:$B$1001,0),IFERROR(MATCH(VALUE($D46),기본자료!$B$2:$B$1001,0),0)))&gt;0,"확인","미등록"))</f>
        <v/>
      </c>
      <c r="F46" s="27">
        <f>IF($C46="","",INDEX(인턴근무계획!$S$3:$S$62,$A46))</f>
        <v/>
      </c>
      <c r="G46" s="23">
        <f>IF(OR($C46="",$G$3=""),"",IF(INDEX(인턴근무계획!$M$3:$R$62,$A46,$G$3)&amp;""="","",IF(LEFT(INDEX(인턴근무계획!$M$3:$R$62,$A46,$G$3)&amp;"",1)="⚠",INDEX(인턴근무계획!$M$3:$R$62,$A46,$G$3)&amp;"",LEFT(INDEX(인턴근무계획!$M$3:$R$62,$A46,$G$3)&amp;"",FIND(" ",INDEX(인턴근무계획!$M$3:$R$62,$A46,$G$3)&amp;"")-1))))</f>
        <v/>
      </c>
      <c r="H46" s="23">
        <f>IF(OR($C46="",$G$3=""),"",IF(INDEX(인턴근무계획!$M$3:$R$62,$A46,$G$3)&amp;""="","",IF(LEFT(INDEX(인턴근무계획!$M$3:$R$62,$A46,$G$3)&amp;"",1)="⚠","",MID(INDEX(인턴근무계획!$M$3:$R$62,$A46,$G$3)&amp;"",FIND(" ",INDEX(인턴근무계획!$M$3:$R$62,$A46,$G$3)&amp;"")+1,60))))</f>
        <v/>
      </c>
      <c r="I46" s="23">
        <f>IF(OR($C46="",$I$3=""),"",IF(INDEX(인턴근무계획!$M$3:$R$62,$A46,$I$3)&amp;""="","",IF(LEFT(INDEX(인턴근무계획!$M$3:$R$62,$A46,$I$3)&amp;"",1)="⚠",INDEX(인턴근무계획!$M$3:$R$62,$A46,$I$3)&amp;"",LEFT(INDEX(인턴근무계획!$M$3:$R$62,$A46,$I$3)&amp;"",FIND(" ",INDEX(인턴근무계획!$M$3:$R$62,$A46,$I$3)&amp;"")-1))))</f>
        <v/>
      </c>
      <c r="J46" s="23">
        <f>IF(OR($C46="",$I$3=""),"",IF(INDEX(인턴근무계획!$M$3:$R$62,$A46,$I$3)&amp;""="","",IF(LEFT(INDEX(인턴근무계획!$M$3:$R$62,$A46,$I$3)&amp;"",1)="⚠","",MID(INDEX(인턴근무계획!$M$3:$R$62,$A46,$I$3)&amp;"",FIND(" ",INDEX(인턴근무계획!$M$3:$R$62,$A46,$I$3)&amp;"")+1,60))))</f>
        <v/>
      </c>
      <c r="K46" s="23">
        <f>IF($C46="","",INDEX(인턴근무계획!$M$3:$M$62,$A46)&amp;"")</f>
        <v/>
      </c>
      <c r="L46" s="23">
        <f>IF($C46="","",INDEX(인턴근무계획!$N$3:$N$62,$A46)&amp;"")</f>
        <v/>
      </c>
      <c r="M46" s="23">
        <f>IF($C46="","",INDEX(인턴근무계획!$O$3:$O$62,$A46)&amp;"")</f>
        <v/>
      </c>
      <c r="N46" s="23">
        <f>IF($C46="","",INDEX(인턴근무계획!$P$3:$P$62,$A46)&amp;"")</f>
        <v/>
      </c>
      <c r="O46" s="23">
        <f>IF($C46="","",INDEX(인턴근무계획!$Q$3:$Q$62,$A46)&amp;"")</f>
        <v/>
      </c>
      <c r="P46" s="23">
        <f>IF($C46="","",INDEX(인턴근무계획!$R$3:$R$62,$A46)&amp;"")</f>
        <v/>
      </c>
      <c r="Q46" s="23">
        <f>IF($C46="","",INDEX(인턴근무계획!$T$3:$T$62,$A46))</f>
        <v/>
      </c>
    </row>
    <row r="47">
      <c r="A47" s="26" t="n">
        <v>42</v>
      </c>
      <c r="B47" s="23">
        <f>IF($C47="","",INDEX(인턴근무계획!$B$3:$B$62,$A47))</f>
        <v/>
      </c>
      <c r="C47" s="23">
        <f>IFERROR(TRIM(INDEX(인턴근무계획!$C$3:$C$62,$A47)&amp;""),"")</f>
        <v/>
      </c>
      <c r="D47" s="23">
        <f>IF($C47="","",INDEX(인턴근무계획!$D$3:$D$62,$A47))</f>
        <v/>
      </c>
      <c r="E47" s="23">
        <f>IF($C47="","",IF(IFERROR(MATCH($D47,기본자료!$B$2:$B$1001,0),IFERROR(MATCH($D47&amp;"",기본자료!$B$2:$B$1001,0),IFERROR(MATCH(VALUE($D47),기본자료!$B$2:$B$1001,0),0)))&gt;0,"확인","미등록"))</f>
        <v/>
      </c>
      <c r="F47" s="27">
        <f>IF($C47="","",INDEX(인턴근무계획!$S$3:$S$62,$A47))</f>
        <v/>
      </c>
      <c r="G47" s="23">
        <f>IF(OR($C47="",$G$3=""),"",IF(INDEX(인턴근무계획!$M$3:$R$62,$A47,$G$3)&amp;""="","",IF(LEFT(INDEX(인턴근무계획!$M$3:$R$62,$A47,$G$3)&amp;"",1)="⚠",INDEX(인턴근무계획!$M$3:$R$62,$A47,$G$3)&amp;"",LEFT(INDEX(인턴근무계획!$M$3:$R$62,$A47,$G$3)&amp;"",FIND(" ",INDEX(인턴근무계획!$M$3:$R$62,$A47,$G$3)&amp;"")-1))))</f>
        <v/>
      </c>
      <c r="H47" s="23">
        <f>IF(OR($C47="",$G$3=""),"",IF(INDEX(인턴근무계획!$M$3:$R$62,$A47,$G$3)&amp;""="","",IF(LEFT(INDEX(인턴근무계획!$M$3:$R$62,$A47,$G$3)&amp;"",1)="⚠","",MID(INDEX(인턴근무계획!$M$3:$R$62,$A47,$G$3)&amp;"",FIND(" ",INDEX(인턴근무계획!$M$3:$R$62,$A47,$G$3)&amp;"")+1,60))))</f>
        <v/>
      </c>
      <c r="I47" s="23">
        <f>IF(OR($C47="",$I$3=""),"",IF(INDEX(인턴근무계획!$M$3:$R$62,$A47,$I$3)&amp;""="","",IF(LEFT(INDEX(인턴근무계획!$M$3:$R$62,$A47,$I$3)&amp;"",1)="⚠",INDEX(인턴근무계획!$M$3:$R$62,$A47,$I$3)&amp;"",LEFT(INDEX(인턴근무계획!$M$3:$R$62,$A47,$I$3)&amp;"",FIND(" ",INDEX(인턴근무계획!$M$3:$R$62,$A47,$I$3)&amp;"")-1))))</f>
        <v/>
      </c>
      <c r="J47" s="23">
        <f>IF(OR($C47="",$I$3=""),"",IF(INDEX(인턴근무계획!$M$3:$R$62,$A47,$I$3)&amp;""="","",IF(LEFT(INDEX(인턴근무계획!$M$3:$R$62,$A47,$I$3)&amp;"",1)="⚠","",MID(INDEX(인턴근무계획!$M$3:$R$62,$A47,$I$3)&amp;"",FIND(" ",INDEX(인턴근무계획!$M$3:$R$62,$A47,$I$3)&amp;"")+1,60))))</f>
        <v/>
      </c>
      <c r="K47" s="23">
        <f>IF($C47="","",INDEX(인턴근무계획!$M$3:$M$62,$A47)&amp;"")</f>
        <v/>
      </c>
      <c r="L47" s="23">
        <f>IF($C47="","",INDEX(인턴근무계획!$N$3:$N$62,$A47)&amp;"")</f>
        <v/>
      </c>
      <c r="M47" s="23">
        <f>IF($C47="","",INDEX(인턴근무계획!$O$3:$O$62,$A47)&amp;"")</f>
        <v/>
      </c>
      <c r="N47" s="23">
        <f>IF($C47="","",INDEX(인턴근무계획!$P$3:$P$62,$A47)&amp;"")</f>
        <v/>
      </c>
      <c r="O47" s="23">
        <f>IF($C47="","",INDEX(인턴근무계획!$Q$3:$Q$62,$A47)&amp;"")</f>
        <v/>
      </c>
      <c r="P47" s="23">
        <f>IF($C47="","",INDEX(인턴근무계획!$R$3:$R$62,$A47)&amp;"")</f>
        <v/>
      </c>
      <c r="Q47" s="23">
        <f>IF($C47="","",INDEX(인턴근무계획!$T$3:$T$62,$A47))</f>
        <v/>
      </c>
    </row>
    <row r="48">
      <c r="A48" s="26" t="n">
        <v>43</v>
      </c>
      <c r="B48" s="23">
        <f>IF($C48="","",INDEX(인턴근무계획!$B$3:$B$62,$A48))</f>
        <v/>
      </c>
      <c r="C48" s="23">
        <f>IFERROR(TRIM(INDEX(인턴근무계획!$C$3:$C$62,$A48)&amp;""),"")</f>
        <v/>
      </c>
      <c r="D48" s="23">
        <f>IF($C48="","",INDEX(인턴근무계획!$D$3:$D$62,$A48))</f>
        <v/>
      </c>
      <c r="E48" s="23">
        <f>IF($C48="","",IF(IFERROR(MATCH($D48,기본자료!$B$2:$B$1001,0),IFERROR(MATCH($D48&amp;"",기본자료!$B$2:$B$1001,0),IFERROR(MATCH(VALUE($D48),기본자료!$B$2:$B$1001,0),0)))&gt;0,"확인","미등록"))</f>
        <v/>
      </c>
      <c r="F48" s="27">
        <f>IF($C48="","",INDEX(인턴근무계획!$S$3:$S$62,$A48))</f>
        <v/>
      </c>
      <c r="G48" s="23">
        <f>IF(OR($C48="",$G$3=""),"",IF(INDEX(인턴근무계획!$M$3:$R$62,$A48,$G$3)&amp;""="","",IF(LEFT(INDEX(인턴근무계획!$M$3:$R$62,$A48,$G$3)&amp;"",1)="⚠",INDEX(인턴근무계획!$M$3:$R$62,$A48,$G$3)&amp;"",LEFT(INDEX(인턴근무계획!$M$3:$R$62,$A48,$G$3)&amp;"",FIND(" ",INDEX(인턴근무계획!$M$3:$R$62,$A48,$G$3)&amp;"")-1))))</f>
        <v/>
      </c>
      <c r="H48" s="23">
        <f>IF(OR($C48="",$G$3=""),"",IF(INDEX(인턴근무계획!$M$3:$R$62,$A48,$G$3)&amp;""="","",IF(LEFT(INDEX(인턴근무계획!$M$3:$R$62,$A48,$G$3)&amp;"",1)="⚠","",MID(INDEX(인턴근무계획!$M$3:$R$62,$A48,$G$3)&amp;"",FIND(" ",INDEX(인턴근무계획!$M$3:$R$62,$A48,$G$3)&amp;"")+1,60))))</f>
        <v/>
      </c>
      <c r="I48" s="23">
        <f>IF(OR($C48="",$I$3=""),"",IF(INDEX(인턴근무계획!$M$3:$R$62,$A48,$I$3)&amp;""="","",IF(LEFT(INDEX(인턴근무계획!$M$3:$R$62,$A48,$I$3)&amp;"",1)="⚠",INDEX(인턴근무계획!$M$3:$R$62,$A48,$I$3)&amp;"",LEFT(INDEX(인턴근무계획!$M$3:$R$62,$A48,$I$3)&amp;"",FIND(" ",INDEX(인턴근무계획!$M$3:$R$62,$A48,$I$3)&amp;"")-1))))</f>
        <v/>
      </c>
      <c r="J48" s="23">
        <f>IF(OR($C48="",$I$3=""),"",IF(INDEX(인턴근무계획!$M$3:$R$62,$A48,$I$3)&amp;""="","",IF(LEFT(INDEX(인턴근무계획!$M$3:$R$62,$A48,$I$3)&amp;"",1)="⚠","",MID(INDEX(인턴근무계획!$M$3:$R$62,$A48,$I$3)&amp;"",FIND(" ",INDEX(인턴근무계획!$M$3:$R$62,$A48,$I$3)&amp;"")+1,60))))</f>
        <v/>
      </c>
      <c r="K48" s="23">
        <f>IF($C48="","",INDEX(인턴근무계획!$M$3:$M$62,$A48)&amp;"")</f>
        <v/>
      </c>
      <c r="L48" s="23">
        <f>IF($C48="","",INDEX(인턴근무계획!$N$3:$N$62,$A48)&amp;"")</f>
        <v/>
      </c>
      <c r="M48" s="23">
        <f>IF($C48="","",INDEX(인턴근무계획!$O$3:$O$62,$A48)&amp;"")</f>
        <v/>
      </c>
      <c r="N48" s="23">
        <f>IF($C48="","",INDEX(인턴근무계획!$P$3:$P$62,$A48)&amp;"")</f>
        <v/>
      </c>
      <c r="O48" s="23">
        <f>IF($C48="","",INDEX(인턴근무계획!$Q$3:$Q$62,$A48)&amp;"")</f>
        <v/>
      </c>
      <c r="P48" s="23">
        <f>IF($C48="","",INDEX(인턴근무계획!$R$3:$R$62,$A48)&amp;"")</f>
        <v/>
      </c>
      <c r="Q48" s="23">
        <f>IF($C48="","",INDEX(인턴근무계획!$T$3:$T$62,$A48))</f>
        <v/>
      </c>
    </row>
    <row r="49">
      <c r="A49" s="26" t="n">
        <v>44</v>
      </c>
      <c r="B49" s="23">
        <f>IF($C49="","",INDEX(인턴근무계획!$B$3:$B$62,$A49))</f>
        <v/>
      </c>
      <c r="C49" s="23">
        <f>IFERROR(TRIM(INDEX(인턴근무계획!$C$3:$C$62,$A49)&amp;""),"")</f>
        <v/>
      </c>
      <c r="D49" s="23">
        <f>IF($C49="","",INDEX(인턴근무계획!$D$3:$D$62,$A49))</f>
        <v/>
      </c>
      <c r="E49" s="23">
        <f>IF($C49="","",IF(IFERROR(MATCH($D49,기본자료!$B$2:$B$1001,0),IFERROR(MATCH($D49&amp;"",기본자료!$B$2:$B$1001,0),IFERROR(MATCH(VALUE($D49),기본자료!$B$2:$B$1001,0),0)))&gt;0,"확인","미등록"))</f>
        <v/>
      </c>
      <c r="F49" s="27">
        <f>IF($C49="","",INDEX(인턴근무계획!$S$3:$S$62,$A49))</f>
        <v/>
      </c>
      <c r="G49" s="23">
        <f>IF(OR($C49="",$G$3=""),"",IF(INDEX(인턴근무계획!$M$3:$R$62,$A49,$G$3)&amp;""="","",IF(LEFT(INDEX(인턴근무계획!$M$3:$R$62,$A49,$G$3)&amp;"",1)="⚠",INDEX(인턴근무계획!$M$3:$R$62,$A49,$G$3)&amp;"",LEFT(INDEX(인턴근무계획!$M$3:$R$62,$A49,$G$3)&amp;"",FIND(" ",INDEX(인턴근무계획!$M$3:$R$62,$A49,$G$3)&amp;"")-1))))</f>
        <v/>
      </c>
      <c r="H49" s="23">
        <f>IF(OR($C49="",$G$3=""),"",IF(INDEX(인턴근무계획!$M$3:$R$62,$A49,$G$3)&amp;""="","",IF(LEFT(INDEX(인턴근무계획!$M$3:$R$62,$A49,$G$3)&amp;"",1)="⚠","",MID(INDEX(인턴근무계획!$M$3:$R$62,$A49,$G$3)&amp;"",FIND(" ",INDEX(인턴근무계획!$M$3:$R$62,$A49,$G$3)&amp;"")+1,60))))</f>
        <v/>
      </c>
      <c r="I49" s="23">
        <f>IF(OR($C49="",$I$3=""),"",IF(INDEX(인턴근무계획!$M$3:$R$62,$A49,$I$3)&amp;""="","",IF(LEFT(INDEX(인턴근무계획!$M$3:$R$62,$A49,$I$3)&amp;"",1)="⚠",INDEX(인턴근무계획!$M$3:$R$62,$A49,$I$3)&amp;"",LEFT(INDEX(인턴근무계획!$M$3:$R$62,$A49,$I$3)&amp;"",FIND(" ",INDEX(인턴근무계획!$M$3:$R$62,$A49,$I$3)&amp;"")-1))))</f>
        <v/>
      </c>
      <c r="J49" s="23">
        <f>IF(OR($C49="",$I$3=""),"",IF(INDEX(인턴근무계획!$M$3:$R$62,$A49,$I$3)&amp;""="","",IF(LEFT(INDEX(인턴근무계획!$M$3:$R$62,$A49,$I$3)&amp;"",1)="⚠","",MID(INDEX(인턴근무계획!$M$3:$R$62,$A49,$I$3)&amp;"",FIND(" ",INDEX(인턴근무계획!$M$3:$R$62,$A49,$I$3)&amp;"")+1,60))))</f>
        <v/>
      </c>
      <c r="K49" s="23">
        <f>IF($C49="","",INDEX(인턴근무계획!$M$3:$M$62,$A49)&amp;"")</f>
        <v/>
      </c>
      <c r="L49" s="23">
        <f>IF($C49="","",INDEX(인턴근무계획!$N$3:$N$62,$A49)&amp;"")</f>
        <v/>
      </c>
      <c r="M49" s="23">
        <f>IF($C49="","",INDEX(인턴근무계획!$O$3:$O$62,$A49)&amp;"")</f>
        <v/>
      </c>
      <c r="N49" s="23">
        <f>IF($C49="","",INDEX(인턴근무계획!$P$3:$P$62,$A49)&amp;"")</f>
        <v/>
      </c>
      <c r="O49" s="23">
        <f>IF($C49="","",INDEX(인턴근무계획!$Q$3:$Q$62,$A49)&amp;"")</f>
        <v/>
      </c>
      <c r="P49" s="23">
        <f>IF($C49="","",INDEX(인턴근무계획!$R$3:$R$62,$A49)&amp;"")</f>
        <v/>
      </c>
      <c r="Q49" s="23">
        <f>IF($C49="","",INDEX(인턴근무계획!$T$3:$T$62,$A49))</f>
        <v/>
      </c>
    </row>
    <row r="50">
      <c r="A50" s="26" t="n">
        <v>45</v>
      </c>
      <c r="B50" s="23">
        <f>IF($C50="","",INDEX(인턴근무계획!$B$3:$B$62,$A50))</f>
        <v/>
      </c>
      <c r="C50" s="23">
        <f>IFERROR(TRIM(INDEX(인턴근무계획!$C$3:$C$62,$A50)&amp;""),"")</f>
        <v/>
      </c>
      <c r="D50" s="23">
        <f>IF($C50="","",INDEX(인턴근무계획!$D$3:$D$62,$A50))</f>
        <v/>
      </c>
      <c r="E50" s="23">
        <f>IF($C50="","",IF(IFERROR(MATCH($D50,기본자료!$B$2:$B$1001,0),IFERROR(MATCH($D50&amp;"",기본자료!$B$2:$B$1001,0),IFERROR(MATCH(VALUE($D50),기본자료!$B$2:$B$1001,0),0)))&gt;0,"확인","미등록"))</f>
        <v/>
      </c>
      <c r="F50" s="27">
        <f>IF($C50="","",INDEX(인턴근무계획!$S$3:$S$62,$A50))</f>
        <v/>
      </c>
      <c r="G50" s="23">
        <f>IF(OR($C50="",$G$3=""),"",IF(INDEX(인턴근무계획!$M$3:$R$62,$A50,$G$3)&amp;""="","",IF(LEFT(INDEX(인턴근무계획!$M$3:$R$62,$A50,$G$3)&amp;"",1)="⚠",INDEX(인턴근무계획!$M$3:$R$62,$A50,$G$3)&amp;"",LEFT(INDEX(인턴근무계획!$M$3:$R$62,$A50,$G$3)&amp;"",FIND(" ",INDEX(인턴근무계획!$M$3:$R$62,$A50,$G$3)&amp;"")-1))))</f>
        <v/>
      </c>
      <c r="H50" s="23">
        <f>IF(OR($C50="",$G$3=""),"",IF(INDEX(인턴근무계획!$M$3:$R$62,$A50,$G$3)&amp;""="","",IF(LEFT(INDEX(인턴근무계획!$M$3:$R$62,$A50,$G$3)&amp;"",1)="⚠","",MID(INDEX(인턴근무계획!$M$3:$R$62,$A50,$G$3)&amp;"",FIND(" ",INDEX(인턴근무계획!$M$3:$R$62,$A50,$G$3)&amp;"")+1,60))))</f>
        <v/>
      </c>
      <c r="I50" s="23">
        <f>IF(OR($C50="",$I$3=""),"",IF(INDEX(인턴근무계획!$M$3:$R$62,$A50,$I$3)&amp;""="","",IF(LEFT(INDEX(인턴근무계획!$M$3:$R$62,$A50,$I$3)&amp;"",1)="⚠",INDEX(인턴근무계획!$M$3:$R$62,$A50,$I$3)&amp;"",LEFT(INDEX(인턴근무계획!$M$3:$R$62,$A50,$I$3)&amp;"",FIND(" ",INDEX(인턴근무계획!$M$3:$R$62,$A50,$I$3)&amp;"")-1))))</f>
        <v/>
      </c>
      <c r="J50" s="23">
        <f>IF(OR($C50="",$I$3=""),"",IF(INDEX(인턴근무계획!$M$3:$R$62,$A50,$I$3)&amp;""="","",IF(LEFT(INDEX(인턴근무계획!$M$3:$R$62,$A50,$I$3)&amp;"",1)="⚠","",MID(INDEX(인턴근무계획!$M$3:$R$62,$A50,$I$3)&amp;"",FIND(" ",INDEX(인턴근무계획!$M$3:$R$62,$A50,$I$3)&amp;"")+1,60))))</f>
        <v/>
      </c>
      <c r="K50" s="23">
        <f>IF($C50="","",INDEX(인턴근무계획!$M$3:$M$62,$A50)&amp;"")</f>
        <v/>
      </c>
      <c r="L50" s="23">
        <f>IF($C50="","",INDEX(인턴근무계획!$N$3:$N$62,$A50)&amp;"")</f>
        <v/>
      </c>
      <c r="M50" s="23">
        <f>IF($C50="","",INDEX(인턴근무계획!$O$3:$O$62,$A50)&amp;"")</f>
        <v/>
      </c>
      <c r="N50" s="23">
        <f>IF($C50="","",INDEX(인턴근무계획!$P$3:$P$62,$A50)&amp;"")</f>
        <v/>
      </c>
      <c r="O50" s="23">
        <f>IF($C50="","",INDEX(인턴근무계획!$Q$3:$Q$62,$A50)&amp;"")</f>
        <v/>
      </c>
      <c r="P50" s="23">
        <f>IF($C50="","",INDEX(인턴근무계획!$R$3:$R$62,$A50)&amp;"")</f>
        <v/>
      </c>
      <c r="Q50" s="23">
        <f>IF($C50="","",INDEX(인턴근무계획!$T$3:$T$62,$A50))</f>
        <v/>
      </c>
    </row>
    <row r="51">
      <c r="A51" s="26" t="n">
        <v>46</v>
      </c>
      <c r="B51" s="23">
        <f>IF($C51="","",INDEX(인턴근무계획!$B$3:$B$62,$A51))</f>
        <v/>
      </c>
      <c r="C51" s="23">
        <f>IFERROR(TRIM(INDEX(인턴근무계획!$C$3:$C$62,$A51)&amp;""),"")</f>
        <v/>
      </c>
      <c r="D51" s="23">
        <f>IF($C51="","",INDEX(인턴근무계획!$D$3:$D$62,$A51))</f>
        <v/>
      </c>
      <c r="E51" s="23">
        <f>IF($C51="","",IF(IFERROR(MATCH($D51,기본자료!$B$2:$B$1001,0),IFERROR(MATCH($D51&amp;"",기본자료!$B$2:$B$1001,0),IFERROR(MATCH(VALUE($D51),기본자료!$B$2:$B$1001,0),0)))&gt;0,"확인","미등록"))</f>
        <v/>
      </c>
      <c r="F51" s="27">
        <f>IF($C51="","",INDEX(인턴근무계획!$S$3:$S$62,$A51))</f>
        <v/>
      </c>
      <c r="G51" s="23">
        <f>IF(OR($C51="",$G$3=""),"",IF(INDEX(인턴근무계획!$M$3:$R$62,$A51,$G$3)&amp;""="","",IF(LEFT(INDEX(인턴근무계획!$M$3:$R$62,$A51,$G$3)&amp;"",1)="⚠",INDEX(인턴근무계획!$M$3:$R$62,$A51,$G$3)&amp;"",LEFT(INDEX(인턴근무계획!$M$3:$R$62,$A51,$G$3)&amp;"",FIND(" ",INDEX(인턴근무계획!$M$3:$R$62,$A51,$G$3)&amp;"")-1))))</f>
        <v/>
      </c>
      <c r="H51" s="23">
        <f>IF(OR($C51="",$G$3=""),"",IF(INDEX(인턴근무계획!$M$3:$R$62,$A51,$G$3)&amp;""="","",IF(LEFT(INDEX(인턴근무계획!$M$3:$R$62,$A51,$G$3)&amp;"",1)="⚠","",MID(INDEX(인턴근무계획!$M$3:$R$62,$A51,$G$3)&amp;"",FIND(" ",INDEX(인턴근무계획!$M$3:$R$62,$A51,$G$3)&amp;"")+1,60))))</f>
        <v/>
      </c>
      <c r="I51" s="23">
        <f>IF(OR($C51="",$I$3=""),"",IF(INDEX(인턴근무계획!$M$3:$R$62,$A51,$I$3)&amp;""="","",IF(LEFT(INDEX(인턴근무계획!$M$3:$R$62,$A51,$I$3)&amp;"",1)="⚠",INDEX(인턴근무계획!$M$3:$R$62,$A51,$I$3)&amp;"",LEFT(INDEX(인턴근무계획!$M$3:$R$62,$A51,$I$3)&amp;"",FIND(" ",INDEX(인턴근무계획!$M$3:$R$62,$A51,$I$3)&amp;"")-1))))</f>
        <v/>
      </c>
      <c r="J51" s="23">
        <f>IF(OR($C51="",$I$3=""),"",IF(INDEX(인턴근무계획!$M$3:$R$62,$A51,$I$3)&amp;""="","",IF(LEFT(INDEX(인턴근무계획!$M$3:$R$62,$A51,$I$3)&amp;"",1)="⚠","",MID(INDEX(인턴근무계획!$M$3:$R$62,$A51,$I$3)&amp;"",FIND(" ",INDEX(인턴근무계획!$M$3:$R$62,$A51,$I$3)&amp;"")+1,60))))</f>
        <v/>
      </c>
      <c r="K51" s="23">
        <f>IF($C51="","",INDEX(인턴근무계획!$M$3:$M$62,$A51)&amp;"")</f>
        <v/>
      </c>
      <c r="L51" s="23">
        <f>IF($C51="","",INDEX(인턴근무계획!$N$3:$N$62,$A51)&amp;"")</f>
        <v/>
      </c>
      <c r="M51" s="23">
        <f>IF($C51="","",INDEX(인턴근무계획!$O$3:$O$62,$A51)&amp;"")</f>
        <v/>
      </c>
      <c r="N51" s="23">
        <f>IF($C51="","",INDEX(인턴근무계획!$P$3:$P$62,$A51)&amp;"")</f>
        <v/>
      </c>
      <c r="O51" s="23">
        <f>IF($C51="","",INDEX(인턴근무계획!$Q$3:$Q$62,$A51)&amp;"")</f>
        <v/>
      </c>
      <c r="P51" s="23">
        <f>IF($C51="","",INDEX(인턴근무계획!$R$3:$R$62,$A51)&amp;"")</f>
        <v/>
      </c>
      <c r="Q51" s="23">
        <f>IF($C51="","",INDEX(인턴근무계획!$T$3:$T$62,$A51))</f>
        <v/>
      </c>
    </row>
    <row r="52">
      <c r="A52" s="26" t="n">
        <v>47</v>
      </c>
      <c r="B52" s="23">
        <f>IF($C52="","",INDEX(인턴근무계획!$B$3:$B$62,$A52))</f>
        <v/>
      </c>
      <c r="C52" s="23">
        <f>IFERROR(TRIM(INDEX(인턴근무계획!$C$3:$C$62,$A52)&amp;""),"")</f>
        <v/>
      </c>
      <c r="D52" s="23">
        <f>IF($C52="","",INDEX(인턴근무계획!$D$3:$D$62,$A52))</f>
        <v/>
      </c>
      <c r="E52" s="23">
        <f>IF($C52="","",IF(IFERROR(MATCH($D52,기본자료!$B$2:$B$1001,0),IFERROR(MATCH($D52&amp;"",기본자료!$B$2:$B$1001,0),IFERROR(MATCH(VALUE($D52),기본자료!$B$2:$B$1001,0),0)))&gt;0,"확인","미등록"))</f>
        <v/>
      </c>
      <c r="F52" s="27">
        <f>IF($C52="","",INDEX(인턴근무계획!$S$3:$S$62,$A52))</f>
        <v/>
      </c>
      <c r="G52" s="23">
        <f>IF(OR($C52="",$G$3=""),"",IF(INDEX(인턴근무계획!$M$3:$R$62,$A52,$G$3)&amp;""="","",IF(LEFT(INDEX(인턴근무계획!$M$3:$R$62,$A52,$G$3)&amp;"",1)="⚠",INDEX(인턴근무계획!$M$3:$R$62,$A52,$G$3)&amp;"",LEFT(INDEX(인턴근무계획!$M$3:$R$62,$A52,$G$3)&amp;"",FIND(" ",INDEX(인턴근무계획!$M$3:$R$62,$A52,$G$3)&amp;"")-1))))</f>
        <v/>
      </c>
      <c r="H52" s="23">
        <f>IF(OR($C52="",$G$3=""),"",IF(INDEX(인턴근무계획!$M$3:$R$62,$A52,$G$3)&amp;""="","",IF(LEFT(INDEX(인턴근무계획!$M$3:$R$62,$A52,$G$3)&amp;"",1)="⚠","",MID(INDEX(인턴근무계획!$M$3:$R$62,$A52,$G$3)&amp;"",FIND(" ",INDEX(인턴근무계획!$M$3:$R$62,$A52,$G$3)&amp;"")+1,60))))</f>
        <v/>
      </c>
      <c r="I52" s="23">
        <f>IF(OR($C52="",$I$3=""),"",IF(INDEX(인턴근무계획!$M$3:$R$62,$A52,$I$3)&amp;""="","",IF(LEFT(INDEX(인턴근무계획!$M$3:$R$62,$A52,$I$3)&amp;"",1)="⚠",INDEX(인턴근무계획!$M$3:$R$62,$A52,$I$3)&amp;"",LEFT(INDEX(인턴근무계획!$M$3:$R$62,$A52,$I$3)&amp;"",FIND(" ",INDEX(인턴근무계획!$M$3:$R$62,$A52,$I$3)&amp;"")-1))))</f>
        <v/>
      </c>
      <c r="J52" s="23">
        <f>IF(OR($C52="",$I$3=""),"",IF(INDEX(인턴근무계획!$M$3:$R$62,$A52,$I$3)&amp;""="","",IF(LEFT(INDEX(인턴근무계획!$M$3:$R$62,$A52,$I$3)&amp;"",1)="⚠","",MID(INDEX(인턴근무계획!$M$3:$R$62,$A52,$I$3)&amp;"",FIND(" ",INDEX(인턴근무계획!$M$3:$R$62,$A52,$I$3)&amp;"")+1,60))))</f>
        <v/>
      </c>
      <c r="K52" s="23">
        <f>IF($C52="","",INDEX(인턴근무계획!$M$3:$M$62,$A52)&amp;"")</f>
        <v/>
      </c>
      <c r="L52" s="23">
        <f>IF($C52="","",INDEX(인턴근무계획!$N$3:$N$62,$A52)&amp;"")</f>
        <v/>
      </c>
      <c r="M52" s="23">
        <f>IF($C52="","",INDEX(인턴근무계획!$O$3:$O$62,$A52)&amp;"")</f>
        <v/>
      </c>
      <c r="N52" s="23">
        <f>IF($C52="","",INDEX(인턴근무계획!$P$3:$P$62,$A52)&amp;"")</f>
        <v/>
      </c>
      <c r="O52" s="23">
        <f>IF($C52="","",INDEX(인턴근무계획!$Q$3:$Q$62,$A52)&amp;"")</f>
        <v/>
      </c>
      <c r="P52" s="23">
        <f>IF($C52="","",INDEX(인턴근무계획!$R$3:$R$62,$A52)&amp;"")</f>
        <v/>
      </c>
      <c r="Q52" s="23">
        <f>IF($C52="","",INDEX(인턴근무계획!$T$3:$T$62,$A52))</f>
        <v/>
      </c>
    </row>
    <row r="53">
      <c r="A53" s="26" t="n">
        <v>48</v>
      </c>
      <c r="B53" s="23">
        <f>IF($C53="","",INDEX(인턴근무계획!$B$3:$B$62,$A53))</f>
        <v/>
      </c>
      <c r="C53" s="23">
        <f>IFERROR(TRIM(INDEX(인턴근무계획!$C$3:$C$62,$A53)&amp;""),"")</f>
        <v/>
      </c>
      <c r="D53" s="23">
        <f>IF($C53="","",INDEX(인턴근무계획!$D$3:$D$62,$A53))</f>
        <v/>
      </c>
      <c r="E53" s="23">
        <f>IF($C53="","",IF(IFERROR(MATCH($D53,기본자료!$B$2:$B$1001,0),IFERROR(MATCH($D53&amp;"",기본자료!$B$2:$B$1001,0),IFERROR(MATCH(VALUE($D53),기본자료!$B$2:$B$1001,0),0)))&gt;0,"확인","미등록"))</f>
        <v/>
      </c>
      <c r="F53" s="27">
        <f>IF($C53="","",INDEX(인턴근무계획!$S$3:$S$62,$A53))</f>
        <v/>
      </c>
      <c r="G53" s="23">
        <f>IF(OR($C53="",$G$3=""),"",IF(INDEX(인턴근무계획!$M$3:$R$62,$A53,$G$3)&amp;""="","",IF(LEFT(INDEX(인턴근무계획!$M$3:$R$62,$A53,$G$3)&amp;"",1)="⚠",INDEX(인턴근무계획!$M$3:$R$62,$A53,$G$3)&amp;"",LEFT(INDEX(인턴근무계획!$M$3:$R$62,$A53,$G$3)&amp;"",FIND(" ",INDEX(인턴근무계획!$M$3:$R$62,$A53,$G$3)&amp;"")-1))))</f>
        <v/>
      </c>
      <c r="H53" s="23">
        <f>IF(OR($C53="",$G$3=""),"",IF(INDEX(인턴근무계획!$M$3:$R$62,$A53,$G$3)&amp;""="","",IF(LEFT(INDEX(인턴근무계획!$M$3:$R$62,$A53,$G$3)&amp;"",1)="⚠","",MID(INDEX(인턴근무계획!$M$3:$R$62,$A53,$G$3)&amp;"",FIND(" ",INDEX(인턴근무계획!$M$3:$R$62,$A53,$G$3)&amp;"")+1,60))))</f>
        <v/>
      </c>
      <c r="I53" s="23">
        <f>IF(OR($C53="",$I$3=""),"",IF(INDEX(인턴근무계획!$M$3:$R$62,$A53,$I$3)&amp;""="","",IF(LEFT(INDEX(인턴근무계획!$M$3:$R$62,$A53,$I$3)&amp;"",1)="⚠",INDEX(인턴근무계획!$M$3:$R$62,$A53,$I$3)&amp;"",LEFT(INDEX(인턴근무계획!$M$3:$R$62,$A53,$I$3)&amp;"",FIND(" ",INDEX(인턴근무계획!$M$3:$R$62,$A53,$I$3)&amp;"")-1))))</f>
        <v/>
      </c>
      <c r="J53" s="23">
        <f>IF(OR($C53="",$I$3=""),"",IF(INDEX(인턴근무계획!$M$3:$R$62,$A53,$I$3)&amp;""="","",IF(LEFT(INDEX(인턴근무계획!$M$3:$R$62,$A53,$I$3)&amp;"",1)="⚠","",MID(INDEX(인턴근무계획!$M$3:$R$62,$A53,$I$3)&amp;"",FIND(" ",INDEX(인턴근무계획!$M$3:$R$62,$A53,$I$3)&amp;"")+1,60))))</f>
        <v/>
      </c>
      <c r="K53" s="23">
        <f>IF($C53="","",INDEX(인턴근무계획!$M$3:$M$62,$A53)&amp;"")</f>
        <v/>
      </c>
      <c r="L53" s="23">
        <f>IF($C53="","",INDEX(인턴근무계획!$N$3:$N$62,$A53)&amp;"")</f>
        <v/>
      </c>
      <c r="M53" s="23">
        <f>IF($C53="","",INDEX(인턴근무계획!$O$3:$O$62,$A53)&amp;"")</f>
        <v/>
      </c>
      <c r="N53" s="23">
        <f>IF($C53="","",INDEX(인턴근무계획!$P$3:$P$62,$A53)&amp;"")</f>
        <v/>
      </c>
      <c r="O53" s="23">
        <f>IF($C53="","",INDEX(인턴근무계획!$Q$3:$Q$62,$A53)&amp;"")</f>
        <v/>
      </c>
      <c r="P53" s="23">
        <f>IF($C53="","",INDEX(인턴근무계획!$R$3:$R$62,$A53)&amp;"")</f>
        <v/>
      </c>
      <c r="Q53" s="23">
        <f>IF($C53="","",INDEX(인턴근무계획!$T$3:$T$62,$A53))</f>
        <v/>
      </c>
    </row>
    <row r="54">
      <c r="A54" s="26" t="n">
        <v>49</v>
      </c>
      <c r="B54" s="23">
        <f>IF($C54="","",INDEX(인턴근무계획!$B$3:$B$62,$A54))</f>
        <v/>
      </c>
      <c r="C54" s="23">
        <f>IFERROR(TRIM(INDEX(인턴근무계획!$C$3:$C$62,$A54)&amp;""),"")</f>
        <v/>
      </c>
      <c r="D54" s="23">
        <f>IF($C54="","",INDEX(인턴근무계획!$D$3:$D$62,$A54))</f>
        <v/>
      </c>
      <c r="E54" s="23">
        <f>IF($C54="","",IF(IFERROR(MATCH($D54,기본자료!$B$2:$B$1001,0),IFERROR(MATCH($D54&amp;"",기본자료!$B$2:$B$1001,0),IFERROR(MATCH(VALUE($D54),기본자료!$B$2:$B$1001,0),0)))&gt;0,"확인","미등록"))</f>
        <v/>
      </c>
      <c r="F54" s="27">
        <f>IF($C54="","",INDEX(인턴근무계획!$S$3:$S$62,$A54))</f>
        <v/>
      </c>
      <c r="G54" s="23">
        <f>IF(OR($C54="",$G$3=""),"",IF(INDEX(인턴근무계획!$M$3:$R$62,$A54,$G$3)&amp;""="","",IF(LEFT(INDEX(인턴근무계획!$M$3:$R$62,$A54,$G$3)&amp;"",1)="⚠",INDEX(인턴근무계획!$M$3:$R$62,$A54,$G$3)&amp;"",LEFT(INDEX(인턴근무계획!$M$3:$R$62,$A54,$G$3)&amp;"",FIND(" ",INDEX(인턴근무계획!$M$3:$R$62,$A54,$G$3)&amp;"")-1))))</f>
        <v/>
      </c>
      <c r="H54" s="23">
        <f>IF(OR($C54="",$G$3=""),"",IF(INDEX(인턴근무계획!$M$3:$R$62,$A54,$G$3)&amp;""="","",IF(LEFT(INDEX(인턴근무계획!$M$3:$R$62,$A54,$G$3)&amp;"",1)="⚠","",MID(INDEX(인턴근무계획!$M$3:$R$62,$A54,$G$3)&amp;"",FIND(" ",INDEX(인턴근무계획!$M$3:$R$62,$A54,$G$3)&amp;"")+1,60))))</f>
        <v/>
      </c>
      <c r="I54" s="23">
        <f>IF(OR($C54="",$I$3=""),"",IF(INDEX(인턴근무계획!$M$3:$R$62,$A54,$I$3)&amp;""="","",IF(LEFT(INDEX(인턴근무계획!$M$3:$R$62,$A54,$I$3)&amp;"",1)="⚠",INDEX(인턴근무계획!$M$3:$R$62,$A54,$I$3)&amp;"",LEFT(INDEX(인턴근무계획!$M$3:$R$62,$A54,$I$3)&amp;"",FIND(" ",INDEX(인턴근무계획!$M$3:$R$62,$A54,$I$3)&amp;"")-1))))</f>
        <v/>
      </c>
      <c r="J54" s="23">
        <f>IF(OR($C54="",$I$3=""),"",IF(INDEX(인턴근무계획!$M$3:$R$62,$A54,$I$3)&amp;""="","",IF(LEFT(INDEX(인턴근무계획!$M$3:$R$62,$A54,$I$3)&amp;"",1)="⚠","",MID(INDEX(인턴근무계획!$M$3:$R$62,$A54,$I$3)&amp;"",FIND(" ",INDEX(인턴근무계획!$M$3:$R$62,$A54,$I$3)&amp;"")+1,60))))</f>
        <v/>
      </c>
      <c r="K54" s="23">
        <f>IF($C54="","",INDEX(인턴근무계획!$M$3:$M$62,$A54)&amp;"")</f>
        <v/>
      </c>
      <c r="L54" s="23">
        <f>IF($C54="","",INDEX(인턴근무계획!$N$3:$N$62,$A54)&amp;"")</f>
        <v/>
      </c>
      <c r="M54" s="23">
        <f>IF($C54="","",INDEX(인턴근무계획!$O$3:$O$62,$A54)&amp;"")</f>
        <v/>
      </c>
      <c r="N54" s="23">
        <f>IF($C54="","",INDEX(인턴근무계획!$P$3:$P$62,$A54)&amp;"")</f>
        <v/>
      </c>
      <c r="O54" s="23">
        <f>IF($C54="","",INDEX(인턴근무계획!$Q$3:$Q$62,$A54)&amp;"")</f>
        <v/>
      </c>
      <c r="P54" s="23">
        <f>IF($C54="","",INDEX(인턴근무계획!$R$3:$R$62,$A54)&amp;"")</f>
        <v/>
      </c>
      <c r="Q54" s="23">
        <f>IF($C54="","",INDEX(인턴근무계획!$T$3:$T$62,$A54))</f>
        <v/>
      </c>
    </row>
    <row r="55">
      <c r="A55" s="26" t="n">
        <v>50</v>
      </c>
      <c r="B55" s="23">
        <f>IF($C55="","",INDEX(인턴근무계획!$B$3:$B$62,$A55))</f>
        <v/>
      </c>
      <c r="C55" s="23">
        <f>IFERROR(TRIM(INDEX(인턴근무계획!$C$3:$C$62,$A55)&amp;""),"")</f>
        <v/>
      </c>
      <c r="D55" s="23">
        <f>IF($C55="","",INDEX(인턴근무계획!$D$3:$D$62,$A55))</f>
        <v/>
      </c>
      <c r="E55" s="23">
        <f>IF($C55="","",IF(IFERROR(MATCH($D55,기본자료!$B$2:$B$1001,0),IFERROR(MATCH($D55&amp;"",기본자료!$B$2:$B$1001,0),IFERROR(MATCH(VALUE($D55),기본자료!$B$2:$B$1001,0),0)))&gt;0,"확인","미등록"))</f>
        <v/>
      </c>
      <c r="F55" s="27">
        <f>IF($C55="","",INDEX(인턴근무계획!$S$3:$S$62,$A55))</f>
        <v/>
      </c>
      <c r="G55" s="23">
        <f>IF(OR($C55="",$G$3=""),"",IF(INDEX(인턴근무계획!$M$3:$R$62,$A55,$G$3)&amp;""="","",IF(LEFT(INDEX(인턴근무계획!$M$3:$R$62,$A55,$G$3)&amp;"",1)="⚠",INDEX(인턴근무계획!$M$3:$R$62,$A55,$G$3)&amp;"",LEFT(INDEX(인턴근무계획!$M$3:$R$62,$A55,$G$3)&amp;"",FIND(" ",INDEX(인턴근무계획!$M$3:$R$62,$A55,$G$3)&amp;"")-1))))</f>
        <v/>
      </c>
      <c r="H55" s="23">
        <f>IF(OR($C55="",$G$3=""),"",IF(INDEX(인턴근무계획!$M$3:$R$62,$A55,$G$3)&amp;""="","",IF(LEFT(INDEX(인턴근무계획!$M$3:$R$62,$A55,$G$3)&amp;"",1)="⚠","",MID(INDEX(인턴근무계획!$M$3:$R$62,$A55,$G$3)&amp;"",FIND(" ",INDEX(인턴근무계획!$M$3:$R$62,$A55,$G$3)&amp;"")+1,60))))</f>
        <v/>
      </c>
      <c r="I55" s="23">
        <f>IF(OR($C55="",$I$3=""),"",IF(INDEX(인턴근무계획!$M$3:$R$62,$A55,$I$3)&amp;""="","",IF(LEFT(INDEX(인턴근무계획!$M$3:$R$62,$A55,$I$3)&amp;"",1)="⚠",INDEX(인턴근무계획!$M$3:$R$62,$A55,$I$3)&amp;"",LEFT(INDEX(인턴근무계획!$M$3:$R$62,$A55,$I$3)&amp;"",FIND(" ",INDEX(인턴근무계획!$M$3:$R$62,$A55,$I$3)&amp;"")-1))))</f>
        <v/>
      </c>
      <c r="J55" s="23">
        <f>IF(OR($C55="",$I$3=""),"",IF(INDEX(인턴근무계획!$M$3:$R$62,$A55,$I$3)&amp;""="","",IF(LEFT(INDEX(인턴근무계획!$M$3:$R$62,$A55,$I$3)&amp;"",1)="⚠","",MID(INDEX(인턴근무계획!$M$3:$R$62,$A55,$I$3)&amp;"",FIND(" ",INDEX(인턴근무계획!$M$3:$R$62,$A55,$I$3)&amp;"")+1,60))))</f>
        <v/>
      </c>
      <c r="K55" s="23">
        <f>IF($C55="","",INDEX(인턴근무계획!$M$3:$M$62,$A55)&amp;"")</f>
        <v/>
      </c>
      <c r="L55" s="23">
        <f>IF($C55="","",INDEX(인턴근무계획!$N$3:$N$62,$A55)&amp;"")</f>
        <v/>
      </c>
      <c r="M55" s="23">
        <f>IF($C55="","",INDEX(인턴근무계획!$O$3:$O$62,$A55)&amp;"")</f>
        <v/>
      </c>
      <c r="N55" s="23">
        <f>IF($C55="","",INDEX(인턴근무계획!$P$3:$P$62,$A55)&amp;"")</f>
        <v/>
      </c>
      <c r="O55" s="23">
        <f>IF($C55="","",INDEX(인턴근무계획!$Q$3:$Q$62,$A55)&amp;"")</f>
        <v/>
      </c>
      <c r="P55" s="23">
        <f>IF($C55="","",INDEX(인턴근무계획!$R$3:$R$62,$A55)&amp;"")</f>
        <v/>
      </c>
      <c r="Q55" s="23">
        <f>IF($C55="","",INDEX(인턴근무계획!$T$3:$T$62,$A55))</f>
        <v/>
      </c>
    </row>
    <row r="56">
      <c r="A56" s="26" t="n">
        <v>51</v>
      </c>
      <c r="B56" s="23">
        <f>IF($C56="","",INDEX(인턴근무계획!$B$3:$B$62,$A56))</f>
        <v/>
      </c>
      <c r="C56" s="23">
        <f>IFERROR(TRIM(INDEX(인턴근무계획!$C$3:$C$62,$A56)&amp;""),"")</f>
        <v/>
      </c>
      <c r="D56" s="23">
        <f>IF($C56="","",INDEX(인턴근무계획!$D$3:$D$62,$A56))</f>
        <v/>
      </c>
      <c r="E56" s="23">
        <f>IF($C56="","",IF(IFERROR(MATCH($D56,기본자료!$B$2:$B$1001,0),IFERROR(MATCH($D56&amp;"",기본자료!$B$2:$B$1001,0),IFERROR(MATCH(VALUE($D56),기본자료!$B$2:$B$1001,0),0)))&gt;0,"확인","미등록"))</f>
        <v/>
      </c>
      <c r="F56" s="27">
        <f>IF($C56="","",INDEX(인턴근무계획!$S$3:$S$62,$A56))</f>
        <v/>
      </c>
      <c r="G56" s="23">
        <f>IF(OR($C56="",$G$3=""),"",IF(INDEX(인턴근무계획!$M$3:$R$62,$A56,$G$3)&amp;""="","",IF(LEFT(INDEX(인턴근무계획!$M$3:$R$62,$A56,$G$3)&amp;"",1)="⚠",INDEX(인턴근무계획!$M$3:$R$62,$A56,$G$3)&amp;"",LEFT(INDEX(인턴근무계획!$M$3:$R$62,$A56,$G$3)&amp;"",FIND(" ",INDEX(인턴근무계획!$M$3:$R$62,$A56,$G$3)&amp;"")-1))))</f>
        <v/>
      </c>
      <c r="H56" s="23">
        <f>IF(OR($C56="",$G$3=""),"",IF(INDEX(인턴근무계획!$M$3:$R$62,$A56,$G$3)&amp;""="","",IF(LEFT(INDEX(인턴근무계획!$M$3:$R$62,$A56,$G$3)&amp;"",1)="⚠","",MID(INDEX(인턴근무계획!$M$3:$R$62,$A56,$G$3)&amp;"",FIND(" ",INDEX(인턴근무계획!$M$3:$R$62,$A56,$G$3)&amp;"")+1,60))))</f>
        <v/>
      </c>
      <c r="I56" s="23">
        <f>IF(OR($C56="",$I$3=""),"",IF(INDEX(인턴근무계획!$M$3:$R$62,$A56,$I$3)&amp;""="","",IF(LEFT(INDEX(인턴근무계획!$M$3:$R$62,$A56,$I$3)&amp;"",1)="⚠",INDEX(인턴근무계획!$M$3:$R$62,$A56,$I$3)&amp;"",LEFT(INDEX(인턴근무계획!$M$3:$R$62,$A56,$I$3)&amp;"",FIND(" ",INDEX(인턴근무계획!$M$3:$R$62,$A56,$I$3)&amp;"")-1))))</f>
        <v/>
      </c>
      <c r="J56" s="23">
        <f>IF(OR($C56="",$I$3=""),"",IF(INDEX(인턴근무계획!$M$3:$R$62,$A56,$I$3)&amp;""="","",IF(LEFT(INDEX(인턴근무계획!$M$3:$R$62,$A56,$I$3)&amp;"",1)="⚠","",MID(INDEX(인턴근무계획!$M$3:$R$62,$A56,$I$3)&amp;"",FIND(" ",INDEX(인턴근무계획!$M$3:$R$62,$A56,$I$3)&amp;"")+1,60))))</f>
        <v/>
      </c>
      <c r="K56" s="23">
        <f>IF($C56="","",INDEX(인턴근무계획!$M$3:$M$62,$A56)&amp;"")</f>
        <v/>
      </c>
      <c r="L56" s="23">
        <f>IF($C56="","",INDEX(인턴근무계획!$N$3:$N$62,$A56)&amp;"")</f>
        <v/>
      </c>
      <c r="M56" s="23">
        <f>IF($C56="","",INDEX(인턴근무계획!$O$3:$O$62,$A56)&amp;"")</f>
        <v/>
      </c>
      <c r="N56" s="23">
        <f>IF($C56="","",INDEX(인턴근무계획!$P$3:$P$62,$A56)&amp;"")</f>
        <v/>
      </c>
      <c r="O56" s="23">
        <f>IF($C56="","",INDEX(인턴근무계획!$Q$3:$Q$62,$A56)&amp;"")</f>
        <v/>
      </c>
      <c r="P56" s="23">
        <f>IF($C56="","",INDEX(인턴근무계획!$R$3:$R$62,$A56)&amp;"")</f>
        <v/>
      </c>
      <c r="Q56" s="23">
        <f>IF($C56="","",INDEX(인턴근무계획!$T$3:$T$62,$A56))</f>
        <v/>
      </c>
    </row>
    <row r="57">
      <c r="A57" s="26" t="n">
        <v>52</v>
      </c>
      <c r="B57" s="23">
        <f>IF($C57="","",INDEX(인턴근무계획!$B$3:$B$62,$A57))</f>
        <v/>
      </c>
      <c r="C57" s="23">
        <f>IFERROR(TRIM(INDEX(인턴근무계획!$C$3:$C$62,$A57)&amp;""),"")</f>
        <v/>
      </c>
      <c r="D57" s="23">
        <f>IF($C57="","",INDEX(인턴근무계획!$D$3:$D$62,$A57))</f>
        <v/>
      </c>
      <c r="E57" s="23">
        <f>IF($C57="","",IF(IFERROR(MATCH($D57,기본자료!$B$2:$B$1001,0),IFERROR(MATCH($D57&amp;"",기본자료!$B$2:$B$1001,0),IFERROR(MATCH(VALUE($D57),기본자료!$B$2:$B$1001,0),0)))&gt;0,"확인","미등록"))</f>
        <v/>
      </c>
      <c r="F57" s="27">
        <f>IF($C57="","",INDEX(인턴근무계획!$S$3:$S$62,$A57))</f>
        <v/>
      </c>
      <c r="G57" s="23">
        <f>IF(OR($C57="",$G$3=""),"",IF(INDEX(인턴근무계획!$M$3:$R$62,$A57,$G$3)&amp;""="","",IF(LEFT(INDEX(인턴근무계획!$M$3:$R$62,$A57,$G$3)&amp;"",1)="⚠",INDEX(인턴근무계획!$M$3:$R$62,$A57,$G$3)&amp;"",LEFT(INDEX(인턴근무계획!$M$3:$R$62,$A57,$G$3)&amp;"",FIND(" ",INDEX(인턴근무계획!$M$3:$R$62,$A57,$G$3)&amp;"")-1))))</f>
        <v/>
      </c>
      <c r="H57" s="23">
        <f>IF(OR($C57="",$G$3=""),"",IF(INDEX(인턴근무계획!$M$3:$R$62,$A57,$G$3)&amp;""="","",IF(LEFT(INDEX(인턴근무계획!$M$3:$R$62,$A57,$G$3)&amp;"",1)="⚠","",MID(INDEX(인턴근무계획!$M$3:$R$62,$A57,$G$3)&amp;"",FIND(" ",INDEX(인턴근무계획!$M$3:$R$62,$A57,$G$3)&amp;"")+1,60))))</f>
        <v/>
      </c>
      <c r="I57" s="23">
        <f>IF(OR($C57="",$I$3=""),"",IF(INDEX(인턴근무계획!$M$3:$R$62,$A57,$I$3)&amp;""="","",IF(LEFT(INDEX(인턴근무계획!$M$3:$R$62,$A57,$I$3)&amp;"",1)="⚠",INDEX(인턴근무계획!$M$3:$R$62,$A57,$I$3)&amp;"",LEFT(INDEX(인턴근무계획!$M$3:$R$62,$A57,$I$3)&amp;"",FIND(" ",INDEX(인턴근무계획!$M$3:$R$62,$A57,$I$3)&amp;"")-1))))</f>
        <v/>
      </c>
      <c r="J57" s="23">
        <f>IF(OR($C57="",$I$3=""),"",IF(INDEX(인턴근무계획!$M$3:$R$62,$A57,$I$3)&amp;""="","",IF(LEFT(INDEX(인턴근무계획!$M$3:$R$62,$A57,$I$3)&amp;"",1)="⚠","",MID(INDEX(인턴근무계획!$M$3:$R$62,$A57,$I$3)&amp;"",FIND(" ",INDEX(인턴근무계획!$M$3:$R$62,$A57,$I$3)&amp;"")+1,60))))</f>
        <v/>
      </c>
      <c r="K57" s="23">
        <f>IF($C57="","",INDEX(인턴근무계획!$M$3:$M$62,$A57)&amp;"")</f>
        <v/>
      </c>
      <c r="L57" s="23">
        <f>IF($C57="","",INDEX(인턴근무계획!$N$3:$N$62,$A57)&amp;"")</f>
        <v/>
      </c>
      <c r="M57" s="23">
        <f>IF($C57="","",INDEX(인턴근무계획!$O$3:$O$62,$A57)&amp;"")</f>
        <v/>
      </c>
      <c r="N57" s="23">
        <f>IF($C57="","",INDEX(인턴근무계획!$P$3:$P$62,$A57)&amp;"")</f>
        <v/>
      </c>
      <c r="O57" s="23">
        <f>IF($C57="","",INDEX(인턴근무계획!$Q$3:$Q$62,$A57)&amp;"")</f>
        <v/>
      </c>
      <c r="P57" s="23">
        <f>IF($C57="","",INDEX(인턴근무계획!$R$3:$R$62,$A57)&amp;"")</f>
        <v/>
      </c>
      <c r="Q57" s="23">
        <f>IF($C57="","",INDEX(인턴근무계획!$T$3:$T$62,$A57))</f>
        <v/>
      </c>
    </row>
    <row r="58">
      <c r="A58" s="26" t="n">
        <v>53</v>
      </c>
      <c r="B58" s="23">
        <f>IF($C58="","",INDEX(인턴근무계획!$B$3:$B$62,$A58))</f>
        <v/>
      </c>
      <c r="C58" s="23">
        <f>IFERROR(TRIM(INDEX(인턴근무계획!$C$3:$C$62,$A58)&amp;""),"")</f>
        <v/>
      </c>
      <c r="D58" s="23">
        <f>IF($C58="","",INDEX(인턴근무계획!$D$3:$D$62,$A58))</f>
        <v/>
      </c>
      <c r="E58" s="23">
        <f>IF($C58="","",IF(IFERROR(MATCH($D58,기본자료!$B$2:$B$1001,0),IFERROR(MATCH($D58&amp;"",기본자료!$B$2:$B$1001,0),IFERROR(MATCH(VALUE($D58),기본자료!$B$2:$B$1001,0),0)))&gt;0,"확인","미등록"))</f>
        <v/>
      </c>
      <c r="F58" s="27">
        <f>IF($C58="","",INDEX(인턴근무계획!$S$3:$S$62,$A58))</f>
        <v/>
      </c>
      <c r="G58" s="23">
        <f>IF(OR($C58="",$G$3=""),"",IF(INDEX(인턴근무계획!$M$3:$R$62,$A58,$G$3)&amp;""="","",IF(LEFT(INDEX(인턴근무계획!$M$3:$R$62,$A58,$G$3)&amp;"",1)="⚠",INDEX(인턴근무계획!$M$3:$R$62,$A58,$G$3)&amp;"",LEFT(INDEX(인턴근무계획!$M$3:$R$62,$A58,$G$3)&amp;"",FIND(" ",INDEX(인턴근무계획!$M$3:$R$62,$A58,$G$3)&amp;"")-1))))</f>
        <v/>
      </c>
      <c r="H58" s="23">
        <f>IF(OR($C58="",$G$3=""),"",IF(INDEX(인턴근무계획!$M$3:$R$62,$A58,$G$3)&amp;""="","",IF(LEFT(INDEX(인턴근무계획!$M$3:$R$62,$A58,$G$3)&amp;"",1)="⚠","",MID(INDEX(인턴근무계획!$M$3:$R$62,$A58,$G$3)&amp;"",FIND(" ",INDEX(인턴근무계획!$M$3:$R$62,$A58,$G$3)&amp;"")+1,60))))</f>
        <v/>
      </c>
      <c r="I58" s="23">
        <f>IF(OR($C58="",$I$3=""),"",IF(INDEX(인턴근무계획!$M$3:$R$62,$A58,$I$3)&amp;""="","",IF(LEFT(INDEX(인턴근무계획!$M$3:$R$62,$A58,$I$3)&amp;"",1)="⚠",INDEX(인턴근무계획!$M$3:$R$62,$A58,$I$3)&amp;"",LEFT(INDEX(인턴근무계획!$M$3:$R$62,$A58,$I$3)&amp;"",FIND(" ",INDEX(인턴근무계획!$M$3:$R$62,$A58,$I$3)&amp;"")-1))))</f>
        <v/>
      </c>
      <c r="J58" s="23">
        <f>IF(OR($C58="",$I$3=""),"",IF(INDEX(인턴근무계획!$M$3:$R$62,$A58,$I$3)&amp;""="","",IF(LEFT(INDEX(인턴근무계획!$M$3:$R$62,$A58,$I$3)&amp;"",1)="⚠","",MID(INDEX(인턴근무계획!$M$3:$R$62,$A58,$I$3)&amp;"",FIND(" ",INDEX(인턴근무계획!$M$3:$R$62,$A58,$I$3)&amp;"")+1,60))))</f>
        <v/>
      </c>
      <c r="K58" s="23">
        <f>IF($C58="","",INDEX(인턴근무계획!$M$3:$M$62,$A58)&amp;"")</f>
        <v/>
      </c>
      <c r="L58" s="23">
        <f>IF($C58="","",INDEX(인턴근무계획!$N$3:$N$62,$A58)&amp;"")</f>
        <v/>
      </c>
      <c r="M58" s="23">
        <f>IF($C58="","",INDEX(인턴근무계획!$O$3:$O$62,$A58)&amp;"")</f>
        <v/>
      </c>
      <c r="N58" s="23">
        <f>IF($C58="","",INDEX(인턴근무계획!$P$3:$P$62,$A58)&amp;"")</f>
        <v/>
      </c>
      <c r="O58" s="23">
        <f>IF($C58="","",INDEX(인턴근무계획!$Q$3:$Q$62,$A58)&amp;"")</f>
        <v/>
      </c>
      <c r="P58" s="23">
        <f>IF($C58="","",INDEX(인턴근무계획!$R$3:$R$62,$A58)&amp;"")</f>
        <v/>
      </c>
      <c r="Q58" s="23">
        <f>IF($C58="","",INDEX(인턴근무계획!$T$3:$T$62,$A58))</f>
        <v/>
      </c>
    </row>
    <row r="59">
      <c r="A59" s="26" t="n">
        <v>54</v>
      </c>
      <c r="B59" s="23">
        <f>IF($C59="","",INDEX(인턴근무계획!$B$3:$B$62,$A59))</f>
        <v/>
      </c>
      <c r="C59" s="23">
        <f>IFERROR(TRIM(INDEX(인턴근무계획!$C$3:$C$62,$A59)&amp;""),"")</f>
        <v/>
      </c>
      <c r="D59" s="23">
        <f>IF($C59="","",INDEX(인턴근무계획!$D$3:$D$62,$A59))</f>
        <v/>
      </c>
      <c r="E59" s="23">
        <f>IF($C59="","",IF(IFERROR(MATCH($D59,기본자료!$B$2:$B$1001,0),IFERROR(MATCH($D59&amp;"",기본자료!$B$2:$B$1001,0),IFERROR(MATCH(VALUE($D59),기본자료!$B$2:$B$1001,0),0)))&gt;0,"확인","미등록"))</f>
        <v/>
      </c>
      <c r="F59" s="27">
        <f>IF($C59="","",INDEX(인턴근무계획!$S$3:$S$62,$A59))</f>
        <v/>
      </c>
      <c r="G59" s="23">
        <f>IF(OR($C59="",$G$3=""),"",IF(INDEX(인턴근무계획!$M$3:$R$62,$A59,$G$3)&amp;""="","",IF(LEFT(INDEX(인턴근무계획!$M$3:$R$62,$A59,$G$3)&amp;"",1)="⚠",INDEX(인턴근무계획!$M$3:$R$62,$A59,$G$3)&amp;"",LEFT(INDEX(인턴근무계획!$M$3:$R$62,$A59,$G$3)&amp;"",FIND(" ",INDEX(인턴근무계획!$M$3:$R$62,$A59,$G$3)&amp;"")-1))))</f>
        <v/>
      </c>
      <c r="H59" s="23">
        <f>IF(OR($C59="",$G$3=""),"",IF(INDEX(인턴근무계획!$M$3:$R$62,$A59,$G$3)&amp;""="","",IF(LEFT(INDEX(인턴근무계획!$M$3:$R$62,$A59,$G$3)&amp;"",1)="⚠","",MID(INDEX(인턴근무계획!$M$3:$R$62,$A59,$G$3)&amp;"",FIND(" ",INDEX(인턴근무계획!$M$3:$R$62,$A59,$G$3)&amp;"")+1,60))))</f>
        <v/>
      </c>
      <c r="I59" s="23">
        <f>IF(OR($C59="",$I$3=""),"",IF(INDEX(인턴근무계획!$M$3:$R$62,$A59,$I$3)&amp;""="","",IF(LEFT(INDEX(인턴근무계획!$M$3:$R$62,$A59,$I$3)&amp;"",1)="⚠",INDEX(인턴근무계획!$M$3:$R$62,$A59,$I$3)&amp;"",LEFT(INDEX(인턴근무계획!$M$3:$R$62,$A59,$I$3)&amp;"",FIND(" ",INDEX(인턴근무계획!$M$3:$R$62,$A59,$I$3)&amp;"")-1))))</f>
        <v/>
      </c>
      <c r="J59" s="23">
        <f>IF(OR($C59="",$I$3=""),"",IF(INDEX(인턴근무계획!$M$3:$R$62,$A59,$I$3)&amp;""="","",IF(LEFT(INDEX(인턴근무계획!$M$3:$R$62,$A59,$I$3)&amp;"",1)="⚠","",MID(INDEX(인턴근무계획!$M$3:$R$62,$A59,$I$3)&amp;"",FIND(" ",INDEX(인턴근무계획!$M$3:$R$62,$A59,$I$3)&amp;"")+1,60))))</f>
        <v/>
      </c>
      <c r="K59" s="23">
        <f>IF($C59="","",INDEX(인턴근무계획!$M$3:$M$62,$A59)&amp;"")</f>
        <v/>
      </c>
      <c r="L59" s="23">
        <f>IF($C59="","",INDEX(인턴근무계획!$N$3:$N$62,$A59)&amp;"")</f>
        <v/>
      </c>
      <c r="M59" s="23">
        <f>IF($C59="","",INDEX(인턴근무계획!$O$3:$O$62,$A59)&amp;"")</f>
        <v/>
      </c>
      <c r="N59" s="23">
        <f>IF($C59="","",INDEX(인턴근무계획!$P$3:$P$62,$A59)&amp;"")</f>
        <v/>
      </c>
      <c r="O59" s="23">
        <f>IF($C59="","",INDEX(인턴근무계획!$Q$3:$Q$62,$A59)&amp;"")</f>
        <v/>
      </c>
      <c r="P59" s="23">
        <f>IF($C59="","",INDEX(인턴근무계획!$R$3:$R$62,$A59)&amp;"")</f>
        <v/>
      </c>
      <c r="Q59" s="23">
        <f>IF($C59="","",INDEX(인턴근무계획!$T$3:$T$62,$A59))</f>
        <v/>
      </c>
    </row>
    <row r="60">
      <c r="A60" s="26" t="n">
        <v>55</v>
      </c>
      <c r="B60" s="23">
        <f>IF($C60="","",INDEX(인턴근무계획!$B$3:$B$62,$A60))</f>
        <v/>
      </c>
      <c r="C60" s="23">
        <f>IFERROR(TRIM(INDEX(인턴근무계획!$C$3:$C$62,$A60)&amp;""),"")</f>
        <v/>
      </c>
      <c r="D60" s="23">
        <f>IF($C60="","",INDEX(인턴근무계획!$D$3:$D$62,$A60))</f>
        <v/>
      </c>
      <c r="E60" s="23">
        <f>IF($C60="","",IF(IFERROR(MATCH($D60,기본자료!$B$2:$B$1001,0),IFERROR(MATCH($D60&amp;"",기본자료!$B$2:$B$1001,0),IFERROR(MATCH(VALUE($D60),기본자료!$B$2:$B$1001,0),0)))&gt;0,"확인","미등록"))</f>
        <v/>
      </c>
      <c r="F60" s="27">
        <f>IF($C60="","",INDEX(인턴근무계획!$S$3:$S$62,$A60))</f>
        <v/>
      </c>
      <c r="G60" s="23">
        <f>IF(OR($C60="",$G$3=""),"",IF(INDEX(인턴근무계획!$M$3:$R$62,$A60,$G$3)&amp;""="","",IF(LEFT(INDEX(인턴근무계획!$M$3:$R$62,$A60,$G$3)&amp;"",1)="⚠",INDEX(인턴근무계획!$M$3:$R$62,$A60,$G$3)&amp;"",LEFT(INDEX(인턴근무계획!$M$3:$R$62,$A60,$G$3)&amp;"",FIND(" ",INDEX(인턴근무계획!$M$3:$R$62,$A60,$G$3)&amp;"")-1))))</f>
        <v/>
      </c>
      <c r="H60" s="23">
        <f>IF(OR($C60="",$G$3=""),"",IF(INDEX(인턴근무계획!$M$3:$R$62,$A60,$G$3)&amp;""="","",IF(LEFT(INDEX(인턴근무계획!$M$3:$R$62,$A60,$G$3)&amp;"",1)="⚠","",MID(INDEX(인턴근무계획!$M$3:$R$62,$A60,$G$3)&amp;"",FIND(" ",INDEX(인턴근무계획!$M$3:$R$62,$A60,$G$3)&amp;"")+1,60))))</f>
        <v/>
      </c>
      <c r="I60" s="23">
        <f>IF(OR($C60="",$I$3=""),"",IF(INDEX(인턴근무계획!$M$3:$R$62,$A60,$I$3)&amp;""="","",IF(LEFT(INDEX(인턴근무계획!$M$3:$R$62,$A60,$I$3)&amp;"",1)="⚠",INDEX(인턴근무계획!$M$3:$R$62,$A60,$I$3)&amp;"",LEFT(INDEX(인턴근무계획!$M$3:$R$62,$A60,$I$3)&amp;"",FIND(" ",INDEX(인턴근무계획!$M$3:$R$62,$A60,$I$3)&amp;"")-1))))</f>
        <v/>
      </c>
      <c r="J60" s="23">
        <f>IF(OR($C60="",$I$3=""),"",IF(INDEX(인턴근무계획!$M$3:$R$62,$A60,$I$3)&amp;""="","",IF(LEFT(INDEX(인턴근무계획!$M$3:$R$62,$A60,$I$3)&amp;"",1)="⚠","",MID(INDEX(인턴근무계획!$M$3:$R$62,$A60,$I$3)&amp;"",FIND(" ",INDEX(인턴근무계획!$M$3:$R$62,$A60,$I$3)&amp;"")+1,60))))</f>
        <v/>
      </c>
      <c r="K60" s="23">
        <f>IF($C60="","",INDEX(인턴근무계획!$M$3:$M$62,$A60)&amp;"")</f>
        <v/>
      </c>
      <c r="L60" s="23">
        <f>IF($C60="","",INDEX(인턴근무계획!$N$3:$N$62,$A60)&amp;"")</f>
        <v/>
      </c>
      <c r="M60" s="23">
        <f>IF($C60="","",INDEX(인턴근무계획!$O$3:$O$62,$A60)&amp;"")</f>
        <v/>
      </c>
      <c r="N60" s="23">
        <f>IF($C60="","",INDEX(인턴근무계획!$P$3:$P$62,$A60)&amp;"")</f>
        <v/>
      </c>
      <c r="O60" s="23">
        <f>IF($C60="","",INDEX(인턴근무계획!$Q$3:$Q$62,$A60)&amp;"")</f>
        <v/>
      </c>
      <c r="P60" s="23">
        <f>IF($C60="","",INDEX(인턴근무계획!$R$3:$R$62,$A60)&amp;"")</f>
        <v/>
      </c>
      <c r="Q60" s="23">
        <f>IF($C60="","",INDEX(인턴근무계획!$T$3:$T$62,$A60))</f>
        <v/>
      </c>
    </row>
    <row r="61">
      <c r="A61" s="26" t="n">
        <v>56</v>
      </c>
      <c r="B61" s="23">
        <f>IF($C61="","",INDEX(인턴근무계획!$B$3:$B$62,$A61))</f>
        <v/>
      </c>
      <c r="C61" s="23">
        <f>IFERROR(TRIM(INDEX(인턴근무계획!$C$3:$C$62,$A61)&amp;""),"")</f>
        <v/>
      </c>
      <c r="D61" s="23">
        <f>IF($C61="","",INDEX(인턴근무계획!$D$3:$D$62,$A61))</f>
        <v/>
      </c>
      <c r="E61" s="23">
        <f>IF($C61="","",IF(IFERROR(MATCH($D61,기본자료!$B$2:$B$1001,0),IFERROR(MATCH($D61&amp;"",기본자료!$B$2:$B$1001,0),IFERROR(MATCH(VALUE($D61),기본자료!$B$2:$B$1001,0),0)))&gt;0,"확인","미등록"))</f>
        <v/>
      </c>
      <c r="F61" s="27">
        <f>IF($C61="","",INDEX(인턴근무계획!$S$3:$S$62,$A61))</f>
        <v/>
      </c>
      <c r="G61" s="23">
        <f>IF(OR($C61="",$G$3=""),"",IF(INDEX(인턴근무계획!$M$3:$R$62,$A61,$G$3)&amp;""="","",IF(LEFT(INDEX(인턴근무계획!$M$3:$R$62,$A61,$G$3)&amp;"",1)="⚠",INDEX(인턴근무계획!$M$3:$R$62,$A61,$G$3)&amp;"",LEFT(INDEX(인턴근무계획!$M$3:$R$62,$A61,$G$3)&amp;"",FIND(" ",INDEX(인턴근무계획!$M$3:$R$62,$A61,$G$3)&amp;"")-1))))</f>
        <v/>
      </c>
      <c r="H61" s="23">
        <f>IF(OR($C61="",$G$3=""),"",IF(INDEX(인턴근무계획!$M$3:$R$62,$A61,$G$3)&amp;""="","",IF(LEFT(INDEX(인턴근무계획!$M$3:$R$62,$A61,$G$3)&amp;"",1)="⚠","",MID(INDEX(인턴근무계획!$M$3:$R$62,$A61,$G$3)&amp;"",FIND(" ",INDEX(인턴근무계획!$M$3:$R$62,$A61,$G$3)&amp;"")+1,60))))</f>
        <v/>
      </c>
      <c r="I61" s="23">
        <f>IF(OR($C61="",$I$3=""),"",IF(INDEX(인턴근무계획!$M$3:$R$62,$A61,$I$3)&amp;""="","",IF(LEFT(INDEX(인턴근무계획!$M$3:$R$62,$A61,$I$3)&amp;"",1)="⚠",INDEX(인턴근무계획!$M$3:$R$62,$A61,$I$3)&amp;"",LEFT(INDEX(인턴근무계획!$M$3:$R$62,$A61,$I$3)&amp;"",FIND(" ",INDEX(인턴근무계획!$M$3:$R$62,$A61,$I$3)&amp;"")-1))))</f>
        <v/>
      </c>
      <c r="J61" s="23">
        <f>IF(OR($C61="",$I$3=""),"",IF(INDEX(인턴근무계획!$M$3:$R$62,$A61,$I$3)&amp;""="","",IF(LEFT(INDEX(인턴근무계획!$M$3:$R$62,$A61,$I$3)&amp;"",1)="⚠","",MID(INDEX(인턴근무계획!$M$3:$R$62,$A61,$I$3)&amp;"",FIND(" ",INDEX(인턴근무계획!$M$3:$R$62,$A61,$I$3)&amp;"")+1,60))))</f>
        <v/>
      </c>
      <c r="K61" s="23">
        <f>IF($C61="","",INDEX(인턴근무계획!$M$3:$M$62,$A61)&amp;"")</f>
        <v/>
      </c>
      <c r="L61" s="23">
        <f>IF($C61="","",INDEX(인턴근무계획!$N$3:$N$62,$A61)&amp;"")</f>
        <v/>
      </c>
      <c r="M61" s="23">
        <f>IF($C61="","",INDEX(인턴근무계획!$O$3:$O$62,$A61)&amp;"")</f>
        <v/>
      </c>
      <c r="N61" s="23">
        <f>IF($C61="","",INDEX(인턴근무계획!$P$3:$P$62,$A61)&amp;"")</f>
        <v/>
      </c>
      <c r="O61" s="23">
        <f>IF($C61="","",INDEX(인턴근무계획!$Q$3:$Q$62,$A61)&amp;"")</f>
        <v/>
      </c>
      <c r="P61" s="23">
        <f>IF($C61="","",INDEX(인턴근무계획!$R$3:$R$62,$A61)&amp;"")</f>
        <v/>
      </c>
      <c r="Q61" s="23">
        <f>IF($C61="","",INDEX(인턴근무계획!$T$3:$T$62,$A61))</f>
        <v/>
      </c>
    </row>
    <row r="62">
      <c r="A62" s="26" t="n">
        <v>57</v>
      </c>
      <c r="B62" s="23">
        <f>IF($C62="","",INDEX(인턴근무계획!$B$3:$B$62,$A62))</f>
        <v/>
      </c>
      <c r="C62" s="23">
        <f>IFERROR(TRIM(INDEX(인턴근무계획!$C$3:$C$62,$A62)&amp;""),"")</f>
        <v/>
      </c>
      <c r="D62" s="23">
        <f>IF($C62="","",INDEX(인턴근무계획!$D$3:$D$62,$A62))</f>
        <v/>
      </c>
      <c r="E62" s="23">
        <f>IF($C62="","",IF(IFERROR(MATCH($D62,기본자료!$B$2:$B$1001,0),IFERROR(MATCH($D62&amp;"",기본자료!$B$2:$B$1001,0),IFERROR(MATCH(VALUE($D62),기본자료!$B$2:$B$1001,0),0)))&gt;0,"확인","미등록"))</f>
        <v/>
      </c>
      <c r="F62" s="27">
        <f>IF($C62="","",INDEX(인턴근무계획!$S$3:$S$62,$A62))</f>
        <v/>
      </c>
      <c r="G62" s="23">
        <f>IF(OR($C62="",$G$3=""),"",IF(INDEX(인턴근무계획!$M$3:$R$62,$A62,$G$3)&amp;""="","",IF(LEFT(INDEX(인턴근무계획!$M$3:$R$62,$A62,$G$3)&amp;"",1)="⚠",INDEX(인턴근무계획!$M$3:$R$62,$A62,$G$3)&amp;"",LEFT(INDEX(인턴근무계획!$M$3:$R$62,$A62,$G$3)&amp;"",FIND(" ",INDEX(인턴근무계획!$M$3:$R$62,$A62,$G$3)&amp;"")-1))))</f>
        <v/>
      </c>
      <c r="H62" s="23">
        <f>IF(OR($C62="",$G$3=""),"",IF(INDEX(인턴근무계획!$M$3:$R$62,$A62,$G$3)&amp;""="","",IF(LEFT(INDEX(인턴근무계획!$M$3:$R$62,$A62,$G$3)&amp;"",1)="⚠","",MID(INDEX(인턴근무계획!$M$3:$R$62,$A62,$G$3)&amp;"",FIND(" ",INDEX(인턴근무계획!$M$3:$R$62,$A62,$G$3)&amp;"")+1,60))))</f>
        <v/>
      </c>
      <c r="I62" s="23">
        <f>IF(OR($C62="",$I$3=""),"",IF(INDEX(인턴근무계획!$M$3:$R$62,$A62,$I$3)&amp;""="","",IF(LEFT(INDEX(인턴근무계획!$M$3:$R$62,$A62,$I$3)&amp;"",1)="⚠",INDEX(인턴근무계획!$M$3:$R$62,$A62,$I$3)&amp;"",LEFT(INDEX(인턴근무계획!$M$3:$R$62,$A62,$I$3)&amp;"",FIND(" ",INDEX(인턴근무계획!$M$3:$R$62,$A62,$I$3)&amp;"")-1))))</f>
        <v/>
      </c>
      <c r="J62" s="23">
        <f>IF(OR($C62="",$I$3=""),"",IF(INDEX(인턴근무계획!$M$3:$R$62,$A62,$I$3)&amp;""="","",IF(LEFT(INDEX(인턴근무계획!$M$3:$R$62,$A62,$I$3)&amp;"",1)="⚠","",MID(INDEX(인턴근무계획!$M$3:$R$62,$A62,$I$3)&amp;"",FIND(" ",INDEX(인턴근무계획!$M$3:$R$62,$A62,$I$3)&amp;"")+1,60))))</f>
        <v/>
      </c>
      <c r="K62" s="23">
        <f>IF($C62="","",INDEX(인턴근무계획!$M$3:$M$62,$A62)&amp;"")</f>
        <v/>
      </c>
      <c r="L62" s="23">
        <f>IF($C62="","",INDEX(인턴근무계획!$N$3:$N$62,$A62)&amp;"")</f>
        <v/>
      </c>
      <c r="M62" s="23">
        <f>IF($C62="","",INDEX(인턴근무계획!$O$3:$O$62,$A62)&amp;"")</f>
        <v/>
      </c>
      <c r="N62" s="23">
        <f>IF($C62="","",INDEX(인턴근무계획!$P$3:$P$62,$A62)&amp;"")</f>
        <v/>
      </c>
      <c r="O62" s="23">
        <f>IF($C62="","",INDEX(인턴근무계획!$Q$3:$Q$62,$A62)&amp;"")</f>
        <v/>
      </c>
      <c r="P62" s="23">
        <f>IF($C62="","",INDEX(인턴근무계획!$R$3:$R$62,$A62)&amp;"")</f>
        <v/>
      </c>
      <c r="Q62" s="23">
        <f>IF($C62="","",INDEX(인턴근무계획!$T$3:$T$62,$A62))</f>
        <v/>
      </c>
    </row>
    <row r="63">
      <c r="A63" s="26" t="n">
        <v>58</v>
      </c>
      <c r="B63" s="23">
        <f>IF($C63="","",INDEX(인턴근무계획!$B$3:$B$62,$A63))</f>
        <v/>
      </c>
      <c r="C63" s="23">
        <f>IFERROR(TRIM(INDEX(인턴근무계획!$C$3:$C$62,$A63)&amp;""),"")</f>
        <v/>
      </c>
      <c r="D63" s="23">
        <f>IF($C63="","",INDEX(인턴근무계획!$D$3:$D$62,$A63))</f>
        <v/>
      </c>
      <c r="E63" s="23">
        <f>IF($C63="","",IF(IFERROR(MATCH($D63,기본자료!$B$2:$B$1001,0),IFERROR(MATCH($D63&amp;"",기본자료!$B$2:$B$1001,0),IFERROR(MATCH(VALUE($D63),기본자료!$B$2:$B$1001,0),0)))&gt;0,"확인","미등록"))</f>
        <v/>
      </c>
      <c r="F63" s="27">
        <f>IF($C63="","",INDEX(인턴근무계획!$S$3:$S$62,$A63))</f>
        <v/>
      </c>
      <c r="G63" s="23">
        <f>IF(OR($C63="",$G$3=""),"",IF(INDEX(인턴근무계획!$M$3:$R$62,$A63,$G$3)&amp;""="","",IF(LEFT(INDEX(인턴근무계획!$M$3:$R$62,$A63,$G$3)&amp;"",1)="⚠",INDEX(인턴근무계획!$M$3:$R$62,$A63,$G$3)&amp;"",LEFT(INDEX(인턴근무계획!$M$3:$R$62,$A63,$G$3)&amp;"",FIND(" ",INDEX(인턴근무계획!$M$3:$R$62,$A63,$G$3)&amp;"")-1))))</f>
        <v/>
      </c>
      <c r="H63" s="23">
        <f>IF(OR($C63="",$G$3=""),"",IF(INDEX(인턴근무계획!$M$3:$R$62,$A63,$G$3)&amp;""="","",IF(LEFT(INDEX(인턴근무계획!$M$3:$R$62,$A63,$G$3)&amp;"",1)="⚠","",MID(INDEX(인턴근무계획!$M$3:$R$62,$A63,$G$3)&amp;"",FIND(" ",INDEX(인턴근무계획!$M$3:$R$62,$A63,$G$3)&amp;"")+1,60))))</f>
        <v/>
      </c>
      <c r="I63" s="23">
        <f>IF(OR($C63="",$I$3=""),"",IF(INDEX(인턴근무계획!$M$3:$R$62,$A63,$I$3)&amp;""="","",IF(LEFT(INDEX(인턴근무계획!$M$3:$R$62,$A63,$I$3)&amp;"",1)="⚠",INDEX(인턴근무계획!$M$3:$R$62,$A63,$I$3)&amp;"",LEFT(INDEX(인턴근무계획!$M$3:$R$62,$A63,$I$3)&amp;"",FIND(" ",INDEX(인턴근무계획!$M$3:$R$62,$A63,$I$3)&amp;"")-1))))</f>
        <v/>
      </c>
      <c r="J63" s="23">
        <f>IF(OR($C63="",$I$3=""),"",IF(INDEX(인턴근무계획!$M$3:$R$62,$A63,$I$3)&amp;""="","",IF(LEFT(INDEX(인턴근무계획!$M$3:$R$62,$A63,$I$3)&amp;"",1)="⚠","",MID(INDEX(인턴근무계획!$M$3:$R$62,$A63,$I$3)&amp;"",FIND(" ",INDEX(인턴근무계획!$M$3:$R$62,$A63,$I$3)&amp;"")+1,60))))</f>
        <v/>
      </c>
      <c r="K63" s="23">
        <f>IF($C63="","",INDEX(인턴근무계획!$M$3:$M$62,$A63)&amp;"")</f>
        <v/>
      </c>
      <c r="L63" s="23">
        <f>IF($C63="","",INDEX(인턴근무계획!$N$3:$N$62,$A63)&amp;"")</f>
        <v/>
      </c>
      <c r="M63" s="23">
        <f>IF($C63="","",INDEX(인턴근무계획!$O$3:$O$62,$A63)&amp;"")</f>
        <v/>
      </c>
      <c r="N63" s="23">
        <f>IF($C63="","",INDEX(인턴근무계획!$P$3:$P$62,$A63)&amp;"")</f>
        <v/>
      </c>
      <c r="O63" s="23">
        <f>IF($C63="","",INDEX(인턴근무계획!$Q$3:$Q$62,$A63)&amp;"")</f>
        <v/>
      </c>
      <c r="P63" s="23">
        <f>IF($C63="","",INDEX(인턴근무계획!$R$3:$R$62,$A63)&amp;"")</f>
        <v/>
      </c>
      <c r="Q63" s="23">
        <f>IF($C63="","",INDEX(인턴근무계획!$T$3:$T$62,$A63))</f>
        <v/>
      </c>
    </row>
    <row r="64">
      <c r="A64" s="26" t="n">
        <v>59</v>
      </c>
      <c r="B64" s="23">
        <f>IF($C64="","",INDEX(인턴근무계획!$B$3:$B$62,$A64))</f>
        <v/>
      </c>
      <c r="C64" s="23">
        <f>IFERROR(TRIM(INDEX(인턴근무계획!$C$3:$C$62,$A64)&amp;""),"")</f>
        <v/>
      </c>
      <c r="D64" s="23">
        <f>IF($C64="","",INDEX(인턴근무계획!$D$3:$D$62,$A64))</f>
        <v/>
      </c>
      <c r="E64" s="23">
        <f>IF($C64="","",IF(IFERROR(MATCH($D64,기본자료!$B$2:$B$1001,0),IFERROR(MATCH($D64&amp;"",기본자료!$B$2:$B$1001,0),IFERROR(MATCH(VALUE($D64),기본자료!$B$2:$B$1001,0),0)))&gt;0,"확인","미등록"))</f>
        <v/>
      </c>
      <c r="F64" s="27">
        <f>IF($C64="","",INDEX(인턴근무계획!$S$3:$S$62,$A64))</f>
        <v/>
      </c>
      <c r="G64" s="23">
        <f>IF(OR($C64="",$G$3=""),"",IF(INDEX(인턴근무계획!$M$3:$R$62,$A64,$G$3)&amp;""="","",IF(LEFT(INDEX(인턴근무계획!$M$3:$R$62,$A64,$G$3)&amp;"",1)="⚠",INDEX(인턴근무계획!$M$3:$R$62,$A64,$G$3)&amp;"",LEFT(INDEX(인턴근무계획!$M$3:$R$62,$A64,$G$3)&amp;"",FIND(" ",INDEX(인턴근무계획!$M$3:$R$62,$A64,$G$3)&amp;"")-1))))</f>
        <v/>
      </c>
      <c r="H64" s="23">
        <f>IF(OR($C64="",$G$3=""),"",IF(INDEX(인턴근무계획!$M$3:$R$62,$A64,$G$3)&amp;""="","",IF(LEFT(INDEX(인턴근무계획!$M$3:$R$62,$A64,$G$3)&amp;"",1)="⚠","",MID(INDEX(인턴근무계획!$M$3:$R$62,$A64,$G$3)&amp;"",FIND(" ",INDEX(인턴근무계획!$M$3:$R$62,$A64,$G$3)&amp;"")+1,60))))</f>
        <v/>
      </c>
      <c r="I64" s="23">
        <f>IF(OR($C64="",$I$3=""),"",IF(INDEX(인턴근무계획!$M$3:$R$62,$A64,$I$3)&amp;""="","",IF(LEFT(INDEX(인턴근무계획!$M$3:$R$62,$A64,$I$3)&amp;"",1)="⚠",INDEX(인턴근무계획!$M$3:$R$62,$A64,$I$3)&amp;"",LEFT(INDEX(인턴근무계획!$M$3:$R$62,$A64,$I$3)&amp;"",FIND(" ",INDEX(인턴근무계획!$M$3:$R$62,$A64,$I$3)&amp;"")-1))))</f>
        <v/>
      </c>
      <c r="J64" s="23">
        <f>IF(OR($C64="",$I$3=""),"",IF(INDEX(인턴근무계획!$M$3:$R$62,$A64,$I$3)&amp;""="","",IF(LEFT(INDEX(인턴근무계획!$M$3:$R$62,$A64,$I$3)&amp;"",1)="⚠","",MID(INDEX(인턴근무계획!$M$3:$R$62,$A64,$I$3)&amp;"",FIND(" ",INDEX(인턴근무계획!$M$3:$R$62,$A64,$I$3)&amp;"")+1,60))))</f>
        <v/>
      </c>
      <c r="K64" s="23">
        <f>IF($C64="","",INDEX(인턴근무계획!$M$3:$M$62,$A64)&amp;"")</f>
        <v/>
      </c>
      <c r="L64" s="23">
        <f>IF($C64="","",INDEX(인턴근무계획!$N$3:$N$62,$A64)&amp;"")</f>
        <v/>
      </c>
      <c r="M64" s="23">
        <f>IF($C64="","",INDEX(인턴근무계획!$O$3:$O$62,$A64)&amp;"")</f>
        <v/>
      </c>
      <c r="N64" s="23">
        <f>IF($C64="","",INDEX(인턴근무계획!$P$3:$P$62,$A64)&amp;"")</f>
        <v/>
      </c>
      <c r="O64" s="23">
        <f>IF($C64="","",INDEX(인턴근무계획!$Q$3:$Q$62,$A64)&amp;"")</f>
        <v/>
      </c>
      <c r="P64" s="23">
        <f>IF($C64="","",INDEX(인턴근무계획!$R$3:$R$62,$A64)&amp;"")</f>
        <v/>
      </c>
      <c r="Q64" s="23">
        <f>IF($C64="","",INDEX(인턴근무계획!$T$3:$T$62,$A64))</f>
        <v/>
      </c>
    </row>
    <row r="65">
      <c r="A65" s="26" t="n">
        <v>60</v>
      </c>
      <c r="B65" s="23">
        <f>IF($C65="","",INDEX(인턴근무계획!$B$3:$B$62,$A65))</f>
        <v/>
      </c>
      <c r="C65" s="23">
        <f>IFERROR(TRIM(INDEX(인턴근무계획!$C$3:$C$62,$A65)&amp;""),"")</f>
        <v/>
      </c>
      <c r="D65" s="23">
        <f>IF($C65="","",INDEX(인턴근무계획!$D$3:$D$62,$A65))</f>
        <v/>
      </c>
      <c r="E65" s="23">
        <f>IF($C65="","",IF(IFERROR(MATCH($D65,기본자료!$B$2:$B$1001,0),IFERROR(MATCH($D65&amp;"",기본자료!$B$2:$B$1001,0),IFERROR(MATCH(VALUE($D65),기본자료!$B$2:$B$1001,0),0)))&gt;0,"확인","미등록"))</f>
        <v/>
      </c>
      <c r="F65" s="27">
        <f>IF($C65="","",INDEX(인턴근무계획!$S$3:$S$62,$A65))</f>
        <v/>
      </c>
      <c r="G65" s="23">
        <f>IF(OR($C65="",$G$3=""),"",IF(INDEX(인턴근무계획!$M$3:$R$62,$A65,$G$3)&amp;""="","",IF(LEFT(INDEX(인턴근무계획!$M$3:$R$62,$A65,$G$3)&amp;"",1)="⚠",INDEX(인턴근무계획!$M$3:$R$62,$A65,$G$3)&amp;"",LEFT(INDEX(인턴근무계획!$M$3:$R$62,$A65,$G$3)&amp;"",FIND(" ",INDEX(인턴근무계획!$M$3:$R$62,$A65,$G$3)&amp;"")-1))))</f>
        <v/>
      </c>
      <c r="H65" s="23">
        <f>IF(OR($C65="",$G$3=""),"",IF(INDEX(인턴근무계획!$M$3:$R$62,$A65,$G$3)&amp;""="","",IF(LEFT(INDEX(인턴근무계획!$M$3:$R$62,$A65,$G$3)&amp;"",1)="⚠","",MID(INDEX(인턴근무계획!$M$3:$R$62,$A65,$G$3)&amp;"",FIND(" ",INDEX(인턴근무계획!$M$3:$R$62,$A65,$G$3)&amp;"")+1,60))))</f>
        <v/>
      </c>
      <c r="I65" s="23">
        <f>IF(OR($C65="",$I$3=""),"",IF(INDEX(인턴근무계획!$M$3:$R$62,$A65,$I$3)&amp;""="","",IF(LEFT(INDEX(인턴근무계획!$M$3:$R$62,$A65,$I$3)&amp;"",1)="⚠",INDEX(인턴근무계획!$M$3:$R$62,$A65,$I$3)&amp;"",LEFT(INDEX(인턴근무계획!$M$3:$R$62,$A65,$I$3)&amp;"",FIND(" ",INDEX(인턴근무계획!$M$3:$R$62,$A65,$I$3)&amp;"")-1))))</f>
        <v/>
      </c>
      <c r="J65" s="23">
        <f>IF(OR($C65="",$I$3=""),"",IF(INDEX(인턴근무계획!$M$3:$R$62,$A65,$I$3)&amp;""="","",IF(LEFT(INDEX(인턴근무계획!$M$3:$R$62,$A65,$I$3)&amp;"",1)="⚠","",MID(INDEX(인턴근무계획!$M$3:$R$62,$A65,$I$3)&amp;"",FIND(" ",INDEX(인턴근무계획!$M$3:$R$62,$A65,$I$3)&amp;"")+1,60))))</f>
        <v/>
      </c>
      <c r="K65" s="23">
        <f>IF($C65="","",INDEX(인턴근무계획!$M$3:$M$62,$A65)&amp;"")</f>
        <v/>
      </c>
      <c r="L65" s="23">
        <f>IF($C65="","",INDEX(인턴근무계획!$N$3:$N$62,$A65)&amp;"")</f>
        <v/>
      </c>
      <c r="M65" s="23">
        <f>IF($C65="","",INDEX(인턴근무계획!$O$3:$O$62,$A65)&amp;"")</f>
        <v/>
      </c>
      <c r="N65" s="23">
        <f>IF($C65="","",INDEX(인턴근무계획!$P$3:$P$62,$A65)&amp;"")</f>
        <v/>
      </c>
      <c r="O65" s="23">
        <f>IF($C65="","",INDEX(인턴근무계획!$Q$3:$Q$62,$A65)&amp;"")</f>
        <v/>
      </c>
      <c r="P65" s="23">
        <f>IF($C65="","",INDEX(인턴근무계획!$R$3:$R$62,$A65)&amp;"")</f>
        <v/>
      </c>
      <c r="Q65" s="23">
        <f>IF($C65="","",INDEX(인턴근무계획!$T$3:$T$62,$A65))</f>
        <v/>
      </c>
    </row>
  </sheetData>
  <autoFilter ref="A5:Q65"/>
  <conditionalFormatting sqref="E6:E65">
    <cfRule type="expression" priority="1" dxfId="0">
      <formula>$E6="미등록"</formula>
    </cfRule>
  </conditionalFormatting>
  <conditionalFormatting sqref="K6:P65">
    <cfRule type="expression" priority="2" dxfId="1">
      <formula>LEFT(K6,1)="⚠"</formula>
    </cfRule>
  </conditionalFormatting>
  <conditionalFormatting sqref="K5:P65">
    <cfRule type="expression" priority="3" dxfId="12">
      <formula>K$3=MONTH(TODAY())</formula>
    </cfRule>
  </conditionalFormatting>
  <conditionalFormatting sqref="G6:H65">
    <cfRule type="expression" priority="4" dxfId="12">
      <formula>$G$3&lt;&gt;""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3" customWidth="1" min="5" max="5"/>
    <col width="20" customWidth="1" min="6" max="6"/>
    <col width="20" customWidth="1" min="7" max="7"/>
    <col width="3" customWidth="1" min="8" max="8"/>
    <col width="3" customWidth="1" min="9" max="9"/>
    <col width="20" customWidth="1" min="10" max="10"/>
    <col width="20" customWidth="1" min="11" max="11"/>
    <col width="3" customWidth="1" min="12" max="12"/>
  </cols>
  <sheetData>
    <row r="1" ht="30" customHeight="1">
      <c r="A1" s="12" t="inlineStr">
        <is>
          <t>병원</t>
        </is>
      </c>
      <c r="B1" s="12" t="inlineStr">
        <is>
          <t>근무과(진료과)</t>
        </is>
      </c>
      <c r="C1" s="12" t="inlineStr">
        <is>
          <t>파견근거(종류)</t>
        </is>
      </c>
      <c r="D1" s="12" t="inlineStr">
        <is>
          <t>인턴 전용 구분</t>
        </is>
      </c>
      <c r="F1" s="12" t="inlineStr">
        <is>
          <t>진료과 약칭</t>
        </is>
      </c>
      <c r="G1" s="12" t="inlineStr">
        <is>
          <t>정식 명칭</t>
        </is>
      </c>
      <c r="J1" s="12" t="inlineStr">
        <is>
          <t>병원 표기(약칭·기관명)</t>
        </is>
      </c>
      <c r="K1" s="12" t="inlineStr">
        <is>
          <t>정식 병원</t>
        </is>
      </c>
      <c r="M1" s="2" t="inlineStr">
        <is>
          <t>※ 파란 글씨 칸은 모두 수정·추가할 수 있습니다. 새 병원/진료과가 생기면 여기에 먼저 추가하세요.</t>
        </is>
      </c>
    </row>
    <row r="2">
      <c r="A2" s="5" t="inlineStr">
        <is>
          <t>서울병원</t>
        </is>
      </c>
      <c r="B2" s="5" t="inlineStr">
        <is>
          <t>내과</t>
        </is>
      </c>
      <c r="C2" s="5" t="inlineStr">
        <is>
          <t>모자</t>
        </is>
      </c>
      <c r="D2" s="5" t="inlineStr">
        <is>
          <t>통합</t>
        </is>
      </c>
      <c r="F2" s="5" t="inlineStr">
        <is>
          <t>내과</t>
        </is>
      </c>
      <c r="G2" s="5" t="inlineStr">
        <is>
          <t>내과</t>
        </is>
      </c>
      <c r="J2" s="5" t="inlineStr">
        <is>
          <t>서울병원</t>
        </is>
      </c>
      <c r="K2" s="5" t="inlineStr">
        <is>
          <t>서울병원</t>
        </is>
      </c>
      <c r="M2" s="2" t="inlineStr">
        <is>
          <t>※ 병원 표기(J→K): 인턴근무계획의 지역 단어와 파견수련계획의 모병원명·파견병원은 이 표로 정식 병원(A열)으로 바뀝니다.</t>
        </is>
      </c>
    </row>
    <row r="3">
      <c r="A3" s="5" t="inlineStr">
        <is>
          <t>인천병원</t>
        </is>
      </c>
      <c r="B3" s="5" t="inlineStr">
        <is>
          <t>소아청소년과</t>
        </is>
      </c>
      <c r="C3" s="5" t="inlineStr">
        <is>
          <t>통합수련</t>
        </is>
      </c>
      <c r="D3" s="5" t="inlineStr">
        <is>
          <t>핵/방</t>
        </is>
      </c>
      <c r="F3" s="5" t="inlineStr">
        <is>
          <t>소아청소년과</t>
        </is>
      </c>
      <c r="G3" s="5" t="inlineStr">
        <is>
          <t>소아청소년과</t>
        </is>
      </c>
      <c r="J3" s="5" t="inlineStr">
        <is>
          <t>인천병원</t>
        </is>
      </c>
      <c r="K3" s="5" t="inlineStr">
        <is>
          <t>인천병원</t>
        </is>
      </c>
      <c r="M3" s="2" t="inlineStr">
        <is>
          <t xml:space="preserve">   (예: 한양대학교병원→서울병원, 한양대구리병원→구리병원, '제주 에스중앙 내과'의 '제주'→제주병원). 인천·창원·오산 등 실제 기관명은 J·K열에 추가하세요.</t>
        </is>
      </c>
    </row>
    <row r="4">
      <c r="A4" s="5" t="inlineStr">
        <is>
          <t>구리병원</t>
        </is>
      </c>
      <c r="B4" s="5" t="inlineStr">
        <is>
          <t>신경과</t>
        </is>
      </c>
      <c r="C4" s="5" t="inlineStr">
        <is>
          <t>다기관</t>
        </is>
      </c>
      <c r="D4" s="5" t="n"/>
      <c r="F4" s="5" t="inlineStr">
        <is>
          <t>신경과</t>
        </is>
      </c>
      <c r="G4" s="5" t="inlineStr">
        <is>
          <t>신경과</t>
        </is>
      </c>
      <c r="J4" s="5" t="inlineStr">
        <is>
          <t>구리병원</t>
        </is>
      </c>
      <c r="K4" s="5" t="inlineStr">
        <is>
          <t>구리병원</t>
        </is>
      </c>
      <c r="M4" s="2" t="inlineStr">
        <is>
          <t>※ 진료과 약칭(F→G): 인턴근무계획 월 칸의 마지막 단어와 파견수련계획의 파견과목을 정식 명칭으로 바꿉니다. (예: 산부→산부인과)</t>
        </is>
      </c>
    </row>
    <row r="5">
      <c r="A5" s="5" t="inlineStr">
        <is>
          <t>창원병원</t>
        </is>
      </c>
      <c r="B5" s="5" t="inlineStr">
        <is>
          <t>정신건강의학과</t>
        </is>
      </c>
      <c r="C5" s="5" t="n"/>
      <c r="D5" s="5" t="n"/>
      <c r="F5" s="5" t="inlineStr">
        <is>
          <t>정신건강의학과</t>
        </is>
      </c>
      <c r="G5" s="5" t="inlineStr">
        <is>
          <t>정신건강의학과</t>
        </is>
      </c>
      <c r="J5" s="5" t="inlineStr">
        <is>
          <t>창원병원</t>
        </is>
      </c>
      <c r="K5" s="5" t="inlineStr">
        <is>
          <t>창원병원</t>
        </is>
      </c>
      <c r="M5" s="2" t="inlineStr">
        <is>
          <t>※ 파견근거(C열): 양식의 모자 / 통합수련, 그리고 다기관. 새 값이 있으면 추가하세요.</t>
        </is>
      </c>
    </row>
    <row r="6">
      <c r="A6" s="5" t="inlineStr">
        <is>
          <t>제주병원</t>
        </is>
      </c>
      <c r="B6" s="5" t="inlineStr">
        <is>
          <t>피부과</t>
        </is>
      </c>
      <c r="C6" s="5" t="n"/>
      <c r="D6" s="5" t="n"/>
      <c r="F6" s="5" t="inlineStr">
        <is>
          <t>피부과</t>
        </is>
      </c>
      <c r="G6" s="5" t="inlineStr">
        <is>
          <t>피부과</t>
        </is>
      </c>
      <c r="J6" s="5" t="inlineStr">
        <is>
          <t>제주병원</t>
        </is>
      </c>
      <c r="K6" s="5" t="inlineStr">
        <is>
          <t>제주병원</t>
        </is>
      </c>
    </row>
    <row r="7">
      <c r="A7" s="5" t="inlineStr">
        <is>
          <t>오산병원</t>
        </is>
      </c>
      <c r="B7" s="5" t="inlineStr">
        <is>
          <t>외과</t>
        </is>
      </c>
      <c r="C7" s="5" t="n"/>
      <c r="F7" s="5" t="inlineStr">
        <is>
          <t>외과</t>
        </is>
      </c>
      <c r="G7" s="5" t="inlineStr">
        <is>
          <t>외과</t>
        </is>
      </c>
      <c r="J7" s="5" t="inlineStr">
        <is>
          <t>오산병원</t>
        </is>
      </c>
      <c r="K7" s="5" t="inlineStr">
        <is>
          <t>오산병원</t>
        </is>
      </c>
    </row>
    <row r="8">
      <c r="A8" s="5" t="n"/>
      <c r="B8" s="5" t="inlineStr">
        <is>
          <t>심장혈관흉부외과</t>
        </is>
      </c>
      <c r="C8" s="5" t="n"/>
      <c r="F8" s="5" t="inlineStr">
        <is>
          <t>심장혈관흉부외과</t>
        </is>
      </c>
      <c r="G8" s="5" t="inlineStr">
        <is>
          <t>심장혈관흉부외과</t>
        </is>
      </c>
      <c r="J8" s="5" t="inlineStr">
        <is>
          <t>서울</t>
        </is>
      </c>
      <c r="K8" s="5" t="inlineStr">
        <is>
          <t>서울병원</t>
        </is>
      </c>
    </row>
    <row r="9">
      <c r="A9" s="5" t="n"/>
      <c r="B9" s="5" t="inlineStr">
        <is>
          <t>정형외과</t>
        </is>
      </c>
      <c r="C9" s="5" t="n"/>
      <c r="F9" s="5" t="inlineStr">
        <is>
          <t>정형외과</t>
        </is>
      </c>
      <c r="G9" s="5" t="inlineStr">
        <is>
          <t>정형외과</t>
        </is>
      </c>
      <c r="J9" s="5" t="inlineStr">
        <is>
          <t>인천</t>
        </is>
      </c>
      <c r="K9" s="5" t="inlineStr">
        <is>
          <t>인천병원</t>
        </is>
      </c>
    </row>
    <row r="10">
      <c r="A10" s="5" t="n"/>
      <c r="B10" s="5" t="inlineStr">
        <is>
          <t>신경외과</t>
        </is>
      </c>
      <c r="C10" s="5" t="n"/>
      <c r="F10" s="5" t="inlineStr">
        <is>
          <t>신경외과</t>
        </is>
      </c>
      <c r="G10" s="5" t="inlineStr">
        <is>
          <t>신경외과</t>
        </is>
      </c>
      <c r="J10" s="5" t="inlineStr">
        <is>
          <t>구리</t>
        </is>
      </c>
      <c r="K10" s="5" t="inlineStr">
        <is>
          <t>구리병원</t>
        </is>
      </c>
    </row>
    <row r="11">
      <c r="A11" s="5" t="n"/>
      <c r="B11" s="5" t="inlineStr">
        <is>
          <t>성형외과</t>
        </is>
      </c>
      <c r="C11" s="5" t="n"/>
      <c r="F11" s="5" t="inlineStr">
        <is>
          <t>성형외과</t>
        </is>
      </c>
      <c r="G11" s="5" t="inlineStr">
        <is>
          <t>성형외과</t>
        </is>
      </c>
      <c r="J11" s="5" t="inlineStr">
        <is>
          <t>창원</t>
        </is>
      </c>
      <c r="K11" s="5" t="inlineStr">
        <is>
          <t>창원병원</t>
        </is>
      </c>
    </row>
    <row r="12">
      <c r="A12" s="5" t="n"/>
      <c r="B12" s="5" t="inlineStr">
        <is>
          <t>산부인과</t>
        </is>
      </c>
      <c r="F12" s="5" t="inlineStr">
        <is>
          <t>산부인과</t>
        </is>
      </c>
      <c r="G12" s="5" t="inlineStr">
        <is>
          <t>산부인과</t>
        </is>
      </c>
      <c r="J12" s="5" t="inlineStr">
        <is>
          <t>제주</t>
        </is>
      </c>
      <c r="K12" s="5" t="inlineStr">
        <is>
          <t>제주병원</t>
        </is>
      </c>
    </row>
    <row r="13">
      <c r="A13" s="5" t="n"/>
      <c r="B13" s="5" t="inlineStr">
        <is>
          <t>안과</t>
        </is>
      </c>
      <c r="F13" s="5" t="inlineStr">
        <is>
          <t>안과</t>
        </is>
      </c>
      <c r="G13" s="5" t="inlineStr">
        <is>
          <t>안과</t>
        </is>
      </c>
      <c r="J13" s="5" t="inlineStr">
        <is>
          <t>오산</t>
        </is>
      </c>
      <c r="K13" s="5" t="inlineStr">
        <is>
          <t>오산병원</t>
        </is>
      </c>
    </row>
    <row r="14">
      <c r="A14" s="5" t="n"/>
      <c r="B14" s="5" t="inlineStr">
        <is>
          <t>이비인후과</t>
        </is>
      </c>
      <c r="F14" s="5" t="inlineStr">
        <is>
          <t>이비인후과</t>
        </is>
      </c>
      <c r="G14" s="5" t="inlineStr">
        <is>
          <t>이비인후과</t>
        </is>
      </c>
      <c r="J14" s="5" t="inlineStr">
        <is>
          <t>한양대학교병원</t>
        </is>
      </c>
      <c r="K14" s="5" t="inlineStr">
        <is>
          <t>서울병원</t>
        </is>
      </c>
    </row>
    <row r="15">
      <c r="A15" s="5" t="n"/>
      <c r="B15" s="5" t="inlineStr">
        <is>
          <t>비뇨의학과</t>
        </is>
      </c>
      <c r="F15" s="5" t="inlineStr">
        <is>
          <t>비뇨의학과</t>
        </is>
      </c>
      <c r="G15" s="5" t="inlineStr">
        <is>
          <t>비뇨의학과</t>
        </is>
      </c>
      <c r="J15" s="5" t="inlineStr">
        <is>
          <t>한양대병원</t>
        </is>
      </c>
      <c r="K15" s="5" t="inlineStr">
        <is>
          <t>서울병원</t>
        </is>
      </c>
    </row>
    <row r="16">
      <c r="A16" s="5" t="n"/>
      <c r="B16" s="5" t="inlineStr">
        <is>
          <t>재활의학과</t>
        </is>
      </c>
      <c r="F16" s="5" t="inlineStr">
        <is>
          <t>재활의학과</t>
        </is>
      </c>
      <c r="G16" s="5" t="inlineStr">
        <is>
          <t>재활의학과</t>
        </is>
      </c>
      <c r="J16" s="5" t="inlineStr">
        <is>
          <t>한양대서울병원</t>
        </is>
      </c>
      <c r="K16" s="5" t="inlineStr">
        <is>
          <t>서울병원</t>
        </is>
      </c>
    </row>
    <row r="17">
      <c r="A17" s="5" t="n"/>
      <c r="B17" s="5" t="inlineStr">
        <is>
          <t>마취통증의학과</t>
        </is>
      </c>
      <c r="F17" s="5" t="inlineStr">
        <is>
          <t>마취통증의학과</t>
        </is>
      </c>
      <c r="G17" s="5" t="inlineStr">
        <is>
          <t>마취통증의학과</t>
        </is>
      </c>
      <c r="J17" s="5" t="inlineStr">
        <is>
          <t>한양대구리병원</t>
        </is>
      </c>
      <c r="K17" s="5" t="inlineStr">
        <is>
          <t>구리병원</t>
        </is>
      </c>
    </row>
    <row r="18">
      <c r="A18" s="5" t="n"/>
      <c r="B18" s="5" t="inlineStr">
        <is>
          <t>영상의학과</t>
        </is>
      </c>
      <c r="F18" s="5" t="inlineStr">
        <is>
          <t>영상의학과</t>
        </is>
      </c>
      <c r="G18" s="5" t="inlineStr">
        <is>
          <t>영상의학과</t>
        </is>
      </c>
      <c r="J18" s="5" t="inlineStr">
        <is>
          <t>에스중앙병원</t>
        </is>
      </c>
      <c r="K18" s="5" t="inlineStr">
        <is>
          <t>제주병원</t>
        </is>
      </c>
    </row>
    <row r="19">
      <c r="A19" s="5" t="n"/>
      <c r="B19" s="5" t="inlineStr">
        <is>
          <t>진단검사의학과</t>
        </is>
      </c>
      <c r="F19" s="5" t="inlineStr">
        <is>
          <t>진단검사의학과</t>
        </is>
      </c>
      <c r="G19" s="5" t="inlineStr">
        <is>
          <t>진단검사의학과</t>
        </is>
      </c>
      <c r="J19" s="5" t="inlineStr">
        <is>
          <t>에스중앙</t>
        </is>
      </c>
      <c r="K19" s="5" t="inlineStr">
        <is>
          <t>제주병원</t>
        </is>
      </c>
    </row>
    <row r="20">
      <c r="A20" s="5" t="n"/>
      <c r="B20" s="5" t="inlineStr">
        <is>
          <t>병리과</t>
        </is>
      </c>
      <c r="F20" s="5" t="inlineStr">
        <is>
          <t>병리과</t>
        </is>
      </c>
      <c r="G20" s="5" t="inlineStr">
        <is>
          <t>병리과</t>
        </is>
      </c>
      <c r="J20" s="5" t="n"/>
      <c r="K20" s="5" t="n"/>
    </row>
    <row r="21">
      <c r="A21" s="5" t="n"/>
      <c r="B21" s="5" t="inlineStr">
        <is>
          <t>가정의학과</t>
        </is>
      </c>
      <c r="F21" s="5" t="inlineStr">
        <is>
          <t>가정의학과</t>
        </is>
      </c>
      <c r="G21" s="5" t="inlineStr">
        <is>
          <t>가정의학과</t>
        </is>
      </c>
      <c r="J21" s="5" t="n"/>
      <c r="K21" s="5" t="n"/>
    </row>
    <row r="22">
      <c r="B22" s="5" t="inlineStr">
        <is>
          <t>응급의학과</t>
        </is>
      </c>
      <c r="F22" s="5" t="inlineStr">
        <is>
          <t>응급의학과</t>
        </is>
      </c>
      <c r="G22" s="5" t="inlineStr">
        <is>
          <t>응급의학과</t>
        </is>
      </c>
      <c r="J22" s="5" t="n"/>
      <c r="K22" s="5" t="n"/>
    </row>
    <row r="23">
      <c r="B23" s="5" t="inlineStr">
        <is>
          <t>핵의학과</t>
        </is>
      </c>
      <c r="F23" s="5" t="inlineStr">
        <is>
          <t>핵의학과</t>
        </is>
      </c>
      <c r="G23" s="5" t="inlineStr">
        <is>
          <t>핵의학과</t>
        </is>
      </c>
      <c r="J23" s="5" t="n"/>
      <c r="K23" s="5" t="n"/>
    </row>
    <row r="24">
      <c r="B24" s="5" t="inlineStr">
        <is>
          <t>직업환경의학과</t>
        </is>
      </c>
      <c r="F24" s="5" t="inlineStr">
        <is>
          <t>직업환경의학과</t>
        </is>
      </c>
      <c r="G24" s="5" t="inlineStr">
        <is>
          <t>직업환경의학과</t>
        </is>
      </c>
      <c r="J24" s="5" t="n"/>
      <c r="K24" s="5" t="n"/>
    </row>
    <row r="25">
      <c r="B25" s="5" t="inlineStr">
        <is>
          <t>수련교육부(인턴)</t>
        </is>
      </c>
      <c r="F25" s="5" t="inlineStr">
        <is>
          <t>수련교육부(인턴)</t>
        </is>
      </c>
      <c r="G25" s="5" t="inlineStr">
        <is>
          <t>수련교육부(인턴)</t>
        </is>
      </c>
      <c r="J25" s="5" t="n"/>
      <c r="K25" s="5" t="n"/>
    </row>
    <row r="26">
      <c r="B26" s="5" t="n"/>
      <c r="F26" s="5" t="inlineStr">
        <is>
          <t>소아과</t>
        </is>
      </c>
      <c r="G26" s="5" t="inlineStr">
        <is>
          <t>소아청소년과</t>
        </is>
      </c>
      <c r="J26" s="5" t="n"/>
      <c r="K26" s="5" t="n"/>
    </row>
    <row r="27">
      <c r="B27" s="5" t="n"/>
      <c r="F27" s="5" t="inlineStr">
        <is>
          <t>소청</t>
        </is>
      </c>
      <c r="G27" s="5" t="inlineStr">
        <is>
          <t>소아청소년과</t>
        </is>
      </c>
      <c r="J27" s="5" t="n"/>
      <c r="K27" s="5" t="n"/>
    </row>
    <row r="28">
      <c r="B28" s="5" t="n"/>
      <c r="F28" s="5" t="inlineStr">
        <is>
          <t>소청과</t>
        </is>
      </c>
      <c r="G28" s="5" t="inlineStr">
        <is>
          <t>소아청소년과</t>
        </is>
      </c>
      <c r="J28" s="5" t="n"/>
      <c r="K28" s="5" t="n"/>
    </row>
    <row r="29">
      <c r="B29" s="5" t="n"/>
      <c r="F29" s="5" t="inlineStr">
        <is>
          <t>정신과</t>
        </is>
      </c>
      <c r="G29" s="5" t="inlineStr">
        <is>
          <t>정신건강의학과</t>
        </is>
      </c>
      <c r="J29" s="5" t="n"/>
      <c r="K29" s="5" t="n"/>
    </row>
    <row r="30">
      <c r="B30" s="5" t="n"/>
      <c r="F30" s="5" t="inlineStr">
        <is>
          <t>정신</t>
        </is>
      </c>
      <c r="G30" s="5" t="inlineStr">
        <is>
          <t>정신건강의학과</t>
        </is>
      </c>
      <c r="J30" s="5" t="n"/>
      <c r="K30" s="5" t="n"/>
    </row>
    <row r="31">
      <c r="B31" s="5" t="n"/>
      <c r="F31" s="5" t="inlineStr">
        <is>
          <t>흉부외과</t>
        </is>
      </c>
      <c r="G31" s="5" t="inlineStr">
        <is>
          <t>심장혈관흉부외과</t>
        </is>
      </c>
      <c r="J31" s="5" t="n"/>
      <c r="K31" s="5" t="n"/>
    </row>
    <row r="32">
      <c r="B32" s="5" t="n"/>
      <c r="F32" s="5" t="inlineStr">
        <is>
          <t>흉외</t>
        </is>
      </c>
      <c r="G32" s="5" t="inlineStr">
        <is>
          <t>심장혈관흉부외과</t>
        </is>
      </c>
      <c r="J32" s="5" t="n"/>
      <c r="K32" s="5" t="n"/>
    </row>
    <row r="33">
      <c r="B33" s="5" t="n"/>
      <c r="F33" s="5" t="inlineStr">
        <is>
          <t>심장혈관흉부</t>
        </is>
      </c>
      <c r="G33" s="5" t="inlineStr">
        <is>
          <t>심장혈관흉부외과</t>
        </is>
      </c>
      <c r="J33" s="5" t="n"/>
      <c r="K33" s="5" t="n"/>
    </row>
    <row r="34">
      <c r="B34" s="5" t="n"/>
      <c r="F34" s="5" t="inlineStr">
        <is>
          <t>정형</t>
        </is>
      </c>
      <c r="G34" s="5" t="inlineStr">
        <is>
          <t>정형외과</t>
        </is>
      </c>
      <c r="J34" s="5" t="n"/>
      <c r="K34" s="5" t="n"/>
    </row>
    <row r="35">
      <c r="B35" s="5" t="n"/>
      <c r="F35" s="5" t="inlineStr">
        <is>
          <t>신외</t>
        </is>
      </c>
      <c r="G35" s="5" t="inlineStr">
        <is>
          <t>신경외과</t>
        </is>
      </c>
      <c r="J35" s="5" t="n"/>
      <c r="K35" s="5" t="n"/>
    </row>
    <row r="36">
      <c r="B36" s="5" t="n"/>
      <c r="F36" s="5" t="inlineStr">
        <is>
          <t>성형</t>
        </is>
      </c>
      <c r="G36" s="5" t="inlineStr">
        <is>
          <t>성형외과</t>
        </is>
      </c>
      <c r="J36" s="5" t="n"/>
      <c r="K36" s="5" t="n"/>
    </row>
    <row r="37">
      <c r="B37" s="5" t="n"/>
      <c r="F37" s="5" t="inlineStr">
        <is>
          <t>산부</t>
        </is>
      </c>
      <c r="G37" s="5" t="inlineStr">
        <is>
          <t>산부인과</t>
        </is>
      </c>
      <c r="J37" s="5" t="n"/>
      <c r="K37" s="5" t="n"/>
    </row>
    <row r="38">
      <c r="B38" s="5" t="n"/>
      <c r="F38" s="5" t="inlineStr">
        <is>
          <t>이비</t>
        </is>
      </c>
      <c r="G38" s="5" t="inlineStr">
        <is>
          <t>이비인후과</t>
        </is>
      </c>
      <c r="J38" s="5" t="n"/>
      <c r="K38" s="5" t="n"/>
    </row>
    <row r="39">
      <c r="B39" s="5" t="n"/>
      <c r="F39" s="5" t="inlineStr">
        <is>
          <t>이비인후</t>
        </is>
      </c>
      <c r="G39" s="5" t="inlineStr">
        <is>
          <t>이비인후과</t>
        </is>
      </c>
      <c r="J39" s="5" t="n"/>
      <c r="K39" s="5" t="n"/>
    </row>
    <row r="40">
      <c r="B40" s="5" t="n"/>
      <c r="F40" s="5" t="inlineStr">
        <is>
          <t>비뇨</t>
        </is>
      </c>
      <c r="G40" s="5" t="inlineStr">
        <is>
          <t>비뇨의학과</t>
        </is>
      </c>
      <c r="J40" s="5" t="n"/>
      <c r="K40" s="5" t="n"/>
    </row>
    <row r="41">
      <c r="B41" s="5" t="n"/>
      <c r="F41" s="5" t="inlineStr">
        <is>
          <t>비뇨기과</t>
        </is>
      </c>
      <c r="G41" s="5" t="inlineStr">
        <is>
          <t>비뇨의학과</t>
        </is>
      </c>
      <c r="J41" s="5" t="n"/>
      <c r="K41" s="5" t="n"/>
    </row>
    <row r="42">
      <c r="F42" s="5" t="inlineStr">
        <is>
          <t>재활</t>
        </is>
      </c>
      <c r="G42" s="5" t="inlineStr">
        <is>
          <t>재활의학과</t>
        </is>
      </c>
      <c r="J42" s="5" t="n"/>
      <c r="K42" s="5" t="n"/>
    </row>
    <row r="43">
      <c r="F43" s="5" t="inlineStr">
        <is>
          <t>마취</t>
        </is>
      </c>
      <c r="G43" s="5" t="inlineStr">
        <is>
          <t>마취통증의학과</t>
        </is>
      </c>
      <c r="J43" s="5" t="n"/>
      <c r="K43" s="5" t="n"/>
    </row>
    <row r="44">
      <c r="F44" s="5" t="inlineStr">
        <is>
          <t>마통</t>
        </is>
      </c>
      <c r="G44" s="5" t="inlineStr">
        <is>
          <t>마취통증의학과</t>
        </is>
      </c>
      <c r="J44" s="5" t="n"/>
      <c r="K44" s="5" t="n"/>
    </row>
    <row r="45">
      <c r="F45" s="5" t="inlineStr">
        <is>
          <t>영상</t>
        </is>
      </c>
      <c r="G45" s="5" t="inlineStr">
        <is>
          <t>영상의학과</t>
        </is>
      </c>
      <c r="J45" s="5" t="n"/>
      <c r="K45" s="5" t="n"/>
    </row>
    <row r="46">
      <c r="F46" s="5" t="inlineStr">
        <is>
          <t>진검</t>
        </is>
      </c>
      <c r="G46" s="5" t="inlineStr">
        <is>
          <t>진단검사의학과</t>
        </is>
      </c>
      <c r="J46" s="5" t="n"/>
      <c r="K46" s="5" t="n"/>
    </row>
    <row r="47">
      <c r="F47" s="5" t="inlineStr">
        <is>
          <t>진단검사</t>
        </is>
      </c>
      <c r="G47" s="5" t="inlineStr">
        <is>
          <t>진단검사의학과</t>
        </is>
      </c>
      <c r="J47" s="5" t="n"/>
      <c r="K47" s="5" t="n"/>
    </row>
    <row r="48">
      <c r="F48" s="5" t="inlineStr">
        <is>
          <t>병리</t>
        </is>
      </c>
      <c r="G48" s="5" t="inlineStr">
        <is>
          <t>병리과</t>
        </is>
      </c>
      <c r="J48" s="5" t="n"/>
      <c r="K48" s="5" t="n"/>
    </row>
    <row r="49">
      <c r="F49" s="5" t="inlineStr">
        <is>
          <t>가정</t>
        </is>
      </c>
      <c r="G49" s="5" t="inlineStr">
        <is>
          <t>가정의학과</t>
        </is>
      </c>
      <c r="J49" s="5" t="n"/>
      <c r="K49" s="5" t="n"/>
    </row>
    <row r="50">
      <c r="F50" s="5" t="inlineStr">
        <is>
          <t>가정의학</t>
        </is>
      </c>
      <c r="G50" s="5" t="inlineStr">
        <is>
          <t>가정의학과</t>
        </is>
      </c>
      <c r="J50" s="5" t="n"/>
      <c r="K50" s="5" t="n"/>
    </row>
    <row r="51">
      <c r="F51" s="5" t="inlineStr">
        <is>
          <t>응급</t>
        </is>
      </c>
      <c r="G51" s="5" t="inlineStr">
        <is>
          <t>응급의학과</t>
        </is>
      </c>
      <c r="J51" s="5" t="n"/>
      <c r="K51" s="5" t="n"/>
    </row>
    <row r="52">
      <c r="F52" s="5" t="inlineStr">
        <is>
          <t>핵의학</t>
        </is>
      </c>
      <c r="G52" s="5" t="inlineStr">
        <is>
          <t>핵의학과</t>
        </is>
      </c>
      <c r="J52" s="5" t="n"/>
      <c r="K52" s="5" t="n"/>
    </row>
    <row r="53">
      <c r="F53" s="5" t="inlineStr">
        <is>
          <t>핵</t>
        </is>
      </c>
      <c r="G53" s="5" t="inlineStr">
        <is>
          <t>핵의학과</t>
        </is>
      </c>
      <c r="J53" s="5" t="n"/>
      <c r="K53" s="5" t="n"/>
    </row>
    <row r="54">
      <c r="F54" s="5" t="inlineStr">
        <is>
          <t>직업환경</t>
        </is>
      </c>
      <c r="G54" s="5" t="inlineStr">
        <is>
          <t>직업환경의학과</t>
        </is>
      </c>
      <c r="J54" s="5" t="n"/>
      <c r="K54" s="5" t="n"/>
    </row>
    <row r="55">
      <c r="F55" s="5" t="inlineStr">
        <is>
          <t>직환</t>
        </is>
      </c>
      <c r="G55" s="5" t="inlineStr">
        <is>
          <t>직업환경의학과</t>
        </is>
      </c>
      <c r="J55" s="5" t="n"/>
      <c r="K55" s="5" t="n"/>
    </row>
    <row r="56">
      <c r="F56" s="5" t="inlineStr">
        <is>
          <t>수련교육부</t>
        </is>
      </c>
      <c r="G56" s="5" t="inlineStr">
        <is>
          <t>수련교육부(인턴)</t>
        </is>
      </c>
      <c r="J56" s="5" t="n"/>
      <c r="K56" s="5" t="n"/>
    </row>
    <row r="57">
      <c r="F57" s="5" t="inlineStr">
        <is>
          <t>인턴</t>
        </is>
      </c>
      <c r="G57" s="5" t="inlineStr">
        <is>
          <t>수련교육부(인턴)</t>
        </is>
      </c>
      <c r="J57" s="5" t="n"/>
      <c r="K57" s="5" t="n"/>
    </row>
    <row r="58">
      <c r="F58" s="5" t="inlineStr">
        <is>
          <t>핵방</t>
        </is>
      </c>
      <c r="G58" s="5" t="inlineStr">
        <is>
          <t>핵/방</t>
        </is>
      </c>
      <c r="J58" s="5" t="n"/>
      <c r="K58" s="5" t="n"/>
    </row>
    <row r="59">
      <c r="F59" s="5" t="inlineStr">
        <is>
          <t>핵/방</t>
        </is>
      </c>
      <c r="G59" s="5" t="inlineStr">
        <is>
          <t>핵/방</t>
        </is>
      </c>
      <c r="J59" s="5" t="n"/>
      <c r="K59" s="5" t="n"/>
    </row>
    <row r="60">
      <c r="F60" s="5" t="inlineStr">
        <is>
          <t>통합</t>
        </is>
      </c>
      <c r="G60" s="5" t="inlineStr">
        <is>
          <t>통합</t>
        </is>
      </c>
      <c r="J60" s="5" t="n"/>
      <c r="K60" s="5" t="n"/>
    </row>
    <row r="61">
      <c r="F61" s="5" t="n"/>
      <c r="G61" s="5" t="n"/>
      <c r="J61" s="5" t="n"/>
      <c r="K61" s="5" t="n"/>
    </row>
    <row r="62">
      <c r="F62" s="5" t="n"/>
      <c r="G62" s="5" t="n"/>
      <c r="J62" s="5" t="n"/>
      <c r="K62" s="5" t="n"/>
    </row>
    <row r="63">
      <c r="F63" s="5" t="n"/>
      <c r="G63" s="5" t="n"/>
      <c r="J63" s="5" t="n"/>
      <c r="K63" s="5" t="n"/>
    </row>
    <row r="64">
      <c r="F64" s="5" t="n"/>
      <c r="G64" s="5" t="n"/>
      <c r="J64" s="5" t="n"/>
      <c r="K64" s="5" t="n"/>
    </row>
    <row r="65">
      <c r="F65" s="5" t="n"/>
      <c r="G65" s="5" t="n"/>
      <c r="J65" s="5" t="n"/>
      <c r="K65" s="5" t="n"/>
    </row>
    <row r="66">
      <c r="F66" s="5" t="n"/>
      <c r="G66" s="5" t="n"/>
      <c r="J66" s="5" t="n"/>
      <c r="K66" s="5" t="n"/>
    </row>
    <row r="67">
      <c r="F67" s="5" t="n"/>
      <c r="G67" s="5" t="n"/>
      <c r="J67" s="5" t="n"/>
      <c r="K67" s="5" t="n"/>
    </row>
    <row r="68">
      <c r="F68" s="5" t="n"/>
      <c r="G68" s="5" t="n"/>
      <c r="J68" s="5" t="n"/>
      <c r="K68" s="5" t="n"/>
    </row>
    <row r="69">
      <c r="F69" s="5" t="n"/>
      <c r="G69" s="5" t="n"/>
      <c r="J69" s="5" t="n"/>
      <c r="K69" s="5" t="n"/>
    </row>
    <row r="70">
      <c r="F70" s="5" t="n"/>
      <c r="G70" s="5" t="n"/>
      <c r="J70" s="5" t="n"/>
      <c r="K70" s="5" t="n"/>
    </row>
    <row r="71">
      <c r="F71" s="5" t="n"/>
      <c r="G71" s="5" t="n"/>
      <c r="J71" s="5" t="n"/>
      <c r="K71" s="5" t="n"/>
    </row>
    <row r="72">
      <c r="F72" s="5" t="n"/>
      <c r="G72" s="5" t="n"/>
      <c r="J72" s="5" t="n"/>
      <c r="K72" s="5" t="n"/>
    </row>
    <row r="73">
      <c r="F73" s="5" t="n"/>
      <c r="G73" s="5" t="n"/>
      <c r="J73" s="5" t="n"/>
      <c r="K73" s="5" t="n"/>
    </row>
    <row r="74">
      <c r="F74" s="5" t="n"/>
      <c r="G74" s="5" t="n"/>
      <c r="J74" s="5" t="n"/>
      <c r="K74" s="5" t="n"/>
    </row>
    <row r="75">
      <c r="F75" s="5" t="n"/>
      <c r="G75" s="5" t="n"/>
      <c r="J75" s="5" t="n"/>
      <c r="K75" s="5" t="n"/>
    </row>
    <row r="76">
      <c r="F76" s="5" t="n"/>
      <c r="G76" s="5" t="n"/>
      <c r="J76" s="5" t="n"/>
      <c r="K76" s="5" t="n"/>
    </row>
    <row r="77">
      <c r="F77" s="5" t="n"/>
      <c r="G77" s="5" t="n"/>
      <c r="J77" s="5" t="n"/>
      <c r="K77" s="5" t="n"/>
    </row>
    <row r="78">
      <c r="F78" s="5" t="n"/>
      <c r="G78" s="5" t="n"/>
      <c r="J78" s="5" t="n"/>
      <c r="K78" s="5" t="n"/>
    </row>
    <row r="79">
      <c r="F79" s="5" t="n"/>
      <c r="G79" s="5" t="n"/>
      <c r="J79" s="5" t="n"/>
      <c r="K79" s="5" t="n"/>
    </row>
    <row r="80">
      <c r="F80" s="5" t="n"/>
      <c r="G80" s="5" t="n"/>
      <c r="J80" s="5" t="n"/>
      <c r="K80" s="5" t="n"/>
    </row>
    <row r="81">
      <c r="F81" s="5" t="n"/>
      <c r="G81" s="5" t="n"/>
      <c r="J81" s="5" t="n"/>
      <c r="K81" s="5" t="n"/>
    </row>
    <row r="82">
      <c r="F82" s="5" t="n"/>
      <c r="G82" s="5" t="n"/>
      <c r="J82" s="5" t="n"/>
      <c r="K82" s="5" t="n"/>
    </row>
    <row r="83">
      <c r="F83" s="5" t="n"/>
      <c r="G83" s="5" t="n"/>
      <c r="J83" s="5" t="n"/>
      <c r="K83" s="5" t="n"/>
    </row>
    <row r="84">
      <c r="F84" s="5" t="n"/>
      <c r="G84" s="5" t="n"/>
      <c r="J84" s="5" t="n"/>
      <c r="K84" s="5" t="n"/>
    </row>
    <row r="85">
      <c r="F85" s="5" t="n"/>
      <c r="G85" s="5" t="n"/>
      <c r="J85" s="5" t="n"/>
      <c r="K85" s="5" t="n"/>
    </row>
    <row r="86">
      <c r="F86" s="5" t="n"/>
      <c r="G86" s="5" t="n"/>
      <c r="J86" s="5" t="n"/>
      <c r="K86" s="5" t="n"/>
    </row>
    <row r="87">
      <c r="F87" s="5" t="n"/>
      <c r="G87" s="5" t="n"/>
      <c r="J87" s="5" t="n"/>
      <c r="K87" s="5" t="n"/>
    </row>
    <row r="88">
      <c r="F88" s="5" t="n"/>
      <c r="G88" s="5" t="n"/>
      <c r="J88" s="5" t="n"/>
      <c r="K88" s="5" t="n"/>
    </row>
    <row r="89">
      <c r="F89" s="5" t="n"/>
      <c r="G89" s="5" t="n"/>
      <c r="J89" s="5" t="n"/>
      <c r="K89" s="5" t="n"/>
    </row>
    <row r="90">
      <c r="F90" s="5" t="n"/>
      <c r="G90" s="5" t="n"/>
      <c r="J90" s="5" t="n"/>
      <c r="K90" s="5" t="n"/>
    </row>
    <row r="91">
      <c r="F91" s="5" t="n"/>
      <c r="G91" s="5" t="n"/>
      <c r="J91" s="5" t="n"/>
      <c r="K91" s="5" t="n"/>
    </row>
    <row r="92">
      <c r="F92" s="5" t="n"/>
      <c r="G92" s="5" t="n"/>
      <c r="J92" s="5" t="n"/>
      <c r="K92" s="5" t="n"/>
    </row>
    <row r="93">
      <c r="F93" s="5" t="n"/>
      <c r="G93" s="5" t="n"/>
      <c r="J93" s="5" t="n"/>
      <c r="K93" s="5" t="n"/>
    </row>
    <row r="94">
      <c r="F94" s="5" t="n"/>
      <c r="G94" s="5" t="n"/>
      <c r="J94" s="5" t="n"/>
      <c r="K94" s="5" t="n"/>
    </row>
    <row r="95">
      <c r="F95" s="5" t="n"/>
      <c r="G95" s="5" t="n"/>
      <c r="J95" s="5" t="n"/>
      <c r="K95" s="5" t="n"/>
    </row>
    <row r="96">
      <c r="F96" s="5" t="n"/>
      <c r="G96" s="5" t="n"/>
      <c r="J96" s="5" t="n"/>
      <c r="K96" s="5" t="n"/>
    </row>
    <row r="97">
      <c r="F97" s="5" t="n"/>
      <c r="G97" s="5" t="n"/>
      <c r="J97" s="5" t="n"/>
      <c r="K97" s="5" t="n"/>
    </row>
    <row r="98">
      <c r="F98" s="5" t="n"/>
      <c r="G98" s="5" t="n"/>
      <c r="J98" s="5" t="n"/>
      <c r="K98" s="5" t="n"/>
    </row>
    <row r="99">
      <c r="F99" s="5" t="n"/>
      <c r="G99" s="5" t="n"/>
      <c r="J99" s="5" t="n"/>
      <c r="K99" s="5" t="n"/>
    </row>
    <row r="100">
      <c r="F100" s="5" t="n"/>
      <c r="G100" s="5" t="n"/>
      <c r="J100" s="5" t="n"/>
      <c r="K100" s="5" t="n"/>
    </row>
    <row r="101">
      <c r="F101" s="5" t="n"/>
      <c r="G101" s="5" t="n"/>
      <c r="J101" s="5" t="n"/>
      <c r="K1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2026-10-03T13:26:50Z</dcterms:created>
  <dcterms:modified xsi:type="dcterms:W3CDTF">2026-10-03T13:26:50Z</dcterms:modified>
</cp:coreProperties>
</file>